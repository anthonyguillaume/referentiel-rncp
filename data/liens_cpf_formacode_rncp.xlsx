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90" yWindow="-10780" windowWidth="38620" windowHeight="21100" tabRatio="500" firstSheet="0" activeTab="0" autoFilterDateGrouping="1"/>
  </bookViews>
  <sheets>
    <sheet name="Synthèse" sheetId="1" state="visible" r:id="rId1"/>
    <sheet name="Changements" sheetId="2" state="visible" r:id="rId2"/>
    <sheet name="Formacode_RNCP" sheetId="3" state="visible" r:id="rId3"/>
    <sheet name="formacode 463" sheetId="4" state="visible" r:id="rId4"/>
    <sheet name="formacode 462" sheetId="5" state="visible" r:id="rId5"/>
    <sheet name="formacode 460" sheetId="6" state="visible" r:id="rId6"/>
    <sheet name="formacode 455" sheetId="7" state="visible" r:id="rId7"/>
    <sheet name="formacode 450" sheetId="8" state="visible" r:id="rId8"/>
    <sheet name="formacode 445" sheetId="9" state="visible" r:id="rId9"/>
    <sheet name="Formacode 440" sheetId="10" state="visible" r:id="rId10"/>
    <sheet name="Formacode 434" sheetId="11" state="visible" r:id="rId11"/>
    <sheet name="Formacode 430" sheetId="12" state="visible" r:id="rId12"/>
    <sheet name="Formacode 428" sheetId="13" state="visible" r:id="rId13"/>
    <sheet name="Formacode 427" sheetId="14" state="visible" r:id="rId14"/>
    <sheet name="Formacode 426" sheetId="15" state="visible" r:id="rId15"/>
    <sheet name="Formacode 421" sheetId="16" state="visible" r:id="rId16"/>
    <sheet name="Formacode 420" sheetId="17" state="visible" r:id="rId17"/>
    <sheet name="Formacode 410" sheetId="18" state="visible" r:id="rId18"/>
    <sheet name="Formacode 350" sheetId="19" state="visible" r:id="rId19"/>
    <sheet name="Formacode 345" sheetId="20" state="visible" r:id="rId20"/>
    <sheet name="Formacode 342" sheetId="21" state="visible" r:id="rId21"/>
    <sheet name="Formacode 340" sheetId="22" state="visible" r:id="rId22"/>
    <sheet name="Formacode 330" sheetId="23" state="visible" r:id="rId23"/>
    <sheet name="Formacode 326" sheetId="24" state="visible" r:id="rId24"/>
    <sheet name="Formacode 321" sheetId="25" state="visible" r:id="rId25"/>
    <sheet name="Formacode 318" sheetId="26" state="visible" r:id="rId26"/>
    <sheet name="Formacode 317" sheetId="27" state="visible" r:id="rId27"/>
    <sheet name="Formacode 316" sheetId="28" state="visible" r:id="rId28"/>
    <sheet name="Formacode 314" sheetId="29" state="visible" r:id="rId29"/>
    <sheet name="Formacode 310" sheetId="30" state="visible" r:id="rId30"/>
    <sheet name="Formacode 244" sheetId="31" state="visible" r:id="rId31"/>
    <sheet name="Formacode 243" sheetId="32" state="visible" r:id="rId32"/>
    <sheet name="Formacode 242" sheetId="33" state="visible" r:id="rId33"/>
    <sheet name="formacode 241" sheetId="34" state="visible" r:id="rId34"/>
    <sheet name="Formacode 240" sheetId="35" state="visible" r:id="rId35"/>
    <sheet name="Formacode 236" sheetId="36" state="visible" r:id="rId36"/>
    <sheet name="formacode 230" sheetId="37" state="visible" r:id="rId37"/>
    <sheet name="formacode 228" sheetId="38" state="visible" r:id="rId38"/>
    <sheet name="formacode 226" sheetId="39" state="visible" r:id="rId39"/>
    <sheet name="formacode 224" sheetId="40" state="visible" r:id="rId40"/>
    <sheet name="formacode 223" sheetId="41" state="visible" r:id="rId41"/>
    <sheet name="formacode 222" sheetId="42" state="visible" r:id="rId42"/>
    <sheet name="formacode 220" sheetId="43" state="visible" r:id="rId43"/>
    <sheet name="formacode 218" sheetId="44" state="visible" r:id="rId44"/>
    <sheet name="formacode 217" sheetId="45" state="visible" r:id="rId45"/>
    <sheet name="formacode 216" sheetId="46" state="visible" r:id="rId46"/>
    <sheet name="Formacode 215" sheetId="47" state="visible" r:id="rId47"/>
    <sheet name="formacode 213" sheetId="48" state="visible" r:id="rId48"/>
    <sheet name="Formacode 210" sheetId="49" state="visible" r:id="rId49"/>
    <sheet name="Formacode 154" sheetId="50" state="visible" r:id="rId50"/>
    <sheet name="Formacode 150" sheetId="51" state="visible" r:id="rId51"/>
    <sheet name="Formacode 132" sheetId="52" state="visible" r:id="rId52"/>
    <sheet name="Formacode 125" sheetId="53" state="visible" r:id="rId53"/>
    <sheet name="Formacode 122" sheetId="54" state="visible" r:id="rId54"/>
    <sheet name="Formacode 120" sheetId="55" state="visible" r:id="rId55"/>
    <sheet name="Formacode 115" sheetId="56" state="visible" r:id="rId56"/>
    <sheet name="Formacode 114" sheetId="57" state="visible" r:id="rId57"/>
    <sheet name="Formacode 110" sheetId="58" state="visible" r:id="rId58"/>
  </sheets>
  <definedNames>
    <definedName name="_xlnm._FilterDatabase" localSheetId="0" hidden="1">'Synthèse'!$A$12:$I$305</definedName>
    <definedName name="_xlnm._FilterDatabase" localSheetId="1" hidden="1">'Changements'!$A$2:$E$9</definedName>
    <definedName name="_xlnm._FilterDatabase" localSheetId="42" hidden="1">'formacode 220'!$A$1:$B$7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Calibri"/>
      <charset val="1"/>
      <family val="2"/>
      <b val="1"/>
      <color theme="0"/>
      <sz val="11"/>
    </font>
    <font>
      <b val="1"/>
    </font>
    <font>
      <b val="1"/>
      <color rgb="00006100"/>
    </font>
    <font>
      <b val="1"/>
      <color rgb="009C6500"/>
    </font>
    <font>
      <b val="1"/>
      <color rgb="001F4E79"/>
    </font>
    <font>
      <b val="1"/>
      <sz val="14"/>
    </font>
    <font>
      <b val="1"/>
      <color rgb="009C0006"/>
    </font>
    <font>
      <b val="1"/>
      <color rgb="003F3F3F"/>
    </font>
  </fonts>
  <fills count="12">
    <fill>
      <patternFill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theme="0" tint="-0.3499862666707358"/>
        <bgColor rgb="FFC0C0C0"/>
      </patternFill>
    </fill>
    <fill>
      <patternFill patternType="solid">
        <fgColor theme="1"/>
        <bgColor rgb="FF00330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DDEBF7"/>
        <bgColor rgb="00DDEBF7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0" fillId="2" borderId="0" pivotButton="0" quotePrefix="0" xfId="0"/>
    <xf numFmtId="0" fontId="0" fillId="3" borderId="0" pivotButton="0" quotePrefix="0" xfId="0"/>
    <xf numFmtId="0" fontId="0" fillId="4" borderId="1" pivotButton="0" quotePrefix="0" xfId="0"/>
    <xf numFmtId="0" fontId="1" fillId="5" borderId="2" applyAlignment="1" pivotButton="0" quotePrefix="0" xfId="0">
      <alignment horizontal="left" vertical="center"/>
    </xf>
    <xf numFmtId="0" fontId="1" fillId="5" borderId="3" applyAlignment="1" pivotButton="0" quotePrefix="0" xfId="0">
      <alignment horizontal="left" vertical="center"/>
    </xf>
    <xf numFmtId="0" fontId="1" fillId="5" borderId="4" applyAlignment="1" pivotButton="0" quotePrefix="0" xfId="0">
      <alignment horizontal="left" vertical="center" wrapText="1"/>
    </xf>
    <xf numFmtId="0" fontId="0" fillId="2" borderId="5" pivotButton="0" quotePrefix="0" xfId="0"/>
    <xf numFmtId="0" fontId="0" fillId="2" borderId="1" applyAlignment="1" pivotButton="0" quotePrefix="0" xfId="0">
      <alignment horizontal="left"/>
    </xf>
    <xf numFmtId="0" fontId="0" fillId="2" borderId="1" pivotButton="0" quotePrefix="0" xfId="0"/>
    <xf numFmtId="0" fontId="0" fillId="2" borderId="6" applyAlignment="1" pivotButton="0" quotePrefix="0" xfId="0">
      <alignment wrapText="1"/>
    </xf>
    <xf numFmtId="0" fontId="0" fillId="3" borderId="5" pivotButton="0" quotePrefix="0" xfId="0"/>
    <xf numFmtId="0" fontId="0" fillId="3" borderId="1" applyAlignment="1" pivotButton="0" quotePrefix="0" xfId="0">
      <alignment horizontal="left"/>
    </xf>
    <xf numFmtId="0" fontId="0" fillId="3" borderId="1" pivotButton="0" quotePrefix="0" xfId="0"/>
    <xf numFmtId="0" fontId="0" fillId="3" borderId="6" applyAlignment="1" pivotButton="0" quotePrefix="0" xfId="0">
      <alignment wrapText="1"/>
    </xf>
    <xf numFmtId="0" fontId="0" fillId="0" borderId="5" pivotButton="0" quotePrefix="0" xfId="0"/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0" fillId="0" borderId="6" applyAlignment="1" pivotButton="0" quotePrefix="0" xfId="0">
      <alignment wrapText="1"/>
    </xf>
    <xf numFmtId="0" fontId="0" fillId="0" borderId="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0" fillId="0" borderId="6" applyAlignment="1" pivotButton="0" quotePrefix="0" xfId="0">
      <alignment wrapText="1"/>
    </xf>
    <xf numFmtId="0" fontId="0" fillId="2" borderId="7" pivotButton="0" quotePrefix="0" xfId="0"/>
    <xf numFmtId="0" fontId="0" fillId="2" borderId="8" applyAlignment="1" pivotButton="0" quotePrefix="0" xfId="0">
      <alignment horizontal="left"/>
    </xf>
    <xf numFmtId="0" fontId="0" fillId="2" borderId="8" pivotButton="0" quotePrefix="0" xfId="0"/>
    <xf numFmtId="0" fontId="0" fillId="2" borderId="9" applyAlignment="1" pivotButton="0" quotePrefix="0" xfId="0">
      <alignment wrapText="1"/>
    </xf>
    <xf numFmtId="0" fontId="1" fillId="5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left"/>
    </xf>
    <xf numFmtId="0" fontId="6" fillId="0" borderId="0" pivotButton="0" quotePrefix="0" xfId="0"/>
    <xf numFmtId="0" fontId="2" fillId="0" borderId="0" pivotButton="0" quotePrefix="0" xfId="0"/>
    <xf numFmtId="0" fontId="3" fillId="6" borderId="0" pivotButton="0" quotePrefix="0" xfId="0"/>
    <xf numFmtId="0" fontId="4" fillId="7" borderId="0" pivotButton="0" quotePrefix="0" xfId="0"/>
    <xf numFmtId="0" fontId="7" fillId="9" borderId="0" pivotButton="0" quotePrefix="0" xfId="0"/>
    <xf numFmtId="0" fontId="8" fillId="10" borderId="0" pivotButton="0" quotePrefix="0" xfId="0"/>
    <xf numFmtId="0" fontId="2" fillId="11" borderId="0" pivotButton="0" quotePrefix="0" xfId="0"/>
    <xf numFmtId="0" fontId="5" fillId="8" borderId="0" pivotButton="0" quotePrefix="0" xfId="0"/>
    <xf numFmtId="0" fontId="5" fillId="0" borderId="0" pivotButton="0" quotePrefix="0" xfId="0"/>
    <xf numFmtId="0" fontId="0" fillId="8" borderId="0" pivotButton="0" quotePrefix="0" xfId="0"/>
    <xf numFmtId="0" fontId="2" fillId="0" borderId="0" applyAlignment="1" pivotButton="0" quotePrefix="0" xfId="0">
      <alignment vertical="center" wrapText="1"/>
    </xf>
    <xf numFmtId="0" fontId="0" fillId="6" borderId="0" pivotButton="0" quotePrefix="0" xfId="0"/>
    <xf numFmtId="0" fontId="0" fillId="6" borderId="5" pivotButton="0" quotePrefix="0" xfId="0"/>
    <xf numFmtId="0" fontId="0" fillId="6" borderId="1" applyAlignment="1" pivotButton="0" quotePrefix="0" xfId="0">
      <alignment horizontal="left"/>
    </xf>
    <xf numFmtId="0" fontId="0" fillId="6" borderId="1" pivotButton="0" quotePrefix="0" xfId="0"/>
    <xf numFmtId="0" fontId="0" fillId="6" borderId="6" applyAlignment="1" pivotButton="0" quotePrefix="0" xfId="0">
      <alignment wrapText="1"/>
    </xf>
    <xf numFmtId="0" fontId="0" fillId="6" borderId="0" applyAlignment="1" pivotButton="0" quotePrefix="0" xfId="0">
      <alignment horizontal="center"/>
    </xf>
    <xf numFmtId="0" fontId="0" fillId="7" borderId="0" pivotButton="0" quotePrefix="0" xfId="0"/>
    <xf numFmtId="0" fontId="0" fillId="7" borderId="5" pivotButton="0" quotePrefix="0" xfId="0"/>
    <xf numFmtId="0" fontId="0" fillId="7" borderId="1" applyAlignment="1" pivotButton="0" quotePrefix="0" xfId="0">
      <alignment horizontal="left"/>
    </xf>
    <xf numFmtId="0" fontId="0" fillId="7" borderId="1" pivotButton="0" quotePrefix="0" xfId="0"/>
    <xf numFmtId="0" fontId="0" fillId="7" borderId="6" applyAlignment="1" pivotButton="0" quotePrefix="0" xfId="0">
      <alignment wrapText="1"/>
    </xf>
    <xf numFmtId="0" fontId="5" fillId="8" borderId="0" applyAlignment="1" pivotButton="0" quotePrefix="0" xfId="0">
      <alignment horizontal="center"/>
    </xf>
    <xf numFmtId="0" fontId="0" fillId="6" borderId="7" pivotButton="0" quotePrefix="0" xfId="0"/>
    <xf numFmtId="0" fontId="0" fillId="6" borderId="8" applyAlignment="1" pivotButton="0" quotePrefix="0" xfId="0">
      <alignment horizontal="left"/>
    </xf>
    <xf numFmtId="0" fontId="0" fillId="6" borderId="8" pivotButton="0" quotePrefix="0" xfId="0"/>
    <xf numFmtId="0" fontId="0" fillId="6" borderId="9" applyAlignment="1" pivotButton="0" quotePrefix="0" xfId="0">
      <alignment wrapText="1"/>
    </xf>
    <xf numFmtId="0" fontId="7" fillId="0" borderId="0" pivotButton="0" quotePrefix="0" xfId="0"/>
    <xf numFmtId="0" fontId="0" fillId="7" borderId="0" applyAlignment="1" pivotButton="0" quotePrefix="0" xfId="0">
      <alignment horizontal="center"/>
    </xf>
    <xf numFmtId="0" fontId="0" fillId="9" borderId="0" pivotButton="0" quotePrefix="0" xfId="0"/>
    <xf numFmtId="0" fontId="0" fillId="9" borderId="5" pivotButton="0" quotePrefix="0" xfId="0"/>
    <xf numFmtId="0" fontId="0" fillId="9" borderId="1" applyAlignment="1" pivotButton="0" quotePrefix="0" xfId="0">
      <alignment horizontal="left"/>
    </xf>
    <xf numFmtId="0" fontId="0" fillId="9" borderId="1" pivotButton="0" quotePrefix="0" xfId="0"/>
    <xf numFmtId="0" fontId="0" fillId="9" borderId="6" applyAlignment="1" pivotButton="0" quotePrefix="0" xfId="0">
      <alignment wrapText="1"/>
    </xf>
    <xf numFmtId="0" fontId="0" fillId="9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4F81BD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styles" Target="styles.xml" Id="rId59" /><Relationship Type="http://schemas.openxmlformats.org/officeDocument/2006/relationships/theme" Target="theme/theme1.xml" Id="rId60" /></Relationships>
</file>

<file path=xl/tables/table1.xml><?xml version="1.0" encoding="utf-8"?>
<table xmlns="http://schemas.openxmlformats.org/spreadsheetml/2006/main" id="1" name="Tableau1" displayName="Tableau1" ref="B4:O5004" headerRowCount="1" totalsRowShown="0">
  <autoFilter ref="B4:O5004"/>
  <tableColumns count="14">
    <tableColumn id="1" name="Formacode"/>
    <tableColumn id="2" name="Formacode Simplifié"/>
    <tableColumn id="3" name="Code RNCP"/>
    <tableColumn id="4" name="Nomenclature RNCP"/>
    <tableColumn id="5" name="Certification"/>
    <tableColumn id="6" name="RNCP + Certification "/>
    <tableColumn id="7" name="Statut"/>
    <tableColumn id="8" name="Contrôle France compétences"/>
    <tableColumn id="9" name="Code(s) à jour"/>
    <tableColumn id="10" name="Intitulé à jour"/>
    <tableColumn id="11" name="Échéance fiche"/>
    <tableColumn id="12" name="Formacodes de la fiche à jour"/>
    <tableColumn id="13" name="Changé ?"/>
    <tableColumn id="14" name="Changement depuis le dernier envoi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5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style="21" min="1" max="1"/>
    <col width="13" customWidth="1" style="21" min="2" max="2"/>
    <col width="55" customWidth="1" style="21" min="3" max="3"/>
    <col width="16" customWidth="1" style="21" min="4" max="4"/>
    <col width="75" customWidth="1" style="21" min="5" max="5"/>
    <col width="20" customWidth="1" style="21" min="6" max="6"/>
    <col width="50" customWidth="1" style="21" min="7" max="7"/>
    <col width="50" customWidth="1" style="21" min="8" max="8"/>
    <col width="13" customWidth="1" style="21" min="9" max="9"/>
  </cols>
  <sheetData>
    <row r="1">
      <c r="A1" s="34" t="inlineStr">
        <is>
          <t>Contrôle RNCP — 18/07/2026 08:26</t>
        </is>
      </c>
    </row>
    <row r="2">
      <c r="A2" t="inlineStr">
        <is>
          <t>Export France compétences : export-fiches-rncp-v4-1-2026-07-18.zip</t>
        </is>
      </c>
    </row>
    <row r="3">
      <c r="A3" t="inlineStr">
        <is>
          <t>1411 codes RNCP distincts contrôlés (5000 lignes du fichier)</t>
        </is>
      </c>
    </row>
    <row r="5">
      <c r="A5" s="35" t="inlineStr">
        <is>
          <t>Statut</t>
        </is>
      </c>
      <c r="B5" s="35" t="inlineStr">
        <is>
          <t>Codes</t>
        </is>
      </c>
    </row>
    <row r="6">
      <c r="A6" s="36" t="inlineStr">
        <is>
          <t>RAS</t>
        </is>
      </c>
      <c r="B6" t="n">
        <v>1118</v>
      </c>
    </row>
    <row r="7">
      <c r="A7" s="37" t="inlineStr">
        <is>
          <t>À vérifier</t>
        </is>
      </c>
      <c r="B7" t="n">
        <v>206</v>
      </c>
    </row>
    <row r="8">
      <c r="A8" s="38" t="inlineStr">
        <is>
          <t>Expiré / remplacé</t>
        </is>
      </c>
      <c r="B8" t="n">
        <v>87</v>
      </c>
    </row>
    <row r="9">
      <c r="A9" s="39" t="inlineStr">
        <is>
          <t>Introuvable</t>
        </is>
      </c>
      <c r="B9" t="n">
        <v>0</v>
      </c>
    </row>
    <row r="11">
      <c r="A11" s="35" t="inlineStr">
        <is>
          <t>Codes nécessitant une action ou une vérification (● = nouveauté de ce contrôle) :</t>
        </is>
      </c>
    </row>
    <row r="12">
      <c r="A12" s="40" t="inlineStr">
        <is>
          <t>Nouveau</t>
        </is>
      </c>
      <c r="B12" s="40" t="inlineStr">
        <is>
          <t>Code RNCP</t>
        </is>
      </c>
      <c r="C12" s="40" t="inlineStr">
        <is>
          <t>Intitulé (fichier)</t>
        </is>
      </c>
      <c r="D12" s="40" t="inlineStr">
        <is>
          <t>Statut</t>
        </is>
      </c>
      <c r="E12" s="40" t="inlineStr">
        <is>
          <t>Détail</t>
        </is>
      </c>
      <c r="F12" s="40" t="inlineStr">
        <is>
          <t>Code(s) à jour</t>
        </is>
      </c>
      <c r="G12" s="40" t="inlineStr">
        <is>
          <t>Intitulé à jour</t>
        </is>
      </c>
      <c r="H12" s="40" t="inlineStr">
        <is>
          <t>Formacodes de la fiche à jour</t>
        </is>
      </c>
      <c r="I12" s="40" t="inlineStr">
        <is>
          <t>Échéance fiche</t>
        </is>
      </c>
    </row>
    <row r="13">
      <c r="A13" s="41" t="inlineStr">
        <is>
          <t>●</t>
        </is>
      </c>
      <c r="B13" t="inlineStr">
        <is>
          <t>RNCP38919</t>
        </is>
      </c>
      <c r="C13" t="inlineStr">
        <is>
          <t>Data engineer</t>
        </is>
      </c>
      <c r="D13" s="38" t="inlineStr">
        <is>
          <t>Expiré / remplacé</t>
        </is>
      </c>
      <c r="E13" t="inlineStr">
        <is>
          <t>Fiche inactive — remplacée par RNCP42655 (Data engineer)</t>
        </is>
      </c>
      <c r="F13" t="inlineStr">
        <is>
          <t>RNCP42655</t>
        </is>
      </c>
      <c r="G13" t="inlineStr">
        <is>
          <t>Data engineer</t>
        </is>
      </c>
      <c r="H13" t="inlineStr">
        <is>
          <t>31023 (Gestion données massives) ; 31094 (Gestion projet informatique) ; 31028 (Intelligence artificielle)</t>
        </is>
      </c>
      <c r="I13" t="inlineStr">
        <is>
          <t>26/04/2026</t>
        </is>
      </c>
    </row>
    <row r="14">
      <c r="A14" t="inlineStr"/>
      <c r="B14" t="inlineStr">
        <is>
          <t>RNCP35189</t>
        </is>
      </c>
      <c r="C14" t="inlineStr">
        <is>
          <t>TP - Installateur thermique et sanitaire</t>
        </is>
      </c>
      <c r="D14" s="38" t="inlineStr">
        <is>
          <t>Expiré / remplacé</t>
        </is>
      </c>
      <c r="E14" t="inlineStr">
        <is>
          <t>Fiche inactive — remplacée par RNCP41909 (Plombier chauffagiste)</t>
        </is>
      </c>
      <c r="F14" t="inlineStr">
        <is>
          <t>RNCP41909</t>
        </is>
      </c>
      <c r="G14" t="inlineStr">
        <is>
          <t>Plombier chauffagiste</t>
        </is>
      </c>
      <c r="H14" t="inlineStr">
        <is>
          <t>22685 (Installation thermique sanitaire) ; 22671 (Chauffage) ; 22211 (Performance énergétique bâtiment) ; 22485 (Rénovation bâtiment)</t>
        </is>
      </c>
      <c r="I14" t="inlineStr">
        <is>
          <t>03/03/2026</t>
        </is>
      </c>
    </row>
    <row r="15">
      <c r="A15" t="inlineStr"/>
      <c r="B15" t="inlineStr">
        <is>
          <t>RNCP35227</t>
        </is>
      </c>
      <c r="C15" t="inlineStr">
        <is>
          <t>TP - Mécanicien réparateur de véhicules industriels</t>
        </is>
      </c>
      <c r="D15" s="38" t="inlineStr">
        <is>
          <t>Expiré / remplacé</t>
        </is>
      </c>
      <c r="E15" t="inlineStr">
        <is>
          <t>Fiche inactive — remplacée par RNCP41904 (Mécanicien de maintenance de véhicules de transport routier - personnes et marchandises)</t>
        </is>
      </c>
      <c r="F15" t="inlineStr">
        <is>
          <t>RNCP41904</t>
        </is>
      </c>
      <c r="G15" t="inlineStr">
        <is>
          <t>Mécanicien de maintenance de véhicules de transport routier - personnes et marchandises</t>
        </is>
      </c>
      <c r="H15" t="inlineStr">
        <is>
          <t>23615 (Réparation véhicule industriel) ; 23651 (Construction maintenance véhicule propre)</t>
        </is>
      </c>
      <c r="I15" t="inlineStr">
        <is>
          <t>27/02/2026</t>
        </is>
      </c>
    </row>
    <row r="16">
      <c r="A16" t="inlineStr"/>
      <c r="B16" t="inlineStr">
        <is>
          <t>RNCP35228</t>
        </is>
      </c>
      <c r="C16" t="inlineStr">
        <is>
          <t>TP - Couturier retoucheur</t>
        </is>
      </c>
      <c r="D16" s="38" t="inlineStr">
        <is>
          <t>Expiré / remplacé</t>
        </is>
      </c>
      <c r="E16" t="inlineStr">
        <is>
          <t>Fiche inactive — remplacée par RNCP41914 (Couturier retoucheur réparateur)</t>
        </is>
      </c>
      <c r="F16" t="inlineStr">
        <is>
          <t>RNCP41914</t>
        </is>
      </c>
      <c r="G16" t="inlineStr">
        <is>
          <t>Couturier retoucheur réparateur</t>
        </is>
      </c>
      <c r="H16" t="inlineStr">
        <is>
          <t>21757 (Couture) ; 21736 (Vêtement) ; 21766 (Essayage retouche)</t>
        </is>
      </c>
      <c r="I16" t="inlineStr">
        <is>
          <t>24/03/2026</t>
        </is>
      </c>
    </row>
    <row r="17">
      <c r="A17" t="inlineStr"/>
      <c r="B17" t="inlineStr">
        <is>
          <t>RNCP35229</t>
        </is>
      </c>
      <c r="C17" t="inlineStr">
        <is>
          <t>TP - Stratifieur multiprocédés en matériaux composites</t>
        </is>
      </c>
      <c r="D17" s="38" t="inlineStr">
        <is>
          <t>Expiré / remplacé</t>
        </is>
      </c>
      <c r="E17" t="inlineStr">
        <is>
          <t>Fiche inactive — remplacée par RNCP41906 (Stratifieur multiprocédés en matériaux composites)</t>
        </is>
      </c>
      <c r="F17" t="inlineStr">
        <is>
          <t>RNCP41906</t>
        </is>
      </c>
      <c r="G17" t="inlineStr">
        <is>
          <t>Stratifieur multiprocédés en matériaux composites</t>
        </is>
      </c>
      <c r="H17" t="inlineStr">
        <is>
          <t>22871 (Matériau composite) ; 23002 (Stratification) ; 22818 (Plastique renforcé)</t>
        </is>
      </c>
      <c r="I17" t="inlineStr">
        <is>
          <t>23/02/2026</t>
        </is>
      </c>
    </row>
    <row r="18">
      <c r="A18" t="inlineStr"/>
      <c r="B18" t="inlineStr">
        <is>
          <t>RNCP35231</t>
        </is>
      </c>
      <c r="C18" t="inlineStr">
        <is>
          <t>TP - Technicien d'installation en équipements de confort climatique</t>
        </is>
      </c>
      <c r="D18" s="38" t="inlineStr">
        <is>
          <t>Expiré / remplacé</t>
        </is>
      </c>
      <c r="E18" t="inlineStr">
        <is>
          <t>Fiche inactive — remplacée par RNCP41911 (Technicien d’intervention en chauffage, climatisation, sanitaire et énergies renouvelables)</t>
        </is>
      </c>
      <c r="F18" t="inlineStr">
        <is>
          <t>RNCP41911</t>
        </is>
      </c>
      <c r="G18" t="inlineStr">
        <is>
          <t>Technicien d’intervention en chauffage, climatisation, sanitaire et énergies renouvelables</t>
        </is>
      </c>
      <c r="H18" t="inlineStr">
        <is>
          <t>22685 (Installation thermique sanitaire) ; 22635 (Climatisation) ; 24147 (Énergie renouvelable) ; 22211 (Performance énergétique bâtiment) ; 22485 (Rénovation bâtiment)</t>
        </is>
      </c>
      <c r="I18" t="inlineStr">
        <is>
          <t>03/03/2026</t>
        </is>
      </c>
    </row>
    <row r="19">
      <c r="A19" t="inlineStr"/>
      <c r="B19" t="inlineStr">
        <is>
          <t>RNCP35232</t>
        </is>
      </c>
      <c r="C19" t="inlineStr">
        <is>
          <t>TP - Scaphandrier travaux publics</t>
        </is>
      </c>
      <c r="D19" s="38" t="inlineStr">
        <is>
          <t>Expiré / remplacé</t>
        </is>
      </c>
      <c r="E19" t="inlineStr">
        <is>
          <t>Fiche inactive — remplacée par RNCP41910 (Scaphandrier travaux publics)</t>
        </is>
      </c>
      <c r="F19" t="inlineStr">
        <is>
          <t>RNCP41910</t>
        </is>
      </c>
      <c r="G19" t="inlineStr">
        <is>
          <t>Scaphandrier travaux publics</t>
        </is>
      </c>
      <c r="H19" t="inlineStr">
        <is>
          <t>15480 (Plongée subaquatique) ; 22067 (Travaux immergés)</t>
        </is>
      </c>
      <c r="I19" t="inlineStr">
        <is>
          <t>26/02/2026</t>
        </is>
      </c>
    </row>
    <row r="20">
      <c r="A20" t="inlineStr"/>
      <c r="B20" t="inlineStr">
        <is>
          <t>RNCP35233</t>
        </is>
      </c>
      <c r="C20" t="inlineStr">
        <is>
          <t>TP - Assistant manager d’unité marchande</t>
        </is>
      </c>
      <c r="D20" s="38" t="inlineStr">
        <is>
          <t>Expiré / remplacé</t>
        </is>
      </c>
      <c r="E20" t="inlineStr">
        <is>
          <t>Fiche inactive — remplacée par RNCP41852 (Assistant manager d’unité marchande)</t>
        </is>
      </c>
      <c r="F20" t="inlineStr">
        <is>
          <t>RNCP41852</t>
        </is>
      </c>
      <c r="G20" t="inlineStr">
        <is>
          <t>Assistant manager d’unité marchande</t>
        </is>
      </c>
      <c r="H20" t="inlineStr">
        <is>
          <t>34566 (Vente distribution) ; 32154 (Encadrement management)</t>
        </is>
      </c>
      <c r="I20" t="inlineStr">
        <is>
          <t>16/02/2026</t>
        </is>
      </c>
    </row>
    <row r="21">
      <c r="A21" t="inlineStr"/>
      <c r="B21" t="inlineStr">
        <is>
          <t>RNCP35295</t>
        </is>
      </c>
      <c r="C21" t="inlineStr">
        <is>
          <t>TP - Technicien réseaux IP</t>
        </is>
      </c>
      <c r="D21" s="38" t="inlineStr">
        <is>
          <t>Expiré / remplacé</t>
        </is>
      </c>
      <c r="E21" t="inlineStr">
        <is>
          <t>Fiche inactive (échéance 13/05/2026) — aucun successeur publié</t>
        </is>
      </c>
      <c r="F21" t="inlineStr">
        <is>
          <t>RNCP35295</t>
        </is>
      </c>
      <c r="G21" t="inlineStr">
        <is>
          <t>Technicien réseaux IP</t>
        </is>
      </c>
      <c r="H21" t="inlineStr">
        <is>
          <t>24260 (Installation réseau téléphonique) ; 24231 (Réseau informatique)</t>
        </is>
      </c>
      <c r="I21" t="inlineStr">
        <is>
          <t>13/05/2026</t>
        </is>
      </c>
    </row>
    <row r="22">
      <c r="A22" t="inlineStr"/>
      <c r="B22" t="inlineStr">
        <is>
          <t>RNCP35297</t>
        </is>
      </c>
      <c r="C22" t="inlineStr">
        <is>
          <t>TP - Opérateur en dépollution pyrotechnique</t>
        </is>
      </c>
      <c r="D22" s="38" t="inlineStr">
        <is>
          <t>Expiré / remplacé</t>
        </is>
      </c>
      <c r="E22" t="inlineStr">
        <is>
          <t>Fiche inactive — remplacée par RNCP41872 (Opérateur en dépollution pyrotechnique)</t>
        </is>
      </c>
      <c r="F22" t="inlineStr">
        <is>
          <t>RNCP41872</t>
        </is>
      </c>
      <c r="G22" t="inlineStr">
        <is>
          <t>Opérateur en dépollution pyrotechnique</t>
        </is>
      </c>
      <c r="H22" t="inlineStr">
        <is>
          <t>42804 (Déminage) ; 22294 (Conduite chantier BTP) ; 22097 (Explosif) ; 12580 (Pollution sol)</t>
        </is>
      </c>
      <c r="I22" t="inlineStr">
        <is>
          <t>28/04/2026</t>
        </is>
      </c>
    </row>
    <row r="23">
      <c r="A23" t="inlineStr"/>
      <c r="B23" t="inlineStr">
        <is>
          <t>RNCP35298</t>
        </is>
      </c>
      <c r="C23" t="inlineStr">
        <is>
          <t>TP - Responsable de chantier de dépollution pyrotechnique</t>
        </is>
      </c>
      <c r="D23" s="38" t="inlineStr">
        <is>
          <t>Expiré / remplacé</t>
        </is>
      </c>
      <c r="E23" t="inlineStr">
        <is>
          <t>Fiche inactive — remplacée par RNCP41873 (Responsable de chantier de dépollution pyrotechnique)</t>
        </is>
      </c>
      <c r="F23" t="inlineStr">
        <is>
          <t>RNCP41873</t>
        </is>
      </c>
      <c r="G23" t="inlineStr">
        <is>
          <t>Responsable de chantier de dépollution pyrotechnique</t>
        </is>
      </c>
      <c r="H23" t="inlineStr">
        <is>
          <t>42804 (Déminage) ; 22097 (Explosif) ; 22294 (Conduite chantier BTP)</t>
        </is>
      </c>
      <c r="I23" t="inlineStr">
        <is>
          <t>08/06/2026</t>
        </is>
      </c>
    </row>
    <row r="24">
      <c r="A24" t="inlineStr"/>
      <c r="B24" t="inlineStr">
        <is>
          <t>RNCP35301</t>
        </is>
      </c>
      <c r="C24" t="inlineStr">
        <is>
          <t>TP - Auxiliaire en prothèse dentaire</t>
        </is>
      </c>
      <c r="D24" s="38" t="inlineStr">
        <is>
          <t>Expiré / remplacé</t>
        </is>
      </c>
      <c r="E24" t="inlineStr">
        <is>
          <t>Fiche inactive — remplacée par RNCP42085 (Auxiliaire en prothèse dentaire)</t>
        </is>
      </c>
      <c r="F24" t="inlineStr">
        <is>
          <t>RNCP42085</t>
        </is>
      </c>
      <c r="G24" t="inlineStr">
        <is>
          <t>Auxiliaire en prothèse dentaire</t>
        </is>
      </c>
      <c r="H24" t="inlineStr">
        <is>
          <t>43494 (Prothèse dentaire)</t>
        </is>
      </c>
      <c r="I24" t="inlineStr">
        <is>
          <t>07/03/2026</t>
        </is>
      </c>
    </row>
    <row r="25">
      <c r="A25" t="inlineStr"/>
      <c r="B25" t="inlineStr">
        <is>
          <t>RNCP35303</t>
        </is>
      </c>
      <c r="C25" t="inlineStr">
        <is>
          <t>TP - Agent technique prothésiste orthésiste</t>
        </is>
      </c>
      <c r="D25" s="38" t="inlineStr">
        <is>
          <t>Expiré / remplacé</t>
        </is>
      </c>
      <c r="E25" t="inlineStr">
        <is>
          <t>Fiche inactive — remplacée par RNCP42104 (Agent technique en prothèses et orthèses)</t>
        </is>
      </c>
      <c r="F25" t="inlineStr">
        <is>
          <t>RNCP42104</t>
        </is>
      </c>
      <c r="G25" t="inlineStr">
        <is>
          <t>Agent technique en prothèses et orthèses</t>
        </is>
      </c>
      <c r="H25" t="inlineStr">
        <is>
          <t>43460 (Orthopédie)</t>
        </is>
      </c>
      <c r="I25" t="inlineStr">
        <is>
          <t>09/06/2026</t>
        </is>
      </c>
    </row>
    <row r="26">
      <c r="A26" t="inlineStr"/>
      <c r="B26" t="inlineStr">
        <is>
          <t>RNCP35304</t>
        </is>
      </c>
      <c r="C26" t="inlineStr">
        <is>
          <t>TP - Conseiller relation client à distance</t>
        </is>
      </c>
      <c r="D26" s="38" t="inlineStr">
        <is>
          <t>Expiré / remplacé</t>
        </is>
      </c>
      <c r="E26" t="inlineStr">
        <is>
          <t>Fiche inactive — remplacée par RNCP42431 (Conseiller relation client à distance)</t>
        </is>
      </c>
      <c r="F26" t="inlineStr">
        <is>
          <t>RNCP42431</t>
        </is>
      </c>
      <c r="G26" t="inlineStr">
        <is>
          <t>Conseiller relation client à distance</t>
        </is>
      </c>
      <c r="H26" t="inlineStr">
        <is>
          <t>34076 (Gestion relation client) ; 34026 (Développement sens commercial) ; 34027 (Service après-vente) ; 34507 (Vente à distance)</t>
        </is>
      </c>
      <c r="I26" t="inlineStr">
        <is>
          <t>06/07/2026</t>
        </is>
      </c>
    </row>
    <row r="27">
      <c r="A27" t="inlineStr"/>
      <c r="B27" t="inlineStr">
        <is>
          <t>RNCP35307</t>
        </is>
      </c>
      <c r="C27" t="inlineStr">
        <is>
          <t>TP - Electronicien de tests et développement</t>
        </is>
      </c>
      <c r="D27" s="38" t="inlineStr">
        <is>
          <t>Expiré / remplacé</t>
        </is>
      </c>
      <c r="E27" t="inlineStr">
        <is>
          <t>Fiche inactive (échéance 07/06/2026) — aucun successeur publié</t>
        </is>
      </c>
      <c r="F27" t="inlineStr">
        <is>
          <t>RNCP35307</t>
        </is>
      </c>
      <c r="G27" t="inlineStr">
        <is>
          <t>Electronicien de tests et développement</t>
        </is>
      </c>
      <c r="H27" t="inlineStr">
        <is>
          <t>24335 (Circuit électronique) ; 24391 (Électronique analogique) ; 24392 (Électronique numérique) ; 24387 (Électronique puissance) ; 24351 (Mesure électronique)</t>
        </is>
      </c>
      <c r="I27" t="inlineStr">
        <is>
          <t>07/06/2026</t>
        </is>
      </c>
    </row>
    <row r="28">
      <c r="A28" t="inlineStr"/>
      <c r="B28" t="inlineStr">
        <is>
          <t>RNCP35308</t>
        </is>
      </c>
      <c r="C28" t="inlineStr">
        <is>
          <t>TP - Technicien de fabrication de l'industrie de la chimie</t>
        </is>
      </c>
      <c r="D28" s="38" t="inlineStr">
        <is>
          <t>Expiré / remplacé</t>
        </is>
      </c>
      <c r="E28" t="inlineStr">
        <is>
          <t>Fiche inactive — remplacée par RNCP42550 (Technicien de fabrication de l’industrie de la chimie)</t>
        </is>
      </c>
      <c r="F28" t="inlineStr">
        <is>
          <t>RNCP42550</t>
        </is>
      </c>
      <c r="G28" t="inlineStr">
        <is>
          <t>Technicien de fabrication de l’industrie de la chimie</t>
        </is>
      </c>
      <c r="H28" t="inlineStr">
        <is>
          <t>11561 (Chimie organique) ; 11534 (Génie chimique) ; 11594 (Chimie minérale) ; 11557 (Conduite équipement industrie chimique pétrolière) ; 11531 (Chimie verte)</t>
        </is>
      </c>
      <c r="I28" t="inlineStr">
        <is>
          <t>01/06/2026</t>
        </is>
      </c>
    </row>
    <row r="29">
      <c r="A29" t="inlineStr"/>
      <c r="B29" t="inlineStr">
        <is>
          <t>RNCP35309</t>
        </is>
      </c>
      <c r="C29" t="inlineStr">
        <is>
          <t>TP - Maçon</t>
        </is>
      </c>
      <c r="D29" s="38" t="inlineStr">
        <is>
          <t>Expiré / remplacé</t>
        </is>
      </c>
      <c r="E29" t="inlineStr">
        <is>
          <t>Fiche inactive — remplacée par RNCP41907 (Maçon)</t>
        </is>
      </c>
      <c r="F29" t="inlineStr">
        <is>
          <t>RNCP41907</t>
        </is>
      </c>
      <c r="G29" t="inlineStr">
        <is>
          <t>Maçon</t>
        </is>
      </c>
      <c r="H29" t="inlineStr">
        <is>
          <t>22334 (Maçonnerie)</t>
        </is>
      </c>
      <c r="I29" t="inlineStr">
        <is>
          <t>22/02/2026</t>
        </is>
      </c>
    </row>
    <row r="30">
      <c r="A30" t="inlineStr"/>
      <c r="B30" t="inlineStr">
        <is>
          <t>RNCP35310</t>
        </is>
      </c>
      <c r="C30" t="inlineStr">
        <is>
          <t>TP - Technicien de laboratoire</t>
        </is>
      </c>
      <c r="D30" s="38" t="inlineStr">
        <is>
          <t>Expiré / remplacé</t>
        </is>
      </c>
      <c r="E30" t="inlineStr">
        <is>
          <t>Fiche inactive — remplacée par RNCP42551 (Technicien de laboratoire)</t>
        </is>
      </c>
      <c r="F30" t="inlineStr">
        <is>
          <t>RNCP42551</t>
        </is>
      </c>
      <c r="G30" t="inlineStr">
        <is>
          <t>Technicien de laboratoire</t>
        </is>
      </c>
      <c r="H30" t="inlineStr">
        <is>
          <t>11502 (Méthode physico-chimique analyse) ; 12058 (Biochimie) ; 12026 (Microbiologie) ; 12065 (Qualité laboratoire) ; 12081 (Biotechnologie)</t>
        </is>
      </c>
      <c r="I30" t="inlineStr">
        <is>
          <t>05/06/2026</t>
        </is>
      </c>
    </row>
    <row r="31">
      <c r="A31" t="inlineStr"/>
      <c r="B31" t="inlineStr">
        <is>
          <t>RNCP35312</t>
        </is>
      </c>
      <c r="C31" t="inlineStr">
        <is>
          <t>TP - Coffreur bancheur</t>
        </is>
      </c>
      <c r="D31" s="38" t="inlineStr">
        <is>
          <t>Expiré / remplacé</t>
        </is>
      </c>
      <c r="E31" t="inlineStr">
        <is>
          <t>Fiche inactive — remplacée par RNCP41905 (Coffreur bancheur)</t>
        </is>
      </c>
      <c r="F31" t="inlineStr">
        <is>
          <t>RNCP41905</t>
        </is>
      </c>
      <c r="G31" t="inlineStr">
        <is>
          <t>Coffreur bancheur</t>
        </is>
      </c>
      <c r="H31" t="inlineStr">
        <is>
          <t>22311 (Coffrage) ; 22395 (Construction béton)</t>
        </is>
      </c>
      <c r="I31" t="inlineStr">
        <is>
          <t>04/03/2026</t>
        </is>
      </c>
    </row>
    <row r="32">
      <c r="A32" t="inlineStr"/>
      <c r="B32" t="inlineStr">
        <is>
          <t>RNCP35314</t>
        </is>
      </c>
      <c r="C32" t="inlineStr">
        <is>
          <t>TP - Conducteur d'appareils de l'industrie de la chimie</t>
        </is>
      </c>
      <c r="D32" s="38" t="inlineStr">
        <is>
          <t>Expiré / remplacé</t>
        </is>
      </c>
      <c r="E32" t="inlineStr">
        <is>
          <t>Fiche inactive — remplacée par RNCP42549 (Conducteur d'appareils de l'industrie de la chimie)</t>
        </is>
      </c>
      <c r="F32" t="inlineStr">
        <is>
          <t>RNCP42549</t>
        </is>
      </c>
      <c r="G32" t="inlineStr">
        <is>
          <t>Conducteur d'appareils de l'industrie de la chimie</t>
        </is>
      </c>
      <c r="H32" t="inlineStr">
        <is>
          <t>11561 (Chimie organique) ; 11534 (Génie chimique) ; 11594 (Chimie minérale) ; 11557 (Conduite équipement industrie chimique pétrolière) ; 11531 (Chimie verte)</t>
        </is>
      </c>
      <c r="I32" t="inlineStr">
        <is>
          <t>01/06/2026</t>
        </is>
      </c>
    </row>
    <row r="33">
      <c r="A33" t="inlineStr"/>
      <c r="B33" t="inlineStr">
        <is>
          <t>RNCP35329</t>
        </is>
      </c>
      <c r="C33" t="inlineStr">
        <is>
          <t>TP - Enseignant de la conduite et de la sécurité routière</t>
        </is>
      </c>
      <c r="D33" s="38" t="inlineStr">
        <is>
          <t>Expiré / remplacé</t>
        </is>
      </c>
      <c r="E33" t="inlineStr">
        <is>
          <t>Fiche inactive — remplacée par RNCP41862 (Enseignant de la conduite et de la sécurité routière)</t>
        </is>
      </c>
      <c r="F33" t="inlineStr">
        <is>
          <t>RNCP41862</t>
        </is>
      </c>
      <c r="G33" t="inlineStr">
        <is>
          <t>Enseignant de la conduite et de la sécurité routière</t>
        </is>
      </c>
      <c r="H33" t="inlineStr">
        <is>
          <t>31802 (Monitorat auto-école)</t>
        </is>
      </c>
      <c r="I33" t="inlineStr">
        <is>
          <t>28/04/2026</t>
        </is>
      </c>
    </row>
    <row r="34">
      <c r="A34" t="inlineStr"/>
      <c r="B34" t="inlineStr">
        <is>
          <t>RNCP35330</t>
        </is>
      </c>
      <c r="C34" t="inlineStr">
        <is>
          <t>TP - Technicien du bâtiment communicant et connecté</t>
        </is>
      </c>
      <c r="D34" s="38" t="inlineStr">
        <is>
          <t>Expiré / remplacé</t>
        </is>
      </c>
      <c r="E34" t="inlineStr">
        <is>
          <t>Fiche inactive — remplacée par RNCP42141 (Technicien en électricité du bâtiment communicant et connecté)</t>
        </is>
      </c>
      <c r="F34" t="inlineStr">
        <is>
          <t>RNCP42141</t>
        </is>
      </c>
      <c r="G34" t="inlineStr">
        <is>
          <t>Technicien en électricité du bâtiment communicant et connecté</t>
        </is>
      </c>
      <c r="H34" t="inlineStr">
        <is>
          <t>24095 (Basse tension) ; 22499 (Immotique)</t>
        </is>
      </c>
      <c r="I34" t="inlineStr">
        <is>
          <t>02/06/2026</t>
        </is>
      </c>
    </row>
    <row r="35">
      <c r="A35" t="inlineStr"/>
      <c r="B35" t="inlineStr">
        <is>
          <t>RNCP35348</t>
        </is>
      </c>
      <c r="C35" t="inlineStr">
        <is>
          <t>TP - Monteur levageur de structures métalliques</t>
        </is>
      </c>
      <c r="D35" s="38" t="inlineStr">
        <is>
          <t>Expiré / remplacé</t>
        </is>
      </c>
      <c r="E35" t="inlineStr">
        <is>
          <t>Fiche inactive (échéance 17/03/2026) — aucun successeur publié</t>
        </is>
      </c>
      <c r="F35" t="inlineStr">
        <is>
          <t>RNCP35348</t>
        </is>
      </c>
      <c r="G35" t="inlineStr">
        <is>
          <t>Monteur levageur de structures métalliques</t>
        </is>
      </c>
      <c r="H35" t="inlineStr">
        <is>
          <t>22387 (Construction métallique) ; 22314 (Charpente métallique)</t>
        </is>
      </c>
      <c r="I35" t="inlineStr">
        <is>
          <t>17/03/2026</t>
        </is>
      </c>
    </row>
    <row r="36">
      <c r="A36" t="inlineStr"/>
      <c r="B36" t="inlineStr">
        <is>
          <t>RNCP35397</t>
        </is>
      </c>
      <c r="C36" t="inlineStr">
        <is>
          <t>CS - Arrosage automatique : espaces verts et sols sportifs</t>
        </is>
      </c>
      <c r="D36" s="38" t="inlineStr">
        <is>
          <t>Expiré / remplacé</t>
        </is>
      </c>
      <c r="E36" t="inlineStr">
        <is>
          <t>Fiche inactive — remplacée par RNCP41900 (Arrosage automatique : espaces verts et sols sportifs)</t>
        </is>
      </c>
      <c r="F36" t="inlineStr">
        <is>
          <t>RNCP41900</t>
        </is>
      </c>
      <c r="G36" t="inlineStr">
        <is>
          <t>Arrosage automatique : espaces verts et sols sportifs</t>
        </is>
      </c>
      <c r="H36" t="inlineStr">
        <is>
          <t>21047 (Arrosage)</t>
        </is>
      </c>
      <c r="I36" t="inlineStr">
        <is>
          <t>01/04/2026</t>
        </is>
      </c>
    </row>
    <row r="37">
      <c r="A37" t="inlineStr"/>
      <c r="B37" t="inlineStr">
        <is>
          <t>RNCP35398</t>
        </is>
      </c>
      <c r="C37" t="inlineStr">
        <is>
          <t>CS - Sols sportifs engazonnés</t>
        </is>
      </c>
      <c r="D37" s="38" t="inlineStr">
        <is>
          <t>Expiré / remplacé</t>
        </is>
      </c>
      <c r="E37" t="inlineStr">
        <is>
          <t>Fiche inactive — remplacée par RNCP41901 (Sols sportifs engazonnés)</t>
        </is>
      </c>
      <c r="F37" t="inlineStr">
        <is>
          <t>RNCP41901</t>
        </is>
      </c>
      <c r="G37" t="inlineStr">
        <is>
          <t>Sols sportifs engazonnés</t>
        </is>
      </c>
      <c r="H37" t="inlineStr">
        <is>
          <t>21051 (Terrain sport engazonné)</t>
        </is>
      </c>
      <c r="I37" t="inlineStr">
        <is>
          <t>01/04/2026</t>
        </is>
      </c>
    </row>
    <row r="38">
      <c r="A38" t="inlineStr"/>
      <c r="B38" t="inlineStr">
        <is>
          <t>RNCP35399</t>
        </is>
      </c>
      <c r="C38" t="inlineStr">
        <is>
          <t>CS - Constructions paysagères</t>
        </is>
      </c>
      <c r="D38" s="38" t="inlineStr">
        <is>
          <t>Expiré / remplacé</t>
        </is>
      </c>
      <c r="E38" t="inlineStr">
        <is>
          <t>Fiche inactive — remplacée par RNCP41899 (Constructions paysagères)</t>
        </is>
      </c>
      <c r="F38" t="inlineStr">
        <is>
          <t>RNCP41899</t>
        </is>
      </c>
      <c r="G38" t="inlineStr">
        <is>
          <t>Constructions paysagères</t>
        </is>
      </c>
      <c r="H38" t="inlineStr">
        <is>
          <t>21050 (Maçonnerie paysagère)</t>
        </is>
      </c>
      <c r="I38" t="inlineStr">
        <is>
          <t>01/04/2026</t>
        </is>
      </c>
    </row>
    <row r="39">
      <c r="A39" t="inlineStr"/>
      <c r="B39" t="inlineStr">
        <is>
          <t>RNCP35429</t>
        </is>
      </c>
      <c r="C39" t="inlineStr">
        <is>
          <t>Assistant déclarant en douane</t>
        </is>
      </c>
      <c r="D39" s="38" t="inlineStr">
        <is>
          <t>Expiré / remplacé</t>
        </is>
      </c>
      <c r="E39" t="inlineStr">
        <is>
          <t>Fiche inactive — remplacée par RNCP42333 (Assistant déclarant en douane)</t>
        </is>
      </c>
      <c r="F39" t="inlineStr">
        <is>
          <t>RNCP42333</t>
        </is>
      </c>
      <c r="G39" t="inlineStr">
        <is>
          <t>Assistant déclarant en douane</t>
        </is>
      </c>
      <c r="H39" t="inlineStr">
        <is>
          <t>31859 (Procédure douanière)</t>
        </is>
      </c>
      <c r="I39" t="inlineStr">
        <is>
          <t>17/03/2026</t>
        </is>
      </c>
    </row>
    <row r="40">
      <c r="A40" t="inlineStr"/>
      <c r="B40" t="inlineStr">
        <is>
          <t>RNCP35435</t>
        </is>
      </c>
      <c r="C40" t="inlineStr">
        <is>
          <t>Manager en ingénierie informatique</t>
        </is>
      </c>
      <c r="D40" s="38" t="inlineStr">
        <is>
          <t>Expiré / remplacé</t>
        </is>
      </c>
      <c r="E40" t="inlineStr">
        <is>
          <t>Fiche inactive — remplacée par RNCP41880 (Manager en ingénierie informatique)</t>
        </is>
      </c>
      <c r="F40" t="inlineStr">
        <is>
          <t>RNCP41880</t>
        </is>
      </c>
      <c r="G40" t="inlineStr">
        <is>
          <t>Manager en ingénierie informatique</t>
        </is>
      </c>
      <c r="H40" t="inlineStr">
        <is>
          <t>31009 (Architecture système information) ; 31006 (Sécurité informatique) ; 31028 (Intelligence artificielle) ; 31057 (Génie logiciel)</t>
        </is>
      </c>
      <c r="I40" t="inlineStr">
        <is>
          <t>17/03/2026</t>
        </is>
      </c>
    </row>
    <row r="41">
      <c r="A41" t="inlineStr"/>
      <c r="B41" t="inlineStr">
        <is>
          <t>RNCP35462</t>
        </is>
      </c>
      <c r="C41" t="inlineStr">
        <is>
          <t>Manager achats et approvisionnement</t>
        </is>
      </c>
      <c r="D41" s="38" t="inlineStr">
        <is>
          <t>Expiré / remplacé</t>
        </is>
      </c>
      <c r="E41" t="inlineStr">
        <is>
          <t>Fiche inactive — remplacée par RNCP42496 (Manager achats et approvisionnement)</t>
        </is>
      </c>
      <c r="F41" t="inlineStr">
        <is>
          <t>RNCP42496</t>
        </is>
      </c>
      <c r="G41" t="inlineStr">
        <is>
          <t>Manager achats et approvisionnement</t>
        </is>
      </c>
      <c r="H41" t="inlineStr">
        <is>
          <t>34002 (Négociation achat) ; 34292 (Achat international) ; 31660 (Approvisionnement)</t>
        </is>
      </c>
      <c r="I41" t="inlineStr">
        <is>
          <t>17/03/2026</t>
        </is>
      </c>
    </row>
    <row r="42">
      <c r="A42" t="inlineStr"/>
      <c r="B42" t="inlineStr">
        <is>
          <t>RNCP35503</t>
        </is>
      </c>
      <c r="C42" t="inlineStr">
        <is>
          <t>TP - Chargé d'affaires du bâtiment</t>
        </is>
      </c>
      <c r="D42" s="38" t="inlineStr">
        <is>
          <t>Expiré / remplacé</t>
        </is>
      </c>
      <c r="E42" t="inlineStr">
        <is>
          <t>Fiche inactive — remplacée par RNCP42032 (Chargé d’affaires du bâtiment)</t>
        </is>
      </c>
      <c r="F42" t="inlineStr">
        <is>
          <t>RNCP42032</t>
        </is>
      </c>
      <c r="G42" t="inlineStr">
        <is>
          <t>Chargé d’affaires du bâtiment</t>
        </is>
      </c>
      <c r="H42" t="inlineStr">
        <is>
          <t>22257 (Commercialisation BTP) ; 22293 (Conduite travaux BTP) ; 22279 (Maîtrise d'oeuvre BTP)</t>
        </is>
      </c>
      <c r="I42" t="inlineStr">
        <is>
          <t>13/04/2026</t>
        </is>
      </c>
    </row>
    <row r="43">
      <c r="A43" t="inlineStr"/>
      <c r="B43" t="inlineStr">
        <is>
          <t>RNCP35507</t>
        </is>
      </c>
      <c r="C43" t="inlineStr">
        <is>
          <t>TP - Constructeur bois</t>
        </is>
      </c>
      <c r="D43" s="38" t="inlineStr">
        <is>
          <t>Expiré / remplacé</t>
        </is>
      </c>
      <c r="E43" t="inlineStr">
        <is>
          <t>Fiche inactive — remplacée par RNCP42102 (Constructeur bois)</t>
        </is>
      </c>
      <c r="F43" t="inlineStr">
        <is>
          <t>RNCP42102</t>
        </is>
      </c>
      <c r="G43" t="inlineStr">
        <is>
          <t>Constructeur bois</t>
        </is>
      </c>
      <c r="H43" t="inlineStr">
        <is>
          <t>22396 (Construction bois)</t>
        </is>
      </c>
      <c r="I43" t="inlineStr">
        <is>
          <t>26/04/2026</t>
        </is>
      </c>
    </row>
    <row r="44">
      <c r="A44" t="inlineStr"/>
      <c r="B44" t="inlineStr">
        <is>
          <t>RNCP35508</t>
        </is>
      </c>
      <c r="C44" t="inlineStr">
        <is>
          <t>TP - Charpentier bois</t>
        </is>
      </c>
      <c r="D44" s="38" t="inlineStr">
        <is>
          <t>Expiré / remplacé</t>
        </is>
      </c>
      <c r="E44" t="inlineStr">
        <is>
          <t>Fiche inactive — remplacée par RNCP42101 (Charpentier bois)</t>
        </is>
      </c>
      <c r="F44" t="inlineStr">
        <is>
          <t>RNCP42101</t>
        </is>
      </c>
      <c r="G44" t="inlineStr">
        <is>
          <t>Charpentier bois</t>
        </is>
      </c>
      <c r="H44" t="inlineStr">
        <is>
          <t>22313 (Charpente bois)</t>
        </is>
      </c>
      <c r="I44" t="inlineStr">
        <is>
          <t>26/04/2026</t>
        </is>
      </c>
    </row>
    <row r="45">
      <c r="A45" t="inlineStr"/>
      <c r="B45" t="inlineStr">
        <is>
          <t>RNCP35509</t>
        </is>
      </c>
      <c r="C45" t="inlineStr">
        <is>
          <t>TP - Carreleur-chapiste</t>
        </is>
      </c>
      <c r="D45" s="38" t="inlineStr">
        <is>
          <t>Expiré / remplacé</t>
        </is>
      </c>
      <c r="E45" t="inlineStr">
        <is>
          <t>Fiche inactive — remplacée par RNCP42139 (Carreleur-chapiste)</t>
        </is>
      </c>
      <c r="F45" t="inlineStr">
        <is>
          <t>RNCP42139</t>
        </is>
      </c>
      <c r="G45" t="inlineStr">
        <is>
          <t>Carreleur-chapiste</t>
        </is>
      </c>
      <c r="H45" t="inlineStr">
        <is>
          <t>22440 (Carrelage mosaïque)</t>
        </is>
      </c>
      <c r="I45" t="inlineStr">
        <is>
          <t>23/05/2026</t>
        </is>
      </c>
    </row>
    <row r="46">
      <c r="A46" t="inlineStr"/>
      <c r="B46" t="inlineStr">
        <is>
          <t>RNCP35510</t>
        </is>
      </c>
      <c r="C46" t="inlineStr">
        <is>
          <t>TP - Agent de maintenance des bâtiments</t>
        </is>
      </c>
      <c r="D46" s="38" t="inlineStr">
        <is>
          <t>Expiré / remplacé</t>
        </is>
      </c>
      <c r="E46" t="inlineStr">
        <is>
          <t>Fiche inactive — remplacée par RNCP42031 (Agent de maintenance des bâtiments)</t>
        </is>
      </c>
      <c r="F46" t="inlineStr">
        <is>
          <t>RNCP42031</t>
        </is>
      </c>
      <c r="G46" t="inlineStr">
        <is>
          <t>Agent de maintenance des bâtiments</t>
        </is>
      </c>
      <c r="H46" t="inlineStr">
        <is>
          <t>22486 (Maintenance bâtiment)</t>
        </is>
      </c>
      <c r="I46" t="inlineStr">
        <is>
          <t>19/04/2026</t>
        </is>
      </c>
    </row>
    <row r="47">
      <c r="A47" t="inlineStr"/>
      <c r="B47" t="inlineStr">
        <is>
          <t>RNCP35525</t>
        </is>
      </c>
      <c r="C47" t="inlineStr">
        <is>
          <t>TP - Technicien d'intervention en froid et équipements de cuisines professionnelles</t>
        </is>
      </c>
      <c r="D47" s="38" t="inlineStr">
        <is>
          <t>Expiré / remplacé</t>
        </is>
      </c>
      <c r="E47" t="inlineStr">
        <is>
          <t>Fiche inactive — remplacée par RNCP42086 (Technicien d'intervention en froid et équipements de cuisines professionnelles)</t>
        </is>
      </c>
      <c r="F47" t="inlineStr">
        <is>
          <t>RNCP42086</t>
        </is>
      </c>
      <c r="G47" t="inlineStr">
        <is>
          <t>Technicien d'intervention en froid et équipements de cuisines professionnelles</t>
        </is>
      </c>
      <c r="H47" t="inlineStr">
        <is>
          <t>22624 (Installation frigorifique)</t>
        </is>
      </c>
      <c r="I47" t="inlineStr">
        <is>
          <t>26/02/2026</t>
        </is>
      </c>
    </row>
    <row r="48">
      <c r="A48" t="inlineStr"/>
      <c r="B48" t="inlineStr">
        <is>
          <t>RNCP35527</t>
        </is>
      </c>
      <c r="C48" t="inlineStr">
        <is>
          <t>TP - Responsable d'établissement touristique</t>
        </is>
      </c>
      <c r="D48" s="38" t="inlineStr">
        <is>
          <t>Expiré / remplacé</t>
        </is>
      </c>
      <c r="E48" t="inlineStr">
        <is>
          <t>Fiche inactive — remplacée par RNCP42020 (Responsable d'établissement touristique)</t>
        </is>
      </c>
      <c r="F48" t="inlineStr">
        <is>
          <t>RNCP42020</t>
        </is>
      </c>
      <c r="G48" t="inlineStr">
        <is>
          <t>Responsable d'établissement touristique</t>
        </is>
      </c>
      <c r="H48" t="inlineStr">
        <is>
          <t>42627 (Gestion entreprise touristique) ; 42766 (Gestion hôtel restaurant bar)</t>
        </is>
      </c>
      <c r="I48" t="inlineStr">
        <is>
          <t>24/05/2026</t>
        </is>
      </c>
    </row>
    <row r="49">
      <c r="A49" t="inlineStr"/>
      <c r="B49" t="inlineStr">
        <is>
          <t>RNCP35530</t>
        </is>
      </c>
      <c r="C49" t="inlineStr">
        <is>
          <t>TP - Technicien de bureau d'études en électricité des bâtiments</t>
        </is>
      </c>
      <c r="D49" s="38" t="inlineStr">
        <is>
          <t>Expiré / remplacé</t>
        </is>
      </c>
      <c r="E49" t="inlineStr">
        <is>
          <t>Fiche inactive (échéance 17/05/2026) — aucun successeur publié</t>
        </is>
      </c>
      <c r="F49" t="inlineStr">
        <is>
          <t>RNCP35530</t>
        </is>
      </c>
      <c r="G49" t="inlineStr">
        <is>
          <t>Technicien de bureau d'études en électricité des bâtiments</t>
        </is>
      </c>
      <c r="H49" t="inlineStr">
        <is>
          <t>22252 (Dessin BTP) ; 24066 (Installation électrique) ; 24027 (Schéma électrique) ; 71111 (Logiciel Autocad)</t>
        </is>
      </c>
      <c r="I49" t="inlineStr">
        <is>
          <t>17/05/2026</t>
        </is>
      </c>
    </row>
    <row r="50">
      <c r="A50" t="inlineStr"/>
      <c r="B50" t="inlineStr">
        <is>
          <t>RNCP35551</t>
        </is>
      </c>
      <c r="C50" t="inlineStr">
        <is>
          <t>Agent d’entretien et de rénovation en propreté</t>
        </is>
      </c>
      <c r="D50" s="38" t="inlineStr">
        <is>
          <t>Expiré / remplacé</t>
        </is>
      </c>
      <c r="E50" t="inlineStr">
        <is>
          <t>Fiche inactive — remplacée par RNCP42160 (Agent d'entretien et de rénovation en propreté)</t>
        </is>
      </c>
      <c r="F50" t="inlineStr">
        <is>
          <t>RNCP42160</t>
        </is>
      </c>
      <c r="G50" t="inlineStr">
        <is>
          <t>Agent d'entretien et de rénovation en propreté</t>
        </is>
      </c>
      <c r="H50" t="inlineStr">
        <is>
          <t>42093 (Nettoyage locaux)</t>
        </is>
      </c>
      <c r="I50" t="inlineStr">
        <is>
          <t>19/04/2026</t>
        </is>
      </c>
    </row>
    <row r="51">
      <c r="A51" t="inlineStr"/>
      <c r="B51" t="inlineStr">
        <is>
          <t>RNCP35552</t>
        </is>
      </c>
      <c r="C51" t="inlineStr">
        <is>
          <t>Chef d’équipe en propreté</t>
        </is>
      </c>
      <c r="D51" s="38" t="inlineStr">
        <is>
          <t>Expiré / remplacé</t>
        </is>
      </c>
      <c r="E51" t="inlineStr">
        <is>
          <t>Fiche inactive — remplacée par RNCP42151 (Chef d'équipe en propreté)</t>
        </is>
      </c>
      <c r="F51" t="inlineStr">
        <is>
          <t>RNCP42151</t>
        </is>
      </c>
      <c r="G51" t="inlineStr">
        <is>
          <t>Chef d'équipe en propreté</t>
        </is>
      </c>
      <c r="H51" t="inlineStr">
        <is>
          <t>42093 (Nettoyage locaux)</t>
        </is>
      </c>
      <c r="I51" t="inlineStr">
        <is>
          <t>19/04/2026</t>
        </is>
      </c>
    </row>
    <row r="52">
      <c r="A52" t="inlineStr"/>
      <c r="B52" t="inlineStr">
        <is>
          <t>RNCP35584</t>
        </is>
      </c>
      <c r="C52" t="inlineStr">
        <is>
          <t>Expert en informatique et système d'information</t>
        </is>
      </c>
      <c r="D52" s="38" t="inlineStr">
        <is>
          <t>Expiré / remplacé</t>
        </is>
      </c>
      <c r="E52" t="inlineStr">
        <is>
          <t>Fiche inactive — remplacée par RNCP42317 (Expert en informatique et système d'information)</t>
        </is>
      </c>
      <c r="F52" t="inlineStr">
        <is>
          <t>RNCP42317</t>
        </is>
      </c>
      <c r="G52" t="inlineStr">
        <is>
          <t>Expert en informatique et système d'information</t>
        </is>
      </c>
      <c r="H52" t="inlineStr">
        <is>
          <t>31008 (Système information) ; 31094 (Gestion projet informatique) ; 31084 (Informatique de gestion) ; 31025 (Analyse de données) ; 31067 (Développement informatique)</t>
        </is>
      </c>
      <c r="I52" t="inlineStr">
        <is>
          <t>19/05/2026</t>
        </is>
      </c>
    </row>
    <row r="53">
      <c r="A53" t="inlineStr"/>
      <c r="B53" t="inlineStr">
        <is>
          <t>RNCP35590</t>
        </is>
      </c>
      <c r="C53" t="inlineStr">
        <is>
          <t>Manager de l'habitat social et durable</t>
        </is>
      </c>
      <c r="D53" s="38" t="inlineStr">
        <is>
          <t>Expiré / remplacé</t>
        </is>
      </c>
      <c r="E53" t="inlineStr">
        <is>
          <t>Fiche inactive — remplacée par RNCP42170 (Manager de projet immobilier durable)</t>
        </is>
      </c>
      <c r="F53" t="inlineStr">
        <is>
          <t>RNCP42170</t>
        </is>
      </c>
      <c r="G53" t="inlineStr">
        <is>
          <t>Manager de projet immobilier durable</t>
        </is>
      </c>
      <c r="H53" t="inlineStr">
        <is>
          <t>42154 (Immobilier) ; 22250 (Éco-construction) ; 32145 (Management transversal) ; 12554 (Environnement aménagement)</t>
        </is>
      </c>
      <c r="I53" t="inlineStr">
        <is>
          <t>19/05/2026</t>
        </is>
      </c>
    </row>
    <row r="54">
      <c r="A54" t="inlineStr"/>
      <c r="B54" t="inlineStr">
        <is>
          <t>RNCP35593</t>
        </is>
      </c>
      <c r="C54" t="inlineStr">
        <is>
          <t>Directeur de projets image et communication</t>
        </is>
      </c>
      <c r="D54" s="38" t="inlineStr">
        <is>
          <t>Expiré / remplacé</t>
        </is>
      </c>
      <c r="E54" t="inlineStr">
        <is>
          <t>Fiche inactive — remplacée par RNCP42186 (Manager de la communication omnicanal)</t>
        </is>
      </c>
      <c r="F54" t="inlineStr">
        <is>
          <t>RNCP42186</t>
        </is>
      </c>
      <c r="G54" t="inlineStr">
        <is>
          <t>Manager de la communication omnicanal</t>
        </is>
      </c>
      <c r="H54" t="inlineStr">
        <is>
          <t>46301 (Communication entreprise) ; 46302 (Gestion entreprise communication information) ; 46347 (Stratégie communication numérique)</t>
        </is>
      </c>
      <c r="I54" t="inlineStr">
        <is>
          <t>19/05/2026</t>
        </is>
      </c>
    </row>
    <row r="55">
      <c r="A55" t="inlineStr"/>
      <c r="B55" t="inlineStr">
        <is>
          <t>RNCP35594</t>
        </is>
      </c>
      <c r="C55" t="inlineStr">
        <is>
          <t>Administrateur systèmes, réseaux et bases de données</t>
        </is>
      </c>
      <c r="D55" s="38" t="inlineStr">
        <is>
          <t>Expiré / remplacé</t>
        </is>
      </c>
      <c r="E55" t="inlineStr">
        <is>
          <t>Fiche inactive — remplacée par RNCP41996 (Administrateur systèmes, réseaux et bases de données)</t>
        </is>
      </c>
      <c r="F55" t="inlineStr">
        <is>
          <t>RNCP41996</t>
        </is>
      </c>
      <c r="G55" t="inlineStr">
        <is>
          <t>Administrateur systèmes, réseaux et bases de données</t>
        </is>
      </c>
      <c r="H55" t="inlineStr">
        <is>
          <t>31034 (Administration système)</t>
        </is>
      </c>
      <c r="I55" t="inlineStr">
        <is>
          <t>19/05/2026</t>
        </is>
      </c>
    </row>
    <row r="56">
      <c r="A56" t="inlineStr"/>
      <c r="B56" t="inlineStr">
        <is>
          <t>RNCP35604</t>
        </is>
      </c>
      <c r="C56" t="inlineStr">
        <is>
          <t>Manager du développement des ressources humaines</t>
        </is>
      </c>
      <c r="D56" s="38" t="inlineStr">
        <is>
          <t>Expiré / remplacé</t>
        </is>
      </c>
      <c r="E56" t="inlineStr">
        <is>
          <t>Fiche inactive — remplacée par RNCP42518 (Manager du développement des ressources humaines (MDRH))</t>
        </is>
      </c>
      <c r="F56" t="inlineStr">
        <is>
          <t>RNCP42518</t>
        </is>
      </c>
      <c r="G56" t="inlineStr">
        <is>
          <t>Manager du développement des ressources humaines (MDRH)</t>
        </is>
      </c>
      <c r="H56" t="inlineStr">
        <is>
          <t>33054 (Gestion ressources humaines)</t>
        </is>
      </c>
      <c r="I56" t="inlineStr">
        <is>
          <t>19/05/2026</t>
        </is>
      </c>
    </row>
    <row r="57">
      <c r="A57" t="inlineStr"/>
      <c r="B57" t="inlineStr">
        <is>
          <t>RNCP35634</t>
        </is>
      </c>
      <c r="C57" t="inlineStr">
        <is>
          <t>TP - Concepteur designer UI</t>
        </is>
      </c>
      <c r="D57" s="38" t="inlineStr">
        <is>
          <t>Expiré / remplacé</t>
        </is>
      </c>
      <c r="E57" t="inlineStr">
        <is>
          <t>Fiche inactive — remplacée par RNCP42140 (Concepteur designer User Interface)</t>
        </is>
      </c>
      <c r="F57" t="inlineStr">
        <is>
          <t>RNCP42140</t>
        </is>
      </c>
      <c r="G57" t="inlineStr">
        <is>
          <t>Concepteur designer User Interface</t>
        </is>
      </c>
      <c r="H57" t="inlineStr">
        <is>
          <t>46372 (Design interface utilisateur) ; 46072 (Art graphique) ; 31090 (Développement web)</t>
        </is>
      </c>
      <c r="I57" t="inlineStr">
        <is>
          <t>13/07/2026</t>
        </is>
      </c>
    </row>
    <row r="58">
      <c r="A58" t="inlineStr"/>
      <c r="B58" t="inlineStr">
        <is>
          <t>RNCP35723</t>
        </is>
      </c>
      <c r="C58" t="inlineStr">
        <is>
          <t>TP - Monteur en calorifuge industriel</t>
        </is>
      </c>
      <c r="D58" s="38" t="inlineStr">
        <is>
          <t>Expiré / remplacé</t>
        </is>
      </c>
      <c r="E58" t="inlineStr">
        <is>
          <t>Fiche inactive (échéance 29/06/2026) — aucun successeur publié</t>
        </is>
      </c>
      <c r="F58" t="inlineStr">
        <is>
          <t>RNCP35723</t>
        </is>
      </c>
      <c r="G58" t="inlineStr">
        <is>
          <t>Monteur en calorifuge industriel</t>
        </is>
      </c>
      <c r="H58" t="inlineStr">
        <is>
          <t>22425 (Isolation thermique)</t>
        </is>
      </c>
      <c r="I58" t="inlineStr">
        <is>
          <t>29/06/2026</t>
        </is>
      </c>
    </row>
    <row r="59">
      <c r="A59" t="inlineStr"/>
      <c r="B59" t="inlineStr">
        <is>
          <t>RNCP35750</t>
        </is>
      </c>
      <c r="C59" t="inlineStr">
        <is>
          <t>Gestionnaire de Paie</t>
        </is>
      </c>
      <c r="D59" s="38" t="inlineStr">
        <is>
          <t>Expiré / remplacé</t>
        </is>
      </c>
      <c r="E59" t="inlineStr">
        <is>
          <t>Fiche inactive — remplacée par RNCP42350 (Gestionnaire de paie)</t>
        </is>
      </c>
      <c r="F59" t="inlineStr">
        <is>
          <t>RNCP42350</t>
        </is>
      </c>
      <c r="G59" t="inlineStr">
        <is>
          <t>Gestionnaire de paie</t>
        </is>
      </c>
      <c r="H59" t="inlineStr">
        <is>
          <t>32688 (Traitement paie) ; 33031 (Système rémunération)</t>
        </is>
      </c>
      <c r="I59" t="inlineStr">
        <is>
          <t>08/07/2026</t>
        </is>
      </c>
    </row>
    <row r="60">
      <c r="A60" t="inlineStr"/>
      <c r="B60" t="inlineStr">
        <is>
          <t>RNCP35753</t>
        </is>
      </c>
      <c r="C60" t="inlineStr">
        <is>
          <t>Opérateur Technique en Pharmacie et Cosmétique Industrielles</t>
        </is>
      </c>
      <c r="D60" s="38" t="inlineStr">
        <is>
          <t>Expiré / remplacé</t>
        </is>
      </c>
      <c r="E60" t="inlineStr">
        <is>
          <t>Fiche inactive — remplacée par RNCP42309 (Opérateur Technique en Pharmacie et Cosmétique Industrielles)</t>
        </is>
      </c>
      <c r="F60" t="inlineStr">
        <is>
          <t>RNCP42309</t>
        </is>
      </c>
      <c r="G60" t="inlineStr">
        <is>
          <t>Opérateur Technique en Pharmacie et Cosmétique Industrielles</t>
        </is>
      </c>
      <c r="H60" t="inlineStr">
        <is>
          <t>31620 (Conduite installation industrielle)</t>
        </is>
      </c>
      <c r="I60" t="inlineStr">
        <is>
          <t>08/07/2026</t>
        </is>
      </c>
    </row>
    <row r="61">
      <c r="A61" t="inlineStr"/>
      <c r="B61" t="inlineStr">
        <is>
          <t>RNCP35767</t>
        </is>
      </c>
      <c r="C61" t="inlineStr">
        <is>
          <t>Chargé de recrutement</t>
        </is>
      </c>
      <c r="D61" s="38" t="inlineStr">
        <is>
          <t>Expiré / remplacé</t>
        </is>
      </c>
      <c r="E61" t="inlineStr">
        <is>
          <t>Fiche inactive (échéance 08/07/2026) — aucun successeur publié</t>
        </is>
      </c>
      <c r="F61" t="inlineStr">
        <is>
          <t>RNCP35767</t>
        </is>
      </c>
      <c r="G61" t="inlineStr">
        <is>
          <t>Chargé de recrutement</t>
        </is>
      </c>
      <c r="H61" t="inlineStr">
        <is>
          <t>33060 (Recrutement) ; 33070 (Travail temporaire)</t>
        </is>
      </c>
      <c r="I61" t="inlineStr">
        <is>
          <t>08/07/2026</t>
        </is>
      </c>
    </row>
    <row r="62">
      <c r="A62" t="inlineStr"/>
      <c r="B62" t="inlineStr">
        <is>
          <t>RNCP36803</t>
        </is>
      </c>
      <c r="C62" t="inlineStr">
        <is>
          <t>Titre professionnel - Employé administratif et d'accueil</t>
        </is>
      </c>
      <c r="D62" s="38" t="inlineStr">
        <is>
          <t>Expiré / remplacé</t>
        </is>
      </c>
      <c r="E62" t="inlineStr">
        <is>
          <t>Fiche inactive (échéance 01/03/2026) — aucun successeur publié</t>
        </is>
      </c>
      <c r="F62" t="inlineStr">
        <is>
          <t>RNCP36803</t>
        </is>
      </c>
      <c r="G62" t="inlineStr">
        <is>
          <t>Employé administratif et d'accueil</t>
        </is>
      </c>
      <c r="H62" t="inlineStr">
        <is>
          <t>35052 (Accueil) ; 35071 (Technique administrative)</t>
        </is>
      </c>
      <c r="I62" t="inlineStr">
        <is>
          <t>01/03/2026</t>
        </is>
      </c>
    </row>
    <row r="63">
      <c r="A63" t="inlineStr"/>
      <c r="B63" t="inlineStr">
        <is>
          <t>RNCP36804</t>
        </is>
      </c>
      <c r="C63" t="inlineStr">
        <is>
          <t>Titre professionnel - Secrétaire assistant</t>
        </is>
      </c>
      <c r="D63" s="38" t="inlineStr">
        <is>
          <t>Expiré / remplacé</t>
        </is>
      </c>
      <c r="E63" t="inlineStr">
        <is>
          <t>Fiche inactive (échéance 28/02/2026) — aucun successeur publié</t>
        </is>
      </c>
      <c r="F63" t="inlineStr">
        <is>
          <t>RNCP36804</t>
        </is>
      </c>
      <c r="G63" t="inlineStr">
        <is>
          <t>Secrétaire assistant</t>
        </is>
      </c>
      <c r="H63" t="inlineStr">
        <is>
          <t>35007 (Secrétariat assistanat gestion PME PMI) ; 35029 (Correspondance commerciale)</t>
        </is>
      </c>
      <c r="I63" t="inlineStr">
        <is>
          <t>28/02/2026</t>
        </is>
      </c>
    </row>
    <row r="64">
      <c r="A64" t="inlineStr"/>
      <c r="B64" t="inlineStr">
        <is>
          <t>RNCP37071</t>
        </is>
      </c>
      <c r="C64" t="inlineStr">
        <is>
          <t>Technicien expert après-vente véhicules utilitaires et industriels</t>
        </is>
      </c>
      <c r="D64" s="38" t="inlineStr">
        <is>
          <t>Expiré / remplacé</t>
        </is>
      </c>
      <c r="E64" t="inlineStr">
        <is>
          <t>Fiche inactive — remplacée par RNCP41657 (Technicien expert après-vente véhicules utilitaires et industriels)</t>
        </is>
      </c>
      <c r="F64" t="inlineStr">
        <is>
          <t>RNCP41657</t>
        </is>
      </c>
      <c r="G64" t="inlineStr">
        <is>
          <t>Technicien expert après-vente véhicules utilitaires et industriels</t>
        </is>
      </c>
      <c r="H64" t="inlineStr">
        <is>
          <t>31604 (Maintenance corrective) ; 31603 (Maintenance préventive) ; 23637 (Mécanique automobile)</t>
        </is>
      </c>
      <c r="I64" t="inlineStr">
        <is>
          <t>18/12/2025</t>
        </is>
      </c>
    </row>
    <row r="65">
      <c r="A65" t="inlineStr"/>
      <c r="B65" t="inlineStr">
        <is>
          <t>RNCP37134</t>
        </is>
      </c>
      <c r="C65" t="inlineStr">
        <is>
          <t>CQP Mécanicien véhicules utilitaires et industriels</t>
        </is>
      </c>
      <c r="D65" s="38" t="inlineStr">
        <is>
          <t>Expiré / remplacé</t>
        </is>
      </c>
      <c r="E65" t="inlineStr">
        <is>
          <t>Fiche inactive — remplacée par RNCP41656 (CQP Mécanicien véhicules utilitaires et industriels)</t>
        </is>
      </c>
      <c r="F65" t="inlineStr">
        <is>
          <t>RNCP41656</t>
        </is>
      </c>
      <c r="G65" t="inlineStr">
        <is>
          <t>CQP Mécanicien véhicules utilitaires et industriels</t>
        </is>
      </c>
      <c r="H65" t="inlineStr">
        <is>
          <t>23637 (Mécanique automobile)</t>
        </is>
      </c>
      <c r="I65" t="inlineStr">
        <is>
          <t>18/12/2025</t>
        </is>
      </c>
    </row>
    <row r="66">
      <c r="A66" t="inlineStr"/>
      <c r="B66" t="inlineStr">
        <is>
          <t>RNCP37329</t>
        </is>
      </c>
      <c r="C66" t="inlineStr">
        <is>
          <t>Technicien supérieur en automatisme et interfaces associées</t>
        </is>
      </c>
      <c r="D66" s="38" t="inlineStr">
        <is>
          <t>Expiré / remplacé</t>
        </is>
      </c>
      <c r="E66" t="inlineStr">
        <is>
          <t>Fiche inactive — remplacée par RNCP42213 (Technicien en automatisme et interfaces associées)</t>
        </is>
      </c>
      <c r="F66" t="inlineStr">
        <is>
          <t>RNCP42213</t>
        </is>
      </c>
      <c r="G66" t="inlineStr">
        <is>
          <t>Technicien en automatisme et interfaces associées</t>
        </is>
      </c>
      <c r="H66" t="inlineStr">
        <is>
          <t>24431 (Maintenance système automatisé)</t>
        </is>
      </c>
      <c r="I66" t="inlineStr">
        <is>
          <t>17/02/2026</t>
        </is>
      </c>
    </row>
    <row r="67">
      <c r="A67" t="inlineStr"/>
      <c r="B67" t="inlineStr">
        <is>
          <t>RNCP37333</t>
        </is>
      </c>
      <c r="C67" t="inlineStr">
        <is>
          <t>Photographe</t>
        </is>
      </c>
      <c r="D67" s="38" t="inlineStr">
        <is>
          <t>Expiré / remplacé</t>
        </is>
      </c>
      <c r="E67" t="inlineStr">
        <is>
          <t>Fiche inactive (échéance 17/02/2026) — aucun successeur publié</t>
        </is>
      </c>
      <c r="F67" t="inlineStr">
        <is>
          <t>RNCP37333</t>
        </is>
      </c>
      <c r="G67" t="inlineStr">
        <is>
          <t>Photographe</t>
        </is>
      </c>
      <c r="H67" t="inlineStr">
        <is>
          <t>46006 (Acquisition traitement image) ; 46283 (Prise de vue photographie) ; 46392 (Photothèque)</t>
        </is>
      </c>
      <c r="I67" t="inlineStr">
        <is>
          <t>17/02/2026</t>
        </is>
      </c>
    </row>
    <row r="68">
      <c r="A68" t="inlineStr"/>
      <c r="B68" t="inlineStr">
        <is>
          <t>RNCP37345</t>
        </is>
      </c>
      <c r="C68" t="inlineStr">
        <is>
          <t>Assistant de direction</t>
        </is>
      </c>
      <c r="D68" s="38" t="inlineStr">
        <is>
          <t>Expiré / remplacé</t>
        </is>
      </c>
      <c r="E68" t="inlineStr">
        <is>
          <t>Fiche inactive — remplacée par RNCP41722 (Assistant de direction)</t>
        </is>
      </c>
      <c r="F68" t="inlineStr">
        <is>
          <t>RNCP41722</t>
        </is>
      </c>
      <c r="G68" t="inlineStr">
        <is>
          <t>Assistant de direction</t>
        </is>
      </c>
      <c r="H68" t="inlineStr">
        <is>
          <t>35047 (Secrétariat assistanat direction)</t>
        </is>
      </c>
      <c r="I68" t="inlineStr">
        <is>
          <t>17/02/2026</t>
        </is>
      </c>
    </row>
    <row r="69">
      <c r="A69" t="inlineStr"/>
      <c r="B69" t="inlineStr">
        <is>
          <t>RNCP37349</t>
        </is>
      </c>
      <c r="C69" t="inlineStr">
        <is>
          <t>Manager des risques et de l'assurance de l'entreprise</t>
        </is>
      </c>
      <c r="D69" s="38" t="inlineStr">
        <is>
          <t>Expiré / remplacé</t>
        </is>
      </c>
      <c r="E69" t="inlineStr">
        <is>
          <t>Fiche inactive — remplacée par RNCP42465 (Manager des risques et des assurances de l'entreprise)</t>
        </is>
      </c>
      <c r="F69" t="inlineStr">
        <is>
          <t>RNCP42465</t>
        </is>
      </c>
      <c r="G69" t="inlineStr">
        <is>
          <t>Manager des risques et des assurances de l'entreprise</t>
        </is>
      </c>
      <c r="H69" t="inlineStr">
        <is>
          <t>41049 (Assurance entreprise)</t>
        </is>
      </c>
      <c r="I69" t="inlineStr">
        <is>
          <t>17/02/2026</t>
        </is>
      </c>
    </row>
    <row r="70">
      <c r="A70" t="inlineStr"/>
      <c r="B70" t="inlineStr">
        <is>
          <t>RNCP37410</t>
        </is>
      </c>
      <c r="C70" t="inlineStr">
        <is>
          <t>CQP Vendeur en fournitures industrielles</t>
        </is>
      </c>
      <c r="D70" s="38" t="inlineStr">
        <is>
          <t>Expiré / remplacé</t>
        </is>
      </c>
      <c r="E70" t="inlineStr">
        <is>
          <t>Fiche inactive — remplacée par RNCP42063 (CQP Vendeur en fournitures industrielles)</t>
        </is>
      </c>
      <c r="F70" t="inlineStr">
        <is>
          <t>RNCP42063</t>
        </is>
      </c>
      <c r="G70" t="inlineStr">
        <is>
          <t>CQP Vendeur en fournitures industrielles</t>
        </is>
      </c>
      <c r="H70" t="inlineStr">
        <is>
          <t>34502 (Vente spécialisée)</t>
        </is>
      </c>
      <c r="I70" t="inlineStr">
        <is>
          <t>27/03/2026</t>
        </is>
      </c>
    </row>
    <row r="71">
      <c r="A71" t="inlineStr"/>
      <c r="B71" t="inlineStr">
        <is>
          <t>RNCP37416</t>
        </is>
      </c>
      <c r="C71" t="inlineStr">
        <is>
          <t>Réparateur de produits nomades</t>
        </is>
      </c>
      <c r="D71" s="38" t="inlineStr">
        <is>
          <t>Expiré / remplacé</t>
        </is>
      </c>
      <c r="E71" t="inlineStr">
        <is>
          <t>Fiche inactive — remplacée par RNCP41732 (Réparateur de produits électroniques nomades)</t>
        </is>
      </c>
      <c r="F71" t="inlineStr">
        <is>
          <t>RNCP41732</t>
        </is>
      </c>
      <c r="G71" t="inlineStr">
        <is>
          <t>Réparateur de produits électroniques nomades</t>
        </is>
      </c>
      <c r="H71" t="inlineStr">
        <is>
          <t>24340 (Maintenance électronique) ; 24336 (Composant électronique)</t>
        </is>
      </c>
      <c r="I71" t="inlineStr">
        <is>
          <t>27/03/2026</t>
        </is>
      </c>
    </row>
    <row r="72">
      <c r="A72" t="inlineStr"/>
      <c r="B72" t="inlineStr">
        <is>
          <t>RNCP37422</t>
        </is>
      </c>
      <c r="C72" t="inlineStr">
        <is>
          <t>Data Engineer</t>
        </is>
      </c>
      <c r="D72" s="38" t="inlineStr">
        <is>
          <t>Expiré / remplacé</t>
        </is>
      </c>
      <c r="E72" t="inlineStr">
        <is>
          <t>Fiche inactive — remplacée par RNCP42149 (Data engineer)</t>
        </is>
      </c>
      <c r="F72" t="inlineStr">
        <is>
          <t>RNCP42149</t>
        </is>
      </c>
      <c r="G72" t="inlineStr">
        <is>
          <t>Data engineer</t>
        </is>
      </c>
      <c r="H72" t="inlineStr">
        <is>
          <t>31094 (Gestion projet informatique) ; 31028 (Intelligence artificielle) ; 31023 (Gestion données massives)</t>
        </is>
      </c>
      <c r="I72" t="inlineStr">
        <is>
          <t>27/03/2026</t>
        </is>
      </c>
    </row>
    <row r="73">
      <c r="A73" t="inlineStr"/>
      <c r="B73" t="inlineStr">
        <is>
          <t>RNCP37433</t>
        </is>
      </c>
      <c r="C73" t="inlineStr">
        <is>
          <t>Manager dans le secteur hôtelier international</t>
        </is>
      </c>
      <c r="D73" s="38" t="inlineStr">
        <is>
          <t>Expiré / remplacé</t>
        </is>
      </c>
      <c r="E73" t="inlineStr">
        <is>
          <t>Fiche inactive — remplacée par RNCP41888 (Manager dans le secteur hôtelier international)</t>
        </is>
      </c>
      <c r="F73" t="inlineStr">
        <is>
          <t>RNCP41888</t>
        </is>
      </c>
      <c r="G73" t="inlineStr">
        <is>
          <t>Manager dans le secteur hôtelier international</t>
        </is>
      </c>
      <c r="H73" t="inlineStr">
        <is>
          <t>42766 (Gestion hôtel restaurant bar) ; 42627 (Gestion entreprise touristique)</t>
        </is>
      </c>
      <c r="I73" t="inlineStr">
        <is>
          <t>27/03/2026</t>
        </is>
      </c>
    </row>
    <row r="74">
      <c r="A74" t="inlineStr"/>
      <c r="B74" t="inlineStr">
        <is>
          <t>RNCP37435</t>
        </is>
      </c>
      <c r="C74" t="inlineStr">
        <is>
          <t>Gestionnaire d'affaires immobilières</t>
        </is>
      </c>
      <c r="D74" s="38" t="inlineStr">
        <is>
          <t>Expiré / remplacé</t>
        </is>
      </c>
      <c r="E74" t="inlineStr">
        <is>
          <t>Fiche inactive — remplacée par RNCP41800 (Gestionnaire d'affaires immobilières)</t>
        </is>
      </c>
      <c r="F74" t="inlineStr">
        <is>
          <t>RNCP41800</t>
        </is>
      </c>
      <c r="G74" t="inlineStr">
        <is>
          <t>Gestionnaire d'affaires immobilières</t>
        </is>
      </c>
      <c r="H74" t="inlineStr">
        <is>
          <t>13297 (Bail immobilier) ; 42184 (Agence immobilière) ; 42133 (Gestion immobilière)</t>
        </is>
      </c>
      <c r="I74" t="inlineStr">
        <is>
          <t>27/03/2026</t>
        </is>
      </c>
    </row>
    <row r="75">
      <c r="A75" t="inlineStr"/>
      <c r="B75" t="inlineStr">
        <is>
          <t>RNCP37439</t>
        </is>
      </c>
      <c r="C75" t="inlineStr">
        <is>
          <t>Boulanger</t>
        </is>
      </c>
      <c r="D75" s="38" t="inlineStr">
        <is>
          <t>Expiré / remplacé</t>
        </is>
      </c>
      <c r="E75" t="inlineStr">
        <is>
          <t>Fiche inactive — remplacée par RNCP41743 (Boulanger)</t>
        </is>
      </c>
      <c r="F75" t="inlineStr">
        <is>
          <t>RNCP41743</t>
        </is>
      </c>
      <c r="G75" t="inlineStr">
        <is>
          <t>Boulanger</t>
        </is>
      </c>
      <c r="H75" t="inlineStr">
        <is>
          <t>21538 (Boulangerie)</t>
        </is>
      </c>
      <c r="I75" t="inlineStr">
        <is>
          <t>27/03/2026</t>
        </is>
      </c>
    </row>
    <row r="76">
      <c r="A76" t="inlineStr"/>
      <c r="B76" t="inlineStr">
        <is>
          <t>RNCP37503</t>
        </is>
      </c>
      <c r="C76" t="inlineStr">
        <is>
          <t>CQP Initiateur en motocyclisme</t>
        </is>
      </c>
      <c r="D76" s="38" t="inlineStr">
        <is>
          <t>Expiré / remplacé</t>
        </is>
      </c>
      <c r="E76" t="inlineStr">
        <is>
          <t>Fiche inactive — remplacée par RNCP41985 (CQP Initiateur et guide de randonnée en motocyclisme)</t>
        </is>
      </c>
      <c r="F76" t="inlineStr">
        <is>
          <t>RNCP41985</t>
        </is>
      </c>
      <c r="G76" t="inlineStr">
        <is>
          <t>CQP Initiateur et guide de randonnée en motocyclisme</t>
        </is>
      </c>
      <c r="H76" t="inlineStr">
        <is>
          <t>15436 (Éducation sportive) ; 15469 (Randonnée)</t>
        </is>
      </c>
      <c r="I76" t="inlineStr">
        <is>
          <t>24/04/2026</t>
        </is>
      </c>
    </row>
    <row r="77">
      <c r="A77" t="inlineStr"/>
      <c r="B77" t="inlineStr">
        <is>
          <t>RNCP37511</t>
        </is>
      </c>
      <c r="C77" t="inlineStr">
        <is>
          <t>Animateur en gérontologie</t>
        </is>
      </c>
      <c r="D77" s="38" t="inlineStr">
        <is>
          <t>Expiré / remplacé</t>
        </is>
      </c>
      <c r="E77" t="inlineStr">
        <is>
          <t>Fiche inactive — remplacée par RNCP41681 (Animateur en gérontologie)</t>
        </is>
      </c>
      <c r="F77" t="inlineStr">
        <is>
          <t>RNCP41681</t>
        </is>
      </c>
      <c r="G77" t="inlineStr">
        <is>
          <t>Animateur en gérontologie</t>
        </is>
      </c>
      <c r="H77" t="inlineStr">
        <is>
          <t>44089 (Animation personne âgée)</t>
        </is>
      </c>
      <c r="I77" t="inlineStr">
        <is>
          <t>24/04/2026</t>
        </is>
      </c>
    </row>
    <row r="78">
      <c r="A78" t="inlineStr"/>
      <c r="B78" t="inlineStr">
        <is>
          <t>RNCP37514</t>
        </is>
      </c>
      <c r="C78" t="inlineStr">
        <is>
          <t>CQP Moniteur de tir sportif</t>
        </is>
      </c>
      <c r="D78" s="38" t="inlineStr">
        <is>
          <t>Expiré / remplacé</t>
        </is>
      </c>
      <c r="E78" t="inlineStr">
        <is>
          <t>Fiche inactive — remplacée par RNCP41980 (CQP Moniteur de tir sportif)</t>
        </is>
      </c>
      <c r="F78" t="inlineStr">
        <is>
          <t>RNCP41980</t>
        </is>
      </c>
      <c r="G78" t="inlineStr">
        <is>
          <t>CQP Moniteur de tir sportif</t>
        </is>
      </c>
      <c r="H78" t="inlineStr">
        <is>
          <t>15436 (Éducation sportive) ; 15455 (Tir sportif)</t>
        </is>
      </c>
      <c r="I78" t="inlineStr">
        <is>
          <t>24/04/2026</t>
        </is>
      </c>
    </row>
    <row r="79">
      <c r="A79" t="inlineStr"/>
      <c r="B79" t="inlineStr">
        <is>
          <t>RNCP37519</t>
        </is>
      </c>
      <c r="C79" t="inlineStr">
        <is>
          <t>Directeur d''organisation ou d'entreprise d'innovation sociale</t>
        </is>
      </c>
      <c r="D79" s="38" t="inlineStr">
        <is>
          <t>Expiré / remplacé</t>
        </is>
      </c>
      <c r="E79" t="inlineStr">
        <is>
          <t>Fiche inactive — remplacée par RNCP41739 (Directeur d'organisation ou d'entreprise d'innovation sociale)</t>
        </is>
      </c>
      <c r="F79" t="inlineStr">
        <is>
          <t>RNCP41739</t>
        </is>
      </c>
      <c r="G79" t="inlineStr">
        <is>
          <t>Directeur d'organisation ou d'entreprise d'innovation sociale</t>
        </is>
      </c>
      <c r="H79" t="inlineStr">
        <is>
          <t>44039 (Établissement hébergement personnes âgées) ; 13175 (Économie sociale) ; 44072 (Travail social) ; 44056 (Travail social en réseau)</t>
        </is>
      </c>
      <c r="I79" t="inlineStr">
        <is>
          <t>24/04/2026</t>
        </is>
      </c>
    </row>
    <row r="80">
      <c r="A80" t="inlineStr"/>
      <c r="B80" t="inlineStr">
        <is>
          <t>RNCP37523</t>
        </is>
      </c>
      <c r="C80" t="inlineStr">
        <is>
          <t>Responsable de service ou d'entité dans le secteur de l'économie sociale et solidaire</t>
        </is>
      </c>
      <c r="D80" s="38" t="inlineStr">
        <is>
          <t>Expiré / remplacé</t>
        </is>
      </c>
      <c r="E80" t="inlineStr">
        <is>
          <t>Fiche inactive (échéance 24/04/2026) — aucun successeur publié</t>
        </is>
      </c>
      <c r="F80" t="inlineStr">
        <is>
          <t>RNCP37523</t>
        </is>
      </c>
      <c r="G80" t="inlineStr">
        <is>
          <t>Responsable de service ou d'entité dans le secteur de l'économie sociale et solidaire</t>
        </is>
      </c>
      <c r="H80" t="inlineStr">
        <is>
          <t>13175 (Économie sociale) ; 32008 (Responsabilité sociétale entreprise)</t>
        </is>
      </c>
      <c r="I80" t="inlineStr">
        <is>
          <t>24/04/2026</t>
        </is>
      </c>
    </row>
    <row r="81">
      <c r="A81" t="inlineStr"/>
      <c r="B81" t="inlineStr">
        <is>
          <t>RNCP37525</t>
        </is>
      </c>
      <c r="C81" t="inlineStr">
        <is>
          <t>Enseignant du premier degré</t>
        </is>
      </c>
      <c r="D81" s="38" t="inlineStr">
        <is>
          <t>Expiré / remplacé</t>
        </is>
      </c>
      <c r="E81" t="inlineStr">
        <is>
          <t>Fiche inactive — remplacée par RNCP42311 (Enseignant du premier degré)</t>
        </is>
      </c>
      <c r="F81" t="inlineStr">
        <is>
          <t>RNCP42311</t>
        </is>
      </c>
      <c r="G81" t="inlineStr">
        <is>
          <t>Enseignant du premier degré</t>
        </is>
      </c>
      <c r="H81" t="inlineStr">
        <is>
          <t>44583 (Formation enseignant)</t>
        </is>
      </c>
      <c r="I81" t="inlineStr">
        <is>
          <t>24/04/2026</t>
        </is>
      </c>
    </row>
    <row r="82">
      <c r="A82" t="inlineStr"/>
      <c r="B82" t="inlineStr">
        <is>
          <t>RNCP37527</t>
        </is>
      </c>
      <c r="C82" t="inlineStr">
        <is>
          <t>Technicien en diagnostics immobiliers</t>
        </is>
      </c>
      <c r="D82" s="38" t="inlineStr">
        <is>
          <t>Expiré / remplacé</t>
        </is>
      </c>
      <c r="E82" t="inlineStr">
        <is>
          <t>Fiche inactive — remplacée par RNCP41787 (Technicien en diagnostics immobiliers)</t>
        </is>
      </c>
      <c r="F82" t="inlineStr">
        <is>
          <t>RNCP41787</t>
        </is>
      </c>
      <c r="G82" t="inlineStr">
        <is>
          <t>Technicien en diagnostics immobiliers</t>
        </is>
      </c>
      <c r="H82" t="inlineStr">
        <is>
          <t>42101 (Diagnostic immobilier)</t>
        </is>
      </c>
      <c r="I82" t="inlineStr">
        <is>
          <t>24/04/2026</t>
        </is>
      </c>
    </row>
    <row r="83">
      <c r="A83" t="inlineStr"/>
      <c r="B83" t="inlineStr">
        <is>
          <t>RNCP37528</t>
        </is>
      </c>
      <c r="C83" t="inlineStr">
        <is>
          <t>Coiffeur (BM)</t>
        </is>
      </c>
      <c r="D83" s="38" t="inlineStr">
        <is>
          <t>Expiré / remplacé</t>
        </is>
      </c>
      <c r="E83" t="inlineStr">
        <is>
          <t>Fiche inactive — remplacée par RNCP42351 (Coiffeur (BM))</t>
        </is>
      </c>
      <c r="F83" t="inlineStr">
        <is>
          <t>RNCP42351</t>
        </is>
      </c>
      <c r="G83" t="inlineStr">
        <is>
          <t>Coiffeur (BM)</t>
        </is>
      </c>
      <c r="H83" t="inlineStr">
        <is>
          <t>42050 (Coiffure) ; 32097 (Gestion entreprise artisanale)</t>
        </is>
      </c>
      <c r="I83" t="inlineStr">
        <is>
          <t>24/04/2026</t>
        </is>
      </c>
    </row>
    <row r="84">
      <c r="A84" t="inlineStr"/>
      <c r="B84" t="inlineStr">
        <is>
          <t>RNCP37611</t>
        </is>
      </c>
      <c r="C84" t="inlineStr">
        <is>
          <t>Régisseur général du spectacle et de l'évènementiel</t>
        </is>
      </c>
      <c r="D84" s="38" t="inlineStr">
        <is>
          <t>Expiré / remplacé</t>
        </is>
      </c>
      <c r="E84" t="inlineStr">
        <is>
          <t>Fiche inactive — remplacée par RNCP42043 (Régisseur général du spectacle et de l'évènementiel)</t>
        </is>
      </c>
      <c r="F84" t="inlineStr">
        <is>
          <t>RNCP42043</t>
        </is>
      </c>
      <c r="G84" t="inlineStr">
        <is>
          <t>Régisseur général du spectacle et de l'évènementiel</t>
        </is>
      </c>
      <c r="H84" t="inlineStr">
        <is>
          <t>45052 (Production spectacle) ; 45060 (Régie spectacle) ; 45011 (Sécurité spectacle)</t>
        </is>
      </c>
      <c r="I84" t="inlineStr">
        <is>
          <t>31/05/2026</t>
        </is>
      </c>
    </row>
    <row r="85">
      <c r="A85" t="inlineStr"/>
      <c r="B85" t="inlineStr">
        <is>
          <t>RNCP37621</t>
        </is>
      </c>
      <c r="C85" t="inlineStr">
        <is>
          <t>Consultant en systèmes d’information (MS)</t>
        </is>
      </c>
      <c r="D85" s="38" t="inlineStr">
        <is>
          <t>Expiré / remplacé</t>
        </is>
      </c>
      <c r="E85" t="inlineStr">
        <is>
          <t>Fiche inactive — remplacée par RNCP41877 (Consultant en systèmes d'information (MS))</t>
        </is>
      </c>
      <c r="F85" t="inlineStr">
        <is>
          <t>RNCP41877</t>
        </is>
      </c>
      <c r="G85" t="inlineStr">
        <is>
          <t>Consultant en systèmes d'information (MS)</t>
        </is>
      </c>
      <c r="H85" t="inlineStr">
        <is>
          <t>31009 (Architecture système information) ; 31094 (Gestion projet informatique)</t>
        </is>
      </c>
      <c r="I85" t="inlineStr">
        <is>
          <t>31/05/2026</t>
        </is>
      </c>
    </row>
    <row r="86">
      <c r="A86" t="inlineStr"/>
      <c r="B86" t="inlineStr">
        <is>
          <t>RNCP37633</t>
        </is>
      </c>
      <c r="C86" t="inlineStr">
        <is>
          <t>Responsable en développement commercial et marketing</t>
        </is>
      </c>
      <c r="D86" s="38" t="inlineStr">
        <is>
          <t>Expiré / remplacé</t>
        </is>
      </c>
      <c r="E86" t="inlineStr">
        <is>
          <t>Fiche inactive — remplacée par RNCP42153 (Responsable en développement commercial et marketing)</t>
        </is>
      </c>
      <c r="F86" t="inlineStr">
        <is>
          <t>RNCP42153</t>
        </is>
      </c>
      <c r="G86" t="inlineStr">
        <is>
          <t>Responsable en développement commercial et marketing</t>
        </is>
      </c>
      <c r="H86" t="inlineStr">
        <is>
          <t>34053 (Marketing opérationnel) ; 34085 (Stratégie commerciale) ; 34582 (Négociation commerciale) ; 34566 (Vente distribution)</t>
        </is>
      </c>
      <c r="I86" t="inlineStr">
        <is>
          <t>31/05/2026</t>
        </is>
      </c>
    </row>
    <row r="87">
      <c r="A87" t="inlineStr"/>
      <c r="B87" t="inlineStr">
        <is>
          <t>RNCP37634</t>
        </is>
      </c>
      <c r="C87" t="inlineStr">
        <is>
          <t>Régisseur technique du spectacle et de l'évènementiel</t>
        </is>
      </c>
      <c r="D87" s="38" t="inlineStr">
        <is>
          <t>Expiré / remplacé</t>
        </is>
      </c>
      <c r="E87" t="inlineStr">
        <is>
          <t>Fiche inactive — remplacée par RNCP42042 (Régisseur technique du spectacle et de l'évènementiel - Options Son, Lumière ou Vidéo)</t>
        </is>
      </c>
      <c r="F87" t="inlineStr">
        <is>
          <t>RNCP42042</t>
        </is>
      </c>
      <c r="G87" t="inlineStr">
        <is>
          <t>Régisseur technique du spectacle et de l'évènementiel - Options Son, Lumière ou Vidéo</t>
        </is>
      </c>
      <c r="H87" t="inlineStr">
        <is>
          <t>45061 (Régie son) ; 45062 (Régie lumière) ; 45063 (Régie plateau) ; 45011 (Sécurité spectacle)</t>
        </is>
      </c>
      <c r="I87" t="inlineStr">
        <is>
          <t>31/05/2026</t>
        </is>
      </c>
    </row>
    <row r="88">
      <c r="A88" t="inlineStr"/>
      <c r="B88" t="inlineStr">
        <is>
          <t>RNCP37635</t>
        </is>
      </c>
      <c r="C88" t="inlineStr">
        <is>
          <t>Manager de commerce et de centre de profit</t>
        </is>
      </c>
      <c r="D88" s="38" t="inlineStr">
        <is>
          <t>Expiré / remplacé</t>
        </is>
      </c>
      <c r="E88" t="inlineStr">
        <is>
          <t>Fiche inactive — remplacée par RNCP42321 (Manager de commerce et de centre de profit)</t>
        </is>
      </c>
      <c r="F88" t="inlineStr">
        <is>
          <t>RNCP42321</t>
        </is>
      </c>
      <c r="G88" t="inlineStr">
        <is>
          <t>Manager de commerce et de centre de profit</t>
        </is>
      </c>
      <c r="H88" t="inlineStr">
        <is>
          <t>32024 (Gestion centre profit) ; 32145 (Management transversal) ; 32079 (Gestion performance) ; 32025 (Stratégie entreprise) ; 34554 (Commerce)</t>
        </is>
      </c>
      <c r="I88" t="inlineStr">
        <is>
          <t>31/05/2026</t>
        </is>
      </c>
    </row>
    <row r="89">
      <c r="A89" t="inlineStr"/>
      <c r="B89" t="inlineStr">
        <is>
          <t>RNCP37641</t>
        </is>
      </c>
      <c r="C89" t="inlineStr">
        <is>
          <t>Chargé d'affaires en immobilier</t>
        </is>
      </c>
      <c r="D89" s="38" t="inlineStr">
        <is>
          <t>Expiré / remplacé</t>
        </is>
      </c>
      <c r="E89" t="inlineStr">
        <is>
          <t>Fiche inactive — remplacée par RNCP41735 (Responsable de projets immobiliers)</t>
        </is>
      </c>
      <c r="F89" t="inlineStr">
        <is>
          <t>RNCP41735</t>
        </is>
      </c>
      <c r="G89" t="inlineStr">
        <is>
          <t>Responsable de projets immobiliers</t>
        </is>
      </c>
      <c r="H89" t="inlineStr">
        <is>
          <t>42184 (Agence immobilière) ; 42158 (Commercialisation immobilière) ; 42133 (Gestion immobilière) ; 42186 (Promotion immobilière)</t>
        </is>
      </c>
      <c r="I89" t="inlineStr">
        <is>
          <t>31/05/2026</t>
        </is>
      </c>
    </row>
    <row r="90">
      <c r="A90" t="inlineStr"/>
      <c r="B90" t="inlineStr">
        <is>
          <t>RNCP37658</t>
        </is>
      </c>
      <c r="C90" t="inlineStr">
        <is>
          <t>Manager de la communication</t>
        </is>
      </c>
      <c r="D90" s="38" t="inlineStr">
        <is>
          <t>Expiré / remplacé</t>
        </is>
      </c>
      <c r="E90" t="inlineStr">
        <is>
          <t>Fiche inactive — remplacée par RNCP42474 (Manager de la communication)</t>
        </is>
      </c>
      <c r="F90" t="inlineStr">
        <is>
          <t>RNCP42474</t>
        </is>
      </c>
      <c r="G90" t="inlineStr">
        <is>
          <t>Manager de la communication</t>
        </is>
      </c>
      <c r="H90" t="inlineStr">
        <is>
          <t>46301 (Communication entreprise) ; 32037 (Gestion communication crise) ; 34074 (Publicité)</t>
        </is>
      </c>
      <c r="I90" t="inlineStr">
        <is>
          <t>31/05/2026</t>
        </is>
      </c>
    </row>
    <row r="91">
      <c r="A91" t="inlineStr"/>
      <c r="B91" t="inlineStr">
        <is>
          <t>RNCP37659</t>
        </is>
      </c>
      <c r="C91" t="inlineStr">
        <is>
          <t>Fumiste, option ramoneur, option poêlier-âtrier (CTM)</t>
        </is>
      </c>
      <c r="D91" s="38" t="inlineStr">
        <is>
          <t>Expiré / remplacé</t>
        </is>
      </c>
      <c r="E91" t="inlineStr">
        <is>
          <t>Fiche inactive — remplacée par RNCP42343 (Fumiste, option ramoneur, option poêlier-âtrier (CTM))</t>
        </is>
      </c>
      <c r="F91" t="inlineStr">
        <is>
          <t>RNCP42343</t>
        </is>
      </c>
      <c r="G91" t="inlineStr">
        <is>
          <t>Fumiste, option ramoneur, option poêlier-âtrier (CTM)</t>
        </is>
      </c>
      <c r="H91" t="inlineStr">
        <is>
          <t>22657 (Fumisterie)</t>
        </is>
      </c>
      <c r="I91" t="inlineStr">
        <is>
          <t>31/05/2026</t>
        </is>
      </c>
    </row>
    <row r="92">
      <c r="A92" t="inlineStr"/>
      <c r="B92" t="inlineStr">
        <is>
          <t>RNCP37940</t>
        </is>
      </c>
      <c r="C92" t="inlineStr">
        <is>
          <t>TP - Monteur-dépanneur en climatisation</t>
        </is>
      </c>
      <c r="D92" s="38" t="inlineStr">
        <is>
          <t>Expiré / remplacé</t>
        </is>
      </c>
      <c r="E92" t="inlineStr">
        <is>
          <t>Fiche inactive — remplacée par RNCP41871 (Installateur en pompe à chaleur et climatisation)</t>
        </is>
      </c>
      <c r="F92" t="inlineStr">
        <is>
          <t>RNCP41871</t>
        </is>
      </c>
      <c r="G92" t="inlineStr">
        <is>
          <t>Installateur en pompe à chaleur et climatisation</t>
        </is>
      </c>
      <c r="H92" t="inlineStr">
        <is>
          <t>22675 (Pompe à chaleur) ; 22635 (Climatisation)</t>
        </is>
      </c>
      <c r="I92" t="inlineStr">
        <is>
          <t>26/02/2026</t>
        </is>
      </c>
    </row>
    <row r="93">
      <c r="A93" t="inlineStr"/>
      <c r="B93" t="inlineStr">
        <is>
          <t>RNCP38676</t>
        </is>
      </c>
      <c r="C93" t="inlineStr">
        <is>
          <t>TP - Manager d'unité marchande</t>
        </is>
      </c>
      <c r="D93" s="38" t="inlineStr">
        <is>
          <t>Expiré / remplacé</t>
        </is>
      </c>
      <c r="E93" t="inlineStr">
        <is>
          <t>Fiche inactive — remplacée par RNCP41853 (Manager d’établissement marchand)</t>
        </is>
      </c>
      <c r="F93" t="inlineStr">
        <is>
          <t>RNCP41853</t>
        </is>
      </c>
      <c r="G93" t="inlineStr">
        <is>
          <t>Manager d’établissement marchand</t>
        </is>
      </c>
      <c r="H93" t="inlineStr">
        <is>
          <t>34587 (Grande distribution) ; 32154 (Encadrement management) ; 34588 (Gestion point vente) ; 34559 (Gestion rayon) ; 34502 (Vente spécialisée)</t>
        </is>
      </c>
      <c r="I93" t="inlineStr">
        <is>
          <t>03/03/2026</t>
        </is>
      </c>
    </row>
    <row r="94">
      <c r="A94" t="inlineStr"/>
      <c r="B94" t="inlineStr">
        <is>
          <t>RNCP38777</t>
        </is>
      </c>
      <c r="C94" t="inlineStr">
        <is>
          <t>Architecte en intelligence artificielle</t>
        </is>
      </c>
      <c r="D94" s="38" t="inlineStr">
        <is>
          <t>Expiré / remplacé</t>
        </is>
      </c>
      <c r="E94" t="inlineStr">
        <is>
          <t>Fiche inactive — remplacée par RNCP41993 (Architecte en intelligence artificielle)</t>
        </is>
      </c>
      <c r="F94" t="inlineStr">
        <is>
          <t>RNCP41993</t>
        </is>
      </c>
      <c r="G94" t="inlineStr">
        <is>
          <t>Architecte en intelligence artificielle</t>
        </is>
      </c>
      <c r="H94" t="inlineStr">
        <is>
          <t>31026 (Data science) ; 31028 (Intelligence artificielle) ; 31008 (Système information) ; 31085 (Informatisation des processus)</t>
        </is>
      </c>
      <c r="I94" t="inlineStr">
        <is>
          <t>27/03/2026</t>
        </is>
      </c>
    </row>
    <row r="95">
      <c r="A95" t="inlineStr"/>
      <c r="B95" t="inlineStr">
        <is>
          <t>RNCP38784</t>
        </is>
      </c>
      <c r="C95" t="inlineStr">
        <is>
          <t>CQP Assembleur-monteur de menuiseries extérieures en plasturgie</t>
        </is>
      </c>
      <c r="D95" s="38" t="inlineStr">
        <is>
          <t>Expiré / remplacé</t>
        </is>
      </c>
      <c r="E95" t="inlineStr">
        <is>
          <t>Fiche inactive (échéance 27/03/2026) — aucun successeur publié</t>
        </is>
      </c>
      <c r="F95" t="inlineStr">
        <is>
          <t>RNCP38784</t>
        </is>
      </c>
      <c r="G95" t="inlineStr">
        <is>
          <t>CQP Assembleur-monteur de menuiseries extérieures en plasturgie</t>
        </is>
      </c>
      <c r="H95" t="inlineStr">
        <is>
          <t>22417 (Menuiserie plastique) ; 23021 (Plasturgie)</t>
        </is>
      </c>
      <c r="I95" t="inlineStr">
        <is>
          <t>27/03/2026</t>
        </is>
      </c>
    </row>
    <row r="96">
      <c r="A96" t="inlineStr"/>
      <c r="B96" t="inlineStr">
        <is>
          <t>RNCP38803</t>
        </is>
      </c>
      <c r="C96" t="inlineStr">
        <is>
          <t>Cadreur monteur – vidéaste</t>
        </is>
      </c>
      <c r="D96" s="38" t="inlineStr">
        <is>
          <t>Expiré / remplacé</t>
        </is>
      </c>
      <c r="E96" t="inlineStr">
        <is>
          <t>Fiche inactive — remplacée par RNCP41667 (Cadreur - monteur - vidéaste)</t>
        </is>
      </c>
      <c r="F96" t="inlineStr">
        <is>
          <t>RNCP41667</t>
        </is>
      </c>
      <c r="G96" t="inlineStr">
        <is>
          <t>Cadreur - monteur - vidéaste</t>
        </is>
      </c>
      <c r="H96" t="inlineStr">
        <is>
          <t>46281 (Prise de vue) ; 46282 (Régie cinéma télévision) ; 46269 (Montage audiovisuel)</t>
        </is>
      </c>
      <c r="I96" t="inlineStr">
        <is>
          <t>27/03/2026</t>
        </is>
      </c>
    </row>
    <row r="97">
      <c r="A97" t="inlineStr"/>
      <c r="B97" t="inlineStr">
        <is>
          <t>RNCP38947</t>
        </is>
      </c>
      <c r="C97" t="inlineStr">
        <is>
          <t>Manager du commerce de l'art</t>
        </is>
      </c>
      <c r="D97" s="38" t="inlineStr">
        <is>
          <t>Expiré / remplacé</t>
        </is>
      </c>
      <c r="E97" t="inlineStr">
        <is>
          <t>Fiche inactive — remplacée par RNCP42080 (Manager du commerce de l'art)</t>
        </is>
      </c>
      <c r="F97" t="inlineStr">
        <is>
          <t>RNCP42080</t>
        </is>
      </c>
      <c r="G97" t="inlineStr">
        <is>
          <t>Manager du commerce de l'art</t>
        </is>
      </c>
      <c r="H97" t="inlineStr">
        <is>
          <t>13096 (Politique culturelle) ; 45075 (Commerce art)</t>
        </is>
      </c>
      <c r="I97" t="inlineStr">
        <is>
          <t>26/04/2026</t>
        </is>
      </c>
    </row>
    <row r="98">
      <c r="A98" t="inlineStr"/>
      <c r="B98" t="inlineStr">
        <is>
          <t>RNCP40214</t>
        </is>
      </c>
      <c r="C98" t="inlineStr">
        <is>
          <t>TP - Dessinateur projeteur en béton armé</t>
        </is>
      </c>
      <c r="D98" s="38" t="inlineStr">
        <is>
          <t>Expiré / remplacé</t>
        </is>
      </c>
      <c r="E98" t="inlineStr">
        <is>
          <t>Fiche inactive — remplacée par RNCP42281 (Dessinateur projeteur en béton armé)</t>
        </is>
      </c>
      <c r="F98" t="inlineStr">
        <is>
          <t>RNCP42281</t>
        </is>
      </c>
      <c r="G98" t="inlineStr">
        <is>
          <t>Dessinateur projeteur en béton armé</t>
        </is>
      </c>
      <c r="H98" t="inlineStr">
        <is>
          <t>22252 (Dessin BTP)</t>
        </is>
      </c>
      <c r="I98" t="inlineStr">
        <is>
          <t>11/06/2026</t>
        </is>
      </c>
    </row>
    <row r="99">
      <c r="A99" t="inlineStr"/>
      <c r="B99" t="inlineStr">
        <is>
          <t>RNCP41106</t>
        </is>
      </c>
      <c r="C99" t="inlineStr">
        <is>
          <t>Peintre industriel option anticorrosion, option aéronautique</t>
        </is>
      </c>
      <c r="D99" s="38" t="inlineStr">
        <is>
          <t>Expiré / remplacé</t>
        </is>
      </c>
      <c r="E99" t="inlineStr">
        <is>
          <t>Fiche inactive — remplacée par RNCP41815 (Peintre industriel)</t>
        </is>
      </c>
      <c r="F99" t="inlineStr">
        <is>
          <t>RNCP41815</t>
        </is>
      </c>
      <c r="G99" t="inlineStr">
        <is>
          <t>Peintre industriel</t>
        </is>
      </c>
      <c r="H99" t="inlineStr">
        <is>
          <t>23053 (Peinture industrielle)</t>
        </is>
      </c>
      <c r="I99" t="inlineStr">
        <is>
          <t>18/12/2025</t>
        </is>
      </c>
    </row>
    <row r="100">
      <c r="A100" s="41" t="inlineStr">
        <is>
          <t>●</t>
        </is>
      </c>
      <c r="B100" t="inlineStr">
        <is>
          <t>RNCP36086</t>
        </is>
      </c>
      <c r="C100" t="inlineStr">
        <is>
          <t>CQP Ajusteur assembleur de structures aéronefs</t>
        </is>
      </c>
      <c r="D100" s="37" t="inlineStr">
        <is>
          <t>À vérifier</t>
        </is>
      </c>
      <c r="E100" t="inlineStr">
        <is>
          <t>Successeur déjà publié : RNCP42657 (CQP Ajusteur assembleur de structures aéronefs) — préparer la bascule de l'offre CPF | Échéance le 15/12/2026 (dans 150 j)</t>
        </is>
      </c>
      <c r="F100" t="inlineStr">
        <is>
          <t>RNCP42657</t>
        </is>
      </c>
      <c r="G100" t="inlineStr">
        <is>
          <t>CQP Ajusteur assembleur de structures aéronefs</t>
        </is>
      </c>
      <c r="H100" t="inlineStr">
        <is>
          <t>23035 (Montage assemblage)</t>
        </is>
      </c>
      <c r="I100" t="inlineStr">
        <is>
          <t>15/12/2026</t>
        </is>
      </c>
    </row>
    <row r="101">
      <c r="A101" s="41" t="inlineStr">
        <is>
          <t>●</t>
        </is>
      </c>
      <c r="B101" t="inlineStr">
        <is>
          <t>RNCP37778</t>
        </is>
      </c>
      <c r="C101" t="inlineStr">
        <is>
          <t>Développeur de solutions numériques sécurisées</t>
        </is>
      </c>
      <c r="D101" s="37" t="inlineStr">
        <is>
          <t>À vérifier</t>
        </is>
      </c>
      <c r="E101" t="inlineStr">
        <is>
          <t>Successeur déjà publié : RNCP42620 (Développeur de solutions numériques sécurisées) — préparer la bascule de l'offre CPF | Échéance le 19/07/2026 (dans 1 j)</t>
        </is>
      </c>
      <c r="F101" t="inlineStr">
        <is>
          <t>RNCP42620</t>
        </is>
      </c>
      <c r="G101" t="inlineStr">
        <is>
          <t>Développeur de solutions numériques sécurisées</t>
        </is>
      </c>
      <c r="H101" t="inlineStr">
        <is>
          <t>31067 (Développement informatique) ; 31006 (Sécurité informatique)</t>
        </is>
      </c>
      <c r="I101" t="inlineStr">
        <is>
          <t>19/07/2026</t>
        </is>
      </c>
    </row>
    <row r="102">
      <c r="A102" s="41" t="inlineStr">
        <is>
          <t>●</t>
        </is>
      </c>
      <c r="B102" t="inlineStr">
        <is>
          <t>RNCP38038</t>
        </is>
      </c>
      <c r="C102" t="inlineStr">
        <is>
          <t>Développeur concepteur logiciel</t>
        </is>
      </c>
      <c r="D102" s="37" t="inlineStr">
        <is>
          <t>À vérifier</t>
        </is>
      </c>
      <c r="E102" t="inlineStr">
        <is>
          <t>Successeur déjà publié : RNCP42641 (Développeur full stack) — préparer la bascule de l'offre CPF | Échéance le 20/09/2026 (dans 64 j)</t>
        </is>
      </c>
      <c r="F102" t="inlineStr">
        <is>
          <t>RNCP42641</t>
        </is>
      </c>
      <c r="G102" t="inlineStr">
        <is>
          <t>Développeur full stack</t>
        </is>
      </c>
      <c r="H102" t="inlineStr">
        <is>
          <t>31067 (Développement informatique) ; 31057 (Génie logiciel)</t>
        </is>
      </c>
      <c r="I102" t="inlineStr">
        <is>
          <t>20/09/2026</t>
        </is>
      </c>
    </row>
    <row r="103">
      <c r="A103" t="inlineStr"/>
      <c r="B103" t="inlineStr">
        <is>
          <t>RNCP35185</t>
        </is>
      </c>
      <c r="C103" t="inlineStr">
        <is>
          <t>BAC PRO - Technicien conseil vente en alimentation (produits alimentaires et boissons)</t>
        </is>
      </c>
      <c r="D103" s="37" t="inlineStr">
        <is>
          <t>À vérifier</t>
        </is>
      </c>
      <c r="E103" t="inlineStr">
        <is>
          <t>Successeur déjà publié : RNCP41938 (Technicien conseil vente en alimentation (produits alimentaires et boissons)) — préparer la bascule de l'offre CPF | Échéance le 01/09/2026 (dans 45 j)</t>
        </is>
      </c>
      <c r="F103" t="inlineStr">
        <is>
          <t>RNCP41938</t>
        </is>
      </c>
      <c r="G103" t="inlineStr">
        <is>
          <t>Technicien conseil vente en alimentation (produits alimentaires et boissons)</t>
        </is>
      </c>
      <c r="H103" t="inlineStr">
        <is>
          <t>34525 (Vente produit alimentaire)</t>
        </is>
      </c>
      <c r="I103" t="inlineStr">
        <is>
          <t>01/09/2026</t>
        </is>
      </c>
    </row>
    <row r="104">
      <c r="A104" t="inlineStr"/>
      <c r="B104" t="inlineStr">
        <is>
          <t>RNCP35317</t>
        </is>
      </c>
      <c r="C104" t="inlineStr">
        <is>
          <t>Certificat d'aptitude professionnelle - Production et service en restaurations (rapide, collective, cafétéria)</t>
        </is>
      </c>
      <c r="D104" s="37" t="inlineStr">
        <is>
          <t>À vérifier</t>
        </is>
      </c>
      <c r="E104" t="inlineStr">
        <is>
          <t>Successeur déjà publié : RNCP42120 (Production et service en restauration (rapide, collective, cafétéria)) — préparer la bascule de l'offre CPF | Échéance le 31/08/2026 (dans 44 j)</t>
        </is>
      </c>
      <c r="F104" t="inlineStr">
        <is>
          <t>RNCP42120</t>
        </is>
      </c>
      <c r="G104" t="inlineStr">
        <is>
          <t>Production et service en restauration (rapide, collective, cafétéria)</t>
        </is>
      </c>
      <c r="H104" t="inlineStr">
        <is>
          <t>42746 (Restauration) ; 42729 (Gestion restauration collective) ; 42725 (Restauration rapide)</t>
        </is>
      </c>
      <c r="I104" t="inlineStr">
        <is>
          <t>31/08/2026</t>
        </is>
      </c>
    </row>
    <row r="105">
      <c r="A105" t="inlineStr"/>
      <c r="B105" t="inlineStr">
        <is>
          <t>RNCP35513</t>
        </is>
      </c>
      <c r="C105" t="inlineStr">
        <is>
          <t>BUT - Carrières Sociales : Coordination et Gestion des Établissements et Services Sanitaires et Sociaux</t>
        </is>
      </c>
      <c r="D105" s="37" t="inlineStr">
        <is>
          <t>À vérifier</t>
        </is>
      </c>
      <c r="E105" t="inlineStr">
        <is>
          <t>Successeur déjà publié : RNCP41553 (Carrières sociales : Coordination et gestion des établissements et services sanitaires et sociaux) — préparer la bascule de l'offre CPF | Échéance le 31/08/2026 (dans 44 j)</t>
        </is>
      </c>
      <c r="F105" t="inlineStr">
        <is>
          <t>RNCP41553</t>
        </is>
      </c>
      <c r="G105" t="inlineStr">
        <is>
          <t>Carrières sociales : Coordination et gestion des établissements et services sanitaires et sociaux</t>
        </is>
      </c>
      <c r="H105" t="inlineStr">
        <is>
          <t>43435 (Encadrement santé) ; 42082 (Gestion structure service à la personne)</t>
        </is>
      </c>
      <c r="I105" t="inlineStr">
        <is>
          <t>31/08/2026</t>
        </is>
      </c>
    </row>
    <row r="106">
      <c r="A106" t="inlineStr"/>
      <c r="B106" t="inlineStr">
        <is>
          <t>RNCP35517</t>
        </is>
      </c>
      <c r="C106" t="inlineStr">
        <is>
          <t>CS - Services numériques aux organisations</t>
        </is>
      </c>
      <c r="D106" s="37" t="inlineStr">
        <is>
          <t>À vérifier</t>
        </is>
      </c>
      <c r="E106" t="inlineStr">
        <is>
          <t>Successeur déjà publié : RNCP41844 (Services numériques aux organisations) — préparer la bascule de l'offre CPF | Échéance le 31/08/2026 (dans 44 j)</t>
        </is>
      </c>
      <c r="F106" t="inlineStr">
        <is>
          <t>RNCP41844</t>
        </is>
      </c>
      <c r="G106" t="inlineStr">
        <is>
          <t>Services numériques aux organisations</t>
        </is>
      </c>
      <c r="H106" t="inlineStr">
        <is>
          <t>44527 (Médiation numérique) ; 31006 (Sécurité informatique) ; 15052 (Bureautique)</t>
        </is>
      </c>
      <c r="I106" t="inlineStr">
        <is>
          <t>31/08/2026</t>
        </is>
      </c>
    </row>
    <row r="107">
      <c r="A107" t="inlineStr"/>
      <c r="B107" t="inlineStr">
        <is>
          <t>RNCP35639</t>
        </is>
      </c>
      <c r="C107" t="inlineStr">
        <is>
          <t>CS - Art de la dorure à chaud</t>
        </is>
      </c>
      <c r="D107" s="37" t="inlineStr">
        <is>
          <t>À vérifier</t>
        </is>
      </c>
      <c r="E107" t="inlineStr">
        <is>
          <t>Successeur déjà publié : RNCP42017 (Art de la dorure à chaud) — préparer la bascule de l'offre CPF | Échéance le 31/08/2026 (dans 44 j)</t>
        </is>
      </c>
      <c r="F107" t="inlineStr">
        <is>
          <t>RNCP42017</t>
        </is>
      </c>
      <c r="G107" t="inlineStr">
        <is>
          <t>Art de la dorure à chaud</t>
        </is>
      </c>
      <c r="H107" t="inlineStr">
        <is>
          <t>45540 (Dorure art)</t>
        </is>
      </c>
      <c r="I107" t="inlineStr">
        <is>
          <t>31/08/2026</t>
        </is>
      </c>
    </row>
    <row r="108">
      <c r="A108" t="inlineStr"/>
      <c r="B108" t="inlineStr">
        <is>
          <t>RNCP35640</t>
        </is>
      </c>
      <c r="C108" t="inlineStr">
        <is>
          <t>CAP - Arts de la dentelle, options fuseaux et aiguille</t>
        </is>
      </c>
      <c r="D108" s="37" t="inlineStr">
        <is>
          <t>À vérifier</t>
        </is>
      </c>
      <c r="E108" t="inlineStr">
        <is>
          <t>Successeur déjà publié : RNCP42132 (Arts de la dentelle, options fuseaux et aiguille) — préparer la bascule de l'offre CPF | Échéance le 31/08/2026 (dans 44 j)</t>
        </is>
      </c>
      <c r="F108" t="inlineStr">
        <is>
          <t>RNCP42132</t>
        </is>
      </c>
      <c r="G108" t="inlineStr">
        <is>
          <t>Arts de la dentelle, options fuseaux et aiguille</t>
        </is>
      </c>
      <c r="H108" t="inlineStr">
        <is>
          <t>45531 (Dentellerie broderie artisanale) ; 31620 (Conduite installation industrielle) ; 21625 (Ennoblissement textile) ; 21650 (Machine filature) ; 21620 (Métier à tisser)</t>
        </is>
      </c>
      <c r="I108" t="inlineStr">
        <is>
          <t>31/08/2026</t>
        </is>
      </c>
    </row>
    <row r="109">
      <c r="A109" t="inlineStr"/>
      <c r="B109" t="inlineStr">
        <is>
          <t>RNCP35696</t>
        </is>
      </c>
      <c r="C109" t="inlineStr">
        <is>
          <t>CAP - Interventions en maintenance technique des bâtiments</t>
        </is>
      </c>
      <c r="D109" s="37" t="inlineStr">
        <is>
          <t>À vérifier</t>
        </is>
      </c>
      <c r="E109" t="inlineStr">
        <is>
          <t>Successeur déjà publié : RNCP41833 (Interventions en maintenance technique des bâtiments) — préparer la bascule de l'offre CPF | Échéance le 31/08/2026 (dans 44 j)</t>
        </is>
      </c>
      <c r="F109" t="inlineStr">
        <is>
          <t>RNCP41833</t>
        </is>
      </c>
      <c r="G109" t="inlineStr">
        <is>
          <t>Interventions en maintenance technique des bâtiments</t>
        </is>
      </c>
      <c r="H109" t="inlineStr">
        <is>
          <t>22486 (Maintenance bâtiment)</t>
        </is>
      </c>
      <c r="I109" t="inlineStr">
        <is>
          <t>31/08/2026</t>
        </is>
      </c>
    </row>
    <row r="110">
      <c r="A110" t="inlineStr"/>
      <c r="B110" t="inlineStr">
        <is>
          <t>RNCP35698</t>
        </is>
      </c>
      <c r="C110" t="inlineStr">
        <is>
          <t>BAC PRO - Maintenance des Systèmes de Production Connectés</t>
        </is>
      </c>
      <c r="D110" s="37" t="inlineStr">
        <is>
          <t>À vérifier</t>
        </is>
      </c>
      <c r="E110" t="inlineStr">
        <is>
          <t>Successeur déjà publié : RNCP42118 (Maintenance des Systèmes de Production Connectés) — préparer la bascule de l'offre CPF | Échéance le 31/08/2026 (dans 44 j)</t>
        </is>
      </c>
      <c r="F110" t="inlineStr">
        <is>
          <t>RNCP42118</t>
        </is>
      </c>
      <c r="G110" t="inlineStr">
        <is>
          <t>Maintenance des Systèmes de Production Connectés</t>
        </is>
      </c>
      <c r="H110" t="inlineStr">
        <is>
          <t>31624 (Maintenance industrielle)</t>
        </is>
      </c>
      <c r="I110" t="inlineStr">
        <is>
          <t>31/08/2026</t>
        </is>
      </c>
    </row>
    <row r="111">
      <c r="A111" t="inlineStr"/>
      <c r="B111" t="inlineStr">
        <is>
          <t>RNCP35699</t>
        </is>
      </c>
      <c r="C111" t="inlineStr">
        <is>
          <t>CAP - Assistant luthier du quatuor</t>
        </is>
      </c>
      <c r="D111" s="37" t="inlineStr">
        <is>
          <t>À vérifier</t>
        </is>
      </c>
      <c r="E111" t="inlineStr">
        <is>
          <t>Successeur déjà publié : RNCP42108 (Assistant luthier du quatuor) — préparer la bascule de l'offre CPF | Échéance le 31/08/2026 (dans 44 j)</t>
        </is>
      </c>
      <c r="F111" t="inlineStr">
        <is>
          <t>RNCP42108</t>
        </is>
      </c>
      <c r="G111" t="inlineStr">
        <is>
          <t>Assistant luthier du quatuor</t>
        </is>
      </c>
      <c r="H111" t="inlineStr">
        <is>
          <t>45595 (Lutherie)</t>
        </is>
      </c>
      <c r="I111" t="inlineStr">
        <is>
          <t>31/08/2026</t>
        </is>
      </c>
    </row>
    <row r="112">
      <c r="A112" t="inlineStr"/>
      <c r="B112" t="inlineStr">
        <is>
          <t>RNCP35706</t>
        </is>
      </c>
      <c r="C112" t="inlineStr">
        <is>
          <t>TP - Responsable de développement touristique territorial</t>
        </is>
      </c>
      <c r="D112" s="37" t="inlineStr">
        <is>
          <t>À vérifier</t>
        </is>
      </c>
      <c r="E112" t="inlineStr">
        <is>
          <t>Successeur déjà publié : RNCP42430 (Chargé de développement touristique territorial) — préparer la bascule de l'offre CPF | Échéance le 02/08/2026 (dans 15 j)</t>
        </is>
      </c>
      <c r="F112" t="inlineStr">
        <is>
          <t>RNCP42430</t>
        </is>
      </c>
      <c r="G112" t="inlineStr">
        <is>
          <t>Chargé de développement touristique territorial</t>
        </is>
      </c>
      <c r="H112" t="inlineStr">
        <is>
          <t>12516 (Aménagement touristique) ; 42638 (Développement touristique)</t>
        </is>
      </c>
      <c r="I112" t="inlineStr">
        <is>
          <t>02/08/2026</t>
        </is>
      </c>
    </row>
    <row r="113">
      <c r="A113" t="inlineStr"/>
      <c r="B113" t="inlineStr">
        <is>
          <t>RNCP35715</t>
        </is>
      </c>
      <c r="C113" t="inlineStr">
        <is>
          <t>CAP - Maçon</t>
        </is>
      </c>
      <c r="D113" s="37" t="inlineStr">
        <is>
          <t>À vérifier</t>
        </is>
      </c>
      <c r="E113" t="inlineStr">
        <is>
          <t>Successeur déjà publié : RNCP41830 (Maçon) — préparer la bascule de l'offre CPF | Échéance le 31/08/2026 (dans 44 j)</t>
        </is>
      </c>
      <c r="F113" t="inlineStr">
        <is>
          <t>RNCP41830</t>
        </is>
      </c>
      <c r="G113" t="inlineStr">
        <is>
          <t>Maçon</t>
        </is>
      </c>
      <c r="H113" t="inlineStr">
        <is>
          <t>22395 (Construction béton) ; 22334 (Maçonnerie)</t>
        </is>
      </c>
      <c r="I113" t="inlineStr">
        <is>
          <t>31/08/2026</t>
        </is>
      </c>
    </row>
    <row r="114">
      <c r="A114" t="inlineStr"/>
      <c r="B114" t="inlineStr">
        <is>
          <t>RNCP35800</t>
        </is>
      </c>
      <c r="C114" t="inlineStr">
        <is>
          <t>Brevet de technicien supérieur - Commerce international</t>
        </is>
      </c>
      <c r="D114" s="37" t="inlineStr">
        <is>
          <t>À vérifier</t>
        </is>
      </c>
      <c r="E114" t="inlineStr">
        <is>
          <t>Successeur déjà publié : RNCP41759 (Commerce international) — préparer la bascule de l'offre CPF | Échéance le 31/08/2026 (dans 44 j)</t>
        </is>
      </c>
      <c r="F114" t="inlineStr">
        <is>
          <t>RNCP41759</t>
        </is>
      </c>
      <c r="G114" t="inlineStr">
        <is>
          <t>Commerce international</t>
        </is>
      </c>
      <c r="H114" t="inlineStr">
        <is>
          <t>34254 (Commerce international) ; 34582 (Négociation commerciale) ; 34593 (Prospection vente)</t>
        </is>
      </c>
      <c r="I114" t="inlineStr">
        <is>
          <t>31/08/2026</t>
        </is>
      </c>
    </row>
    <row r="115">
      <c r="A115" t="inlineStr"/>
      <c r="B115" t="inlineStr">
        <is>
          <t>RNCP35801</t>
        </is>
      </c>
      <c r="C115" t="inlineStr">
        <is>
          <t>Brevet de technicien supérieur - Conseil et commercialisation de solutions techniques</t>
        </is>
      </c>
      <c r="D115" s="37" t="inlineStr">
        <is>
          <t>À vérifier</t>
        </is>
      </c>
      <c r="E115" t="inlineStr">
        <is>
          <t>Successeur déjà publié : RNCP41757 (Conseil et commercialisation de solutions techniques) — préparer la bascule de l'offre CPF | Échéance le 31/08/2026 (dans 44 j)</t>
        </is>
      </c>
      <c r="F115" t="inlineStr">
        <is>
          <t>RNCP41757</t>
        </is>
      </c>
      <c r="G115" t="inlineStr">
        <is>
          <t>Conseil et commercialisation de solutions techniques</t>
        </is>
      </c>
      <c r="H115" t="inlineStr">
        <is>
          <t>34581 (Technico-commercial)</t>
        </is>
      </c>
      <c r="I115" t="inlineStr">
        <is>
          <t>31/08/2026</t>
        </is>
      </c>
    </row>
    <row r="116">
      <c r="A116" t="inlineStr"/>
      <c r="B116" t="inlineStr">
        <is>
          <t>RNCP35802</t>
        </is>
      </c>
      <c r="C116" t="inlineStr">
        <is>
          <t>BTS - Management économique de la construction</t>
        </is>
      </c>
      <c r="D116" s="37" t="inlineStr">
        <is>
          <t>À vérifier</t>
        </is>
      </c>
      <c r="E116" t="inlineStr">
        <is>
          <t>Successeur déjà publié : RNCP41826 (Management économique de la construction) — préparer la bascule de l'offre CPF | Échéance le 31/08/2026 (dans 44 j)</t>
        </is>
      </c>
      <c r="F116" t="inlineStr">
        <is>
          <t>RNCP41826</t>
        </is>
      </c>
      <c r="G116" t="inlineStr">
        <is>
          <t>Management économique de la construction</t>
        </is>
      </c>
      <c r="H116" t="inlineStr">
        <is>
          <t>22293 (Conduite travaux BTP) ; 22279 (Maîtrise d'oeuvre BTP) ; 22259 (Marché travaux) ; 22230 (Métré spécialisé) ; 22374 (Construction)</t>
        </is>
      </c>
      <c r="I116" t="inlineStr">
        <is>
          <t>31/08/2026</t>
        </is>
      </c>
    </row>
    <row r="117">
      <c r="A117" t="inlineStr"/>
      <c r="B117" t="inlineStr">
        <is>
          <t>RNCP35803</t>
        </is>
      </c>
      <c r="C117" t="inlineStr">
        <is>
          <t>BTS - Métiers de la mesure</t>
        </is>
      </c>
      <c r="D117" s="37" t="inlineStr">
        <is>
          <t>À vérifier</t>
        </is>
      </c>
      <c r="E117" t="inlineStr">
        <is>
          <t>Successeur déjà publié : RNCP41832 (Métiers de la mesure) — préparer la bascule de l'offre CPF | Échéance le 31/08/2026 (dans 44 j)</t>
        </is>
      </c>
      <c r="F117" t="inlineStr">
        <is>
          <t>RNCP41832</t>
        </is>
      </c>
      <c r="G117" t="inlineStr">
        <is>
          <t>Métiers de la mesure</t>
        </is>
      </c>
      <c r="H117" t="inlineStr">
        <is>
          <t>11523 (Analyse chimique) ; 11421 (Thermométrie) ; 24351 (Mesure électronique)</t>
        </is>
      </c>
      <c r="I117" t="inlineStr">
        <is>
          <t>31/08/2026</t>
        </is>
      </c>
    </row>
    <row r="118">
      <c r="A118" t="inlineStr"/>
      <c r="B118" t="inlineStr">
        <is>
          <t>RNCP35807</t>
        </is>
      </c>
      <c r="C118" t="inlineStr">
        <is>
          <t>BAC PRO - Métiers de l'entretien des textiles option A : blanchisserie, option B : pressing</t>
        </is>
      </c>
      <c r="D118" s="37" t="inlineStr">
        <is>
          <t>À vérifier</t>
        </is>
      </c>
      <c r="E118" t="inlineStr">
        <is>
          <t>Successeur déjà publié : RNCP42128 (métiers de l'entretien des textiles option A : blanchisserie, option B : pressing) — préparer la bascule de l'offre CPF | Échéance le 31/08/2026 (dans 44 j)</t>
        </is>
      </c>
      <c r="F118" t="inlineStr">
        <is>
          <t>RNCP42128</t>
        </is>
      </c>
      <c r="G118" t="inlineStr">
        <is>
          <t>métiers de l'entretien des textiles option A : blanchisserie, option B : pressing</t>
        </is>
      </c>
      <c r="H118" t="inlineStr">
        <is>
          <t>42097 (Blanchisserie) ; 42095 (Teinturerie pressing)</t>
        </is>
      </c>
      <c r="I118" t="inlineStr">
        <is>
          <t>31/08/2026</t>
        </is>
      </c>
    </row>
    <row r="119">
      <c r="A119" t="inlineStr"/>
      <c r="B119" t="inlineStr">
        <is>
          <t>RNCP35808</t>
        </is>
      </c>
      <c r="C119" t="inlineStr">
        <is>
          <t>CAP - Métiers de l’entretien des textiles, option A : blanchisserie, option B : pressing</t>
        </is>
      </c>
      <c r="D119" s="37" t="inlineStr">
        <is>
          <t>À vérifier</t>
        </is>
      </c>
      <c r="E119" t="inlineStr">
        <is>
          <t>Successeur déjà publié : RNCP42127 (Métiers de l’entretien des textiles, option A : blanchisserie, option B : pressing) — préparer la bascule de l'offre CPF | Échéance le 31/08/2026 (dans 44 j)</t>
        </is>
      </c>
      <c r="F119" t="inlineStr">
        <is>
          <t>RNCP42127</t>
        </is>
      </c>
      <c r="G119" t="inlineStr">
        <is>
          <t>Métiers de l’entretien des textiles, option A : blanchisserie, option B : pressing</t>
        </is>
      </c>
      <c r="H119" t="inlineStr">
        <is>
          <t>42097 (Blanchisserie) ; 42095 (Teinturerie pressing)</t>
        </is>
      </c>
      <c r="I119" t="inlineStr">
        <is>
          <t>31/08/2026</t>
        </is>
      </c>
    </row>
    <row r="120">
      <c r="A120" t="inlineStr"/>
      <c r="B120" t="inlineStr">
        <is>
          <t>RNCP35809</t>
        </is>
      </c>
      <c r="C120" t="inlineStr">
        <is>
          <t>BTS - Finition, aménagement des bâtiments : conception et réalisation</t>
        </is>
      </c>
      <c r="D120" s="37" t="inlineStr">
        <is>
          <t>À vérifier</t>
        </is>
      </c>
      <c r="E120" t="inlineStr">
        <is>
          <t>Successeur déjà publié : RNCP41827 (Finitions, aménagement des bâtiments : conception et réalisation) — préparer la bascule de l'offre CPF | Échéance le 31/08/2026 (dans 44 j)</t>
        </is>
      </c>
      <c r="F120" t="inlineStr">
        <is>
          <t>RNCP41827</t>
        </is>
      </c>
      <c r="G120" t="inlineStr">
        <is>
          <t>Finitions, aménagement des bâtiments : conception et réalisation</t>
        </is>
      </c>
      <c r="H120" t="inlineStr">
        <is>
          <t>22274 (Chantier BTP) ; 22248 (Gestion entreprise BTP)</t>
        </is>
      </c>
      <c r="I120" t="inlineStr">
        <is>
          <t>31/08/2026</t>
        </is>
      </c>
    </row>
    <row r="121">
      <c r="A121" t="inlineStr"/>
      <c r="B121" t="inlineStr">
        <is>
          <t>RNCP35823</t>
        </is>
      </c>
      <c r="C121" t="inlineStr">
        <is>
          <t>TP - Menuisier de fabrication bois et dérivés</t>
        </is>
      </c>
      <c r="D121" s="37" t="inlineStr">
        <is>
          <t>À vérifier</t>
        </is>
      </c>
      <c r="E121" t="inlineStr">
        <is>
          <t>Échéance le 24/10/2026 (dans 98 j)</t>
        </is>
      </c>
      <c r="F121" t="inlineStr">
        <is>
          <t>RNCP35823</t>
        </is>
      </c>
      <c r="G121" t="inlineStr">
        <is>
          <t>Menuisier de fabrication bois et dérivés</t>
        </is>
      </c>
      <c r="H121" t="inlineStr">
        <is>
          <t>22416 (Menuiserie bois)</t>
        </is>
      </c>
      <c r="I121" t="inlineStr">
        <is>
          <t>24/10/2026</t>
        </is>
      </c>
    </row>
    <row r="122">
      <c r="A122" t="inlineStr"/>
      <c r="B122" t="inlineStr">
        <is>
          <t>RNCP35824</t>
        </is>
      </c>
      <c r="C122" t="inlineStr">
        <is>
          <t>TP - conducteur d'engins de chantiers urbains</t>
        </is>
      </c>
      <c r="D122" s="37" t="inlineStr">
        <is>
          <t>À vérifier</t>
        </is>
      </c>
      <c r="E122" t="inlineStr">
        <is>
          <t>Échéance le 12/10/2026 (dans 86 j)</t>
        </is>
      </c>
      <c r="F122" t="inlineStr">
        <is>
          <t>RNCP35824</t>
        </is>
      </c>
      <c r="G122" t="inlineStr">
        <is>
          <t>conducteur d'engins de chantiers urbains</t>
        </is>
      </c>
      <c r="H122" t="inlineStr">
        <is>
          <t>31717 (Engin chantier)</t>
        </is>
      </c>
      <c r="I122" t="inlineStr">
        <is>
          <t>12/10/2026</t>
        </is>
      </c>
    </row>
    <row r="123">
      <c r="A123" t="inlineStr"/>
      <c r="B123" t="inlineStr">
        <is>
          <t>RNCP35825</t>
        </is>
      </c>
      <c r="C123" t="inlineStr">
        <is>
          <t>TP - Chargé de travaux en réseaux électriques aériens et souterrains</t>
        </is>
      </c>
      <c r="D123" s="37" t="inlineStr">
        <is>
          <t>À vérifier</t>
        </is>
      </c>
      <c r="E123" t="inlineStr">
        <is>
          <t>Échéance le 20/11/2026 (dans 125 j)</t>
        </is>
      </c>
      <c r="F123" t="inlineStr">
        <is>
          <t>RNCP35825</t>
        </is>
      </c>
      <c r="G123" t="inlineStr">
        <is>
          <t>Chargé de travaux en réseaux électriques aériens et souterrains</t>
        </is>
      </c>
      <c r="H123" t="inlineStr">
        <is>
          <t>24158 (Énergie électrique) ; 24086 (Distribution électricité) ; 24089 (Éclairage public)</t>
        </is>
      </c>
      <c r="I123" t="inlineStr">
        <is>
          <t>20/11/2026</t>
        </is>
      </c>
    </row>
    <row r="124">
      <c r="A124" t="inlineStr"/>
      <c r="B124" t="inlineStr">
        <is>
          <t>RNCP35826</t>
        </is>
      </c>
      <c r="C124" t="inlineStr">
        <is>
          <t>TP - Conducteur de grue à tour</t>
        </is>
      </c>
      <c r="D124" s="37" t="inlineStr">
        <is>
          <t>À vérifier</t>
        </is>
      </c>
      <c r="E124" t="inlineStr">
        <is>
          <t>Échéance le 15/09/2026 (dans 59 j)</t>
        </is>
      </c>
      <c r="F124" t="inlineStr">
        <is>
          <t>RNCP35826</t>
        </is>
      </c>
      <c r="G124" t="inlineStr">
        <is>
          <t>Conducteur de grue à tour</t>
        </is>
      </c>
      <c r="H124" t="inlineStr">
        <is>
          <t>31708 (Grue)</t>
        </is>
      </c>
      <c r="I124" t="inlineStr">
        <is>
          <t>15/09/2026</t>
        </is>
      </c>
    </row>
    <row r="125">
      <c r="A125" t="inlineStr"/>
      <c r="B125" t="inlineStr">
        <is>
          <t>RNCP35827</t>
        </is>
      </c>
      <c r="C125" t="inlineStr">
        <is>
          <t>TP - Conducteur d'engins de grands terrassements</t>
        </is>
      </c>
      <c r="D125" s="37" t="inlineStr">
        <is>
          <t>À vérifier</t>
        </is>
      </c>
      <c r="E125" t="inlineStr">
        <is>
          <t>Échéance le 12/10/2026 (dans 86 j)</t>
        </is>
      </c>
      <c r="F125" t="inlineStr">
        <is>
          <t>RNCP35827</t>
        </is>
      </c>
      <c r="G125" t="inlineStr">
        <is>
          <t>Conducteur d'engins de grands terrassements</t>
        </is>
      </c>
      <c r="H125" t="inlineStr">
        <is>
          <t>31717 (Engin chantier) ; 22002 (Terrassement)</t>
        </is>
      </c>
      <c r="I125" t="inlineStr">
        <is>
          <t>12/10/2026</t>
        </is>
      </c>
    </row>
    <row r="126">
      <c r="A126" t="inlineStr"/>
      <c r="B126" t="inlineStr">
        <is>
          <t>RNCP35828</t>
        </is>
      </c>
      <c r="C126" t="inlineStr">
        <is>
          <t>TP - Monteur de réseaux électriques aéro-souterrains</t>
        </is>
      </c>
      <c r="D126" s="37" t="inlineStr">
        <is>
          <t>À vérifier</t>
        </is>
      </c>
      <c r="E126" t="inlineStr">
        <is>
          <t>Échéance le 31/08/2026 (dans 44 j)</t>
        </is>
      </c>
      <c r="F126" t="inlineStr">
        <is>
          <t>RNCP35828</t>
        </is>
      </c>
      <c r="G126" t="inlineStr">
        <is>
          <t>Monteur de réseaux électriques aéro-souterrains</t>
        </is>
      </c>
      <c r="H126" t="inlineStr">
        <is>
          <t>24086 (Distribution électricité)</t>
        </is>
      </c>
      <c r="I126" t="inlineStr">
        <is>
          <t>31/08/2026</t>
        </is>
      </c>
    </row>
    <row r="127">
      <c r="A127" t="inlineStr"/>
      <c r="B127" t="inlineStr">
        <is>
          <t>RNCP35844</t>
        </is>
      </c>
      <c r="C127" t="inlineStr">
        <is>
          <t>BAC PRO - Maintenance et Efficacité Energétique</t>
        </is>
      </c>
      <c r="D127" s="37" t="inlineStr">
        <is>
          <t>À vérifier</t>
        </is>
      </c>
      <c r="E127" t="inlineStr">
        <is>
          <t>Échéance le 31/08/2026 (dans 44 j)</t>
        </is>
      </c>
      <c r="F127" t="inlineStr">
        <is>
          <t>RNCP35844</t>
        </is>
      </c>
      <c r="G127" t="inlineStr">
        <is>
          <t>Maintenance et Efficacité Energétique</t>
        </is>
      </c>
      <c r="H127" t="inlineStr">
        <is>
          <t>24162 (Gestion énergie) ; 22635 (Climatisation) ; 22624 (Installation frigorifique)</t>
        </is>
      </c>
      <c r="I127" t="inlineStr">
        <is>
          <t>31/08/2026</t>
        </is>
      </c>
    </row>
    <row r="128">
      <c r="A128" t="inlineStr"/>
      <c r="B128" t="inlineStr">
        <is>
          <t>RNCP35845</t>
        </is>
      </c>
      <c r="C128" t="inlineStr">
        <is>
          <t>BAC PRO - Installateur en Chauffage, Climatisation et Énergies Renouvelables</t>
        </is>
      </c>
      <c r="D128" s="37" t="inlineStr">
        <is>
          <t>À vérifier</t>
        </is>
      </c>
      <c r="E128" t="inlineStr">
        <is>
          <t>Successeur déjà publié : RNCP42117 (Installateur en chauffage, climatisation et énergies renouvelables) — préparer la bascule de l'offre CPF | Échéance le 31/08/2026 (dans 44 j)</t>
        </is>
      </c>
      <c r="F128" t="inlineStr">
        <is>
          <t>RNCP42117</t>
        </is>
      </c>
      <c r="G128" t="inlineStr">
        <is>
          <t>Installateur en chauffage, climatisation et énergies renouvelables</t>
        </is>
      </c>
      <c r="H128" t="inlineStr">
        <is>
          <t>22635 (Climatisation) ; 22671 (Chauffage) ; 22685 (Installation thermique sanitaire)</t>
        </is>
      </c>
      <c r="I128" t="inlineStr">
        <is>
          <t>31/08/2026</t>
        </is>
      </c>
    </row>
    <row r="129">
      <c r="A129" t="inlineStr"/>
      <c r="B129" t="inlineStr">
        <is>
          <t>RNCP35846</t>
        </is>
      </c>
      <c r="C129" t="inlineStr">
        <is>
          <t>BAC PRO - Métiers du Froid et des Energies Renouvelables</t>
        </is>
      </c>
      <c r="D129" s="37" t="inlineStr">
        <is>
          <t>À vérifier</t>
        </is>
      </c>
      <c r="E129" t="inlineStr">
        <is>
          <t>Successeur déjà publié : RNCP42119 (Métiers du Froid et des Energies Renouvelables) — préparer la bascule de l'offre CPF | Échéance le 31/08/2026 (dans 44 j)</t>
        </is>
      </c>
      <c r="F129" t="inlineStr">
        <is>
          <t>RNCP42119</t>
        </is>
      </c>
      <c r="G129" t="inlineStr">
        <is>
          <t>Métiers du Froid et des Energies Renouvelables</t>
        </is>
      </c>
      <c r="H129" t="inlineStr">
        <is>
          <t>22604 (Froid commercial) ; 22605 (Froid industriel) ; 24147 (Énergie renouvelable)</t>
        </is>
      </c>
      <c r="I129" t="inlineStr">
        <is>
          <t>31/08/2026</t>
        </is>
      </c>
    </row>
    <row r="130">
      <c r="A130" t="inlineStr"/>
      <c r="B130" t="inlineStr">
        <is>
          <t>RNCP35862</t>
        </is>
      </c>
      <c r="C130" t="inlineStr">
        <is>
          <t>Responsable qualité, santé, sécurité, environnement</t>
        </is>
      </c>
      <c r="D130" s="37" t="inlineStr">
        <is>
          <t>À vérifier</t>
        </is>
      </c>
      <c r="E130" t="inlineStr">
        <is>
          <t>Successeur déjà publié : RNCP42494 (Responsable qualité santé sécurité environnement) — préparer la bascule de l'offre CPF | Échéance le 15/09/2026 (dans 59 j)</t>
        </is>
      </c>
      <c r="F130" t="inlineStr">
        <is>
          <t>RNCP42494</t>
        </is>
      </c>
      <c r="G130" t="inlineStr">
        <is>
          <t>Responsable qualité santé sécurité environnement</t>
        </is>
      </c>
      <c r="H130" t="inlineStr">
        <is>
          <t>31407 (Qualité hygiène sécurité environnement) ; 32008 (Responsabilité sociétale entreprise) ; 42818 (Système management santé sécurité travail) ; 12587 (Management environnemental)</t>
        </is>
      </c>
      <c r="I130" t="inlineStr">
        <is>
          <t>15/09/2026</t>
        </is>
      </c>
    </row>
    <row r="131">
      <c r="A131" t="inlineStr"/>
      <c r="B131" t="inlineStr">
        <is>
          <t>RNCP35863</t>
        </is>
      </c>
      <c r="C131" t="inlineStr">
        <is>
          <t>Sommelier-conseil, caviste</t>
        </is>
      </c>
      <c r="D131" s="37" t="inlineStr">
        <is>
          <t>À vérifier</t>
        </is>
      </c>
      <c r="E131" t="inlineStr">
        <is>
          <t>Échéance le 15/09/2026 (dans 59 j)</t>
        </is>
      </c>
      <c r="F131" t="inlineStr">
        <is>
          <t>RNCP35863</t>
        </is>
      </c>
      <c r="G131" t="inlineStr">
        <is>
          <t>Sommelier-conseil, caviste</t>
        </is>
      </c>
      <c r="H131" t="inlineStr">
        <is>
          <t>21511 (Dégustation vin) ; 21540 (Commercialisation vin spiritueux) ; 34513 (Vente vin spiritueux) ; 42739 (Sommellerie)</t>
        </is>
      </c>
      <c r="I131" t="inlineStr">
        <is>
          <t>15/09/2026</t>
        </is>
      </c>
    </row>
    <row r="132">
      <c r="A132" t="inlineStr"/>
      <c r="B132" t="inlineStr">
        <is>
          <t>RNCP35864</t>
        </is>
      </c>
      <c r="C132" t="inlineStr">
        <is>
          <t>Manager/Designer de produits et services numériques</t>
        </is>
      </c>
      <c r="D132" s="37" t="inlineStr">
        <is>
          <t>À vérifier</t>
        </is>
      </c>
      <c r="E132" t="inlineStr">
        <is>
          <t>Échéance le 15/09/2026 (dans 59 j)</t>
        </is>
      </c>
      <c r="F132" t="inlineStr">
        <is>
          <t>RNCP35864</t>
        </is>
      </c>
      <c r="G132" t="inlineStr">
        <is>
          <t>Manager/Designer de produits et services numériques</t>
        </is>
      </c>
      <c r="H132" t="inlineStr">
        <is>
          <t>46347 (Stratégie communication numérique) ; 46370 (Design expérience utilisateur) ; 46339 (Conduite projet numérique)</t>
        </is>
      </c>
      <c r="I132" t="inlineStr">
        <is>
          <t>15/09/2026</t>
        </is>
      </c>
    </row>
    <row r="133">
      <c r="A133" t="inlineStr"/>
      <c r="B133" t="inlineStr">
        <is>
          <t>RNCP35874</t>
        </is>
      </c>
      <c r="C133" t="inlineStr">
        <is>
          <t>Graphiste motion designer</t>
        </is>
      </c>
      <c r="D133" s="37" t="inlineStr">
        <is>
          <t>À vérifier</t>
        </is>
      </c>
      <c r="E133" t="inlineStr">
        <is>
          <t>Échéance le 15/09/2026 (dans 59 j)</t>
        </is>
      </c>
      <c r="F133" t="inlineStr">
        <is>
          <t>RNCP35874</t>
        </is>
      </c>
      <c r="G133" t="inlineStr">
        <is>
          <t>Graphiste motion designer</t>
        </is>
      </c>
      <c r="H133" t="inlineStr">
        <is>
          <t>46003 (Infographie)</t>
        </is>
      </c>
      <c r="I133" t="inlineStr">
        <is>
          <t>15/09/2026</t>
        </is>
      </c>
    </row>
    <row r="134">
      <c r="A134" t="inlineStr"/>
      <c r="B134" t="inlineStr">
        <is>
          <t>RNCP35878</t>
        </is>
      </c>
      <c r="C134" t="inlineStr">
        <is>
          <t>Chargé des ressources humaines</t>
        </is>
      </c>
      <c r="D134" s="37" t="inlineStr">
        <is>
          <t>À vérifier</t>
        </is>
      </c>
      <c r="E134" t="inlineStr">
        <is>
          <t>Successeur déjà publié : RNCP42313 (Chargé des ressources humaines) — préparer la bascule de l'offre CPF | Échéance le 15/09/2026 (dans 59 j)</t>
        </is>
      </c>
      <c r="F134" t="inlineStr">
        <is>
          <t>RNCP42313</t>
        </is>
      </c>
      <c r="G134" t="inlineStr">
        <is>
          <t>Chargé des ressources humaines</t>
        </is>
      </c>
      <c r="H134" t="inlineStr">
        <is>
          <t>33054 (Gestion ressources humaines)</t>
        </is>
      </c>
      <c r="I134" t="inlineStr">
        <is>
          <t>15/09/2026</t>
        </is>
      </c>
    </row>
    <row r="135">
      <c r="A135" t="inlineStr"/>
      <c r="B135" t="inlineStr">
        <is>
          <t>RNCP35889</t>
        </is>
      </c>
      <c r="C135" t="inlineStr">
        <is>
          <t>CAP - Couvreur</t>
        </is>
      </c>
      <c r="D135" s="37" t="inlineStr">
        <is>
          <t>À vérifier</t>
        </is>
      </c>
      <c r="E135" t="inlineStr">
        <is>
          <t>Successeur déjà publié : RNCP41834 (Couvreur) — préparer la bascule de l'offre CPF | Échéance le 31/08/2026 (dans 44 j)</t>
        </is>
      </c>
      <c r="F135" t="inlineStr">
        <is>
          <t>RNCP41834</t>
        </is>
      </c>
      <c r="G135" t="inlineStr">
        <is>
          <t>Couvreur</t>
        </is>
      </c>
      <c r="H135" t="inlineStr">
        <is>
          <t>22437 (Couverture)</t>
        </is>
      </c>
      <c r="I135" t="inlineStr">
        <is>
          <t>31/08/2026</t>
        </is>
      </c>
    </row>
    <row r="136">
      <c r="A136" t="inlineStr"/>
      <c r="B136" t="inlineStr">
        <is>
          <t>RNCP35934</t>
        </is>
      </c>
      <c r="C136" t="inlineStr">
        <is>
          <t>TP - Ouvrier du génie écologique</t>
        </is>
      </c>
      <c r="D136" s="37" t="inlineStr">
        <is>
          <t>À vérifier</t>
        </is>
      </c>
      <c r="E136" t="inlineStr">
        <is>
          <t>Échéance le 01/09/2026 (dans 45 j)</t>
        </is>
      </c>
      <c r="F136" t="inlineStr">
        <is>
          <t>RNCP35934</t>
        </is>
      </c>
      <c r="G136" t="inlineStr">
        <is>
          <t>Ouvrier du génie écologique</t>
        </is>
      </c>
      <c r="H136" t="inlineStr">
        <is>
          <t>12510 (Aménagement gestion rivière) ; 12549 (Conservation littoral) ; 12526 (Réhabilitation écologique)</t>
        </is>
      </c>
      <c r="I136" t="inlineStr">
        <is>
          <t>01/09/2026</t>
        </is>
      </c>
    </row>
    <row r="137">
      <c r="A137" t="inlineStr"/>
      <c r="B137" t="inlineStr">
        <is>
          <t>RNCP35937</t>
        </is>
      </c>
      <c r="C137" t="inlineStr">
        <is>
          <t>TP - Agent de fabrication et montage en chaudronnerie</t>
        </is>
      </c>
      <c r="D137" s="37" t="inlineStr">
        <is>
          <t>À vérifier</t>
        </is>
      </c>
      <c r="E137" t="inlineStr">
        <is>
          <t>Échéance le 08/10/2026 (dans 82 j)</t>
        </is>
      </c>
      <c r="F137" t="inlineStr">
        <is>
          <t>RNCP35937</t>
        </is>
      </c>
      <c r="G137" t="inlineStr">
        <is>
          <t>Agent de fabrication et montage en chaudronnerie</t>
        </is>
      </c>
      <c r="H137" t="inlineStr">
        <is>
          <t>23083 (Chaudronnerie) ; 22387 (Construction métallique) ; 23016 (Soudage MIG MAG)</t>
        </is>
      </c>
      <c r="I137" t="inlineStr">
        <is>
          <t>08/10/2026</t>
        </is>
      </c>
    </row>
    <row r="138">
      <c r="A138" t="inlineStr"/>
      <c r="B138" t="inlineStr">
        <is>
          <t>RNCP35959</t>
        </is>
      </c>
      <c r="C138" t="inlineStr">
        <is>
          <t>Développeur web</t>
        </is>
      </c>
      <c r="D138" s="37" t="inlineStr">
        <is>
          <t>À vérifier</t>
        </is>
      </c>
      <c r="E138" t="inlineStr">
        <is>
          <t>Échéance le 15/10/2026 (dans 89 j)</t>
        </is>
      </c>
      <c r="F138" t="inlineStr">
        <is>
          <t>RNCP35959</t>
        </is>
      </c>
      <c r="G138" t="inlineStr">
        <is>
          <t>Développeur web</t>
        </is>
      </c>
      <c r="H138" t="inlineStr">
        <is>
          <t>31090 (Développement web) ; 46341 (Communication externe) ; 46359 (Réseau social) ; 30805 (Langage PHP)</t>
        </is>
      </c>
      <c r="I138" t="inlineStr">
        <is>
          <t>15/10/2026</t>
        </is>
      </c>
    </row>
    <row r="139">
      <c r="A139" t="inlineStr"/>
      <c r="B139" t="inlineStr">
        <is>
          <t>RNCP35974</t>
        </is>
      </c>
      <c r="C139" t="inlineStr">
        <is>
          <t>CAP - Menuisier installateur</t>
        </is>
      </c>
      <c r="D139" s="37" t="inlineStr">
        <is>
          <t>À vérifier</t>
        </is>
      </c>
      <c r="E139" t="inlineStr">
        <is>
          <t>Successeur déjà publié : RNCP41836 (Menuisier installateur) — préparer la bascule de l'offre CPF | Échéance le 31/08/2026 (dans 44 j)</t>
        </is>
      </c>
      <c r="F139" t="inlineStr">
        <is>
          <t>RNCP41836</t>
        </is>
      </c>
      <c r="G139" t="inlineStr">
        <is>
          <t>Menuisier installateur</t>
        </is>
      </c>
      <c r="H139" t="inlineStr">
        <is>
          <t>22404 (Menuiserie agencement) ; 22416 (Menuiserie bois)</t>
        </is>
      </c>
      <c r="I139" t="inlineStr">
        <is>
          <t>31/08/2026</t>
        </is>
      </c>
    </row>
    <row r="140">
      <c r="A140" t="inlineStr"/>
      <c r="B140" t="inlineStr">
        <is>
          <t>RNCP35988</t>
        </is>
      </c>
      <c r="C140" t="inlineStr">
        <is>
          <t>CQP Opérateur de levage et manutention complexe en milieu industriel</t>
        </is>
      </c>
      <c r="D140" s="37" t="inlineStr">
        <is>
          <t>À vérifier</t>
        </is>
      </c>
      <c r="E140" t="inlineStr">
        <is>
          <t>Échéance le 15/10/2026 (dans 89 j)</t>
        </is>
      </c>
      <c r="F140" t="inlineStr">
        <is>
          <t>RNCP35988</t>
        </is>
      </c>
      <c r="G140" t="inlineStr">
        <is>
          <t>CQP Opérateur de levage et manutention complexe en milieu industriel</t>
        </is>
      </c>
      <c r="H140" t="inlineStr">
        <is>
          <t>31747 (Engin manutention levage)</t>
        </is>
      </c>
      <c r="I140" t="inlineStr">
        <is>
          <t>15/10/2026</t>
        </is>
      </c>
    </row>
    <row r="141">
      <c r="A141" t="inlineStr"/>
      <c r="B141" t="inlineStr">
        <is>
          <t>RNCP35992</t>
        </is>
      </c>
      <c r="C141" t="inlineStr">
        <is>
          <t>TP - Employé technicien-vendeur en matériel de sport</t>
        </is>
      </c>
      <c r="D141" s="37" t="inlineStr">
        <is>
          <t>À vérifier</t>
        </is>
      </c>
      <c r="E141" t="inlineStr">
        <is>
          <t>Échéance le 13/10/2026 (dans 87 j)</t>
        </is>
      </c>
      <c r="F141" t="inlineStr">
        <is>
          <t>RNCP35992</t>
        </is>
      </c>
      <c r="G141" t="inlineStr">
        <is>
          <t>Employé technicien-vendeur en matériel de sport</t>
        </is>
      </c>
      <c r="H141" t="inlineStr">
        <is>
          <t>15447 (Matériel sport)</t>
        </is>
      </c>
      <c r="I141" t="inlineStr">
        <is>
          <t>13/10/2026</t>
        </is>
      </c>
    </row>
    <row r="142">
      <c r="A142" t="inlineStr"/>
      <c r="B142" t="inlineStr">
        <is>
          <t>RNCP36004</t>
        </is>
      </c>
      <c r="C142" t="inlineStr">
        <is>
          <t>DE - Accompagnant éducatif et social</t>
        </is>
      </c>
      <c r="D142" s="37" t="inlineStr">
        <is>
          <t>À vérifier</t>
        </is>
      </c>
      <c r="E142" t="inlineStr">
        <is>
          <t>Successeur déjà publié : RNCP42423 (Accompagnant éducatif et social) — préparer la bascule de l'offre CPF | Échéance le 01/09/2026 (dans 45 j)</t>
        </is>
      </c>
      <c r="F142" t="inlineStr">
        <is>
          <t>RNCP42423</t>
        </is>
      </c>
      <c r="G142" t="inlineStr">
        <is>
          <t>Accompagnant éducatif et social</t>
        </is>
      </c>
      <c r="H142" t="inlineStr">
        <is>
          <t>44028 (Accompagnement éducatif et social) ; 44079 (Animation personne handicapée) ; 44089 (Animation personne âgée)</t>
        </is>
      </c>
      <c r="I142" t="inlineStr">
        <is>
          <t>01/09/2026</t>
        </is>
      </c>
    </row>
    <row r="143">
      <c r="A143" t="inlineStr"/>
      <c r="B143" t="inlineStr">
        <is>
          <t>RNCP36012</t>
        </is>
      </c>
      <c r="C143" t="inlineStr">
        <is>
          <t>Manager de l'assurance</t>
        </is>
      </c>
      <c r="D143" s="37" t="inlineStr">
        <is>
          <t>À vérifier</t>
        </is>
      </c>
      <c r="E143" t="inlineStr">
        <is>
          <t>Échéance le 10/11/2026 (dans 115 j)</t>
        </is>
      </c>
      <c r="F143" t="inlineStr">
        <is>
          <t>RNCP36012</t>
        </is>
      </c>
      <c r="G143" t="inlineStr">
        <is>
          <t>Manager de l'assurance</t>
        </is>
      </c>
      <c r="H143" t="inlineStr">
        <is>
          <t>41036 (Assurance)</t>
        </is>
      </c>
      <c r="I143" t="inlineStr">
        <is>
          <t>10/11/2026</t>
        </is>
      </c>
    </row>
    <row r="144">
      <c r="A144" t="inlineStr"/>
      <c r="B144" t="inlineStr">
        <is>
          <t>RNCP36019</t>
        </is>
      </c>
      <c r="C144" t="inlineStr">
        <is>
          <t>CQP  Retoucheur tôle nue sur ligne de fabrication de véhicules</t>
        </is>
      </c>
      <c r="D144" s="37" t="inlineStr">
        <is>
          <t>À vérifier</t>
        </is>
      </c>
      <c r="E144" t="inlineStr">
        <is>
          <t>Échéance le 10/11/2026 (dans 115 j)</t>
        </is>
      </c>
      <c r="F144" t="inlineStr">
        <is>
          <t>RNCP36019</t>
        </is>
      </c>
      <c r="G144" t="inlineStr">
        <is>
          <t>CQP Retoucheur tôle nue sur ligne de fabrication de véhicules</t>
        </is>
      </c>
      <c r="H144" t="inlineStr">
        <is>
          <t>23617 (Carrosserie)</t>
        </is>
      </c>
      <c r="I144" t="inlineStr">
        <is>
          <t>10/11/2026</t>
        </is>
      </c>
    </row>
    <row r="145">
      <c r="A145" t="inlineStr"/>
      <c r="B145" t="inlineStr">
        <is>
          <t>RNCP36061</t>
        </is>
      </c>
      <c r="C145" t="inlineStr">
        <is>
          <t>TP - Administrateur système DevOps</t>
        </is>
      </c>
      <c r="D145" s="37" t="inlineStr">
        <is>
          <t>À vérifier</t>
        </is>
      </c>
      <c r="E145" t="inlineStr">
        <is>
          <t>Successeur déjà publié : RNCP42532 (Administrateur système DevOps) — préparer la bascule de l'offre CPF | Échéance le 30/11/2026 (dans 135 j)</t>
        </is>
      </c>
      <c r="F145" t="inlineStr">
        <is>
          <t>RNCP42532</t>
        </is>
      </c>
      <c r="G145" t="inlineStr">
        <is>
          <t>Administrateur système DevOps</t>
        </is>
      </c>
      <c r="H145" t="inlineStr">
        <is>
          <t>31034 (Administration système) ; 31021 (Linux) ; 31011 (Cloud Computing) ; 30812 (Langage Python)</t>
        </is>
      </c>
      <c r="I145" t="inlineStr">
        <is>
          <t>30/11/2026</t>
        </is>
      </c>
    </row>
    <row r="146">
      <c r="A146" t="inlineStr"/>
      <c r="B146" t="inlineStr">
        <is>
          <t>RNCP36073</t>
        </is>
      </c>
      <c r="C146" t="inlineStr">
        <is>
          <t>Responsable d’affaires immobilières</t>
        </is>
      </c>
      <c r="D146" s="37" t="inlineStr">
        <is>
          <t>À vérifier</t>
        </is>
      </c>
      <c r="E146" t="inlineStr">
        <is>
          <t>Échéance le 15/12/2026 (dans 150 j)</t>
        </is>
      </c>
      <c r="F146" t="inlineStr">
        <is>
          <t>RNCP36073</t>
        </is>
      </c>
      <c r="G146" t="inlineStr">
        <is>
          <t>Responsable d’affaires immobilières</t>
        </is>
      </c>
      <c r="H146" t="inlineStr">
        <is>
          <t>42158 (Commercialisation immobilière) ; 42133 (Gestion immobilière) ; 42184 (Agence immobilière)</t>
        </is>
      </c>
      <c r="I146" t="inlineStr">
        <is>
          <t>15/12/2026</t>
        </is>
      </c>
    </row>
    <row r="147">
      <c r="A147" t="inlineStr"/>
      <c r="B147" t="inlineStr">
        <is>
          <t>RNCP36074</t>
        </is>
      </c>
      <c r="C147" t="inlineStr">
        <is>
          <t>Expert conseil en gestion de patrimoine</t>
        </is>
      </c>
      <c r="D147" s="37" t="inlineStr">
        <is>
          <t>À vérifier</t>
        </is>
      </c>
      <c r="E147" t="inlineStr">
        <is>
          <t>Échéance le 15/12/2026 (dans 150 j)</t>
        </is>
      </c>
      <c r="F147" t="inlineStr">
        <is>
          <t>RNCP36074</t>
        </is>
      </c>
      <c r="G147" t="inlineStr">
        <is>
          <t>Expert conseil en gestion de patrimoine</t>
        </is>
      </c>
      <c r="H147" t="inlineStr">
        <is>
          <t>41014 (Gestion patrimoine)</t>
        </is>
      </c>
      <c r="I147" t="inlineStr">
        <is>
          <t>15/12/2026</t>
        </is>
      </c>
    </row>
    <row r="148">
      <c r="A148" t="inlineStr"/>
      <c r="B148" t="inlineStr">
        <is>
          <t>RNCP36085</t>
        </is>
      </c>
      <c r="C148" t="inlineStr">
        <is>
          <t>Technicien en pharmacie et cosmétique industrielles</t>
        </is>
      </c>
      <c r="D148" s="37" t="inlineStr">
        <is>
          <t>À vérifier</t>
        </is>
      </c>
      <c r="E148" t="inlineStr">
        <is>
          <t>Échéance le 15/12/2026 (dans 150 j)</t>
        </is>
      </c>
      <c r="F148" t="inlineStr">
        <is>
          <t>RNCP36085</t>
        </is>
      </c>
      <c r="G148" t="inlineStr">
        <is>
          <t>Technicien en pharmacie et cosmétique industrielles</t>
        </is>
      </c>
      <c r="H148" t="inlineStr">
        <is>
          <t>31620 (Conduite installation industrielle)</t>
        </is>
      </c>
      <c r="I148" t="inlineStr">
        <is>
          <t>15/12/2026</t>
        </is>
      </c>
    </row>
    <row r="149">
      <c r="A149" t="inlineStr"/>
      <c r="B149" t="inlineStr">
        <is>
          <t>RNCP36112</t>
        </is>
      </c>
      <c r="C149" t="inlineStr">
        <is>
          <t>CAP - Menuisier fabricant</t>
        </is>
      </c>
      <c r="D149" s="37" t="inlineStr">
        <is>
          <t>À vérifier</t>
        </is>
      </c>
      <c r="E149" t="inlineStr">
        <is>
          <t>Successeur déjà publié : RNCP41835 (Menuisier fabricant) — préparer la bascule de l'offre CPF | Échéance le 31/08/2026 (dans 44 j)</t>
        </is>
      </c>
      <c r="F149" t="inlineStr">
        <is>
          <t>RNCP41835</t>
        </is>
      </c>
      <c r="G149" t="inlineStr">
        <is>
          <t>Menuisier fabricant</t>
        </is>
      </c>
      <c r="H149" t="inlineStr">
        <is>
          <t>22404 (Menuiserie agencement) ; 22416 (Menuiserie bois) ; 45019 (Ameublement)</t>
        </is>
      </c>
      <c r="I149" t="inlineStr">
        <is>
          <t>31/08/2026</t>
        </is>
      </c>
    </row>
    <row r="150">
      <c r="A150" t="inlineStr"/>
      <c r="B150" t="inlineStr">
        <is>
          <t>RNCP36255</t>
        </is>
      </c>
      <c r="C150" t="inlineStr">
        <is>
          <t>CAP - Assistant technique en instruments de musique options : Accordéon, Guitare, Instruments à vent, Piano</t>
        </is>
      </c>
      <c r="D150" s="37" t="inlineStr">
        <is>
          <t>À vérifier</t>
        </is>
      </c>
      <c r="E150" t="inlineStr">
        <is>
          <t>Successeur déjà publié : RNCP42419 (Facture d'accordéons) ; RNCP42420 (Facture d'instruments à vent) ; RNCP42421 (Facture de pianos) ; RNCP42422 (Lutherie guitare) — préparer la bascule de l'offre CPF</t>
        </is>
      </c>
      <c r="F150" t="inlineStr">
        <is>
          <t>RNCP42419, RNCP42420, RNCP42421, RNCP42422</t>
        </is>
      </c>
      <c r="G150" t="inlineStr">
        <is>
          <t>Facture d'accordéons</t>
        </is>
      </c>
      <c r="H150" t="inlineStr">
        <is>
          <t>45583 (Facture instrumentale)</t>
        </is>
      </c>
      <c r="I150" t="inlineStr">
        <is>
          <t>31/08/2027</t>
        </is>
      </c>
    </row>
    <row r="151">
      <c r="A151" t="inlineStr"/>
      <c r="B151" t="inlineStr">
        <is>
          <t>RNCP36320</t>
        </is>
      </c>
      <c r="C151" t="inlineStr">
        <is>
          <t>DIPLOVIS - Ingénieur d'affaires</t>
        </is>
      </c>
      <c r="D151" s="37" t="inlineStr">
        <is>
          <t>À vérifier</t>
        </is>
      </c>
      <c r="E151" t="inlineStr">
        <is>
          <t>Successeur déjà publié : RNCP42246 (Ingénieur d'affaires) — préparer la bascule de l'offre CPF | Échéance le 31/08/2026 (dans 44 j)</t>
        </is>
      </c>
      <c r="F151" t="inlineStr">
        <is>
          <t>RNCP42246</t>
        </is>
      </c>
      <c r="G151" t="inlineStr">
        <is>
          <t>Ingénieur d'affaires</t>
        </is>
      </c>
      <c r="H151" t="inlineStr">
        <is>
          <t>34590 (Ingénieur d'affaires) ; 34254 (Commerce international) ; 34085 (Stratégie commerciale)</t>
        </is>
      </c>
      <c r="I151" t="inlineStr">
        <is>
          <t>31/08/2026</t>
        </is>
      </c>
    </row>
    <row r="152">
      <c r="A152" t="inlineStr"/>
      <c r="B152" t="inlineStr">
        <is>
          <t>RNCP36332</t>
        </is>
      </c>
      <c r="C152" t="inlineStr">
        <is>
          <t>CS - Maintenance des installations oléohydrauliques et pneumatiques</t>
        </is>
      </c>
      <c r="D152" s="37" t="inlineStr">
        <is>
          <t>À vérifier</t>
        </is>
      </c>
      <c r="E152" t="inlineStr">
        <is>
          <t>Successeur déjà publié : RNCP42136 (Maintenance des installations oléohydrauliques et pneumatiques) — préparer la bascule de l'offre CPF | Échéance le 31/08/2026 (dans 44 j)</t>
        </is>
      </c>
      <c r="F152" t="inlineStr">
        <is>
          <t>RNCP42136</t>
        </is>
      </c>
      <c r="G152" t="inlineStr">
        <is>
          <t>Maintenance des installations oléohydrauliques et pneumatiques</t>
        </is>
      </c>
      <c r="H152" t="inlineStr">
        <is>
          <t>23570 (Oléohydraulique) ; 23523 (Pneumatique) ; 24447 (Automatisme hydraulique) ; 24457 (Automatisme pneumatique) ; 23654 (Mécanique construction réparation)</t>
        </is>
      </c>
      <c r="I152" t="inlineStr">
        <is>
          <t>31/08/2026</t>
        </is>
      </c>
    </row>
    <row r="153">
      <c r="A153" t="inlineStr"/>
      <c r="B153" t="inlineStr">
        <is>
          <t>RNCP36334</t>
        </is>
      </c>
      <c r="C153" t="inlineStr">
        <is>
          <t>CS - Technicien des services à l'énergie</t>
        </is>
      </c>
      <c r="D153" s="37" t="inlineStr">
        <is>
          <t>À vérifier</t>
        </is>
      </c>
      <c r="E153" t="inlineStr">
        <is>
          <t>Successeur déjà publié : RNCP42138 (Technicien des services à l'énergie) — préparer la bascule de l'offre CPF | Échéance le 31/08/2026 (dans 44 j)</t>
        </is>
      </c>
      <c r="F153" t="inlineStr">
        <is>
          <t>RNCP42138</t>
        </is>
      </c>
      <c r="G153" t="inlineStr">
        <is>
          <t>Technicien des services à l'énergie</t>
        </is>
      </c>
      <c r="H153" t="inlineStr">
        <is>
          <t>24162 (Gestion énergie)</t>
        </is>
      </c>
      <c r="I153" t="inlineStr">
        <is>
          <t>31/08/2026</t>
        </is>
      </c>
    </row>
    <row r="154">
      <c r="A154" t="inlineStr"/>
      <c r="B154" t="inlineStr">
        <is>
          <t>RNCP36376</t>
        </is>
      </c>
      <c r="C154" t="inlineStr">
        <is>
          <t>CQP Opérateur en Maintenance Industrielle (CQPI)</t>
        </is>
      </c>
      <c r="D154" s="37" t="inlineStr">
        <is>
          <t>À vérifier</t>
        </is>
      </c>
      <c r="E154" t="inlineStr">
        <is>
          <t>Intitulé officiel différent : « Opérateur en Maintenance Industrielle »</t>
        </is>
      </c>
      <c r="F154" t="inlineStr">
        <is>
          <t>RNCP36376</t>
        </is>
      </c>
      <c r="G154" t="inlineStr">
        <is>
          <t>Opérateur en Maintenance Industrielle</t>
        </is>
      </c>
      <c r="H154" t="inlineStr">
        <is>
          <t>31624 (Maintenance industrielle)</t>
        </is>
      </c>
      <c r="I154" t="inlineStr">
        <is>
          <t>25/04/2027</t>
        </is>
      </c>
    </row>
    <row r="155">
      <c r="A155" t="inlineStr"/>
      <c r="B155" t="inlineStr">
        <is>
          <t>RNCP36683</t>
        </is>
      </c>
      <c r="C155" t="inlineStr">
        <is>
          <t>CAP - Doreur à la feuille ornemaniste</t>
        </is>
      </c>
      <c r="D155" s="37" t="inlineStr">
        <is>
          <t>À vérifier</t>
        </is>
      </c>
      <c r="E155" t="inlineStr">
        <is>
          <t>Successeur déjà publié : RNCP42112 (Doreur à la feuille ornemaniste) — préparer la bascule de l'offre CPF | Échéance le 31/08/2026 (dans 44 j)</t>
        </is>
      </c>
      <c r="F155" t="inlineStr">
        <is>
          <t>RNCP42112</t>
        </is>
      </c>
      <c r="G155" t="inlineStr">
        <is>
          <t>Doreur à la feuille ornemaniste</t>
        </is>
      </c>
      <c r="H155" t="inlineStr">
        <is>
          <t>45540 (Dorure art)</t>
        </is>
      </c>
      <c r="I155" t="inlineStr">
        <is>
          <t>31/08/2026</t>
        </is>
      </c>
    </row>
    <row r="156">
      <c r="A156" t="inlineStr"/>
      <c r="B156" t="inlineStr">
        <is>
          <t>RNCP36816</t>
        </is>
      </c>
      <c r="C156" t="inlineStr">
        <is>
          <t>CS - Opérateur polyvalent en interventions subaquatiques</t>
        </is>
      </c>
      <c r="D156" s="37" t="inlineStr">
        <is>
          <t>À vérifier</t>
        </is>
      </c>
      <c r="E156" t="inlineStr">
        <is>
          <t>Successeur déjà publié : RNCP42401 (Opérateur polyvalent en interventions subaquatiques) — préparer la bascule de l'offre CPF | Échéance le 31/08/2026 (dans 44 j)</t>
        </is>
      </c>
      <c r="F156" t="inlineStr">
        <is>
          <t>RNCP42401</t>
        </is>
      </c>
      <c r="G156" t="inlineStr">
        <is>
          <t>Opérateur polyvalent en interventions subaquatiques</t>
        </is>
      </c>
      <c r="H156" t="inlineStr">
        <is>
          <t>22067 (Travaux immergés) ; 15480 (Plongée subaquatique)</t>
        </is>
      </c>
      <c r="I156" t="inlineStr">
        <is>
          <t>31/08/2026</t>
        </is>
      </c>
    </row>
    <row r="157">
      <c r="A157" t="inlineStr"/>
      <c r="B157" t="inlineStr">
        <is>
          <t>RNCP36842</t>
        </is>
      </c>
      <c r="C157" t="inlineStr">
        <is>
          <t>DIPLOVIS - Concepteur réalisateur de films d'animation</t>
        </is>
      </c>
      <c r="D157" s="37" t="inlineStr">
        <is>
          <t>À vérifier</t>
        </is>
      </c>
      <c r="E157" t="inlineStr">
        <is>
          <t>Successeur déjà publié : RNCP42219 (Concepteur et réalisateur de films d'animation) — préparer la bascule de l'offre CPF | Échéance le 31/08/2026 (dans 44 j)</t>
        </is>
      </c>
      <c r="F157" t="inlineStr">
        <is>
          <t>RNCP42219</t>
        </is>
      </c>
      <c r="G157" t="inlineStr">
        <is>
          <t>Concepteur et réalisateur de films d'animation</t>
        </is>
      </c>
      <c r="H157" t="inlineStr">
        <is>
          <t>46276 (Film animation) ; 46251 (Jeu vidéo)</t>
        </is>
      </c>
      <c r="I157" t="inlineStr">
        <is>
          <t>31/08/2026</t>
        </is>
      </c>
    </row>
    <row r="158">
      <c r="A158" t="inlineStr"/>
      <c r="B158" t="inlineStr">
        <is>
          <t>RNCP36969</t>
        </is>
      </c>
      <c r="C158" t="inlineStr">
        <is>
          <t>BTS - Mécatronique navale</t>
        </is>
      </c>
      <c r="D158" s="37" t="inlineStr">
        <is>
          <t>À vérifier</t>
        </is>
      </c>
      <c r="E158" t="inlineStr">
        <is>
          <t>Successeur déjà publié : RNCP42587 (Mécatronique navale) — préparer la bascule de l'offre CPF</t>
        </is>
      </c>
      <c r="F158" t="inlineStr">
        <is>
          <t>RNCP42587</t>
        </is>
      </c>
      <c r="G158" t="inlineStr">
        <is>
          <t>Mécatronique navale</t>
        </is>
      </c>
      <c r="H158" t="inlineStr">
        <is>
          <t>23610 (Mécanique navale) ; 24424 (Mécatronique)</t>
        </is>
      </c>
      <c r="I158" t="inlineStr">
        <is>
          <t>31/08/2027</t>
        </is>
      </c>
    </row>
    <row r="159">
      <c r="A159" t="inlineStr"/>
      <c r="B159" t="inlineStr">
        <is>
          <t>RNCP37234</t>
        </is>
      </c>
      <c r="C159" t="inlineStr">
        <is>
          <t>Certificat de spécialisation - Essayage retouche vente</t>
        </is>
      </c>
      <c r="D159" s="37" t="inlineStr">
        <is>
          <t>À vérifier</t>
        </is>
      </c>
      <c r="E159" t="inlineStr">
        <is>
          <t>Successeur déjà publié : RNCP42121 (Essayage retouche vente) — préparer la bascule de l'offre CPF | Échéance le 31/08/2026 (dans 44 j)</t>
        </is>
      </c>
      <c r="F159" t="inlineStr">
        <is>
          <t>RNCP42121</t>
        </is>
      </c>
      <c r="G159" t="inlineStr">
        <is>
          <t>Essayage retouche vente</t>
        </is>
      </c>
      <c r="H159" t="inlineStr">
        <is>
          <t>21766 (Essayage retouche)</t>
        </is>
      </c>
      <c r="I159" t="inlineStr">
        <is>
          <t>31/08/2026</t>
        </is>
      </c>
    </row>
    <row r="160">
      <c r="A160" t="inlineStr"/>
      <c r="B160" t="inlineStr">
        <is>
          <t>RNCP37244</t>
        </is>
      </c>
      <c r="C160" t="inlineStr">
        <is>
          <t>CAP - Métiers de la mode chapelier modiste</t>
        </is>
      </c>
      <c r="D160" s="37" t="inlineStr">
        <is>
          <t>À vérifier</t>
        </is>
      </c>
      <c r="E160" t="inlineStr">
        <is>
          <t>Successeur déjà publié : RNCP42123 (Métiers de la mode chapelier modiste) — préparer la bascule de l'offre CPF | Échéance le 31/08/2026 (dans 44 j)</t>
        </is>
      </c>
      <c r="F160" t="inlineStr">
        <is>
          <t>RNCP42123</t>
        </is>
      </c>
      <c r="G160" t="inlineStr">
        <is>
          <t>Métiers de la mode chapelier modiste</t>
        </is>
      </c>
      <c r="H160" t="inlineStr">
        <is>
          <t>21752 (Accessoire mode)</t>
        </is>
      </c>
      <c r="I160" t="inlineStr">
        <is>
          <t>31/08/2026</t>
        </is>
      </c>
    </row>
    <row r="161">
      <c r="A161" t="inlineStr"/>
      <c r="B161" t="inlineStr">
        <is>
          <t>RNCP37245</t>
        </is>
      </c>
      <c r="C161" t="inlineStr">
        <is>
          <t>CAP - Métiers de la mode vêtement flou</t>
        </is>
      </c>
      <c r="D161" s="37" t="inlineStr">
        <is>
          <t>À vérifier</t>
        </is>
      </c>
      <c r="E161" t="inlineStr">
        <is>
          <t>Successeur déjà publié : RNCP42124 (Métiers de la mode vêtement flou) — préparer la bascule de l'offre CPF | Échéance le 31/08/2026 (dans 44 j)</t>
        </is>
      </c>
      <c r="F161" t="inlineStr">
        <is>
          <t>RNCP42124</t>
        </is>
      </c>
      <c r="G161" t="inlineStr">
        <is>
          <t>Métiers de la mode vêtement flou</t>
        </is>
      </c>
      <c r="H161" t="inlineStr">
        <is>
          <t>21759 (Couture flou)</t>
        </is>
      </c>
      <c r="I161" t="inlineStr">
        <is>
          <t>31/08/2026</t>
        </is>
      </c>
    </row>
    <row r="162">
      <c r="A162" t="inlineStr"/>
      <c r="B162" t="inlineStr">
        <is>
          <t>RNCP37246</t>
        </is>
      </c>
      <c r="C162" t="inlineStr">
        <is>
          <t>CAP - Métiers de la mode vêtement tailleur</t>
        </is>
      </c>
      <c r="D162" s="37" t="inlineStr">
        <is>
          <t>À vérifier</t>
        </is>
      </c>
      <c r="E162" t="inlineStr">
        <is>
          <t>Successeur déjà publié : RNCP42125 (Métiers de la mode vêtement tailleur) — préparer la bascule de l'offre CPF | Échéance le 31/08/2026 (dans 44 j)</t>
        </is>
      </c>
      <c r="F162" t="inlineStr">
        <is>
          <t>RNCP42125</t>
        </is>
      </c>
      <c r="G162" t="inlineStr">
        <is>
          <t>Métiers de la mode vêtement tailleur</t>
        </is>
      </c>
      <c r="H162" t="inlineStr">
        <is>
          <t>21779 (Couture tailleur)</t>
        </is>
      </c>
      <c r="I162" t="inlineStr">
        <is>
          <t>31/08/2026</t>
        </is>
      </c>
    </row>
    <row r="163">
      <c r="A163" t="inlineStr"/>
      <c r="B163" t="inlineStr">
        <is>
          <t>RNCP37250</t>
        </is>
      </c>
      <c r="C163" t="inlineStr">
        <is>
          <t>CAP - Vêtement de peau</t>
        </is>
      </c>
      <c r="D163" s="37" t="inlineStr">
        <is>
          <t>À vérifier</t>
        </is>
      </c>
      <c r="E163" t="inlineStr">
        <is>
          <t>Successeur déjà publié : RNCP42126 (Vêtement de peau) — préparer la bascule de l'offre CPF | Échéance le 31/08/2026 (dans 44 j)</t>
        </is>
      </c>
      <c r="F163" t="inlineStr">
        <is>
          <t>RNCP42126</t>
        </is>
      </c>
      <c r="G163" t="inlineStr">
        <is>
          <t>Vêtement de peau</t>
        </is>
      </c>
      <c r="H163" t="inlineStr">
        <is>
          <t>21886 (Vêtement cuir)</t>
        </is>
      </c>
      <c r="I163" t="inlineStr">
        <is>
          <t>31/08/2026</t>
        </is>
      </c>
    </row>
    <row r="164">
      <c r="A164" t="inlineStr"/>
      <c r="B164" t="inlineStr">
        <is>
          <t>RNCP37251</t>
        </is>
      </c>
      <c r="C164" t="inlineStr">
        <is>
          <t>Certificat d'aptitude professionnelle - Cordonnerie multiservice</t>
        </is>
      </c>
      <c r="D164" s="37" t="inlineStr">
        <is>
          <t>À vérifier</t>
        </is>
      </c>
      <c r="E164" t="inlineStr">
        <is>
          <t>Successeur déjà publié : RNCP42122 (Cordonnerie multiservice) — préparer la bascule de l'offre CPF | Échéance le 31/08/2026 (dans 44 j)</t>
        </is>
      </c>
      <c r="F164" t="inlineStr">
        <is>
          <t>RNCP42122</t>
        </is>
      </c>
      <c r="G164" t="inlineStr">
        <is>
          <t>Cordonnerie multiservice</t>
        </is>
      </c>
      <c r="H164" t="inlineStr">
        <is>
          <t>21889 (Cordonnerie réparation)</t>
        </is>
      </c>
      <c r="I164" t="inlineStr">
        <is>
          <t>31/08/2026</t>
        </is>
      </c>
    </row>
    <row r="165">
      <c r="A165" t="inlineStr"/>
      <c r="B165" t="inlineStr">
        <is>
          <t>RNCP37310</t>
        </is>
      </c>
      <c r="C165" t="inlineStr">
        <is>
          <t>BP - Boucher</t>
        </is>
      </c>
      <c r="D165" s="37" t="inlineStr">
        <is>
          <t>À vérifier</t>
        </is>
      </c>
      <c r="E165" t="inlineStr">
        <is>
          <t>Successeur déjà publié : RNCP42129 (Boucher) — préparer la bascule de l'offre CPF | Échéance le 31/08/2026 (dans 44 j)</t>
        </is>
      </c>
      <c r="F165" t="inlineStr">
        <is>
          <t>RNCP42129</t>
        </is>
      </c>
      <c r="G165" t="inlineStr">
        <is>
          <t>Boucher</t>
        </is>
      </c>
      <c r="H165" t="inlineStr">
        <is>
          <t>34525 (Vente produit alimentaire)</t>
        </is>
      </c>
      <c r="I165" t="inlineStr">
        <is>
          <t>31/08/2026</t>
        </is>
      </c>
    </row>
    <row r="166">
      <c r="A166" t="inlineStr"/>
      <c r="B166" t="inlineStr">
        <is>
          <t>RNCP37313</t>
        </is>
      </c>
      <c r="C166" t="inlineStr">
        <is>
          <t>CS - Boulangerie spécialisée</t>
        </is>
      </c>
      <c r="D166" s="37" t="inlineStr">
        <is>
          <t>À vérifier</t>
        </is>
      </c>
      <c r="E166" t="inlineStr">
        <is>
          <t>Successeur déjà publié : RNCP42130 (Boulangerie spécialisée) — préparer la bascule de l'offre CPF | Échéance le 31/08/2026 (dans 44 j)</t>
        </is>
      </c>
      <c r="F166" t="inlineStr">
        <is>
          <t>RNCP42130</t>
        </is>
      </c>
      <c r="G166" t="inlineStr">
        <is>
          <t>Boulangerie spécialisée</t>
        </is>
      </c>
      <c r="H166" t="inlineStr">
        <is>
          <t>21539 (Spécialisation boulangerie)</t>
        </is>
      </c>
      <c r="I166" t="inlineStr">
        <is>
          <t>31/08/2026</t>
        </is>
      </c>
    </row>
    <row r="167">
      <c r="A167" t="inlineStr"/>
      <c r="B167" t="inlineStr">
        <is>
          <t>RNCP37383</t>
        </is>
      </c>
      <c r="C167" t="inlineStr">
        <is>
          <t>CAP - Poissonnier- écailler</t>
        </is>
      </c>
      <c r="D167" s="37" t="inlineStr">
        <is>
          <t>À vérifier</t>
        </is>
      </c>
      <c r="E167" t="inlineStr">
        <is>
          <t>Successeur déjà publié : RNCP42137 (Poissonnier écailler) — préparer la bascule de l'offre CPF | Échéance le 31/08/2026 (dans 44 j)</t>
        </is>
      </c>
      <c r="F167" t="inlineStr">
        <is>
          <t>RNCP42137</t>
        </is>
      </c>
      <c r="G167" t="inlineStr">
        <is>
          <t>Poissonnier écailler</t>
        </is>
      </c>
      <c r="H167" t="inlineStr">
        <is>
          <t>21567 (Transformation produits de la mer) ; 34506 (Vente produit mer)</t>
        </is>
      </c>
      <c r="I167" t="inlineStr">
        <is>
          <t>31/08/2026</t>
        </is>
      </c>
    </row>
    <row r="168">
      <c r="A168" t="inlineStr"/>
      <c r="B168" t="inlineStr">
        <is>
          <t>RNCP37491</t>
        </is>
      </c>
      <c r="C168" t="inlineStr">
        <is>
          <t>BP - Boulanger</t>
        </is>
      </c>
      <c r="D168" s="37" t="inlineStr">
        <is>
          <t>À vérifier</t>
        </is>
      </c>
      <c r="E168" t="inlineStr">
        <is>
          <t>Successeur déjà publié : RNCP41937 (Boulanger) — préparer la bascule de l'offre CPF | Échéance le 31/08/2026 (dans 44 j)</t>
        </is>
      </c>
      <c r="F168" t="inlineStr">
        <is>
          <t>RNCP41937</t>
        </is>
      </c>
      <c r="G168" t="inlineStr">
        <is>
          <t>Boulanger</t>
        </is>
      </c>
      <c r="H168" t="inlineStr">
        <is>
          <t>21538 (Boulangerie)</t>
        </is>
      </c>
      <c r="I168" t="inlineStr">
        <is>
          <t>31/08/2026</t>
        </is>
      </c>
    </row>
    <row r="169">
      <c r="A169" t="inlineStr"/>
      <c r="B169" t="inlineStr">
        <is>
          <t>RNCP37492</t>
        </is>
      </c>
      <c r="C169" t="inlineStr">
        <is>
          <t>Brevet professionnel - barman</t>
        </is>
      </c>
      <c r="D169" s="37" t="inlineStr">
        <is>
          <t>À vérifier</t>
        </is>
      </c>
      <c r="E169" t="inlineStr">
        <is>
          <t>Échéance le 31/08/2026 (dans 44 j)</t>
        </is>
      </c>
      <c r="F169" t="inlineStr">
        <is>
          <t>RNCP37492</t>
        </is>
      </c>
      <c r="G169" t="inlineStr">
        <is>
          <t>barman</t>
        </is>
      </c>
      <c r="H169" t="inlineStr">
        <is>
          <t>42757 (Service salle) ; 42723 (Bar)</t>
        </is>
      </c>
      <c r="I169" t="inlineStr">
        <is>
          <t>31/08/2026</t>
        </is>
      </c>
    </row>
    <row r="170">
      <c r="A170" t="inlineStr"/>
      <c r="B170" t="inlineStr">
        <is>
          <t>RNCP37534</t>
        </is>
      </c>
      <c r="C170" t="inlineStr">
        <is>
          <t>Certificat d'aptitude professionnelle - Glacier fabricant</t>
        </is>
      </c>
      <c r="D170" s="37" t="inlineStr">
        <is>
          <t>À vérifier</t>
        </is>
      </c>
      <c r="E170" t="inlineStr">
        <is>
          <t>Successeur déjà publié : RNCP41941 (Glacier fabricant) — préparer la bascule de l'offre CPF | Échéance le 31/08/2026 (dans 44 j)</t>
        </is>
      </c>
      <c r="F170" t="inlineStr">
        <is>
          <t>RNCP41941</t>
        </is>
      </c>
      <c r="G170" t="inlineStr">
        <is>
          <t>Glacier fabricant</t>
        </is>
      </c>
      <c r="H170" t="inlineStr">
        <is>
          <t>21529 (Glacerie)</t>
        </is>
      </c>
      <c r="I170" t="inlineStr">
        <is>
          <t>31/08/2026</t>
        </is>
      </c>
    </row>
    <row r="171">
      <c r="A171" t="inlineStr"/>
      <c r="B171" t="inlineStr">
        <is>
          <t>RNCP37536</t>
        </is>
      </c>
      <c r="C171" t="inlineStr">
        <is>
          <t>Certificat d'aptitude professionnelle - Mareyage</t>
        </is>
      </c>
      <c r="D171" s="37" t="inlineStr">
        <is>
          <t>À vérifier</t>
        </is>
      </c>
      <c r="E171" t="inlineStr">
        <is>
          <t>Successeur déjà publié : RNCP42116 (Mareyage) — préparer la bascule de l'offre CPF | Échéance le 31/08/2026 (dans 44 j)</t>
        </is>
      </c>
      <c r="F171" t="inlineStr">
        <is>
          <t>RNCP42116</t>
        </is>
      </c>
      <c r="G171" t="inlineStr">
        <is>
          <t>Mareyage</t>
        </is>
      </c>
      <c r="H171" t="inlineStr">
        <is>
          <t>21376 (Mareyage) ; 21567 (Transformation produits de la mer) ; 21347 (Aquaculture)</t>
        </is>
      </c>
      <c r="I171" t="inlineStr">
        <is>
          <t>31/08/2026</t>
        </is>
      </c>
    </row>
    <row r="172">
      <c r="A172" t="inlineStr"/>
      <c r="B172" t="inlineStr">
        <is>
          <t>RNCP37537</t>
        </is>
      </c>
      <c r="C172" t="inlineStr">
        <is>
          <t>CAP - Boulanger</t>
        </is>
      </c>
      <c r="D172" s="37" t="inlineStr">
        <is>
          <t>À vérifier</t>
        </is>
      </c>
      <c r="E172" t="inlineStr">
        <is>
          <t>Successeur déjà publié : RNCP42115 (Boulanger) — préparer la bascule de l'offre CPF | Échéance le 31/08/2026 (dans 44 j)</t>
        </is>
      </c>
      <c r="F172" t="inlineStr">
        <is>
          <t>RNCP42115</t>
        </is>
      </c>
      <c r="G172" t="inlineStr">
        <is>
          <t>Boulanger</t>
        </is>
      </c>
      <c r="H172" t="inlineStr">
        <is>
          <t>21538 (Boulangerie)</t>
        </is>
      </c>
      <c r="I172" t="inlineStr">
        <is>
          <t>31/08/2026</t>
        </is>
      </c>
    </row>
    <row r="173">
      <c r="A173" t="inlineStr"/>
      <c r="B173" t="inlineStr">
        <is>
          <t>RNCP37566</t>
        </is>
      </c>
      <c r="C173" t="inlineStr">
        <is>
          <t>CS - Employé traiteur</t>
        </is>
      </c>
      <c r="D173" s="37" t="inlineStr">
        <is>
          <t>À vérifier</t>
        </is>
      </c>
      <c r="E173" t="inlineStr">
        <is>
          <t>Successeur déjà publié : RNCP41939 (Fabrication traiteur) — préparer la bascule de l'offre CPF | Échéance le 31/08/2026 (dans 44 j)</t>
        </is>
      </c>
      <c r="F173" t="inlineStr">
        <is>
          <t>RNCP41939</t>
        </is>
      </c>
      <c r="G173" t="inlineStr">
        <is>
          <t>Fabrication traiteur</t>
        </is>
      </c>
      <c r="H173" t="inlineStr">
        <is>
          <t>21576 (Traiteur)</t>
        </is>
      </c>
      <c r="I173" t="inlineStr">
        <is>
          <t>31/08/2026</t>
        </is>
      </c>
    </row>
    <row r="174">
      <c r="A174" t="inlineStr"/>
      <c r="B174" t="inlineStr">
        <is>
          <t>RNCP37572</t>
        </is>
      </c>
      <c r="C174" t="inlineStr">
        <is>
          <t>Grade_Licence - Sciences et Ingénierie - Transformation Numérique des Entreprises</t>
        </is>
      </c>
      <c r="D174" s="37" t="inlineStr">
        <is>
          <t>À vérifier</t>
        </is>
      </c>
      <c r="E174" t="inlineStr">
        <is>
          <t>Successeur déjà publié : RNCP42302 (Sciences et Ingénierie - Informatique et systèmes numériques) — préparer la bascule de l'offre CPF | Échéance le 31/08/2026 (dans 44 j)</t>
        </is>
      </c>
      <c r="F174" t="inlineStr">
        <is>
          <t>RNCP42302</t>
        </is>
      </c>
      <c r="G174" t="inlineStr">
        <is>
          <t>Sciences et Ingénierie - Informatique et systèmes numériques</t>
        </is>
      </c>
      <c r="H174" t="inlineStr">
        <is>
          <t>31054 (Informatique - Systèmes d’information et numérique) ; 24231 (Réseau informatique) ; 24454 (Automatisme informatique industrielle)</t>
        </is>
      </c>
      <c r="I174" t="inlineStr">
        <is>
          <t>31/08/2026</t>
        </is>
      </c>
    </row>
    <row r="175">
      <c r="A175" t="inlineStr"/>
      <c r="B175" t="inlineStr">
        <is>
          <t>RNCP37672</t>
        </is>
      </c>
      <c r="C175" t="inlineStr">
        <is>
          <t>CAP - Opérateur logistique</t>
        </is>
      </c>
      <c r="D175" s="37" t="inlineStr">
        <is>
          <t>À vérifier</t>
        </is>
      </c>
      <c r="E175" t="inlineStr">
        <is>
          <t>Successeur déjà publié : RNCP42142 (Opérateur logistique) ; RNCP42586 (Opérateur logistique) — préparer la bascule de l'offre CPF | Échéance le 31/08/2026 (dans 44 j)</t>
        </is>
      </c>
      <c r="F175" t="inlineStr">
        <is>
          <t>RNCP42142, RNCP42586</t>
        </is>
      </c>
      <c r="G175" t="inlineStr">
        <is>
          <t>Opérateur logistique</t>
        </is>
      </c>
      <c r="H175" t="inlineStr">
        <is>
          <t>31845 (Logistique) ; 31768 (Chariot automoteur) ; 31743 (Expédition)</t>
        </is>
      </c>
      <c r="I175" t="inlineStr">
        <is>
          <t>31/08/2026</t>
        </is>
      </c>
    </row>
    <row r="176">
      <c r="A176" t="inlineStr"/>
      <c r="B176" t="inlineStr">
        <is>
          <t>RNCP37675</t>
        </is>
      </c>
      <c r="C176" t="inlineStr">
        <is>
          <t>DE - Assistant de service social</t>
        </is>
      </c>
      <c r="D176" s="37" t="inlineStr">
        <is>
          <t>À vérifier</t>
        </is>
      </c>
      <c r="E176" t="inlineStr">
        <is>
          <t>Successeur déjà publié : RNCP41748 (Assistant de service social) — préparer la bascule de l'offre CPF | Échéance le 31/08/2026 (dans 44 j)</t>
        </is>
      </c>
      <c r="F176" t="inlineStr">
        <is>
          <t>RNCP41748</t>
        </is>
      </c>
      <c r="G176" t="inlineStr">
        <is>
          <t>Assistant de service social</t>
        </is>
      </c>
      <c r="H176" t="inlineStr">
        <is>
          <t>44083 (Assistance service social) ; 44056 (Travail social en réseau)</t>
        </is>
      </c>
      <c r="I176" t="inlineStr">
        <is>
          <t>31/08/2026</t>
        </is>
      </c>
    </row>
    <row r="177">
      <c r="A177" t="inlineStr"/>
      <c r="B177" t="inlineStr">
        <is>
          <t>RNCP37676</t>
        </is>
      </c>
      <c r="C177" t="inlineStr">
        <is>
          <t>DE - Educateur spécialisé</t>
        </is>
      </c>
      <c r="D177" s="37" t="inlineStr">
        <is>
          <t>À vérifier</t>
        </is>
      </c>
      <c r="E177" t="inlineStr">
        <is>
          <t>Successeur déjà publié : RNCP41747 (Educateur spécialisé) — préparer la bascule de l'offre CPF | Échéance le 31/08/2026 (dans 44 j)</t>
        </is>
      </c>
      <c r="F177" t="inlineStr">
        <is>
          <t>RNCP41747</t>
        </is>
      </c>
      <c r="G177" t="inlineStr">
        <is>
          <t>Educateur spécialisé</t>
        </is>
      </c>
      <c r="H177" t="inlineStr">
        <is>
          <t>44092 (Éducateur spécialisé)</t>
        </is>
      </c>
      <c r="I177" t="inlineStr">
        <is>
          <t>31/08/2026</t>
        </is>
      </c>
    </row>
    <row r="178">
      <c r="A178" t="inlineStr"/>
      <c r="B178" t="inlineStr">
        <is>
          <t>RNCP37677</t>
        </is>
      </c>
      <c r="C178" t="inlineStr">
        <is>
          <t>DE - Educateur technique spécialisé</t>
        </is>
      </c>
      <c r="D178" s="37" t="inlineStr">
        <is>
          <t>À vérifier</t>
        </is>
      </c>
      <c r="E178" t="inlineStr">
        <is>
          <t>Successeur déjà publié : RNCP41746 (Educateur technique spécialisé) — préparer la bascule de l'offre CPF | Échéance le 31/08/2026 (dans 44 j)</t>
        </is>
      </c>
      <c r="F178" t="inlineStr">
        <is>
          <t>RNCP41746</t>
        </is>
      </c>
      <c r="G178" t="inlineStr">
        <is>
          <t>Educateur technique spécialisé</t>
        </is>
      </c>
      <c r="H178" t="inlineStr">
        <is>
          <t>44072 (Travail social)</t>
        </is>
      </c>
      <c r="I178" t="inlineStr">
        <is>
          <t>31/08/2026</t>
        </is>
      </c>
    </row>
    <row r="179">
      <c r="A179" t="inlineStr"/>
      <c r="B179" t="inlineStr">
        <is>
          <t>RNCP37678</t>
        </is>
      </c>
      <c r="C179" t="inlineStr">
        <is>
          <t>DE - Conseiller en économie sociale familiale</t>
        </is>
      </c>
      <c r="D179" s="37" t="inlineStr">
        <is>
          <t>À vérifier</t>
        </is>
      </c>
      <c r="E179" t="inlineStr">
        <is>
          <t>Successeur déjà publié : RNCP41744 (Conseiller en économie sociale familiale) ; RNCP42424 (Conseiller en économie sociale familiale) — préparer la bascule de l'offre CPF | Échéance le 31/08/2026 (dans 44 j)</t>
        </is>
      </c>
      <c r="F179" t="inlineStr">
        <is>
          <t>RNCP41744, RNCP42424</t>
        </is>
      </c>
      <c r="G179" t="inlineStr">
        <is>
          <t>Conseiller en économie sociale familiale</t>
        </is>
      </c>
      <c r="H179" t="inlineStr">
        <is>
          <t>44084 (Économie sociale familiale)</t>
        </is>
      </c>
      <c r="I179" t="inlineStr">
        <is>
          <t>31/08/2026</t>
        </is>
      </c>
    </row>
    <row r="180">
      <c r="A180" t="inlineStr"/>
      <c r="B180" t="inlineStr">
        <is>
          <t>RNCP37679</t>
        </is>
      </c>
      <c r="C180" t="inlineStr">
        <is>
          <t>DE - Educateur de jeunes enfants</t>
        </is>
      </c>
      <c r="D180" s="37" t="inlineStr">
        <is>
          <t>À vérifier</t>
        </is>
      </c>
      <c r="E180" t="inlineStr">
        <is>
          <t>Successeur déjà publié : RNCP41745 (Educateur de jeunes enfants) — préparer la bascule de l'offre CPF | Échéance le 31/08/2026 (dans 44 j)</t>
        </is>
      </c>
      <c r="F180" t="inlineStr">
        <is>
          <t>RNCP41745</t>
        </is>
      </c>
      <c r="G180" t="inlineStr">
        <is>
          <t>Educateur de jeunes enfants</t>
        </is>
      </c>
      <c r="H180" t="inlineStr">
        <is>
          <t>44050 (Éducateur jeune enfant)</t>
        </is>
      </c>
      <c r="I180" t="inlineStr">
        <is>
          <t>31/08/2026</t>
        </is>
      </c>
    </row>
    <row r="181">
      <c r="A181" t="inlineStr"/>
      <c r="B181" t="inlineStr">
        <is>
          <t>RNCP37682</t>
        </is>
      </c>
      <c r="C181" t="inlineStr">
        <is>
          <t>TP - Technicien supérieur systèmes et réseaux</t>
        </is>
      </c>
      <c r="D181" s="37" t="inlineStr">
        <is>
          <t>À vérifier</t>
        </is>
      </c>
      <c r="E181" t="inlineStr">
        <is>
          <t>Successeur déjà publié : RNCP42463 (Technicien supérieur systèmes et réseaux) — préparer la bascule de l'offre CPF | Échéance le 01/09/2026 (dans 45 j)</t>
        </is>
      </c>
      <c r="F181" t="inlineStr">
        <is>
          <t>RNCP42463</t>
        </is>
      </c>
      <c r="G181" t="inlineStr">
        <is>
          <t>Technicien supérieur systèmes et réseaux</t>
        </is>
      </c>
      <c r="H181" t="inlineStr">
        <is>
          <t>31008 (Système information) ; 24231 (Réseau informatique)</t>
        </is>
      </c>
      <c r="I181" t="inlineStr">
        <is>
          <t>01/09/2026</t>
        </is>
      </c>
    </row>
    <row r="182">
      <c r="A182" t="inlineStr"/>
      <c r="B182" t="inlineStr">
        <is>
          <t>RNCP37707</t>
        </is>
      </c>
      <c r="C182" t="inlineStr">
        <is>
          <t>BTS - Métiers du géomètre-topographe et de la modélisation numérique</t>
        </is>
      </c>
      <c r="D182" s="37" t="inlineStr">
        <is>
          <t>À vérifier</t>
        </is>
      </c>
      <c r="E182" t="inlineStr">
        <is>
          <t>Successeur déjà publié : RNCP41848 (Métiers du géomètre-topographe et de la modélisation numérique) — préparer la bascule de l'offre CPF | Échéance le 31/08/2026 (dans 44 j)</t>
        </is>
      </c>
      <c r="F182" t="inlineStr">
        <is>
          <t>RNCP41848</t>
        </is>
      </c>
      <c r="G182" t="inlineStr">
        <is>
          <t>Métiers du géomètre-topographe et de la modélisation numérique</t>
        </is>
      </c>
      <c r="H182" t="inlineStr">
        <is>
          <t>11067 (Géométrie) ; 12225 (Topographie) ; 24289 (Photo interprétation)</t>
        </is>
      </c>
      <c r="I182" t="inlineStr">
        <is>
          <t>31/08/2026</t>
        </is>
      </c>
    </row>
    <row r="183">
      <c r="A183" t="inlineStr"/>
      <c r="B183" t="inlineStr">
        <is>
          <t>RNCP37719</t>
        </is>
      </c>
      <c r="C183" t="inlineStr">
        <is>
          <t>DIPLOVIS - Diplôme en management international de l'hôtellerie et de la restauration</t>
        </is>
      </c>
      <c r="D183" s="37" t="inlineStr">
        <is>
          <t>À vérifier</t>
        </is>
      </c>
      <c r="E183" t="inlineStr">
        <is>
          <t>Échéance le 31/08/2026 (dans 44 j)</t>
        </is>
      </c>
      <c r="F183" t="inlineStr">
        <is>
          <t>RNCP37719</t>
        </is>
      </c>
      <c r="G183" t="inlineStr">
        <is>
          <t>Diplôme en management international de l'hôtellerie et de la restauration</t>
        </is>
      </c>
      <c r="H183" t="inlineStr">
        <is>
          <t>32054 (Gestion des organisations) ; 42754 (Hôtellerie restauration) ; 42627 (Gestion entreprise touristique)</t>
        </is>
      </c>
      <c r="I183" t="inlineStr">
        <is>
          <t>31/08/2026</t>
        </is>
      </c>
    </row>
    <row r="184">
      <c r="A184" t="inlineStr"/>
      <c r="B184" t="inlineStr">
        <is>
          <t>RNCP37734</t>
        </is>
      </c>
      <c r="C184" t="inlineStr">
        <is>
          <t>CQP Rectifieur sur machine conventionnelle et/ou numérique</t>
        </is>
      </c>
      <c r="D184" s="37" t="inlineStr">
        <is>
          <t>À vérifier</t>
        </is>
      </c>
      <c r="E184" t="inlineStr">
        <is>
          <t>Échéance le 19/07/2026 (dans 1 j)</t>
        </is>
      </c>
      <c r="F184" t="inlineStr">
        <is>
          <t>RNCP37734</t>
        </is>
      </c>
      <c r="G184" t="inlineStr">
        <is>
          <t>CQP Rectifieur sur machine conventionnelle et/ou numérique</t>
        </is>
      </c>
      <c r="H184" t="inlineStr">
        <is>
          <t>23098 (Rectification usinage)</t>
        </is>
      </c>
      <c r="I184" t="inlineStr">
        <is>
          <t>19/07/2026</t>
        </is>
      </c>
    </row>
    <row r="185">
      <c r="A185" t="inlineStr"/>
      <c r="B185" t="inlineStr">
        <is>
          <t>RNCP37742</t>
        </is>
      </c>
      <c r="C185" t="inlineStr">
        <is>
          <t>Initiateur aux arts du cirque</t>
        </is>
      </c>
      <c r="D185" s="37" t="inlineStr">
        <is>
          <t>À vérifier</t>
        </is>
      </c>
      <c r="E185" t="inlineStr">
        <is>
          <t>Successeur déjà publié : RNCP42506 (Initiateur aux arts du cirque) — préparer la bascule de l'offre CPF | Échéance le 19/07/2026 (dans 1 j)</t>
        </is>
      </c>
      <c r="F185" t="inlineStr">
        <is>
          <t>RNCP42506</t>
        </is>
      </c>
      <c r="G185" t="inlineStr">
        <is>
          <t>Initiateur aux arts du cirque</t>
        </is>
      </c>
      <c r="H185" t="inlineStr">
        <is>
          <t>44067 (Animation socioculturelle) ; 45020 (Cirque arts rue)</t>
        </is>
      </c>
      <c r="I185" t="inlineStr">
        <is>
          <t>19/07/2026</t>
        </is>
      </c>
    </row>
    <row r="186">
      <c r="A186" t="inlineStr"/>
      <c r="B186" t="inlineStr">
        <is>
          <t>RNCP37745</t>
        </is>
      </c>
      <c r="C186" t="inlineStr">
        <is>
          <t>Modéliste international du vêtement</t>
        </is>
      </c>
      <c r="D186" s="37" t="inlineStr">
        <is>
          <t>À vérifier</t>
        </is>
      </c>
      <c r="E186" t="inlineStr">
        <is>
          <t>Successeur déjà publié : RNCP42338 (Modéliste international du vêtement) — préparer la bascule de l'offre CPF | Échéance le 19/07/2026 (dans 1 j)</t>
        </is>
      </c>
      <c r="F186" t="inlineStr">
        <is>
          <t>RNCP42338</t>
        </is>
      </c>
      <c r="G186" t="inlineStr">
        <is>
          <t>Modéliste international du vêtement</t>
        </is>
      </c>
      <c r="H186" t="inlineStr">
        <is>
          <t>21783 (Modélisme habillement)</t>
        </is>
      </c>
      <c r="I186" t="inlineStr">
        <is>
          <t>19/07/2026</t>
        </is>
      </c>
    </row>
    <row r="187">
      <c r="A187" t="inlineStr"/>
      <c r="B187" t="inlineStr">
        <is>
          <t>RNCP37748</t>
        </is>
      </c>
      <c r="C187" t="inlineStr">
        <is>
          <t>Manager des ressources humaines</t>
        </is>
      </c>
      <c r="D187" s="37" t="inlineStr">
        <is>
          <t>À vérifier</t>
        </is>
      </c>
      <c r="E187" t="inlineStr">
        <is>
          <t>Successeur déjà publié : RNCP41803 (Manager des ressources humaines) — préparer la bascule de l'offre CPF | Échéance le 19/07/2026 (dans 1 j)</t>
        </is>
      </c>
      <c r="F187" t="inlineStr">
        <is>
          <t>RNCP41803</t>
        </is>
      </c>
      <c r="G187" t="inlineStr">
        <is>
          <t>Manager des ressources humaines</t>
        </is>
      </c>
      <c r="H187" t="inlineStr">
        <is>
          <t>33054 (Gestion ressources humaines)</t>
        </is>
      </c>
      <c r="I187" t="inlineStr">
        <is>
          <t>19/07/2026</t>
        </is>
      </c>
    </row>
    <row r="188">
      <c r="A188" t="inlineStr"/>
      <c r="B188" t="inlineStr">
        <is>
          <t>RNCP37758</t>
        </is>
      </c>
      <c r="C188" t="inlineStr">
        <is>
          <t>Entraineur de football</t>
        </is>
      </c>
      <c r="D188" s="37" t="inlineStr">
        <is>
          <t>À vérifier</t>
        </is>
      </c>
      <c r="E188" t="inlineStr">
        <is>
          <t>Échéance le 19/07/2026 (dans 1 j)</t>
        </is>
      </c>
      <c r="F188" t="inlineStr">
        <is>
          <t>RNCP37758</t>
        </is>
      </c>
      <c r="G188" t="inlineStr">
        <is>
          <t>Entraineur de football</t>
        </is>
      </c>
      <c r="H188" t="inlineStr">
        <is>
          <t>15426 (Football) ; 15436 (Éducation sportive)</t>
        </is>
      </c>
      <c r="I188" t="inlineStr">
        <is>
          <t>19/07/2026</t>
        </is>
      </c>
    </row>
    <row r="189">
      <c r="A189" t="inlineStr"/>
      <c r="B189" t="inlineStr">
        <is>
          <t>RNCP37775</t>
        </is>
      </c>
      <c r="C189" t="inlineStr">
        <is>
          <t>Manager de la communication de marque</t>
        </is>
      </c>
      <c r="D189" s="37" t="inlineStr">
        <is>
          <t>À vérifier</t>
        </is>
      </c>
      <c r="E189" t="inlineStr">
        <is>
          <t>Successeur déjà publié : RNCP42485 (Manager de la communication de marque) — préparer la bascule de l'offre CPF | Échéance le 19/07/2026 (dans 1 j)</t>
        </is>
      </c>
      <c r="F189" t="inlineStr">
        <is>
          <t>RNCP42485</t>
        </is>
      </c>
      <c r="G189" t="inlineStr">
        <is>
          <t>Manager de la communication de marque</t>
        </is>
      </c>
      <c r="H189" t="inlineStr">
        <is>
          <t>34074 (Publicité) ; 46302 (Gestion entreprise communication information)</t>
        </is>
      </c>
      <c r="I189" t="inlineStr">
        <is>
          <t>19/07/2026</t>
        </is>
      </c>
    </row>
    <row r="190">
      <c r="A190" t="inlineStr"/>
      <c r="B190" t="inlineStr">
        <is>
          <t>RNCP37776</t>
        </is>
      </c>
      <c r="C190" t="inlineStr">
        <is>
          <t>Manager du contenu - content manager</t>
        </is>
      </c>
      <c r="D190" s="37" t="inlineStr">
        <is>
          <t>À vérifier</t>
        </is>
      </c>
      <c r="E190" t="inlineStr">
        <is>
          <t>Successeur déjà publié : RNCP41795 (Manager du contenu - Content manager) — préparer la bascule de l'offre CPF | Échéance le 19/07/2026 (dans 1 j)</t>
        </is>
      </c>
      <c r="F190" t="inlineStr">
        <is>
          <t>RNCP41795</t>
        </is>
      </c>
      <c r="G190" t="inlineStr">
        <is>
          <t>Manager du contenu - Content manager</t>
        </is>
      </c>
      <c r="H190" t="inlineStr">
        <is>
          <t>46301 (Communication entreprise) ; 46347 (Stratégie communication numérique)</t>
        </is>
      </c>
      <c r="I190" t="inlineStr">
        <is>
          <t>19/07/2026</t>
        </is>
      </c>
    </row>
    <row r="191">
      <c r="A191" t="inlineStr"/>
      <c r="B191" t="inlineStr">
        <is>
          <t>RNCP37777</t>
        </is>
      </c>
      <c r="C191" t="inlineStr">
        <is>
          <t>Responsable de communication</t>
        </is>
      </c>
      <c r="D191" s="37" t="inlineStr">
        <is>
          <t>À vérifier</t>
        </is>
      </c>
      <c r="E191" t="inlineStr">
        <is>
          <t>Échéance le 19/07/2026 (dans 1 j)</t>
        </is>
      </c>
      <c r="F191" t="inlineStr">
        <is>
          <t>RNCP37777</t>
        </is>
      </c>
      <c r="G191" t="inlineStr">
        <is>
          <t>Responsable de communication</t>
        </is>
      </c>
      <c r="H191" t="inlineStr">
        <is>
          <t>46341 (Communication externe) ; 46311 (Communication interne) ; 46347 (Stratégie communication numérique) ; 46340 (Communication événementielle)</t>
        </is>
      </c>
      <c r="I191" t="inlineStr">
        <is>
          <t>19/07/2026</t>
        </is>
      </c>
    </row>
    <row r="192">
      <c r="A192" t="inlineStr"/>
      <c r="B192" t="inlineStr">
        <is>
          <t>RNCP37779</t>
        </is>
      </c>
      <c r="C192" t="inlineStr">
        <is>
          <t>Conseiller en emploi accompagné</t>
        </is>
      </c>
      <c r="D192" s="37" t="inlineStr">
        <is>
          <t>À vérifier</t>
        </is>
      </c>
      <c r="E192" t="inlineStr">
        <is>
          <t>Échéance le 19/07/2026 (dans 1 j)</t>
        </is>
      </c>
      <c r="F192" t="inlineStr">
        <is>
          <t>RNCP37779</t>
        </is>
      </c>
      <c r="G192" t="inlineStr">
        <is>
          <t>Conseiller en emploi accompagné</t>
        </is>
      </c>
      <c r="H192" t="inlineStr">
        <is>
          <t>15061 (Accompagnement vers emploi) ; 15031 (Adaptation sociale)</t>
        </is>
      </c>
      <c r="I192" t="inlineStr">
        <is>
          <t>19/07/2026</t>
        </is>
      </c>
    </row>
    <row r="193">
      <c r="A193" t="inlineStr"/>
      <c r="B193" t="inlineStr">
        <is>
          <t>RNCP37780</t>
        </is>
      </c>
      <c r="C193" t="inlineStr">
        <is>
          <t>Assistant de vie dépendance</t>
        </is>
      </c>
      <c r="D193" s="37" t="inlineStr">
        <is>
          <t>À vérifier</t>
        </is>
      </c>
      <c r="E193" t="inlineStr">
        <is>
          <t>Successeur déjà publié : RNCP42318 (Assistant de vie) — préparer la bascule de l'offre CPF | Échéance le 19/07/2026 (dans 1 j)</t>
        </is>
      </c>
      <c r="F193" t="inlineStr">
        <is>
          <t>RNCP42318</t>
        </is>
      </c>
      <c r="G193" t="inlineStr">
        <is>
          <t>Assistant de vie</t>
        </is>
      </c>
      <c r="H193" t="inlineStr">
        <is>
          <t>42056 (Service à la personne) ; 44028 (Accompagnement éducatif et social)</t>
        </is>
      </c>
      <c r="I193" t="inlineStr">
        <is>
          <t>19/07/2026</t>
        </is>
      </c>
    </row>
    <row r="194">
      <c r="A194" t="inlineStr"/>
      <c r="B194" t="inlineStr">
        <is>
          <t>RNCP37785</t>
        </is>
      </c>
      <c r="C194" t="inlineStr">
        <is>
          <t>Expert en numérisation des systèmes et processus de production industriels</t>
        </is>
      </c>
      <c r="D194" s="37" t="inlineStr">
        <is>
          <t>À vérifier</t>
        </is>
      </c>
      <c r="E194" t="inlineStr">
        <is>
          <t>Échéance le 19/07/2026 (dans 1 j)</t>
        </is>
      </c>
      <c r="F194" t="inlineStr">
        <is>
          <t>RNCP37785</t>
        </is>
      </c>
      <c r="G194" t="inlineStr">
        <is>
          <t>Expert en numérisation des systèmes et processus de production industriels</t>
        </is>
      </c>
      <c r="H194" t="inlineStr">
        <is>
          <t>31085 (Informatisation des processus) ; 31049 (Qualité informatique) ; 31008 (Système information)</t>
        </is>
      </c>
      <c r="I194" t="inlineStr">
        <is>
          <t>19/07/2026</t>
        </is>
      </c>
    </row>
    <row r="195">
      <c r="A195" t="inlineStr"/>
      <c r="B195" t="inlineStr">
        <is>
          <t>RNCP37786</t>
        </is>
      </c>
      <c r="C195" t="inlineStr">
        <is>
          <t>Chargé de marketing et communication</t>
        </is>
      </c>
      <c r="D195" s="37" t="inlineStr">
        <is>
          <t>À vérifier</t>
        </is>
      </c>
      <c r="E195" t="inlineStr">
        <is>
          <t>Successeur déjà publié : RNCP41736 (Chargé de marketing et communication) — préparer la bascule de l'offre CPF | Échéance le 19/07/2026 (dans 1 j)</t>
        </is>
      </c>
      <c r="F195" t="inlineStr">
        <is>
          <t>RNCP41736</t>
        </is>
      </c>
      <c r="G195" t="inlineStr">
        <is>
          <t>Chargé de marketing et communication</t>
        </is>
      </c>
      <c r="H195" t="inlineStr">
        <is>
          <t>34093 (Marketing digital) ; 46301 (Communication entreprise) ; 34085 (Stratégie commerciale) ; 32135 (Conduite projet)</t>
        </is>
      </c>
      <c r="I195" t="inlineStr">
        <is>
          <t>19/07/2026</t>
        </is>
      </c>
    </row>
    <row r="196">
      <c r="A196" t="inlineStr"/>
      <c r="B196" t="inlineStr">
        <is>
          <t>RNCP37787</t>
        </is>
      </c>
      <c r="C196" t="inlineStr">
        <is>
          <t>Responsable commerce retail</t>
        </is>
      </c>
      <c r="D196" s="37" t="inlineStr">
        <is>
          <t>À vérifier</t>
        </is>
      </c>
      <c r="E196" t="inlineStr">
        <is>
          <t>Successeur déjà publié : RNCP41712 (Responsable commerce retail) — préparer la bascule de l'offre CPF | Échéance le 19/07/2026 (dans 1 j)</t>
        </is>
      </c>
      <c r="F196" t="inlineStr">
        <is>
          <t>RNCP41712</t>
        </is>
      </c>
      <c r="G196" t="inlineStr">
        <is>
          <t>Responsable commerce retail</t>
        </is>
      </c>
      <c r="H196" t="inlineStr">
        <is>
          <t>34037 (Satisfaction client) ; 34559 (Gestion rayon) ; 34587 (Grande distribution) ; 34588 (Gestion point vente)</t>
        </is>
      </c>
      <c r="I196" t="inlineStr">
        <is>
          <t>19/07/2026</t>
        </is>
      </c>
    </row>
    <row r="197">
      <c r="A197" t="inlineStr"/>
      <c r="B197" t="inlineStr">
        <is>
          <t>RNCP37792</t>
        </is>
      </c>
      <c r="C197" t="inlineStr">
        <is>
          <t>Employé familial</t>
        </is>
      </c>
      <c r="D197" s="37" t="inlineStr">
        <is>
          <t>À vérifier</t>
        </is>
      </c>
      <c r="E197" t="inlineStr">
        <is>
          <t>Successeur déjà publié : RNCP42320 (Employé familial) — préparer la bascule de l'offre CPF | Échéance le 19/07/2026 (dans 1 j)</t>
        </is>
      </c>
      <c r="F197" t="inlineStr">
        <is>
          <t>RNCP42320</t>
        </is>
      </c>
      <c r="G197" t="inlineStr">
        <is>
          <t>Employé familial</t>
        </is>
      </c>
      <c r="H197" t="inlineStr">
        <is>
          <t>44026 (Aide famille)</t>
        </is>
      </c>
      <c r="I197" t="inlineStr">
        <is>
          <t>19/07/2026</t>
        </is>
      </c>
    </row>
    <row r="198">
      <c r="A198" t="inlineStr"/>
      <c r="B198" t="inlineStr">
        <is>
          <t>RNCP37793</t>
        </is>
      </c>
      <c r="C198" t="inlineStr">
        <is>
          <t>Manager de la stratégie digitale</t>
        </is>
      </c>
      <c r="D198" s="37" t="inlineStr">
        <is>
          <t>À vérifier</t>
        </is>
      </c>
      <c r="E198" t="inlineStr">
        <is>
          <t>Successeur déjà publié : RNCP42488 (Manager de la stratégie digitale) — préparer la bascule de l'offre CPF | Échéance le 19/07/2026 (dans 1 j)</t>
        </is>
      </c>
      <c r="F198" t="inlineStr">
        <is>
          <t>RNCP42488</t>
        </is>
      </c>
      <c r="G198" t="inlineStr">
        <is>
          <t>Manager de la stratégie digitale</t>
        </is>
      </c>
      <c r="H198" t="inlineStr">
        <is>
          <t>34093 (Marketing digital) ; 32066 (Transition numérique) ; 46347 (Stratégie communication numérique) ; 34057 (Marketing stratégique)</t>
        </is>
      </c>
      <c r="I198" t="inlineStr">
        <is>
          <t>19/07/2026</t>
        </is>
      </c>
    </row>
    <row r="199">
      <c r="A199" t="inlineStr"/>
      <c r="B199" t="inlineStr">
        <is>
          <t>RNCP37795</t>
        </is>
      </c>
      <c r="C199" t="inlineStr">
        <is>
          <t>Assistant maternel / Garde d'enfants</t>
        </is>
      </c>
      <c r="D199" s="37" t="inlineStr">
        <is>
          <t>À vérifier</t>
        </is>
      </c>
      <c r="E199" t="inlineStr">
        <is>
          <t>Successeur déjà publié : RNCP42319 (Assistant maternel - Assistant parental) — préparer la bascule de l'offre CPF | Échéance le 19/07/2026 (dans 1 j)</t>
        </is>
      </c>
      <c r="F199" t="inlineStr">
        <is>
          <t>RNCP42319</t>
        </is>
      </c>
      <c r="G199" t="inlineStr">
        <is>
          <t>Assistant maternel - Assistant parental</t>
        </is>
      </c>
      <c r="H199" t="inlineStr">
        <is>
          <t>44030 (Assistance maternelle) ; 42056 (Service à la personne)</t>
        </is>
      </c>
      <c r="I199" t="inlineStr">
        <is>
          <t>19/07/2026</t>
        </is>
      </c>
    </row>
    <row r="200">
      <c r="A200" t="inlineStr"/>
      <c r="B200" t="inlineStr">
        <is>
          <t>RNCP37796</t>
        </is>
      </c>
      <c r="C200" t="inlineStr">
        <is>
          <t>Gestionnaire de la sécurité des données, des réseaux et des systèmes</t>
        </is>
      </c>
      <c r="D200" s="37" t="inlineStr">
        <is>
          <t>À vérifier</t>
        </is>
      </c>
      <c r="E200" t="inlineStr">
        <is>
          <t>Successeur déjà publié : RNCP42345 (Expert cybersécurité) — préparer la bascule de l'offre CPF | Échéance le 19/07/2026 (dans 1 j)</t>
        </is>
      </c>
      <c r="F200" t="inlineStr">
        <is>
          <t>RNCP42345</t>
        </is>
      </c>
      <c r="G200" t="inlineStr">
        <is>
          <t>Expert cybersécurité</t>
        </is>
      </c>
      <c r="H200" t="inlineStr">
        <is>
          <t>31045 (Cybersécurité) ; 31038 (Audit informatique) ; 24231 (Réseau informatique) ; 31094 (Gestion projet informatique)</t>
        </is>
      </c>
      <c r="I200" t="inlineStr">
        <is>
          <t>19/07/2026</t>
        </is>
      </c>
    </row>
    <row r="201">
      <c r="A201" t="inlineStr"/>
      <c r="B201" t="inlineStr">
        <is>
          <t>RNCP37799</t>
        </is>
      </c>
      <c r="C201" t="inlineStr">
        <is>
          <t>Coach professionnel</t>
        </is>
      </c>
      <c r="D201" s="37" t="inlineStr">
        <is>
          <t>À vérifier</t>
        </is>
      </c>
      <c r="E201" t="inlineStr">
        <is>
          <t>Successeur déjà publié : RNCP42477 (Coach professionnel) — préparer la bascule de l'offre CPF | Échéance le 19/07/2026 (dans 1 j)</t>
        </is>
      </c>
      <c r="F201" t="inlineStr">
        <is>
          <t>RNCP42477</t>
        </is>
      </c>
      <c r="G201" t="inlineStr">
        <is>
          <t>Coach professionnel</t>
        </is>
      </c>
      <c r="H201" t="inlineStr">
        <is>
          <t>32150 (Coaching entreprise) ; 44517 (Conception action formation) ; 32043 (Conseil entreprise)</t>
        </is>
      </c>
      <c r="I201" t="inlineStr">
        <is>
          <t>19/07/2026</t>
        </is>
      </c>
    </row>
    <row r="202">
      <c r="A202" t="inlineStr"/>
      <c r="B202" t="inlineStr">
        <is>
          <t>RNCP37824</t>
        </is>
      </c>
      <c r="C202" t="inlineStr">
        <is>
          <t>Expert-conseil en stratégie des filières agricoles et agroalimentaires</t>
        </is>
      </c>
      <c r="D202" s="37" t="inlineStr">
        <is>
          <t>À vérifier</t>
        </is>
      </c>
      <c r="E202" t="inlineStr">
        <is>
          <t>Successeur déjà publié : RNCP42476 (Expert-conseil en stratégie des filières agricoles et agroalimentaires) — préparer la bascule de l'offre CPF | Échéance le 19/07/2026 (dans 1 j)</t>
        </is>
      </c>
      <c r="F202" t="inlineStr">
        <is>
          <t>RNCP42476</t>
        </is>
      </c>
      <c r="G202" t="inlineStr">
        <is>
          <t>Expert-conseil en stratégie des filières agricoles et agroalimentaires</t>
        </is>
      </c>
      <c r="H202" t="inlineStr">
        <is>
          <t>13158 (Économie agricole) ; 21052 (Gestion exploitation agricole) ; 21084 (Commercialisation agricole) ; 21554 (Agroalimentaire)</t>
        </is>
      </c>
      <c r="I202" t="inlineStr">
        <is>
          <t>19/07/2026</t>
        </is>
      </c>
    </row>
    <row r="203">
      <c r="A203" t="inlineStr"/>
      <c r="B203" t="inlineStr">
        <is>
          <t>RNCP37828</t>
        </is>
      </c>
      <c r="C203" t="inlineStr">
        <is>
          <t>Designer créateur de produit de mode et textile</t>
        </is>
      </c>
      <c r="D203" s="37" t="inlineStr">
        <is>
          <t>À vérifier</t>
        </is>
      </c>
      <c r="E203" t="inlineStr">
        <is>
          <t>Échéance le 19/07/2026 (dans 1 j)</t>
        </is>
      </c>
      <c r="F203" t="inlineStr">
        <is>
          <t>RNCP37828</t>
        </is>
      </c>
      <c r="G203" t="inlineStr">
        <is>
          <t>Designer créateur de produit de mode et textile</t>
        </is>
      </c>
      <c r="H203" t="inlineStr">
        <is>
          <t>21775 (Stylisme habillement) ; 21627 (Création textile) ; 21752 (Accessoire mode) ; 45027 (Art appliqué) ; 46081 (Création graphique)</t>
        </is>
      </c>
      <c r="I203" t="inlineStr">
        <is>
          <t>19/07/2026</t>
        </is>
      </c>
    </row>
    <row r="204">
      <c r="A204" t="inlineStr"/>
      <c r="B204" t="inlineStr">
        <is>
          <t>RNCP37842</t>
        </is>
      </c>
      <c r="C204" t="inlineStr">
        <is>
          <t>Chef de projet design d'espace et produit</t>
        </is>
      </c>
      <c r="D204" s="37" t="inlineStr">
        <is>
          <t>À vérifier</t>
        </is>
      </c>
      <c r="E204" t="inlineStr">
        <is>
          <t>Successeur déjà publié : RNCP42478 (Designer en aménagement intérieur et scénographie) — préparer la bascule de l'offre CPF | Échéance le 19/07/2026 (dans 1 j)</t>
        </is>
      </c>
      <c r="F204" t="inlineStr">
        <is>
          <t>RNCP42478</t>
        </is>
      </c>
      <c r="G204" t="inlineStr">
        <is>
          <t>Designer en aménagement intérieur et scénographie</t>
        </is>
      </c>
      <c r="H204" t="inlineStr">
        <is>
          <t>45015 (Architecture intérieure) ; 34597 (Marchandisage)</t>
        </is>
      </c>
      <c r="I204" t="inlineStr">
        <is>
          <t>19/07/2026</t>
        </is>
      </c>
    </row>
    <row r="205">
      <c r="A205" t="inlineStr"/>
      <c r="B205" t="inlineStr">
        <is>
          <t>RNCP37849</t>
        </is>
      </c>
      <c r="C205" t="inlineStr">
        <is>
          <t>Responsable du développement commercial</t>
        </is>
      </c>
      <c r="D205" s="37" t="inlineStr">
        <is>
          <t>À vérifier</t>
        </is>
      </c>
      <c r="E205" t="inlineStr">
        <is>
          <t>Échéance le 19/07/2026 (dans 1 j)</t>
        </is>
      </c>
      <c r="F205" t="inlineStr">
        <is>
          <t>RNCP37849</t>
        </is>
      </c>
      <c r="G205" t="inlineStr">
        <is>
          <t>Responsable du développement commercial</t>
        </is>
      </c>
      <c r="H205" t="inlineStr">
        <is>
          <t>34026 (Développement sens commercial) ; 34582 (Négociation commerciale)</t>
        </is>
      </c>
      <c r="I205" t="inlineStr">
        <is>
          <t>19/07/2026</t>
        </is>
      </c>
    </row>
    <row r="206">
      <c r="A206" t="inlineStr"/>
      <c r="B206" t="inlineStr">
        <is>
          <t>RNCP37851</t>
        </is>
      </c>
      <c r="C206" t="inlineStr">
        <is>
          <t>Manager des ressources humaines</t>
        </is>
      </c>
      <c r="D206" s="37" t="inlineStr">
        <is>
          <t>À vérifier</t>
        </is>
      </c>
      <c r="E206" t="inlineStr">
        <is>
          <t>Échéance le 19/07/2026 (dans 1 j)</t>
        </is>
      </c>
      <c r="F206" t="inlineStr">
        <is>
          <t>RNCP37851</t>
        </is>
      </c>
      <c r="G206" t="inlineStr">
        <is>
          <t>Manager des ressources humaines</t>
        </is>
      </c>
      <c r="H206" t="inlineStr">
        <is>
          <t>33054 (Gestion ressources humaines)</t>
        </is>
      </c>
      <c r="I206" t="inlineStr">
        <is>
          <t>19/07/2026</t>
        </is>
      </c>
    </row>
    <row r="207">
      <c r="A207" t="inlineStr"/>
      <c r="B207" t="inlineStr">
        <is>
          <t>RNCP37853</t>
        </is>
      </c>
      <c r="C207" t="inlineStr">
        <is>
          <t>Opérateur son</t>
        </is>
      </c>
      <c r="D207" s="37" t="inlineStr">
        <is>
          <t>À vérifier</t>
        </is>
      </c>
      <c r="E207" t="inlineStr">
        <is>
          <t>Échéance le 19/07/2026 (dans 1 j)</t>
        </is>
      </c>
      <c r="F207" t="inlineStr">
        <is>
          <t>RNCP37853</t>
        </is>
      </c>
      <c r="G207" t="inlineStr">
        <is>
          <t>Opérateur son</t>
        </is>
      </c>
      <c r="H207" t="inlineStr">
        <is>
          <t>46236 (Son)</t>
        </is>
      </c>
      <c r="I207" t="inlineStr">
        <is>
          <t>19/07/2026</t>
        </is>
      </c>
    </row>
    <row r="208">
      <c r="A208" t="inlineStr"/>
      <c r="B208" t="inlineStr">
        <is>
          <t>RNCP37854</t>
        </is>
      </c>
      <c r="C208" t="inlineStr">
        <is>
          <t>Opérateur de prise de vue</t>
        </is>
      </c>
      <c r="D208" s="37" t="inlineStr">
        <is>
          <t>À vérifier</t>
        </is>
      </c>
      <c r="E208" t="inlineStr">
        <is>
          <t>Échéance le 19/07/2026 (dans 1 j)</t>
        </is>
      </c>
      <c r="F208" t="inlineStr">
        <is>
          <t>RNCP37854</t>
        </is>
      </c>
      <c r="G208" t="inlineStr">
        <is>
          <t>Opérateur de prise de vue</t>
        </is>
      </c>
      <c r="H208" t="inlineStr">
        <is>
          <t>46281 (Prise de vue)</t>
        </is>
      </c>
      <c r="I208" t="inlineStr">
        <is>
          <t>19/07/2026</t>
        </is>
      </c>
    </row>
    <row r="209">
      <c r="A209" t="inlineStr"/>
      <c r="B209" t="inlineStr">
        <is>
          <t>RNCP37865</t>
        </is>
      </c>
      <c r="C209" t="inlineStr">
        <is>
          <t>Responsable en gestion d'activité opérationnelle</t>
        </is>
      </c>
      <c r="D209" s="37" t="inlineStr">
        <is>
          <t>À vérifier</t>
        </is>
      </c>
      <c r="E209" t="inlineStr">
        <is>
          <t>Successeur déjà publié : RNCP42510 (Responsable en gestion d'activité) — préparer la bascule de l'offre CPF | Échéance le 19/07/2026 (dans 1 j)</t>
        </is>
      </c>
      <c r="F209" t="inlineStr">
        <is>
          <t>RNCP42510</t>
        </is>
      </c>
      <c r="G209" t="inlineStr">
        <is>
          <t>Responsable en gestion d'activité</t>
        </is>
      </c>
      <c r="H209" t="inlineStr">
        <is>
          <t>32054 (Gestion des organisations) ; 32654 (Gestion financière comptabilité)</t>
        </is>
      </c>
      <c r="I209" t="inlineStr">
        <is>
          <t>19/07/2026</t>
        </is>
      </c>
    </row>
    <row r="210">
      <c r="A210" t="inlineStr"/>
      <c r="B210" t="inlineStr">
        <is>
          <t>RNCP37879</t>
        </is>
      </c>
      <c r="C210" t="inlineStr">
        <is>
          <t>TP - Opérateur en vidéoprotection et en télésurveillance</t>
        </is>
      </c>
      <c r="D210" s="37" t="inlineStr">
        <is>
          <t>À vérifier</t>
        </is>
      </c>
      <c r="E210" t="inlineStr">
        <is>
          <t>Échéance le 16/09/2026 (dans 60 j)</t>
        </is>
      </c>
      <c r="F210" t="inlineStr">
        <is>
          <t>RNCP37879</t>
        </is>
      </c>
      <c r="G210" t="inlineStr">
        <is>
          <t>Opérateur en vidéoprotection et en télésurveillance</t>
        </is>
      </c>
      <c r="H210" t="inlineStr">
        <is>
          <t>42801 (Télésurveillance)</t>
        </is>
      </c>
      <c r="I210" t="inlineStr">
        <is>
          <t>16/09/2026</t>
        </is>
      </c>
    </row>
    <row r="211">
      <c r="A211" t="inlineStr"/>
      <c r="B211" t="inlineStr">
        <is>
          <t>RNCP37897</t>
        </is>
      </c>
      <c r="C211" t="inlineStr">
        <is>
          <t>CAP - Métallier</t>
        </is>
      </c>
      <c r="D211" s="37" t="inlineStr">
        <is>
          <t>À vérifier</t>
        </is>
      </c>
      <c r="E211" t="inlineStr">
        <is>
          <t>Successeur déjà publié : RNCP41831 (Métallier) — préparer la bascule de l'offre CPF | Échéance le 31/08/2026 (dans 44 j)</t>
        </is>
      </c>
      <c r="F211" t="inlineStr">
        <is>
          <t>RNCP41831</t>
        </is>
      </c>
      <c r="G211" t="inlineStr">
        <is>
          <t>Métallier</t>
        </is>
      </c>
      <c r="H211" t="inlineStr">
        <is>
          <t>22478 (Métallerie serrurerie)</t>
        </is>
      </c>
      <c r="I211" t="inlineStr">
        <is>
          <t>31/08/2026</t>
        </is>
      </c>
    </row>
    <row r="212">
      <c r="A212" t="inlineStr"/>
      <c r="B212" t="inlineStr">
        <is>
          <t>RNCP37911</t>
        </is>
      </c>
      <c r="C212" t="inlineStr">
        <is>
          <t>BAC PRO - Etude et réalisation d'agencement</t>
        </is>
      </c>
      <c r="D212" s="37" t="inlineStr">
        <is>
          <t>À vérifier</t>
        </is>
      </c>
      <c r="E212" t="inlineStr">
        <is>
          <t>Successeur déjà publié : RNCP41837 (Etude et réalisation d'agencement) — préparer la bascule de l'offre CPF | Échéance le 31/08/2026 (dans 44 j)</t>
        </is>
      </c>
      <c r="F212" t="inlineStr">
        <is>
          <t>RNCP41837</t>
        </is>
      </c>
      <c r="G212" t="inlineStr">
        <is>
          <t>Etude et réalisation d'agencement</t>
        </is>
      </c>
      <c r="H212" t="inlineStr">
        <is>
          <t>45015 (Architecture intérieure) ; 22404 (Menuiserie agencement)</t>
        </is>
      </c>
      <c r="I212" t="inlineStr">
        <is>
          <t>31/08/2026</t>
        </is>
      </c>
    </row>
    <row r="213">
      <c r="A213" t="inlineStr"/>
      <c r="B213" t="inlineStr">
        <is>
          <t>RNCP37916</t>
        </is>
      </c>
      <c r="C213" t="inlineStr">
        <is>
          <t>BAC PRO - Technicien constructeur bois</t>
        </is>
      </c>
      <c r="D213" s="37" t="inlineStr">
        <is>
          <t>À vérifier</t>
        </is>
      </c>
      <c r="E213" t="inlineStr">
        <is>
          <t>Successeur déjà publié : RNCP41866 (Technicien constructeur bois) — préparer la bascule de l'offre CPF | Échéance le 31/08/2026 (dans 44 j)</t>
        </is>
      </c>
      <c r="F213" t="inlineStr">
        <is>
          <t>RNCP41866</t>
        </is>
      </c>
      <c r="G213" t="inlineStr">
        <is>
          <t>Technicien constructeur bois</t>
        </is>
      </c>
      <c r="H213" t="inlineStr">
        <is>
          <t>22396 (Construction bois) ; 22313 (Charpente bois)</t>
        </is>
      </c>
      <c r="I213" t="inlineStr">
        <is>
          <t>31/08/2026</t>
        </is>
      </c>
    </row>
    <row r="214">
      <c r="A214" t="inlineStr"/>
      <c r="B214" t="inlineStr">
        <is>
          <t>RNCP37917</t>
        </is>
      </c>
      <c r="C214" t="inlineStr">
        <is>
          <t>BAC PRO - Technicien menuisier agenceur</t>
        </is>
      </c>
      <c r="D214" s="37" t="inlineStr">
        <is>
          <t>À vérifier</t>
        </is>
      </c>
      <c r="E214" t="inlineStr">
        <is>
          <t>Successeur déjà publié : RNCP41867 (Technicien menuisier agenceur) — préparer la bascule de l'offre CPF | Échéance le 31/08/2026 (dans 44 j)</t>
        </is>
      </c>
      <c r="F214" t="inlineStr">
        <is>
          <t>RNCP41867</t>
        </is>
      </c>
      <c r="G214" t="inlineStr">
        <is>
          <t>Technicien menuisier agenceur</t>
        </is>
      </c>
      <c r="H214" t="inlineStr">
        <is>
          <t>22404 (Menuiserie agencement) ; 22416 (Menuiserie bois)</t>
        </is>
      </c>
      <c r="I214" t="inlineStr">
        <is>
          <t>31/08/2026</t>
        </is>
      </c>
    </row>
    <row r="215">
      <c r="A215" t="inlineStr"/>
      <c r="B215" t="inlineStr">
        <is>
          <t>RNCP37919</t>
        </is>
      </c>
      <c r="C215" t="inlineStr">
        <is>
          <t>CS - Maintenance des équipements thermiques individuels</t>
        </is>
      </c>
      <c r="D215" s="37" t="inlineStr">
        <is>
          <t>À vérifier</t>
        </is>
      </c>
      <c r="E215" t="inlineStr">
        <is>
          <t>Successeur déjà publié : RNCP41756 (Maintenance des équipements thermiques individuels) — préparer la bascule de l'offre CPF</t>
        </is>
      </c>
      <c r="F215" t="inlineStr">
        <is>
          <t>RNCP41756</t>
        </is>
      </c>
      <c r="G215" t="inlineStr">
        <is>
          <t>Maintenance des équipements thermiques individuels</t>
        </is>
      </c>
      <c r="H215" t="inlineStr">
        <is>
          <t>22671 (Chauffage) ; 22689 (Chauffe eau)</t>
        </is>
      </c>
      <c r="I215" t="inlineStr">
        <is>
          <t>31/08/2028</t>
        </is>
      </c>
    </row>
    <row r="216">
      <c r="A216" t="inlineStr"/>
      <c r="B216" t="inlineStr">
        <is>
          <t>RNCP37932</t>
        </is>
      </c>
      <c r="C216" t="inlineStr">
        <is>
          <t>DIPLOVIS - Diplôme en Management International des Arts Culinaires</t>
        </is>
      </c>
      <c r="D216" s="37" t="inlineStr">
        <is>
          <t>À vérifier</t>
        </is>
      </c>
      <c r="E216" t="inlineStr">
        <is>
          <t>Successeur déjà publié : RNCP42267 (DIPLOVIS - Diplôme en management international des arts culinaires) — préparer la bascule de l'offre CPF | Échéance le 31/08/2026 (dans 44 j)</t>
        </is>
      </c>
      <c r="F216" t="inlineStr">
        <is>
          <t>RNCP42267</t>
        </is>
      </c>
      <c r="G216" t="inlineStr">
        <is>
          <t>DIPLOVIS - Diplôme en management international des arts culinaires</t>
        </is>
      </c>
      <c r="H216" t="inlineStr">
        <is>
          <t>42782 (Gestion cuisine) ; 42760 (Gastronomie) ; 42766 (Gestion hôtel restaurant bar) ; 32054 (Gestion des organisations)</t>
        </is>
      </c>
      <c r="I216" t="inlineStr">
        <is>
          <t>31/08/2026</t>
        </is>
      </c>
    </row>
    <row r="217">
      <c r="A217" t="inlineStr"/>
      <c r="B217" t="inlineStr">
        <is>
          <t>RNCP37937</t>
        </is>
      </c>
      <c r="C217" t="inlineStr">
        <is>
          <t>BP - Vêtement sur mesure, option tailleur homme, option tailleur dame, option couture flou</t>
        </is>
      </c>
      <c r="D217" s="37" t="inlineStr">
        <is>
          <t>À vérifier</t>
        </is>
      </c>
      <c r="E217" t="inlineStr">
        <is>
          <t>Échéance le 31/08/2026 (dans 44 j)</t>
        </is>
      </c>
      <c r="F217" t="inlineStr">
        <is>
          <t>RNCP37937</t>
        </is>
      </c>
      <c r="G217" t="inlineStr">
        <is>
          <t>Vêtement sur mesure, option tailleur homme, option tailleur dame, option couture flou</t>
        </is>
      </c>
      <c r="H217" t="inlineStr">
        <is>
          <t>21759 (Couture flou) ; 21779 (Couture tailleur)</t>
        </is>
      </c>
      <c r="I217" t="inlineStr">
        <is>
          <t>31/08/2026</t>
        </is>
      </c>
    </row>
    <row r="218">
      <c r="A218" t="inlineStr"/>
      <c r="B218" t="inlineStr">
        <is>
          <t>RNCP37941</t>
        </is>
      </c>
      <c r="C218" t="inlineStr">
        <is>
          <t>Certificat d'aptitude professionnelle - Emballeur professionnel</t>
        </is>
      </c>
      <c r="D218" s="37" t="inlineStr">
        <is>
          <t>À vérifier</t>
        </is>
      </c>
      <c r="E218" t="inlineStr">
        <is>
          <t>Successeur déjà publié : RNCP42143 (Emballeur professionnel) — préparer la bascule de l'offre CPF | Échéance le 31/08/2026 (dans 44 j)</t>
        </is>
      </c>
      <c r="F218" t="inlineStr">
        <is>
          <t>RNCP42143</t>
        </is>
      </c>
      <c r="G218" t="inlineStr">
        <is>
          <t>Emballeur professionnel</t>
        </is>
      </c>
      <c r="H218" t="inlineStr">
        <is>
          <t>31752 (Conditionnement emballage)</t>
        </is>
      </c>
      <c r="I218" t="inlineStr">
        <is>
          <t>31/08/2026</t>
        </is>
      </c>
    </row>
    <row r="219">
      <c r="A219" t="inlineStr"/>
      <c r="B219" t="inlineStr">
        <is>
          <t>RNCP37985</t>
        </is>
      </c>
      <c r="C219" t="inlineStr">
        <is>
          <t>Expert en ingénierie logicielle</t>
        </is>
      </c>
      <c r="D219" s="37" t="inlineStr">
        <is>
          <t>À vérifier</t>
        </is>
      </c>
      <c r="E219" t="inlineStr">
        <is>
          <t>Successeur déjà publié : RNCP42505 (Expert en ingénierie logicielle) — préparer la bascule de l'offre CPF | Échéance le 20/09/2026 (dans 64 j)</t>
        </is>
      </c>
      <c r="F219" t="inlineStr">
        <is>
          <t>RNCP42505</t>
        </is>
      </c>
      <c r="G219" t="inlineStr">
        <is>
          <t>Expert en ingénierie logicielle</t>
        </is>
      </c>
      <c r="H219" t="inlineStr">
        <is>
          <t>31057 (Génie logiciel) ; 31067 (Développement informatique) ; 31006 (Sécurité informatique) ; 31009 (Architecture système information)</t>
        </is>
      </c>
      <c r="I219" t="inlineStr">
        <is>
          <t>20/09/2026</t>
        </is>
      </c>
    </row>
    <row r="220">
      <c r="A220" t="inlineStr"/>
      <c r="B220" t="inlineStr">
        <is>
          <t>RNCP37986</t>
        </is>
      </c>
      <c r="C220" t="inlineStr">
        <is>
          <t>Expert de la transition énergétique</t>
        </is>
      </c>
      <c r="D220" s="37" t="inlineStr">
        <is>
          <t>À vérifier</t>
        </is>
      </c>
      <c r="E220" t="inlineStr">
        <is>
          <t>Échéance le 20/09/2026 (dans 64 j)</t>
        </is>
      </c>
      <c r="F220" t="inlineStr">
        <is>
          <t>RNCP37986</t>
        </is>
      </c>
      <c r="G220" t="inlineStr">
        <is>
          <t>Expert de la transition énergétique</t>
        </is>
      </c>
      <c r="H220" t="inlineStr">
        <is>
          <t>22485 (Rénovation bâtiment) ; 22250 (Éco-construction) ; 22279 (Maîtrise d'oeuvre BTP) ; 22269 (Maîtrise d'ouvrage BTP) ; 24147 (Énergie renouvelable)</t>
        </is>
      </c>
      <c r="I220" t="inlineStr">
        <is>
          <t>20/09/2026</t>
        </is>
      </c>
    </row>
    <row r="221">
      <c r="A221" t="inlineStr"/>
      <c r="B221" t="inlineStr">
        <is>
          <t>RNCP37987</t>
        </is>
      </c>
      <c r="C221" t="inlineStr">
        <is>
          <t>Spécialiste en cybersécurité</t>
        </is>
      </c>
      <c r="D221" s="37" t="inlineStr">
        <is>
          <t>À vérifier</t>
        </is>
      </c>
      <c r="E221" t="inlineStr">
        <is>
          <t>Successeur déjà publié : RNCP42503 (Spécialiste en cybersécurité) — préparer la bascule de l'offre CPF | Échéance le 20/09/2026 (dans 64 j)</t>
        </is>
      </c>
      <c r="F221" t="inlineStr">
        <is>
          <t>RNCP42503</t>
        </is>
      </c>
      <c r="G221" t="inlineStr">
        <is>
          <t>Spécialiste en cybersécurité</t>
        </is>
      </c>
      <c r="H221" t="inlineStr">
        <is>
          <t>31045 (Cybersécurité) ; 31038 (Audit informatique) ; 31032 (Système exploitation informatique) ; 24220 (Gestion réseau informatique)</t>
        </is>
      </c>
      <c r="I221" t="inlineStr">
        <is>
          <t>20/09/2026</t>
        </is>
      </c>
    </row>
    <row r="222">
      <c r="A222" t="inlineStr"/>
      <c r="B222" t="inlineStr">
        <is>
          <t>RNCP37988</t>
        </is>
      </c>
      <c r="C222" t="inlineStr">
        <is>
          <t>Diplôme visé - Diplôme supérieur en marketing, vente et gestion</t>
        </is>
      </c>
      <c r="D222" s="37" t="inlineStr">
        <is>
          <t>À vérifier</t>
        </is>
      </c>
      <c r="E222" t="inlineStr">
        <is>
          <t>Successeur déjà publié : RNCP42254 (Diplôme supérieur en marketing, vente et gestion) — préparer la bascule de l'offre CPF | Échéance le 31/08/2026 (dans 44 j)</t>
        </is>
      </c>
      <c r="F222" t="inlineStr">
        <is>
          <t>RNCP42254</t>
        </is>
      </c>
      <c r="G222" t="inlineStr">
        <is>
          <t>Diplôme supérieur en marketing, vente et gestion</t>
        </is>
      </c>
      <c r="H222" t="inlineStr">
        <is>
          <t>34085 (Stratégie commerciale) ; 34052 (Marketing) ; 32154 (Encadrement management) ; 32054 (Gestion des organisations)</t>
        </is>
      </c>
      <c r="I222" t="inlineStr">
        <is>
          <t>31/08/2026</t>
        </is>
      </c>
    </row>
    <row r="223">
      <c r="A223" t="inlineStr"/>
      <c r="B223" t="inlineStr">
        <is>
          <t>RNCP37996</t>
        </is>
      </c>
      <c r="C223" t="inlineStr">
        <is>
          <t>CQP Moniteur de sports à roulettes</t>
        </is>
      </c>
      <c r="D223" s="37" t="inlineStr">
        <is>
          <t>À vérifier</t>
        </is>
      </c>
      <c r="E223" t="inlineStr">
        <is>
          <t>Successeur déjà publié : RNCP41982 (CQP Initiateur en sports à roulettes) — préparer la bascule de l'offre CPF | Échéance le 20/09/2026 (dans 64 j)</t>
        </is>
      </c>
      <c r="F223" t="inlineStr">
        <is>
          <t>RNCP41982</t>
        </is>
      </c>
      <c r="G223" t="inlineStr">
        <is>
          <t>CQP Initiateur en sports à roulettes</t>
        </is>
      </c>
      <c r="H223" t="inlineStr">
        <is>
          <t>15436 (Éducation sportive) ; 15401 (Patinage roulettes) ; 15402 (Planche roulettes)</t>
        </is>
      </c>
      <c r="I223" t="inlineStr">
        <is>
          <t>20/09/2026</t>
        </is>
      </c>
    </row>
    <row r="224">
      <c r="A224" t="inlineStr"/>
      <c r="B224" t="inlineStr">
        <is>
          <t>RNCP37998</t>
        </is>
      </c>
      <c r="C224" t="inlineStr">
        <is>
          <t>Responsable en rémunération globale et avantages sociaux</t>
        </is>
      </c>
      <c r="D224" s="37" t="inlineStr">
        <is>
          <t>À vérifier</t>
        </is>
      </c>
      <c r="E224" t="inlineStr">
        <is>
          <t>Successeur déjà publié : RNCP42499 (Responsable rémunération et avantages sociaux) — préparer la bascule de l'offre CPF | Échéance le 20/09/2026 (dans 64 j)</t>
        </is>
      </c>
      <c r="F224" t="inlineStr">
        <is>
          <t>RNCP42499</t>
        </is>
      </c>
      <c r="G224" t="inlineStr">
        <is>
          <t>Responsable rémunération et avantages sociaux</t>
        </is>
      </c>
      <c r="H224" t="inlineStr">
        <is>
          <t>33031 (Système rémunération)</t>
        </is>
      </c>
      <c r="I224" t="inlineStr">
        <is>
          <t>20/09/2026</t>
        </is>
      </c>
    </row>
    <row r="225">
      <c r="A225" t="inlineStr"/>
      <c r="B225" t="inlineStr">
        <is>
          <t>RNCP38012</t>
        </is>
      </c>
      <c r="C225" t="inlineStr">
        <is>
          <t>Designer en architecture d'intérieur</t>
        </is>
      </c>
      <c r="D225" s="37" t="inlineStr">
        <is>
          <t>À vérifier</t>
        </is>
      </c>
      <c r="E225" t="inlineStr">
        <is>
          <t>Échéance le 20/09/2026 (dans 64 j)</t>
        </is>
      </c>
      <c r="F225" t="inlineStr">
        <is>
          <t>RNCP38012</t>
        </is>
      </c>
      <c r="G225" t="inlineStr">
        <is>
          <t>Designer en architecture d'intérieur</t>
        </is>
      </c>
      <c r="H225" t="inlineStr">
        <is>
          <t>45015 (Architecture intérieure)</t>
        </is>
      </c>
      <c r="I225" t="inlineStr">
        <is>
          <t>20/09/2026</t>
        </is>
      </c>
    </row>
    <row r="226">
      <c r="A226" t="inlineStr"/>
      <c r="B226" t="inlineStr">
        <is>
          <t>RNCP38018</t>
        </is>
      </c>
      <c r="C226" t="inlineStr">
        <is>
          <t>Chef de projet digital</t>
        </is>
      </c>
      <c r="D226" s="37" t="inlineStr">
        <is>
          <t>À vérifier</t>
        </is>
      </c>
      <c r="E226" t="inlineStr">
        <is>
          <t>Échéance le 20/09/2026 (dans 64 j)</t>
        </is>
      </c>
      <c r="F226" t="inlineStr">
        <is>
          <t>RNCP38018</t>
        </is>
      </c>
      <c r="G226" t="inlineStr">
        <is>
          <t>Chef de projet digital</t>
        </is>
      </c>
      <c r="H226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I226" t="inlineStr">
        <is>
          <t>20/09/2026</t>
        </is>
      </c>
    </row>
    <row r="227">
      <c r="A227" t="inlineStr"/>
      <c r="B227" t="inlineStr">
        <is>
          <t>RNCP38022</t>
        </is>
      </c>
      <c r="C227" t="inlineStr">
        <is>
          <t>Designer en architecture d'intérieur</t>
        </is>
      </c>
      <c r="D227" s="37" t="inlineStr">
        <is>
          <t>À vérifier</t>
        </is>
      </c>
      <c r="E227" t="inlineStr">
        <is>
          <t>Échéance le 20/09/2026 (dans 64 j)</t>
        </is>
      </c>
      <c r="F227" t="inlineStr">
        <is>
          <t>RNCP38022</t>
        </is>
      </c>
      <c r="G227" t="inlineStr">
        <is>
          <t>Designer en architecture d'intérieur</t>
        </is>
      </c>
      <c r="H227" t="inlineStr">
        <is>
          <t>45015 (Architecture intérieure) ; 22212 (Architecture bioclimatique)</t>
        </is>
      </c>
      <c r="I227" t="inlineStr">
        <is>
          <t>20/09/2026</t>
        </is>
      </c>
    </row>
    <row r="228">
      <c r="A228" t="inlineStr"/>
      <c r="B228" t="inlineStr">
        <is>
          <t>RNCP38025</t>
        </is>
      </c>
      <c r="C228" t="inlineStr">
        <is>
          <t>Chargé de développement commercial et marketing</t>
        </is>
      </c>
      <c r="D228" s="37" t="inlineStr">
        <is>
          <t>À vérifier</t>
        </is>
      </c>
      <c r="E228" t="inlineStr">
        <is>
          <t>Échéance le 20/09/2026 (dans 64 j)</t>
        </is>
      </c>
      <c r="F228" t="inlineStr">
        <is>
          <t>RNCP38025</t>
        </is>
      </c>
      <c r="G228" t="inlineStr">
        <is>
          <t>Chargé de développement commercial et marketing</t>
        </is>
      </c>
      <c r="H228" t="inlineStr">
        <is>
          <t>34085 (Stratégie commerciale) ; 34052 (Marketing) ; 34566 (Vente distribution)</t>
        </is>
      </c>
      <c r="I228" t="inlineStr">
        <is>
          <t>20/09/2026</t>
        </is>
      </c>
    </row>
    <row r="229">
      <c r="A229" t="inlineStr"/>
      <c r="B229" t="inlineStr">
        <is>
          <t>RNCP38123</t>
        </is>
      </c>
      <c r="C229" t="inlineStr">
        <is>
          <t>Responsable du développement commercial</t>
        </is>
      </c>
      <c r="D229" s="37" t="inlineStr">
        <is>
          <t>À vérifier</t>
        </is>
      </c>
      <c r="E229" t="inlineStr">
        <is>
          <t>Échéance le 18/10/2026 (dans 92 j)</t>
        </is>
      </c>
      <c r="F229" t="inlineStr">
        <is>
          <t>RNCP38123</t>
        </is>
      </c>
      <c r="G229" t="inlineStr">
        <is>
          <t>Responsable du développement commercial</t>
        </is>
      </c>
      <c r="H229" t="inlineStr">
        <is>
          <t>34085 (Stratégie commerciale) ; 34554 (Commerce)</t>
        </is>
      </c>
      <c r="I229" t="inlineStr">
        <is>
          <t>18/10/2026</t>
        </is>
      </c>
    </row>
    <row r="230">
      <c r="A230" t="inlineStr"/>
      <c r="B230" t="inlineStr">
        <is>
          <t>RNCP38125</t>
        </is>
      </c>
      <c r="C230" t="inlineStr">
        <is>
          <t>Responsable projet communication</t>
        </is>
      </c>
      <c r="D230" s="37" t="inlineStr">
        <is>
          <t>À vérifier</t>
        </is>
      </c>
      <c r="E230" t="inlineStr">
        <is>
          <t>Échéance le 18/10/2026 (dans 92 j)</t>
        </is>
      </c>
      <c r="F230" t="inlineStr">
        <is>
          <t>RNCP38125</t>
        </is>
      </c>
      <c r="G230" t="inlineStr">
        <is>
          <t>Responsable projet communication</t>
        </is>
      </c>
      <c r="H230" t="inlineStr">
        <is>
          <t>46311 (Communication interne) ; 46347 (Stratégie communication numérique) ; 46340 (Communication événementielle) ; 46341 (Communication externe)</t>
        </is>
      </c>
      <c r="I230" t="inlineStr">
        <is>
          <t>18/10/2026</t>
        </is>
      </c>
    </row>
    <row r="231">
      <c r="A231" t="inlineStr"/>
      <c r="B231" t="inlineStr">
        <is>
          <t>RNCP38131</t>
        </is>
      </c>
      <c r="C231" t="inlineStr">
        <is>
          <t>Responsable marketing et communication</t>
        </is>
      </c>
      <c r="D231" s="37" t="inlineStr">
        <is>
          <t>À vérifier</t>
        </is>
      </c>
      <c r="E231" t="inlineStr">
        <is>
          <t>Échéance le 18/10/2026 (dans 92 j)</t>
        </is>
      </c>
      <c r="F231" t="inlineStr">
        <is>
          <t>RNCP38131</t>
        </is>
      </c>
      <c r="G231" t="inlineStr">
        <is>
          <t>Responsable marketing et communication</t>
        </is>
      </c>
      <c r="H231" t="inlineStr">
        <is>
          <t>34052 (Marketing) ; 34085 (Stratégie commerciale)</t>
        </is>
      </c>
      <c r="I231" t="inlineStr">
        <is>
          <t>18/10/2026</t>
        </is>
      </c>
    </row>
    <row r="232">
      <c r="A232" t="inlineStr"/>
      <c r="B232" t="inlineStr">
        <is>
          <t>RNCP38142</t>
        </is>
      </c>
      <c r="C232" t="inlineStr">
        <is>
          <t>Chargé de développement d’une structure sportive associative</t>
        </is>
      </c>
      <c r="D232" s="37" t="inlineStr">
        <is>
          <t>À vérifier</t>
        </is>
      </c>
      <c r="E232" t="inlineStr">
        <is>
          <t>Échéance le 18/10/2026 (dans 92 j)</t>
        </is>
      </c>
      <c r="F232" t="inlineStr">
        <is>
          <t>RNCP38142</t>
        </is>
      </c>
      <c r="G232" t="inlineStr">
        <is>
          <t>Chargé de développement d’une structure sportive associative</t>
        </is>
      </c>
      <c r="H232" t="inlineStr">
        <is>
          <t>15457 (Gestion sport) ; 44058 (Vie associative)</t>
        </is>
      </c>
      <c r="I232" t="inlineStr">
        <is>
          <t>18/10/2026</t>
        </is>
      </c>
    </row>
    <row r="233">
      <c r="A233" t="inlineStr"/>
      <c r="B233" t="inlineStr">
        <is>
          <t>RNCP38143</t>
        </is>
      </c>
      <c r="C233" t="inlineStr">
        <is>
          <t>Graphiste motion designer</t>
        </is>
      </c>
      <c r="D233" s="37" t="inlineStr">
        <is>
          <t>À vérifier</t>
        </is>
      </c>
      <c r="E233" t="inlineStr">
        <is>
          <t>Échéance le 18/10/2026 (dans 92 j)</t>
        </is>
      </c>
      <c r="F233" t="inlineStr">
        <is>
          <t>RNCP38143</t>
        </is>
      </c>
      <c r="G233" t="inlineStr">
        <is>
          <t>Graphiste motion designer</t>
        </is>
      </c>
      <c r="H233" t="inlineStr">
        <is>
          <t>46003 (Infographie) ; 46090 (Graphisme publicité) ; 46269 (Montage audiovisuel)</t>
        </is>
      </c>
      <c r="I233" t="inlineStr">
        <is>
          <t>18/10/2026</t>
        </is>
      </c>
    </row>
    <row r="234">
      <c r="A234" t="inlineStr"/>
      <c r="B234" t="inlineStr">
        <is>
          <t>RNCP38145</t>
        </is>
      </c>
      <c r="C234" t="inlineStr">
        <is>
          <t>Développeur informatique</t>
        </is>
      </c>
      <c r="D234" s="37" t="inlineStr">
        <is>
          <t>À vérifier</t>
        </is>
      </c>
      <c r="E234" t="inlineStr">
        <is>
          <t>Échéance le 18/10/2026 (dans 92 j)</t>
        </is>
      </c>
      <c r="F234" t="inlineStr">
        <is>
          <t>RNCP38145</t>
        </is>
      </c>
      <c r="G234" t="inlineStr">
        <is>
          <t>Développeur informatique</t>
        </is>
      </c>
      <c r="H234" t="inlineStr">
        <is>
          <t>31067 (Développement informatique)</t>
        </is>
      </c>
      <c r="I234" t="inlineStr">
        <is>
          <t>18/10/2026</t>
        </is>
      </c>
    </row>
    <row r="235">
      <c r="A235" t="inlineStr"/>
      <c r="B235" t="inlineStr">
        <is>
          <t>RNCP38146</t>
        </is>
      </c>
      <c r="C235" t="inlineStr">
        <is>
          <t>Responsable commercial</t>
        </is>
      </c>
      <c r="D235" s="37" t="inlineStr">
        <is>
          <t>À vérifier</t>
        </is>
      </c>
      <c r="E235" t="inlineStr">
        <is>
          <t>Échéance le 18/10/2026 (dans 92 j)</t>
        </is>
      </c>
      <c r="F235" t="inlineStr">
        <is>
          <t>RNCP38146</t>
        </is>
      </c>
      <c r="G235" t="inlineStr">
        <is>
          <t>Responsable commercial</t>
        </is>
      </c>
      <c r="H235" t="inlineStr">
        <is>
          <t>34584 (Animation vente) ; 34561 (Force vente) ; 34085 (Stratégie commerciale) ; 34582 (Négociation commerciale)</t>
        </is>
      </c>
      <c r="I235" t="inlineStr">
        <is>
          <t>18/10/2026</t>
        </is>
      </c>
    </row>
    <row r="236">
      <c r="A236" t="inlineStr"/>
      <c r="B236" t="inlineStr">
        <is>
          <t>RNCP38225</t>
        </is>
      </c>
      <c r="C236" t="inlineStr">
        <is>
          <t>Certificat de spécialisation - Accueil dans les transports</t>
        </is>
      </c>
      <c r="D236" s="37" t="inlineStr">
        <is>
          <t>À vérifier</t>
        </is>
      </c>
      <c r="E236" t="inlineStr">
        <is>
          <t>Successeur déjà publié : RNCP42552 (Accueil dans les transports) — préparer la bascule de l'offre CPF | Échéance le 31/08/2026 (dans 44 j)</t>
        </is>
      </c>
      <c r="F236" t="inlineStr">
        <is>
          <t>RNCP42552</t>
        </is>
      </c>
      <c r="G236" t="inlineStr">
        <is>
          <t>Accueil dans les transports</t>
        </is>
      </c>
      <c r="H236" t="inlineStr">
        <is>
          <t>35052 (Accueil) ; 31854 (Transport)</t>
        </is>
      </c>
      <c r="I236" t="inlineStr">
        <is>
          <t>31/08/2026</t>
        </is>
      </c>
    </row>
    <row r="237">
      <c r="A237" t="inlineStr"/>
      <c r="B237" t="inlineStr">
        <is>
          <t>RNCP38241</t>
        </is>
      </c>
      <c r="C237" t="inlineStr">
        <is>
          <t>CQP Chargé de ressources humaines</t>
        </is>
      </c>
      <c r="D237" s="37" t="inlineStr">
        <is>
          <t>À vérifier</t>
        </is>
      </c>
      <c r="E237" t="inlineStr">
        <is>
          <t>Échéance le 15/11/2026 (dans 120 j)</t>
        </is>
      </c>
      <c r="F237" t="inlineStr">
        <is>
          <t>RNCP38241</t>
        </is>
      </c>
      <c r="G237" t="inlineStr">
        <is>
          <t>CQP Chargé de ressources humaines</t>
        </is>
      </c>
      <c r="H237" t="inlineStr">
        <is>
          <t>33054 (Gestion ressources humaines)</t>
        </is>
      </c>
      <c r="I237" t="inlineStr">
        <is>
          <t>15/11/2026</t>
        </is>
      </c>
    </row>
    <row r="238">
      <c r="A238" t="inlineStr"/>
      <c r="B238" t="inlineStr">
        <is>
          <t>RNCP38243</t>
        </is>
      </c>
      <c r="C238" t="inlineStr">
        <is>
          <t>CQP Animateur de tennis de table</t>
        </is>
      </c>
      <c r="D238" s="37" t="inlineStr">
        <is>
          <t>À vérifier</t>
        </is>
      </c>
      <c r="E238" t="inlineStr">
        <is>
          <t>Échéance le 15/11/2026 (dans 120 j)</t>
        </is>
      </c>
      <c r="F238" t="inlineStr">
        <is>
          <t>RNCP38243</t>
        </is>
      </c>
      <c r="G238" t="inlineStr">
        <is>
          <t>CQP Animateur de tennis de table</t>
        </is>
      </c>
      <c r="H238" t="inlineStr">
        <is>
          <t>15436 (Éducation sportive) ; 15408 (Tennis table)</t>
        </is>
      </c>
      <c r="I238" t="inlineStr">
        <is>
          <t>15/11/2026</t>
        </is>
      </c>
    </row>
    <row r="239">
      <c r="A239" t="inlineStr"/>
      <c r="B239" t="inlineStr">
        <is>
          <t>RNCP38244</t>
        </is>
      </c>
      <c r="C239" t="inlineStr">
        <is>
          <t>Concepteur UI et webdesign</t>
        </is>
      </c>
      <c r="D239" s="37" t="inlineStr">
        <is>
          <t>À vérifier</t>
        </is>
      </c>
      <c r="E239" t="inlineStr">
        <is>
          <t>Échéance le 15/11/2026 (dans 120 j)</t>
        </is>
      </c>
      <c r="F239" t="inlineStr">
        <is>
          <t>RNCP38244</t>
        </is>
      </c>
      <c r="G239" t="inlineStr">
        <is>
          <t>Concepteur UI et webdesign</t>
        </is>
      </c>
      <c r="H239" t="inlineStr">
        <is>
          <t>46331 (Site web) ; 46003 (Infographie)</t>
        </is>
      </c>
      <c r="I239" t="inlineStr">
        <is>
          <t>15/11/2026</t>
        </is>
      </c>
    </row>
    <row r="240">
      <c r="A240" t="inlineStr"/>
      <c r="B240" t="inlineStr">
        <is>
          <t>RNCP38247</t>
        </is>
      </c>
      <c r="C240" t="inlineStr">
        <is>
          <t>CQP Employé de magasin</t>
        </is>
      </c>
      <c r="D240" s="37" t="inlineStr">
        <is>
          <t>À vérifier</t>
        </is>
      </c>
      <c r="E240" t="inlineStr">
        <is>
          <t>Échéance le 15/11/2026 (dans 120 j)</t>
        </is>
      </c>
      <c r="F240" t="inlineStr">
        <is>
          <t>RNCP38247</t>
        </is>
      </c>
      <c r="G240" t="inlineStr">
        <is>
          <t>CQP Employé de magasin</t>
        </is>
      </c>
      <c r="H240" t="inlineStr">
        <is>
          <t>34589 (Caisse) ; 34559 (Gestion rayon)</t>
        </is>
      </c>
      <c r="I240" t="inlineStr">
        <is>
          <t>15/11/2026</t>
        </is>
      </c>
    </row>
    <row r="241">
      <c r="A241" t="inlineStr"/>
      <c r="B241" t="inlineStr">
        <is>
          <t>RNCP38268</t>
        </is>
      </c>
      <c r="C241" t="inlineStr">
        <is>
          <t>Motion designer</t>
        </is>
      </c>
      <c r="D241" s="37" t="inlineStr">
        <is>
          <t>À vérifier</t>
        </is>
      </c>
      <c r="E241" t="inlineStr">
        <is>
          <t>Échéance le 15/11/2026 (dans 120 j)</t>
        </is>
      </c>
      <c r="F241" t="inlineStr">
        <is>
          <t>RNCP38268</t>
        </is>
      </c>
      <c r="G241" t="inlineStr">
        <is>
          <t>Motion designer</t>
        </is>
      </c>
      <c r="H241" t="inlineStr">
        <is>
          <t>46003 (Infographie) ; 46276 (Film animation)</t>
        </is>
      </c>
      <c r="I241" t="inlineStr">
        <is>
          <t>15/11/2026</t>
        </is>
      </c>
    </row>
    <row r="242">
      <c r="A242" t="inlineStr"/>
      <c r="B242" t="inlineStr">
        <is>
          <t>RNCP38275</t>
        </is>
      </c>
      <c r="C242" t="inlineStr">
        <is>
          <t>CQP Educateur de tennis</t>
        </is>
      </c>
      <c r="D242" s="37" t="inlineStr">
        <is>
          <t>À vérifier</t>
        </is>
      </c>
      <c r="E242" t="inlineStr">
        <is>
          <t>Échéance le 15/11/2026 (dans 120 j)</t>
        </is>
      </c>
      <c r="F242" t="inlineStr">
        <is>
          <t>RNCP38275</t>
        </is>
      </c>
      <c r="G242" t="inlineStr">
        <is>
          <t>CQP Educateur de tennis</t>
        </is>
      </c>
      <c r="H242" t="inlineStr">
        <is>
          <t>15436 (Éducation sportive) ; 15407 (Tennis)</t>
        </is>
      </c>
      <c r="I242" t="inlineStr">
        <is>
          <t>15/11/2026</t>
        </is>
      </c>
    </row>
    <row r="243">
      <c r="A243" t="inlineStr"/>
      <c r="B243" t="inlineStr">
        <is>
          <t>RNCP38280</t>
        </is>
      </c>
      <c r="C243" t="inlineStr">
        <is>
          <t>Visuel merchandiser</t>
        </is>
      </c>
      <c r="D243" s="37" t="inlineStr">
        <is>
          <t>À vérifier</t>
        </is>
      </c>
      <c r="E243" t="inlineStr">
        <is>
          <t>Échéance le 15/11/2026 (dans 120 j)</t>
        </is>
      </c>
      <c r="F243" t="inlineStr">
        <is>
          <t>RNCP38280</t>
        </is>
      </c>
      <c r="G243" t="inlineStr">
        <is>
          <t>Visuel merchandiser</t>
        </is>
      </c>
      <c r="H243" t="inlineStr">
        <is>
          <t>34519 (Étalage) ; 34597 (Marchandisage)</t>
        </is>
      </c>
      <c r="I243" t="inlineStr">
        <is>
          <t>15/11/2026</t>
        </is>
      </c>
    </row>
    <row r="244">
      <c r="A244" t="inlineStr"/>
      <c r="B244" t="inlineStr">
        <is>
          <t>RNCP38283</t>
        </is>
      </c>
      <c r="C244" t="inlineStr">
        <is>
          <t>CQP Moniteur d'aviron</t>
        </is>
      </c>
      <c r="D244" s="37" t="inlineStr">
        <is>
          <t>À vérifier</t>
        </is>
      </c>
      <c r="E244" t="inlineStr">
        <is>
          <t>Échéance le 15/11/2026 (dans 120 j)</t>
        </is>
      </c>
      <c r="F244" t="inlineStr">
        <is>
          <t>RNCP38283</t>
        </is>
      </c>
      <c r="G244" t="inlineStr">
        <is>
          <t>CQP Moniteur d'aviron</t>
        </is>
      </c>
      <c r="H244" t="inlineStr">
        <is>
          <t>15436 (Éducation sportive) ; 15492 (Aviron)</t>
        </is>
      </c>
      <c r="I244" t="inlineStr">
        <is>
          <t>15/11/2026</t>
        </is>
      </c>
    </row>
    <row r="245">
      <c r="A245" t="inlineStr"/>
      <c r="B245" t="inlineStr">
        <is>
          <t>RNCP38284</t>
        </is>
      </c>
      <c r="C245" t="inlineStr">
        <is>
          <t>CQP Moniteur de squash</t>
        </is>
      </c>
      <c r="D245" s="37" t="inlineStr">
        <is>
          <t>À vérifier</t>
        </is>
      </c>
      <c r="E245" t="inlineStr">
        <is>
          <t>Échéance le 15/11/2026 (dans 120 j)</t>
        </is>
      </c>
      <c r="F245" t="inlineStr">
        <is>
          <t>RNCP38284</t>
        </is>
      </c>
      <c r="G245" t="inlineStr">
        <is>
          <t>CQP Moniteur de squash</t>
        </is>
      </c>
      <c r="H245" t="inlineStr">
        <is>
          <t>15436 (Éducation sportive) ; 15409 (Squash)</t>
        </is>
      </c>
      <c r="I245" t="inlineStr">
        <is>
          <t>15/11/2026</t>
        </is>
      </c>
    </row>
    <row r="246">
      <c r="A246" t="inlineStr"/>
      <c r="B246" t="inlineStr">
        <is>
          <t>RNCP38292</t>
        </is>
      </c>
      <c r="C246" t="inlineStr">
        <is>
          <t>Moniteur de football</t>
        </is>
      </c>
      <c r="D246" s="37" t="inlineStr">
        <is>
          <t>À vérifier</t>
        </is>
      </c>
      <c r="E246" t="inlineStr">
        <is>
          <t>Échéance le 15/11/2026 (dans 120 j)</t>
        </is>
      </c>
      <c r="F246" t="inlineStr">
        <is>
          <t>RNCP38292</t>
        </is>
      </c>
      <c r="G246" t="inlineStr">
        <is>
          <t>Moniteur de football</t>
        </is>
      </c>
      <c r="H246" t="inlineStr">
        <is>
          <t>15436 (Éducation sportive) ; 15426 (Football)</t>
        </is>
      </c>
      <c r="I246" t="inlineStr">
        <is>
          <t>15/11/2026</t>
        </is>
      </c>
    </row>
    <row r="247">
      <c r="A247" t="inlineStr"/>
      <c r="B247" t="inlineStr">
        <is>
          <t>RNCP38301</t>
        </is>
      </c>
      <c r="C247" t="inlineStr">
        <is>
          <t>Brevet professionnel - Libraire</t>
        </is>
      </c>
      <c r="D247" s="37" t="inlineStr">
        <is>
          <t>À vérifier</t>
        </is>
      </c>
      <c r="E247" t="inlineStr">
        <is>
          <t>Successeur déjà publié : RNCP41840 (Libraire) — préparer la bascule de l'offre CPF | Échéance le 31/08/2026 (dans 44 j)</t>
        </is>
      </c>
      <c r="F247" t="inlineStr">
        <is>
          <t>RNCP41840</t>
        </is>
      </c>
      <c r="G247" t="inlineStr">
        <is>
          <t>Libraire</t>
        </is>
      </c>
      <c r="H247" t="inlineStr">
        <is>
          <t>46328 (Librairie)</t>
        </is>
      </c>
      <c r="I247" t="inlineStr">
        <is>
          <t>31/08/2026</t>
        </is>
      </c>
    </row>
    <row r="248">
      <c r="A248" t="inlineStr"/>
      <c r="B248" t="inlineStr">
        <is>
          <t>RNCP38302</t>
        </is>
      </c>
      <c r="C248" t="inlineStr">
        <is>
          <t>BAC PRO - Logistique</t>
        </is>
      </c>
      <c r="D248" s="37" t="inlineStr">
        <is>
          <t>À vérifier</t>
        </is>
      </c>
      <c r="E248" t="inlineStr">
        <is>
          <t>Successeur déjà publié : RNCP40687 (Métiers de la logistique) — préparer la bascule de l'offre CPF | Échéance le 31/08/2026 (dans 44 j)</t>
        </is>
      </c>
      <c r="F248" t="inlineStr">
        <is>
          <t>RNCP40687</t>
        </is>
      </c>
      <c r="G248" t="inlineStr">
        <is>
          <t>Métiers de la logistique</t>
        </is>
      </c>
      <c r="H248" t="inlineStr">
        <is>
          <t>31845 (Logistique) ; 31663 (Gestion stock) ; 31734 (Magasinage)</t>
        </is>
      </c>
      <c r="I248" t="inlineStr">
        <is>
          <t>31/08/2026</t>
        </is>
      </c>
    </row>
    <row r="249">
      <c r="A249" t="inlineStr"/>
      <c r="B249" t="inlineStr">
        <is>
          <t>RNCP38367</t>
        </is>
      </c>
      <c r="C249" t="inlineStr">
        <is>
          <t>BTS - Maintenance des véhicules (Option A : Voitures particulières, Option B : Véhicules de transport routier, Option C : Motocycles)</t>
        </is>
      </c>
      <c r="D249" s="37" t="inlineStr">
        <is>
          <t>À vérifier</t>
        </is>
      </c>
      <c r="E249" t="inlineStr">
        <is>
          <t>Successeur déjà publié : RNCP41864 (Maintenance des véhicules – options : véhicules légers, véhicules de transport routier et motocycles) — préparer la bascule de l'offre CPF | Échéance le 31/12/2026 (dans 166 j)</t>
        </is>
      </c>
      <c r="F249" t="inlineStr">
        <is>
          <t>RNCP41864</t>
        </is>
      </c>
      <c r="G249" t="inlineStr">
        <is>
          <t>Maintenance des véhicules – options : véhicules légers, véhicules de transport routier et motocycles</t>
        </is>
      </c>
      <c r="H249" t="inlineStr">
        <is>
          <t>23635 (Mécanique cycle motocycle) ; 23615 (Réparation véhicule industriel) ; 23637 (Mécanique automobile)</t>
        </is>
      </c>
      <c r="I249" t="inlineStr">
        <is>
          <t>31/12/2026</t>
        </is>
      </c>
    </row>
    <row r="250">
      <c r="A250" t="inlineStr"/>
      <c r="B250" t="inlineStr">
        <is>
          <t>RNCP38380</t>
        </is>
      </c>
      <c r="C250" t="inlineStr">
        <is>
          <t>BTS - Professions immobilières</t>
        </is>
      </c>
      <c r="D250" s="37" t="inlineStr">
        <is>
          <t>À vérifier</t>
        </is>
      </c>
      <c r="E250" t="inlineStr">
        <is>
          <t>Échéance le 31/12/2026 (dans 166 j)</t>
        </is>
      </c>
      <c r="F250" t="inlineStr">
        <is>
          <t>RNCP38380</t>
        </is>
      </c>
      <c r="G250" t="inlineStr">
        <is>
          <t>Professions immobilières</t>
        </is>
      </c>
      <c r="H250" t="inlineStr">
        <is>
          <t>42158 (Commercialisation immobilière) ; 42133 (Gestion immobilière)</t>
        </is>
      </c>
      <c r="I250" t="inlineStr">
        <is>
          <t>31/12/2026</t>
        </is>
      </c>
    </row>
    <row r="251">
      <c r="A251" t="inlineStr"/>
      <c r="B251" t="inlineStr">
        <is>
          <t>RNCP38410</t>
        </is>
      </c>
      <c r="C251" t="inlineStr">
        <is>
          <t>BP - Charpentier de marine</t>
        </is>
      </c>
      <c r="D251" s="37" t="inlineStr">
        <is>
          <t>À vérifier</t>
        </is>
      </c>
      <c r="E251" t="inlineStr">
        <is>
          <t>Échéance le 31/12/2026 (dans 166 j)</t>
        </is>
      </c>
      <c r="F251" t="inlineStr">
        <is>
          <t>RNCP38410</t>
        </is>
      </c>
      <c r="G251" t="inlineStr">
        <is>
          <t>Charpentier de marine</t>
        </is>
      </c>
      <c r="H251" t="inlineStr">
        <is>
          <t>22881 (Bois) ; 23601 (Charpente marine)</t>
        </is>
      </c>
      <c r="I251" t="inlineStr">
        <is>
          <t>31/12/2026</t>
        </is>
      </c>
    </row>
    <row r="252">
      <c r="A252" t="inlineStr"/>
      <c r="B252" t="inlineStr">
        <is>
          <t>RNCP38438</t>
        </is>
      </c>
      <c r="C252" t="inlineStr">
        <is>
          <t>Chargé de développement des ressources humaines</t>
        </is>
      </c>
      <c r="D252" s="37" t="inlineStr">
        <is>
          <t>À vérifier</t>
        </is>
      </c>
      <c r="E252" t="inlineStr">
        <is>
          <t>Échéance le 21/12/2026 (dans 156 j)</t>
        </is>
      </c>
      <c r="F252" t="inlineStr">
        <is>
          <t>RNCP38438</t>
        </is>
      </c>
      <c r="G252" t="inlineStr">
        <is>
          <t>Chargé de développement des ressources humaines</t>
        </is>
      </c>
      <c r="H252" t="inlineStr">
        <is>
          <t>33052 (Administration personnel) ; 33036 (Stratégie sociale entreprise)</t>
        </is>
      </c>
      <c r="I252" t="inlineStr">
        <is>
          <t>21/12/2026</t>
        </is>
      </c>
    </row>
    <row r="253">
      <c r="A253" t="inlineStr"/>
      <c r="B253" t="inlineStr">
        <is>
          <t>RNCP38453</t>
        </is>
      </c>
      <c r="C253" t="inlineStr">
        <is>
          <t>CQP Animateur d'équipe (CQPI)</t>
        </is>
      </c>
      <c r="D253" s="37" t="inlineStr">
        <is>
          <t>À vérifier</t>
        </is>
      </c>
      <c r="E253" t="inlineStr">
        <is>
          <t>Échéance le 21/12/2026 (dans 156 j)</t>
        </is>
      </c>
      <c r="F253" t="inlineStr">
        <is>
          <t>RNCP38453</t>
        </is>
      </c>
      <c r="G253" t="inlineStr">
        <is>
          <t>CQP Animateur d'équipe (CQPI)</t>
        </is>
      </c>
      <c r="H253" t="inlineStr">
        <is>
          <t>32130 (Animation motivation équipe)</t>
        </is>
      </c>
      <c r="I253" t="inlineStr">
        <is>
          <t>21/12/2026</t>
        </is>
      </c>
    </row>
    <row r="254">
      <c r="A254" t="inlineStr"/>
      <c r="B254" t="inlineStr">
        <is>
          <t>RNCP38460</t>
        </is>
      </c>
      <c r="C254" t="inlineStr">
        <is>
          <t>Manager en ressources humaines</t>
        </is>
      </c>
      <c r="D254" s="37" t="inlineStr">
        <is>
          <t>À vérifier</t>
        </is>
      </c>
      <c r="E254" t="inlineStr">
        <is>
          <t>Échéance le 21/12/2026 (dans 156 j)</t>
        </is>
      </c>
      <c r="F254" t="inlineStr">
        <is>
          <t>RNCP38460</t>
        </is>
      </c>
      <c r="G254" t="inlineStr">
        <is>
          <t>Manager en ressources humaines</t>
        </is>
      </c>
      <c r="H254" t="inlineStr">
        <is>
          <t>33054 (Gestion ressources humaines)</t>
        </is>
      </c>
      <c r="I254" t="inlineStr">
        <is>
          <t>21/12/2026</t>
        </is>
      </c>
    </row>
    <row r="255">
      <c r="A255" t="inlineStr"/>
      <c r="B255" t="inlineStr">
        <is>
          <t>RNCP38463</t>
        </is>
      </c>
      <c r="C255" t="inlineStr">
        <is>
          <t>Expert en développement de solutions de cybersécurité</t>
        </is>
      </c>
      <c r="D255" s="37" t="inlineStr">
        <is>
          <t>À vérifier</t>
        </is>
      </c>
      <c r="E255" t="inlineStr">
        <is>
          <t>Échéance le 21/12/2026 (dans 156 j)</t>
        </is>
      </c>
      <c r="F255" t="inlineStr">
        <is>
          <t>RNCP38463</t>
        </is>
      </c>
      <c r="G255" t="inlineStr">
        <is>
          <t>Expert en développement de solutions de cybersécurité</t>
        </is>
      </c>
      <c r="H255" t="inlineStr">
        <is>
          <t>31045 (Cybersécurité)</t>
        </is>
      </c>
      <c r="I255" t="inlineStr">
        <is>
          <t>21/12/2026</t>
        </is>
      </c>
    </row>
    <row r="256">
      <c r="A256" t="inlineStr"/>
      <c r="B256" t="inlineStr">
        <is>
          <t>RNCP38467</t>
        </is>
      </c>
      <c r="C256" t="inlineStr">
        <is>
          <t>CQP Chargé d'intégration de la productique industrielle</t>
        </is>
      </c>
      <c r="D256" s="37" t="inlineStr">
        <is>
          <t>À vérifier</t>
        </is>
      </c>
      <c r="E256" t="inlineStr">
        <is>
          <t>Échéance le 21/12/2026 (dans 156 j)</t>
        </is>
      </c>
      <c r="F256" t="inlineStr">
        <is>
          <t>RNCP38467</t>
        </is>
      </c>
      <c r="G256" t="inlineStr">
        <is>
          <t>CQP Chargé d'intégration de la productique industrielle</t>
        </is>
      </c>
      <c r="H256" t="inlineStr">
        <is>
          <t>31632 (Productique) ; 31676 (Bureau d'études) ; 31629 (Bureau des méthodes)</t>
        </is>
      </c>
      <c r="I256" t="inlineStr">
        <is>
          <t>21/12/2026</t>
        </is>
      </c>
    </row>
    <row r="257">
      <c r="A257" t="inlineStr"/>
      <c r="B257" t="inlineStr">
        <is>
          <t>RNCP38471</t>
        </is>
      </c>
      <c r="C257" t="inlineStr">
        <is>
          <t>CQP Polisseur</t>
        </is>
      </c>
      <c r="D257" s="37" t="inlineStr">
        <is>
          <t>À vérifier</t>
        </is>
      </c>
      <c r="E257" t="inlineStr">
        <is>
          <t>Échéance le 21/12/2026 (dans 156 j)</t>
        </is>
      </c>
      <c r="F257" t="inlineStr">
        <is>
          <t>RNCP38471</t>
        </is>
      </c>
      <c r="G257" t="inlineStr">
        <is>
          <t>CQP Polisseur</t>
        </is>
      </c>
      <c r="H257" t="inlineStr">
        <is>
          <t>23583 (Mécanique surface) ; 23054 (Travail matériau)</t>
        </is>
      </c>
      <c r="I257" t="inlineStr">
        <is>
          <t>21/12/2026</t>
        </is>
      </c>
    </row>
    <row r="258">
      <c r="A258" t="inlineStr"/>
      <c r="B258" t="inlineStr">
        <is>
          <t>RNCP38489</t>
        </is>
      </c>
      <c r="C258" t="inlineStr">
        <is>
          <t>Manager des ressources humaines</t>
        </is>
      </c>
      <c r="D258" s="37" t="inlineStr">
        <is>
          <t>À vérifier</t>
        </is>
      </c>
      <c r="E258" t="inlineStr">
        <is>
          <t>Échéance le 21/12/2026 (dans 156 j)</t>
        </is>
      </c>
      <c r="F258" t="inlineStr">
        <is>
          <t>RNCP38489</t>
        </is>
      </c>
      <c r="G258" t="inlineStr">
        <is>
          <t>Manager des ressources humaines</t>
        </is>
      </c>
      <c r="H258" t="inlineStr">
        <is>
          <t>33054 (Gestion ressources humaines)</t>
        </is>
      </c>
      <c r="I258" t="inlineStr">
        <is>
          <t>21/12/2026</t>
        </is>
      </c>
    </row>
    <row r="259">
      <c r="A259" t="inlineStr"/>
      <c r="B259" t="inlineStr">
        <is>
          <t>RNCP38497</t>
        </is>
      </c>
      <c r="C259" t="inlineStr">
        <is>
          <t>Art-thérapeute</t>
        </is>
      </c>
      <c r="D259" s="37" t="inlineStr">
        <is>
          <t>À vérifier</t>
        </is>
      </c>
      <c r="E259" t="inlineStr">
        <is>
          <t>Échéance le 21/12/2026 (dans 156 j)</t>
        </is>
      </c>
      <c r="F259" t="inlineStr">
        <is>
          <t>RNCP38497</t>
        </is>
      </c>
      <c r="G259" t="inlineStr">
        <is>
          <t>Art-thérapeute</t>
        </is>
      </c>
      <c r="H259" t="inlineStr">
        <is>
          <t>14426 (Art thérapie)</t>
        </is>
      </c>
      <c r="I259" t="inlineStr">
        <is>
          <t>21/12/2026</t>
        </is>
      </c>
    </row>
    <row r="260">
      <c r="A260" t="inlineStr"/>
      <c r="B260" t="inlineStr">
        <is>
          <t>RNCP38505</t>
        </is>
      </c>
      <c r="C260" t="inlineStr">
        <is>
          <t>Responsable du développement commercial</t>
        </is>
      </c>
      <c r="D260" s="37" t="inlineStr">
        <is>
          <t>À vérifier</t>
        </is>
      </c>
      <c r="E260" t="inlineStr">
        <is>
          <t>Échéance le 21/12/2026 (dans 156 j)</t>
        </is>
      </c>
      <c r="F260" t="inlineStr">
        <is>
          <t>RNCP38505</t>
        </is>
      </c>
      <c r="G260" t="inlineStr">
        <is>
          <t>Responsable du développement commercial</t>
        </is>
      </c>
      <c r="H260" t="inlineStr">
        <is>
          <t>34572 (Négociation grand compte) ; 34085 (Stratégie commerciale)</t>
        </is>
      </c>
      <c r="I260" t="inlineStr">
        <is>
          <t>21/12/2026</t>
        </is>
      </c>
    </row>
    <row r="261">
      <c r="A261" t="inlineStr"/>
      <c r="B261" t="inlineStr">
        <is>
          <t>RNCP38519</t>
        </is>
      </c>
      <c r="C261" t="inlineStr">
        <is>
          <t>Responsable paie et audit social</t>
        </is>
      </c>
      <c r="D261" s="37" t="inlineStr">
        <is>
          <t>À vérifier</t>
        </is>
      </c>
      <c r="E261" t="inlineStr">
        <is>
          <t>Échéance le 21/12/2026 (dans 156 j)</t>
        </is>
      </c>
      <c r="F261" t="inlineStr">
        <is>
          <t>RNCP38519</t>
        </is>
      </c>
      <c r="G261" t="inlineStr">
        <is>
          <t>Responsable paie et audit social</t>
        </is>
      </c>
      <c r="H261" t="inlineStr">
        <is>
          <t>32688 (Traitement paie) ; 33052 (Administration personnel) ; 33035 (Audit ressources humaines)</t>
        </is>
      </c>
      <c r="I261" t="inlineStr">
        <is>
          <t>21/12/2026</t>
        </is>
      </c>
    </row>
    <row r="262">
      <c r="A262" t="inlineStr"/>
      <c r="B262" t="inlineStr">
        <is>
          <t>RNCP38711</t>
        </is>
      </c>
      <c r="C262" t="inlineStr">
        <is>
          <t>CS - Peinture décoration</t>
        </is>
      </c>
      <c r="D262" s="37" t="inlineStr">
        <is>
          <t>À vérifier</t>
        </is>
      </c>
      <c r="E262" t="inlineStr">
        <is>
          <t>Successeur déjà publié : RNCP41753 (Peintre décorateur créateur d'ambiances) — préparer la bascule de l'offre CPF | Échéance le 31/12/2026 (dans 166 j)</t>
        </is>
      </c>
      <c r="F262" t="inlineStr">
        <is>
          <t>RNCP41753</t>
        </is>
      </c>
      <c r="G262" t="inlineStr">
        <is>
          <t>Peintre décorateur créateur d'ambiances</t>
        </is>
      </c>
      <c r="H262" t="inlineStr">
        <is>
          <t>22301 (Enduit maçonnerie) ; 45501 (Peinture décorative)</t>
        </is>
      </c>
      <c r="I262" t="inlineStr">
        <is>
          <t>31/12/2026</t>
        </is>
      </c>
    </row>
    <row r="263">
      <c r="A263" t="inlineStr"/>
      <c r="B263" t="inlineStr">
        <is>
          <t>RNCP38715</t>
        </is>
      </c>
      <c r="C263" t="inlineStr">
        <is>
          <t>BP - Conducteur d'engins : travaux publics et carrières</t>
        </is>
      </c>
      <c r="D263" s="37" t="inlineStr">
        <is>
          <t>À vérifier</t>
        </is>
      </c>
      <c r="E263" t="inlineStr">
        <is>
          <t>Échéance le 31/12/2026 (dans 166 j)</t>
        </is>
      </c>
      <c r="F263" t="inlineStr">
        <is>
          <t>RNCP38715</t>
        </is>
      </c>
      <c r="G263" t="inlineStr">
        <is>
          <t>Conducteur d'engins : travaux publics et carrières</t>
        </is>
      </c>
      <c r="H263" t="inlineStr">
        <is>
          <t>22054 (Travaux publics) ; 31717 (Engin chantier)</t>
        </is>
      </c>
      <c r="I263" t="inlineStr">
        <is>
          <t>31/12/2026</t>
        </is>
      </c>
    </row>
    <row r="264">
      <c r="A264" t="inlineStr"/>
      <c r="B264" t="inlineStr">
        <is>
          <t>RNCP38725</t>
        </is>
      </c>
      <c r="C264" t="inlineStr">
        <is>
          <t>BP - Couvreur</t>
        </is>
      </c>
      <c r="D264" s="37" t="inlineStr">
        <is>
          <t>À vérifier</t>
        </is>
      </c>
      <c r="E264" t="inlineStr">
        <is>
          <t>Échéance le 31/12/2026 (dans 166 j)</t>
        </is>
      </c>
      <c r="F264" t="inlineStr">
        <is>
          <t>RNCP38725</t>
        </is>
      </c>
      <c r="G264" t="inlineStr">
        <is>
          <t>Couvreur</t>
        </is>
      </c>
      <c r="H264" t="inlineStr">
        <is>
          <t>22437 (Couverture)</t>
        </is>
      </c>
      <c r="I264" t="inlineStr">
        <is>
          <t>31/12/2026</t>
        </is>
      </c>
    </row>
    <row r="265">
      <c r="A265" t="inlineStr"/>
      <c r="B265" t="inlineStr">
        <is>
          <t>RNCP38740</t>
        </is>
      </c>
      <c r="C265" t="inlineStr">
        <is>
          <t>BP - Peintre applicateur de revêtements</t>
        </is>
      </c>
      <c r="D265" s="37" t="inlineStr">
        <is>
          <t>À vérifier</t>
        </is>
      </c>
      <c r="E265" t="inlineStr">
        <is>
          <t>Successeur déjà publié : RNCP42256 (Peintre applicateur de revêtements) — préparer la bascule de l'offre CPF | Échéance le 31/12/2026 (dans 166 j)</t>
        </is>
      </c>
      <c r="F265" t="inlineStr">
        <is>
          <t>RNCP42256</t>
        </is>
      </c>
      <c r="G265" t="inlineStr">
        <is>
          <t>Peintre applicateur de revêtements</t>
        </is>
      </c>
      <c r="H265" t="inlineStr">
        <is>
          <t>22472 (Peinture bâtiment) ; 22412 (Plâtrerie)</t>
        </is>
      </c>
      <c r="I265" t="inlineStr">
        <is>
          <t>31/12/2026</t>
        </is>
      </c>
    </row>
    <row r="266">
      <c r="A266" t="inlineStr"/>
      <c r="B266" t="inlineStr">
        <is>
          <t>RNCP38741</t>
        </is>
      </c>
      <c r="C266" t="inlineStr">
        <is>
          <t>CAP - Agent de la qualité de l'eau</t>
        </is>
      </c>
      <c r="D266" s="37" t="inlineStr">
        <is>
          <t>À vérifier</t>
        </is>
      </c>
      <c r="E266" t="inlineStr">
        <is>
          <t>Échéance le 31/12/2026 (dans 166 j)</t>
        </is>
      </c>
      <c r="F266" t="inlineStr">
        <is>
          <t>RNCP38741</t>
        </is>
      </c>
      <c r="G266" t="inlineStr">
        <is>
          <t>Agent de la qualité de l'eau</t>
        </is>
      </c>
      <c r="H266" t="inlineStr">
        <is>
          <t>12520 (Traitement eau)</t>
        </is>
      </c>
      <c r="I266" t="inlineStr">
        <is>
          <t>31/12/2026</t>
        </is>
      </c>
    </row>
    <row r="267">
      <c r="A267" t="inlineStr"/>
      <c r="B267" t="inlineStr">
        <is>
          <t>RNCP38842</t>
        </is>
      </c>
      <c r="C267" t="inlineStr">
        <is>
          <t>CS - Commercialisation du bétail : acheteur-estimateur</t>
        </is>
      </c>
      <c r="D267" s="37" t="inlineStr">
        <is>
          <t>À vérifier</t>
        </is>
      </c>
      <c r="E267" t="inlineStr">
        <is>
          <t>Successeur déjà publié : RNCP41839 (Commercialisation du bétail) — préparer la bascule de l'offre CPF</t>
        </is>
      </c>
      <c r="F267" t="inlineStr">
        <is>
          <t>RNCP41839</t>
        </is>
      </c>
      <c r="G267" t="inlineStr">
        <is>
          <t>Commercialisation du bétail</t>
        </is>
      </c>
      <c r="H267" t="inlineStr">
        <is>
          <t>21084 (Commercialisation agricole)</t>
        </is>
      </c>
      <c r="I267" t="inlineStr">
        <is>
          <t>01/01/2029</t>
        </is>
      </c>
    </row>
    <row r="268">
      <c r="A268" t="inlineStr"/>
      <c r="B268" t="inlineStr">
        <is>
          <t>RNCP39031</t>
        </is>
      </c>
      <c r="C268" t="inlineStr">
        <is>
          <t>CAP - Emailleur d'art sur métaux</t>
        </is>
      </c>
      <c r="D268" s="37" t="inlineStr">
        <is>
          <t>À vérifier</t>
        </is>
      </c>
      <c r="E268" t="inlineStr">
        <is>
          <t>Successeur déjà publié : RNCP42111 (Emailleur d'art sur métaux) — préparer la bascule de l'offre CPF | Échéance le 31/08/2026 (dans 44 j)</t>
        </is>
      </c>
      <c r="F268" t="inlineStr">
        <is>
          <t>RNCP42111</t>
        </is>
      </c>
      <c r="G268" t="inlineStr">
        <is>
          <t>Emailleur d'art sur métaux</t>
        </is>
      </c>
      <c r="H268" t="inlineStr">
        <is>
          <t>45529 (BJO)</t>
        </is>
      </c>
      <c r="I268" t="inlineStr">
        <is>
          <t>31/08/2026</t>
        </is>
      </c>
    </row>
    <row r="269">
      <c r="A269" t="inlineStr"/>
      <c r="B269" t="inlineStr">
        <is>
          <t>RNCP39160</t>
        </is>
      </c>
      <c r="C269" t="inlineStr">
        <is>
          <t>Diplôme visé grade de master - Programme Grande Ecole</t>
        </is>
      </c>
      <c r="D269" s="37" t="inlineStr">
        <is>
          <t>À vérifier</t>
        </is>
      </c>
      <c r="E269" t="inlineStr">
        <is>
          <t>Échéance le 31/08/2026 (dans 44 j)</t>
        </is>
      </c>
      <c r="F269" t="inlineStr">
        <is>
          <t>RNCP39160</t>
        </is>
      </c>
      <c r="G269" t="inlineStr">
        <is>
          <t>Programme Grande Ecole</t>
        </is>
      </c>
      <c r="H269" t="inlineStr">
        <is>
          <t>32025 (Stratégie entreprise) ; 32008 (Responsabilité sociétale entreprise) ; 32047 (Création entreprise) ; 32654 (Gestion financière comptabilité) ; 32154 (Encadrement management)</t>
        </is>
      </c>
      <c r="I269" t="inlineStr">
        <is>
          <t>31/08/2026</t>
        </is>
      </c>
    </row>
    <row r="270">
      <c r="A270" t="inlineStr"/>
      <c r="B270" t="inlineStr">
        <is>
          <t>RNCP39191</t>
        </is>
      </c>
      <c r="C270" t="inlineStr">
        <is>
          <t>CS - Conducteur de machines de verrerie</t>
        </is>
      </c>
      <c r="D270" s="37" t="inlineStr">
        <is>
          <t>À vérifier</t>
        </is>
      </c>
      <c r="E270" t="inlineStr">
        <is>
          <t>Successeur déjà publié : RNCP42255 (Conduite d'équipements verriers) — préparer la bascule de l'offre CPF | Échéance le 31/12/2026 (dans 166 j)</t>
        </is>
      </c>
      <c r="F270" t="inlineStr">
        <is>
          <t>RNCP42255</t>
        </is>
      </c>
      <c r="G270" t="inlineStr">
        <is>
          <t>Conduite d'équipements verriers</t>
        </is>
      </c>
      <c r="H270" t="inlineStr">
        <is>
          <t>31620 (Conduite installation industrielle) ; 22820 (Verre)</t>
        </is>
      </c>
      <c r="I270" t="inlineStr">
        <is>
          <t>31/12/2026</t>
        </is>
      </c>
    </row>
    <row r="271">
      <c r="A271" t="inlineStr"/>
      <c r="B271" t="inlineStr">
        <is>
          <t>RNCP39192</t>
        </is>
      </c>
      <c r="C271" t="inlineStr">
        <is>
          <t>CS - Technicien ascensoriste (service et modernisation)</t>
        </is>
      </c>
      <c r="D271" s="37" t="inlineStr">
        <is>
          <t>À vérifier</t>
        </is>
      </c>
      <c r="E271" t="inlineStr">
        <is>
          <t>Échéance le 31/12/2026 (dans 166 j)</t>
        </is>
      </c>
      <c r="F271" t="inlineStr">
        <is>
          <t>RNCP39192</t>
        </is>
      </c>
      <c r="G271" t="inlineStr">
        <is>
          <t>Technicien ascensoriste (service et modernisation)</t>
        </is>
      </c>
      <c r="H271" t="inlineStr">
        <is>
          <t>22493 (Ascenseur) ; 24054 (Électricité)</t>
        </is>
      </c>
      <c r="I271" t="inlineStr">
        <is>
          <t>31/12/2026</t>
        </is>
      </c>
    </row>
    <row r="272">
      <c r="A272" t="inlineStr"/>
      <c r="B272" t="inlineStr">
        <is>
          <t>RNCP39296</t>
        </is>
      </c>
      <c r="C272" t="inlineStr">
        <is>
          <t>CAP - Mouleur noyauteur : cuivre et bronze</t>
        </is>
      </c>
      <c r="D272" s="37" t="inlineStr">
        <is>
          <t>À vérifier</t>
        </is>
      </c>
      <c r="E272" t="inlineStr">
        <is>
          <t>Successeur déjà publié : RNCP42114 (Mouleur noyauteur) — préparer la bascule de l'offre CPF | Échéance le 31/08/2026 (dans 44 j)</t>
        </is>
      </c>
      <c r="F272" t="inlineStr">
        <is>
          <t>RNCP42114</t>
        </is>
      </c>
      <c r="G272" t="inlineStr">
        <is>
          <t>Mouleur noyauteur</t>
        </is>
      </c>
      <c r="H272" t="inlineStr">
        <is>
          <t>23090 (Fonderie)</t>
        </is>
      </c>
      <c r="I272" t="inlineStr">
        <is>
          <t>31/08/2026</t>
        </is>
      </c>
    </row>
    <row r="273">
      <c r="A273" t="inlineStr"/>
      <c r="B273" t="inlineStr">
        <is>
          <t>RNCP39392</t>
        </is>
      </c>
      <c r="C273" t="inlineStr">
        <is>
          <t>Assistant réalisateur</t>
        </is>
      </c>
      <c r="D273" s="37" t="inlineStr">
        <is>
          <t>À vérifier</t>
        </is>
      </c>
      <c r="E273" t="inlineStr">
        <is>
          <t>Successeur déjà publié : RNCP42150 (Assistant réalisateur) — préparer la bascule de l'offre CPF | Échéance le 19/07/2026 (dans 1 j)</t>
        </is>
      </c>
      <c r="F273" t="inlineStr">
        <is>
          <t>RNCP42150</t>
        </is>
      </c>
      <c r="G273" t="inlineStr">
        <is>
          <t>Assistant réalisateur</t>
        </is>
      </c>
      <c r="H273" t="inlineStr">
        <is>
          <t>46274 (Cinéma) ; 46275 (Film documentaire) ; 46282 (Régie cinéma télévision) ; 46245 (Radio télévision)</t>
        </is>
      </c>
      <c r="I273" t="inlineStr">
        <is>
          <t>19/07/2026</t>
        </is>
      </c>
    </row>
    <row r="274">
      <c r="A274" t="inlineStr"/>
      <c r="B274" t="inlineStr">
        <is>
          <t>RNCP39395</t>
        </is>
      </c>
      <c r="C274" t="inlineStr">
        <is>
          <t>Responsable d'agence et de commerce</t>
        </is>
      </c>
      <c r="D274" s="37" t="inlineStr">
        <is>
          <t>À vérifier</t>
        </is>
      </c>
      <c r="E274" t="inlineStr">
        <is>
          <t>Successeur déjà publié : RNCP42475 (Responsable d'agence et de commerce) — préparer la bascule de l'offre CPF | Échéance le 19/07/2026 (dans 1 j)</t>
        </is>
      </c>
      <c r="F274" t="inlineStr">
        <is>
          <t>RNCP42475</t>
        </is>
      </c>
      <c r="G274" t="inlineStr">
        <is>
          <t>Responsable d'agence et de commerce</t>
        </is>
      </c>
      <c r="H274" t="inlineStr">
        <is>
          <t>34554 (Commerce) ; 32154 (Encadrement management) ; 32079 (Gestion performance)</t>
        </is>
      </c>
      <c r="I274" t="inlineStr">
        <is>
          <t>19/07/2026</t>
        </is>
      </c>
    </row>
    <row r="275">
      <c r="A275" t="inlineStr"/>
      <c r="B275" t="inlineStr">
        <is>
          <t>RNCP39491</t>
        </is>
      </c>
      <c r="C275" t="inlineStr">
        <is>
          <t>CAP - Outillages en outils à découper et à emboutir</t>
        </is>
      </c>
      <c r="D275" s="37" t="inlineStr">
        <is>
          <t>À vérifier</t>
        </is>
      </c>
      <c r="E275" t="inlineStr">
        <is>
          <t>Successeur déjà publié : RNCP42106 (Outillages en outils à découper et à emboutir) — préparer la bascule de l'offre CPF | Échéance le 31/08/2026 (dans 44 j)</t>
        </is>
      </c>
      <c r="F275" t="inlineStr">
        <is>
          <t>RNCP42106</t>
        </is>
      </c>
      <c r="G275" t="inlineStr">
        <is>
          <t>Outillages en outils à découper et à emboutir</t>
        </is>
      </c>
      <c r="H275" t="inlineStr">
        <is>
          <t>23078 (Découpage) ; 23059 (Emboutissage)</t>
        </is>
      </c>
      <c r="I275" t="inlineStr">
        <is>
          <t>31/08/2026</t>
        </is>
      </c>
    </row>
    <row r="276">
      <c r="A276" t="inlineStr"/>
      <c r="B276" t="inlineStr">
        <is>
          <t>RNCP39492</t>
        </is>
      </c>
      <c r="C276" t="inlineStr">
        <is>
          <t>CAP - Rentrayeur - option A tapis, option B tapisserie</t>
        </is>
      </c>
      <c r="D276" s="37" t="inlineStr">
        <is>
          <t>À vérifier</t>
        </is>
      </c>
      <c r="E276" t="inlineStr">
        <is>
          <t>Successeur déjà publié : RNCP42133 (Rentrayeur - option A tapis, option B tapisserie) — préparer la bascule de l'offre CPF | Échéance le 31/08/2026 (dans 44 j)</t>
        </is>
      </c>
      <c r="F276" t="inlineStr">
        <is>
          <t>RNCP42133</t>
        </is>
      </c>
      <c r="G276" t="inlineStr">
        <is>
          <t>Rentrayeur - option A tapis, option B tapisserie</t>
        </is>
      </c>
      <c r="H276" t="inlineStr">
        <is>
          <t>45504 (Tissage artisanal) ; 45038 (Restauration objet art) ; 45523 (Tapisserie ameublement)</t>
        </is>
      </c>
      <c r="I276" t="inlineStr">
        <is>
          <t>31/08/2026</t>
        </is>
      </c>
    </row>
    <row r="277">
      <c r="A277" t="inlineStr"/>
      <c r="B277" t="inlineStr">
        <is>
          <t>RNCP39516</t>
        </is>
      </c>
      <c r="C277" t="inlineStr">
        <is>
          <t>BAC PRO - Traitements des matériaux</t>
        </is>
      </c>
      <c r="D277" s="37" t="inlineStr">
        <is>
          <t>À vérifier</t>
        </is>
      </c>
      <c r="E277" t="inlineStr">
        <is>
          <t>Échéance le 31/12/2026 (dans 166 j)</t>
        </is>
      </c>
      <c r="F277" t="inlineStr">
        <is>
          <t>RNCP39516</t>
        </is>
      </c>
      <c r="G277" t="inlineStr">
        <is>
          <t>Traitements des matériaux</t>
        </is>
      </c>
      <c r="H277" t="inlineStr">
        <is>
          <t>23042 (Traitement surface)</t>
        </is>
      </c>
      <c r="I277" t="inlineStr">
        <is>
          <t>31/12/2026</t>
        </is>
      </c>
    </row>
    <row r="278">
      <c r="A278" t="inlineStr"/>
      <c r="B278" t="inlineStr">
        <is>
          <t>RNCP39533</t>
        </is>
      </c>
      <c r="C278" t="inlineStr">
        <is>
          <t>TP - Gouvernant en hôtellerie</t>
        </is>
      </c>
      <c r="D278" s="37" t="inlineStr">
        <is>
          <t>À vérifier</t>
        </is>
      </c>
      <c r="E278" t="inlineStr">
        <is>
          <t>Échéance le 17/12/2026 (dans 152 j)</t>
        </is>
      </c>
      <c r="F278" t="inlineStr">
        <is>
          <t>RNCP39533</t>
        </is>
      </c>
      <c r="G278" t="inlineStr">
        <is>
          <t>Gouvernant en hôtellerie</t>
        </is>
      </c>
      <c r="H278" t="inlineStr">
        <is>
          <t>42797 (Gouvernante hôtel)</t>
        </is>
      </c>
      <c r="I278" t="inlineStr">
        <is>
          <t>17/12/2026</t>
        </is>
      </c>
    </row>
    <row r="279">
      <c r="A279" t="inlineStr"/>
      <c r="B279" t="inlineStr">
        <is>
          <t>RNCP39534</t>
        </is>
      </c>
      <c r="C279" t="inlineStr">
        <is>
          <t>TP - Serveur en restauration</t>
        </is>
      </c>
      <c r="D279" s="37" t="inlineStr">
        <is>
          <t>À vérifier</t>
        </is>
      </c>
      <c r="E279" t="inlineStr">
        <is>
          <t>Échéance le 07/01/2027 (dans 173 j)</t>
        </is>
      </c>
      <c r="F279" t="inlineStr">
        <is>
          <t>RNCP39534</t>
        </is>
      </c>
      <c r="G279" t="inlineStr">
        <is>
          <t>Serveur en restauration</t>
        </is>
      </c>
      <c r="H279" t="inlineStr">
        <is>
          <t>42757 (Service salle) ; 42716 (Café brasserie)</t>
        </is>
      </c>
      <c r="I279" t="inlineStr">
        <is>
          <t>07/01/2027</t>
        </is>
      </c>
    </row>
    <row r="280">
      <c r="A280" t="inlineStr"/>
      <c r="B280" t="inlineStr">
        <is>
          <t>RNCP39584</t>
        </is>
      </c>
      <c r="C280" t="inlineStr">
        <is>
          <t>Expert maritime et fluvial</t>
        </is>
      </c>
      <c r="D280" s="37" t="inlineStr">
        <is>
          <t>À vérifier</t>
        </is>
      </c>
      <c r="E280" t="inlineStr">
        <is>
          <t>Successeur déjà publié : RNCP42207 (Expert dans le domaine des constructions flottantes option maritime ou fluvial) — préparer la bascule de l'offre CPF | Échéance le 01/10/2026 (dans 75 j)</t>
        </is>
      </c>
      <c r="F280" t="inlineStr">
        <is>
          <t>RNCP42207</t>
        </is>
      </c>
      <c r="G280" t="inlineStr">
        <is>
          <t>Expert dans le domaine des constructions flottantes option maritime ou fluvial</t>
        </is>
      </c>
      <c r="H280" t="inlineStr">
        <is>
          <t>23610 (Mécanique navale) ; 31872 (Transport maritime) ; 31850 (Transport fluvial)</t>
        </is>
      </c>
      <c r="I280" t="inlineStr">
        <is>
          <t>01/10/2026</t>
        </is>
      </c>
    </row>
    <row r="281">
      <c r="A281" t="inlineStr"/>
      <c r="B281" t="inlineStr">
        <is>
          <t>RNCP39587</t>
        </is>
      </c>
      <c r="C281" t="inlineStr">
        <is>
          <t>Juriste d'affaires</t>
        </is>
      </c>
      <c r="D281" s="37" t="inlineStr">
        <is>
          <t>À vérifier</t>
        </is>
      </c>
      <c r="E281" t="inlineStr">
        <is>
          <t>Successeur déjà publié : RNCP42328 (Juriste d'affaires) — préparer la bascule de l'offre CPF | Échéance le 01/10/2026 (dans 75 j)</t>
        </is>
      </c>
      <c r="F281" t="inlineStr">
        <is>
          <t>RNCP42328</t>
        </is>
      </c>
      <c r="G281" t="inlineStr">
        <is>
          <t>Juriste d'affaires</t>
        </is>
      </c>
      <c r="H281" t="inlineStr">
        <is>
          <t>13261 (Droit affaires) ; 13256 (Droit contrat)</t>
        </is>
      </c>
      <c r="I281" t="inlineStr">
        <is>
          <t>01/10/2026</t>
        </is>
      </c>
    </row>
    <row r="282">
      <c r="A282" t="inlineStr"/>
      <c r="B282" t="inlineStr">
        <is>
          <t>RNCP39634</t>
        </is>
      </c>
      <c r="C282" t="inlineStr">
        <is>
          <t>CQP Peintre en carrosserie</t>
        </is>
      </c>
      <c r="D282" s="37" t="inlineStr">
        <is>
          <t>À vérifier</t>
        </is>
      </c>
      <c r="E282" t="inlineStr">
        <is>
          <t>Échéance le 01/10/2026 (dans 75 j)</t>
        </is>
      </c>
      <c r="F282" t="inlineStr">
        <is>
          <t>RNCP39634</t>
        </is>
      </c>
      <c r="G282" t="inlineStr">
        <is>
          <t>CQP Peintre en carrosserie</t>
        </is>
      </c>
      <c r="H282" t="inlineStr">
        <is>
          <t>23607 (Peinture carrosserie)</t>
        </is>
      </c>
      <c r="I282" t="inlineStr">
        <is>
          <t>01/10/2026</t>
        </is>
      </c>
    </row>
    <row r="283">
      <c r="A283" t="inlineStr"/>
      <c r="B283" t="inlineStr">
        <is>
          <t>RNCP39643</t>
        </is>
      </c>
      <c r="C283" t="inlineStr">
        <is>
          <t>Diplôme d'Etat Moniteur éducateur - DEME</t>
        </is>
      </c>
      <c r="D283" s="37" t="inlineStr">
        <is>
          <t>À vérifier</t>
        </is>
      </c>
      <c r="E283" t="inlineStr">
        <is>
          <t>Intitulé officiel différent : « Moniteur éducateur »</t>
        </is>
      </c>
      <c r="F283" t="inlineStr">
        <is>
          <t>RNCP39643</t>
        </is>
      </c>
      <c r="G283" t="inlineStr">
        <is>
          <t>Moniteur éducateur</t>
        </is>
      </c>
      <c r="H283" t="inlineStr">
        <is>
          <t>44072 (Travail social)</t>
        </is>
      </c>
      <c r="I283" t="inlineStr">
        <is>
          <t>31/12/2028</t>
        </is>
      </c>
    </row>
    <row r="284">
      <c r="A284" t="inlineStr"/>
      <c r="B284" t="inlineStr">
        <is>
          <t>RNCP39644</t>
        </is>
      </c>
      <c r="C284" t="inlineStr">
        <is>
          <t>DE - Ingénierie sociale</t>
        </is>
      </c>
      <c r="D284" s="37" t="inlineStr">
        <is>
          <t>À vérifier</t>
        </is>
      </c>
      <c r="E284" t="inlineStr">
        <is>
          <t>Échéance le 31/12/2026 (dans 166 j)</t>
        </is>
      </c>
      <c r="F284" t="inlineStr">
        <is>
          <t>RNCP39644</t>
        </is>
      </c>
      <c r="G284" t="inlineStr">
        <is>
          <t>Ingénierie sociale</t>
        </is>
      </c>
      <c r="H284" t="inlineStr">
        <is>
          <t>44072 (Travail social) ; 44056 (Travail social en réseau)</t>
        </is>
      </c>
      <c r="I284" t="inlineStr">
        <is>
          <t>31/12/2026</t>
        </is>
      </c>
    </row>
    <row r="285">
      <c r="A285" t="inlineStr"/>
      <c r="B285" t="inlineStr">
        <is>
          <t>RNCP39645</t>
        </is>
      </c>
      <c r="C285" t="inlineStr">
        <is>
          <t>DE - Médiateur familial</t>
        </is>
      </c>
      <c r="D285" s="37" t="inlineStr">
        <is>
          <t>À vérifier</t>
        </is>
      </c>
      <c r="E285" t="inlineStr">
        <is>
          <t>Échéance le 31/12/2026 (dans 166 j)</t>
        </is>
      </c>
      <c r="F285" t="inlineStr">
        <is>
          <t>RNCP39645</t>
        </is>
      </c>
      <c r="G285" t="inlineStr">
        <is>
          <t>Médiateur familial</t>
        </is>
      </c>
      <c r="H285" t="inlineStr">
        <is>
          <t>44072 (Travail social)</t>
        </is>
      </c>
      <c r="I285" t="inlineStr">
        <is>
          <t>31/12/2026</t>
        </is>
      </c>
    </row>
    <row r="286">
      <c r="A286" t="inlineStr"/>
      <c r="B286" t="inlineStr">
        <is>
          <t>RNCP39679</t>
        </is>
      </c>
      <c r="C286" t="inlineStr">
        <is>
          <t>CS - Education et travail des jeunes équidés</t>
        </is>
      </c>
      <c r="D286" s="37" t="inlineStr">
        <is>
          <t>À vérifier</t>
        </is>
      </c>
      <c r="E286" t="inlineStr">
        <is>
          <t>Successeur déjà publié : RNCP42019 (Education et travail des jeunes équidés) — préparer la bascule de l'offre CPF | Échéance le 31/08/2026 (dans 44 j)</t>
        </is>
      </c>
      <c r="F286" t="inlineStr">
        <is>
          <t>RNCP42019</t>
        </is>
      </c>
      <c r="G286" t="inlineStr">
        <is>
          <t>Education et travail des jeunes équidés</t>
        </is>
      </c>
      <c r="H286" t="inlineStr">
        <is>
          <t>21088 (Élevage équin)</t>
        </is>
      </c>
      <c r="I286" t="inlineStr">
        <is>
          <t>31/08/2026</t>
        </is>
      </c>
    </row>
    <row r="287">
      <c r="A287" t="inlineStr"/>
      <c r="B287" t="inlineStr">
        <is>
          <t>RNCP39706</t>
        </is>
      </c>
      <c r="C287" t="inlineStr">
        <is>
          <t>CAP - Arts de la broderie</t>
        </is>
      </c>
      <c r="D287" s="37" t="inlineStr">
        <is>
          <t>À vérifier</t>
        </is>
      </c>
      <c r="E287" t="inlineStr">
        <is>
          <t>Successeur déjà publié : RNCP42105 (Arts de la broderie) — préparer la bascule de l'offre CPF | Échéance le 31/08/2026 (dans 44 j)</t>
        </is>
      </c>
      <c r="F287" t="inlineStr">
        <is>
          <t>RNCP42105</t>
        </is>
      </c>
      <c r="G287" t="inlineStr">
        <is>
          <t>Arts de la broderie</t>
        </is>
      </c>
      <c r="H287" t="inlineStr">
        <is>
          <t>45531 (Dentellerie broderie artisanale)</t>
        </is>
      </c>
      <c r="I287" t="inlineStr">
        <is>
          <t>31/08/2026</t>
        </is>
      </c>
    </row>
    <row r="288">
      <c r="A288" t="inlineStr"/>
      <c r="B288" t="inlineStr">
        <is>
          <t>RNCP39714</t>
        </is>
      </c>
      <c r="C288" t="inlineStr">
        <is>
          <t>CAP - Arts du tapis et de la  tapisserie de lisse</t>
        </is>
      </c>
      <c r="D288" s="37" t="inlineStr">
        <is>
          <t>À vérifier</t>
        </is>
      </c>
      <c r="E288" t="inlineStr">
        <is>
          <t>Successeur déjà publié : RNCP42113 (Arts du tapis et de la tapisserie de lisse) — préparer la bascule de l'offre CPF | Échéance le 31/08/2026 (dans 44 j)</t>
        </is>
      </c>
      <c r="F288" t="inlineStr">
        <is>
          <t>RNCP42113</t>
        </is>
      </c>
      <c r="G288" t="inlineStr">
        <is>
          <t>Arts du tapis et de la tapisserie de lisse</t>
        </is>
      </c>
      <c r="H288" t="inlineStr">
        <is>
          <t>45511 (Tapisserie lice) ; 21694 (Tapis)</t>
        </is>
      </c>
      <c r="I288" t="inlineStr">
        <is>
          <t>31/08/2026</t>
        </is>
      </c>
    </row>
    <row r="289">
      <c r="A289" t="inlineStr"/>
      <c r="B289" t="inlineStr">
        <is>
          <t>RNCP39716</t>
        </is>
      </c>
      <c r="C289" t="inlineStr">
        <is>
          <t>CAP - Bronzier options : A : Monteur en bronze B : Ciseleur sur bronze C : Tourneur sur bronze</t>
        </is>
      </c>
      <c r="D289" s="37" t="inlineStr">
        <is>
          <t>À vérifier</t>
        </is>
      </c>
      <c r="E289" t="inlineStr">
        <is>
          <t>Successeur déjà publié : RNCP42134 (Bronzier options : A : Monteur en bronze B : Ciseleur sur bronze C : Tourneur sur bronze) — préparer la bascule de l'offre CPF | Échéance le 31/08/2026 (dans 44 j)</t>
        </is>
      </c>
      <c r="F289" t="inlineStr">
        <is>
          <t>RNCP42134</t>
        </is>
      </c>
      <c r="G289" t="inlineStr">
        <is>
          <t>Bronzier options : A : Monteur en bronze B : Ciseleur sur bronze C : Tourneur sur bronze</t>
        </is>
      </c>
      <c r="H289" t="inlineStr">
        <is>
          <t>45548 (Art bronze)</t>
        </is>
      </c>
      <c r="I289" t="inlineStr">
        <is>
          <t>31/08/2026</t>
        </is>
      </c>
    </row>
    <row r="290">
      <c r="A290" t="inlineStr"/>
      <c r="B290" t="inlineStr">
        <is>
          <t>RNCP39763</t>
        </is>
      </c>
      <c r="C290" t="inlineStr">
        <is>
          <t>Manager de la performance financière</t>
        </is>
      </c>
      <c r="D290" s="37" t="inlineStr">
        <is>
          <t>À vérifier</t>
        </is>
      </c>
      <c r="E290" t="inlineStr">
        <is>
          <t>Échéance le 31/10/2026 (dans 105 j)</t>
        </is>
      </c>
      <c r="F290" t="inlineStr">
        <is>
          <t>RNCP39763</t>
        </is>
      </c>
      <c r="G290" t="inlineStr">
        <is>
          <t>Manager de la performance financière</t>
        </is>
      </c>
      <c r="H290" t="inlineStr">
        <is>
          <t>32154 (Encadrement management) ; 32079 (Gestion performance) ; 32652 (Contrôle gestion) ; 32098 (Audit entreprise)</t>
        </is>
      </c>
      <c r="I290" t="inlineStr">
        <is>
          <t>31/10/2026</t>
        </is>
      </c>
    </row>
    <row r="291">
      <c r="A291" t="inlineStr"/>
      <c r="B291" t="inlineStr">
        <is>
          <t>RNCP39786</t>
        </is>
      </c>
      <c r="C291" t="inlineStr">
        <is>
          <t>Coach professionnel</t>
        </is>
      </c>
      <c r="D291" s="37" t="inlineStr">
        <is>
          <t>À vérifier</t>
        </is>
      </c>
      <c r="E291" t="inlineStr">
        <is>
          <t>Successeur déjà publié : RNCP42473 (Coach professionnel) — préparer la bascule de l'offre CPF | Échéance le 31/10/2026 (dans 105 j)</t>
        </is>
      </c>
      <c r="F291" t="inlineStr">
        <is>
          <t>RNCP42473</t>
        </is>
      </c>
      <c r="G291" t="inlineStr">
        <is>
          <t>Coach professionnel</t>
        </is>
      </c>
      <c r="H291" t="inlineStr">
        <is>
          <t>32150 (Coaching entreprise) ; 32043 (Conseil entreprise)</t>
        </is>
      </c>
      <c r="I291" t="inlineStr">
        <is>
          <t>31/10/2026</t>
        </is>
      </c>
    </row>
    <row r="292">
      <c r="A292" t="inlineStr"/>
      <c r="B292" t="inlineStr">
        <is>
          <t>RNCP39788</t>
        </is>
      </c>
      <c r="C292" t="inlineStr">
        <is>
          <t>CAP - Orfèvre options : A : monteur en orfèvrerie ; B : tourneur repousseur en orfèvrerie ; C : polisseur aviveur en orfèvrerie ; D : planeur en orfèvrerie</t>
        </is>
      </c>
      <c r="D292" s="37" t="inlineStr">
        <is>
          <t>À vérifier</t>
        </is>
      </c>
      <c r="E292" t="inlineStr">
        <is>
          <t>Successeur déjà publié : RNCP42131 (Orfèvre options : A : monteur en orfèvrerie ; B : tourneur repousseur en orfèvrerie ; C : polisseur aviveur en orfèvrerie ; D : planeur en orfèvrerie) — préparer la bascule de l'offre CPF | Échéance le 31/08/2026 (dans 44 j)</t>
        </is>
      </c>
      <c r="F292" t="inlineStr">
        <is>
          <t>RNCP42131</t>
        </is>
      </c>
      <c r="G292" t="inlineStr">
        <is>
          <t>Orfèvre options : A : monteur en orfèvrerie ; B : tourneur repousseur en orfèvrerie ; C : polisseur aviveur en orfèvrerie ; D : planeur en orfèvrerie</t>
        </is>
      </c>
      <c r="H292" t="inlineStr">
        <is>
          <t>45507 (Orfèvrerie)</t>
        </is>
      </c>
      <c r="I292" t="inlineStr">
        <is>
          <t>31/08/2026</t>
        </is>
      </c>
    </row>
    <row r="293">
      <c r="A293" t="inlineStr"/>
      <c r="B293" t="inlineStr">
        <is>
          <t>RNCP39801</t>
        </is>
      </c>
      <c r="C293" t="inlineStr">
        <is>
          <t>BTS - Bâtiment</t>
        </is>
      </c>
      <c r="D293" s="37" t="inlineStr">
        <is>
          <t>À vérifier</t>
        </is>
      </c>
      <c r="E293" t="inlineStr">
        <is>
          <t>Successeur déjà publié : RNCP41816 (Bâtiment) — préparer la bascule de l'offre CPF | Échéance le 31/12/2026 (dans 166 j)</t>
        </is>
      </c>
      <c r="F293" t="inlineStr">
        <is>
          <t>RNCP41816</t>
        </is>
      </c>
      <c r="G293" t="inlineStr">
        <is>
          <t>Bâtiment</t>
        </is>
      </c>
      <c r="H293" t="inlineStr">
        <is>
          <t>22274 (Chantier BTP)</t>
        </is>
      </c>
      <c r="I293" t="inlineStr">
        <is>
          <t>31/12/2026</t>
        </is>
      </c>
    </row>
    <row r="294">
      <c r="A294" t="inlineStr"/>
      <c r="B294" t="inlineStr">
        <is>
          <t>RNCP39807</t>
        </is>
      </c>
      <c r="C294" t="inlineStr">
        <is>
          <t>CAP - Lapidaire options Diamant et Pierres de couleur</t>
        </is>
      </c>
      <c r="D294" s="37" t="inlineStr">
        <is>
          <t>À vérifier</t>
        </is>
      </c>
      <c r="E294" t="inlineStr">
        <is>
          <t>Successeur déjà publié : RNCP42135 (Lapidaire options Diamant et Pierres de couleur) — préparer la bascule de l'offre CPF | Échéance le 31/08/2026 (dans 44 j)</t>
        </is>
      </c>
      <c r="F294" t="inlineStr">
        <is>
          <t>RNCP42135</t>
        </is>
      </c>
      <c r="G294" t="inlineStr">
        <is>
          <t>Lapidaire options Diamant et Pierres de couleur</t>
        </is>
      </c>
      <c r="H294" t="inlineStr">
        <is>
          <t>45508 (Art pierre précieuse)</t>
        </is>
      </c>
      <c r="I294" t="inlineStr">
        <is>
          <t>31/08/2026</t>
        </is>
      </c>
    </row>
    <row r="295">
      <c r="A295" t="inlineStr"/>
      <c r="B295" t="inlineStr">
        <is>
          <t>RNCP39847</t>
        </is>
      </c>
      <c r="C295" t="inlineStr">
        <is>
          <t>CQP Opérateur maintenance pneumatiques véhicules industriels, agricoles et génie civil</t>
        </is>
      </c>
      <c r="D295" s="37" t="inlineStr">
        <is>
          <t>À vérifier</t>
        </is>
      </c>
      <c r="E295" t="inlineStr">
        <is>
          <t>Échéance le 28/11/2026 (dans 133 j)</t>
        </is>
      </c>
      <c r="F295" t="inlineStr">
        <is>
          <t>RNCP39847</t>
        </is>
      </c>
      <c r="G295" t="inlineStr">
        <is>
          <t>CQP Opérateur maintenance pneumatiques véhicules industriels, agricoles et génie civil</t>
        </is>
      </c>
      <c r="H295" t="inlineStr">
        <is>
          <t>23608 (Pneu)</t>
        </is>
      </c>
      <c r="I295" t="inlineStr">
        <is>
          <t>28/11/2026</t>
        </is>
      </c>
    </row>
    <row r="296">
      <c r="A296" t="inlineStr"/>
      <c r="B296" t="inlineStr">
        <is>
          <t>RNCP39892</t>
        </is>
      </c>
      <c r="C296" t="inlineStr">
        <is>
          <t>TP - Technicien de maintenance d'engins et de matériels « machinisme agricole »</t>
        </is>
      </c>
      <c r="D296" s="37" t="inlineStr">
        <is>
          <t>À vérifier</t>
        </is>
      </c>
      <c r="E296" t="inlineStr">
        <is>
          <t>Échéance le 26/12/2026 (dans 161 j)</t>
        </is>
      </c>
      <c r="F296" t="inlineStr">
        <is>
          <t>RNCP39892</t>
        </is>
      </c>
      <c r="G296" t="inlineStr">
        <is>
          <t>Technicien de maintenance d'engins et de matériels « machinisme agricole »</t>
        </is>
      </c>
      <c r="H296" t="inlineStr">
        <is>
          <t>21011 (Machinisme agricole)</t>
        </is>
      </c>
      <c r="I296" t="inlineStr">
        <is>
          <t>26/12/2026</t>
        </is>
      </c>
    </row>
    <row r="297">
      <c r="A297" t="inlineStr"/>
      <c r="B297" t="inlineStr">
        <is>
          <t>RNCP39973</t>
        </is>
      </c>
      <c r="C297" t="inlineStr">
        <is>
          <t>Gestionnaire comptable et financier</t>
        </is>
      </c>
      <c r="D297" s="37" t="inlineStr">
        <is>
          <t>À vérifier</t>
        </is>
      </c>
      <c r="E297" t="inlineStr">
        <is>
          <t>Échéance le 18/12/2026 (dans 153 j)</t>
        </is>
      </c>
      <c r="F297" t="inlineStr">
        <is>
          <t>RNCP39973</t>
        </is>
      </c>
      <c r="G297" t="inlineStr">
        <is>
          <t>Gestionnaire comptable et financier</t>
        </is>
      </c>
      <c r="H297" t="inlineStr">
        <is>
          <t>32663 (Comptabilité) ; 32652 (Contrôle gestion) ; 32611 (Trésorerie)</t>
        </is>
      </c>
      <c r="I297" t="inlineStr">
        <is>
          <t>18/12/2026</t>
        </is>
      </c>
    </row>
    <row r="298">
      <c r="A298" t="inlineStr"/>
      <c r="B298" t="inlineStr">
        <is>
          <t>RNCP39995</t>
        </is>
      </c>
      <c r="C298" t="inlineStr">
        <is>
          <t>CQP Conducteur d'équipement industriel caoutchouc</t>
        </is>
      </c>
      <c r="D298" s="37" t="inlineStr">
        <is>
          <t>À vérifier</t>
        </is>
      </c>
      <c r="E298" t="inlineStr">
        <is>
          <t>Échéance le 18/12/2026 (dans 153 j)</t>
        </is>
      </c>
      <c r="F298" t="inlineStr">
        <is>
          <t>RNCP39995</t>
        </is>
      </c>
      <c r="G298" t="inlineStr">
        <is>
          <t>CQP Conducteur d'équipement industriel caoutchouc</t>
        </is>
      </c>
      <c r="H298" t="inlineStr">
        <is>
          <t>22839 (Caoutchouc) ; 31620 (Conduite installation industrielle)</t>
        </is>
      </c>
      <c r="I298" t="inlineStr">
        <is>
          <t>18/12/2026</t>
        </is>
      </c>
    </row>
    <row r="299">
      <c r="A299" t="inlineStr"/>
      <c r="B299" t="inlineStr">
        <is>
          <t>RNCP40003</t>
        </is>
      </c>
      <c r="C299" t="inlineStr">
        <is>
          <t>Décorateur</t>
        </is>
      </c>
      <c r="D299" s="37" t="inlineStr">
        <is>
          <t>À vérifier</t>
        </is>
      </c>
      <c r="E299" t="inlineStr">
        <is>
          <t>Échéance le 18/12/2026 (dans 153 j)</t>
        </is>
      </c>
      <c r="F299" t="inlineStr">
        <is>
          <t>RNCP40003</t>
        </is>
      </c>
      <c r="G299" t="inlineStr">
        <is>
          <t>Décorateur</t>
        </is>
      </c>
      <c r="H299" t="inlineStr">
        <is>
          <t>22404 (Menuiserie agencement) ; 45015 (Architecture intérieure)</t>
        </is>
      </c>
      <c r="I299" t="inlineStr">
        <is>
          <t>18/12/2026</t>
        </is>
      </c>
    </row>
    <row r="300">
      <c r="A300" t="inlineStr"/>
      <c r="B300" t="inlineStr">
        <is>
          <t>RNCP40217</t>
        </is>
      </c>
      <c r="C300" t="inlineStr">
        <is>
          <t>TP - Conducteur de travaux du bâtiment et du génie civil</t>
        </is>
      </c>
      <c r="D300" s="37" t="inlineStr">
        <is>
          <t>À vérifier</t>
        </is>
      </c>
      <c r="E300" t="inlineStr">
        <is>
          <t>Échéance le 20/10/2026 (dans 94 j)</t>
        </is>
      </c>
      <c r="F300" t="inlineStr">
        <is>
          <t>RNCP40217</t>
        </is>
      </c>
      <c r="G300" t="inlineStr">
        <is>
          <t>Conducteur de travaux du bâtiment et du génie civil</t>
        </is>
      </c>
      <c r="H300" t="inlineStr">
        <is>
          <t>22293 (Conduite travaux BTP) ; 22054 (Travaux publics) ; 22354 (Bâtiment gros oeuvre)</t>
        </is>
      </c>
      <c r="I300" t="inlineStr">
        <is>
          <t>20/10/2026</t>
        </is>
      </c>
    </row>
    <row r="301">
      <c r="A301" t="inlineStr"/>
      <c r="B301" t="inlineStr">
        <is>
          <t>RNCP40298</t>
        </is>
      </c>
      <c r="C301" t="inlineStr">
        <is>
          <t>TP - Agent de sûreté et de sécurité privée</t>
        </is>
      </c>
      <c r="D301" s="37" t="inlineStr">
        <is>
          <t>À vérifier</t>
        </is>
      </c>
      <c r="E301" t="inlineStr">
        <is>
          <t>Successeur déjà publié : RNCP42530 (Agent de sûreté et de sécurité privée) — préparer la bascule de l'offre CPF | Échéance le 01/09/2026 (dans 45 j)</t>
        </is>
      </c>
      <c r="F301" t="inlineStr">
        <is>
          <t>RNCP42530</t>
        </is>
      </c>
      <c r="G301" t="inlineStr">
        <is>
          <t>Agent de sûreté et de sécurité privée</t>
        </is>
      </c>
      <c r="H301" t="inlineStr">
        <is>
          <t>42811 (SSIAP) ; 42841 (Surveillance sécurité IGH) ; 42850 (Surveillance sécurité ERP) ; 42820 (Surveillance sécurité magasin) ; 31875 (Sécurité transport)</t>
        </is>
      </c>
      <c r="I301" t="inlineStr">
        <is>
          <t>01/09/2026</t>
        </is>
      </c>
    </row>
    <row r="302">
      <c r="A302" t="inlineStr"/>
      <c r="B302" t="inlineStr">
        <is>
          <t>RNCP40692</t>
        </is>
      </c>
      <c r="C302" t="inlineStr">
        <is>
          <t>DE - Aide-Soignant (DEAS)</t>
        </is>
      </c>
      <c r="D302" s="37" t="inlineStr">
        <is>
          <t>À vérifier</t>
        </is>
      </c>
      <c r="E302" t="inlineStr">
        <is>
          <t>Intitulé officiel différent : « Aide-Soignant »</t>
        </is>
      </c>
      <c r="F302" t="inlineStr">
        <is>
          <t>RNCP40692</t>
        </is>
      </c>
      <c r="G302" t="inlineStr">
        <is>
          <t>Aide-Soignant</t>
        </is>
      </c>
      <c r="H302" t="inlineStr">
        <is>
          <t>43436 (Aide-soignant)</t>
        </is>
      </c>
      <c r="I302" t="inlineStr">
        <is>
          <t>01/09/2029</t>
        </is>
      </c>
    </row>
    <row r="303">
      <c r="A303" t="inlineStr"/>
      <c r="B303" t="inlineStr">
        <is>
          <t>RNCP40743</t>
        </is>
      </c>
      <c r="C303" t="inlineStr">
        <is>
          <t>DE - Auxiliaire de puériculture (DEAP)</t>
        </is>
      </c>
      <c r="D303" s="37" t="inlineStr">
        <is>
          <t>À vérifier</t>
        </is>
      </c>
      <c r="E303" t="inlineStr">
        <is>
          <t>Intitulé officiel différent : « Auxiliaire de puériculture »</t>
        </is>
      </c>
      <c r="F303" t="inlineStr">
        <is>
          <t>RNCP40743</t>
        </is>
      </c>
      <c r="G303" t="inlineStr">
        <is>
          <t>Auxiliaire de puériculture</t>
        </is>
      </c>
      <c r="H303" t="inlineStr">
        <is>
          <t>43441 (Auxiliaire puériculture)</t>
        </is>
      </c>
      <c r="I303" t="inlineStr">
        <is>
          <t>01/09/2029</t>
        </is>
      </c>
    </row>
    <row r="304">
      <c r="A304" t="inlineStr"/>
      <c r="B304" t="inlineStr">
        <is>
          <t>RNCP40839</t>
        </is>
      </c>
      <c r="C304" t="inlineStr">
        <is>
          <t>CQP Technicien après-vente automobile</t>
        </is>
      </c>
      <c r="D304" s="37" t="inlineStr">
        <is>
          <t>À vérifier</t>
        </is>
      </c>
      <c r="E304" t="inlineStr">
        <is>
          <t>Intitulé officiel différent : « Technicien après-vente automobile »</t>
        </is>
      </c>
      <c r="F304" t="inlineStr">
        <is>
          <t>RNCP40839</t>
        </is>
      </c>
      <c r="G304" t="inlineStr">
        <is>
          <t>Technicien après-vente automobile</t>
        </is>
      </c>
      <c r="H304" t="inlineStr">
        <is>
          <t>23637 (Mécanique automobile)</t>
        </is>
      </c>
      <c r="I304" t="inlineStr">
        <is>
          <t>25/06/2030</t>
        </is>
      </c>
    </row>
    <row r="305">
      <c r="A305" t="inlineStr"/>
      <c r="B305" t="inlineStr">
        <is>
          <t>RNCP40981</t>
        </is>
      </c>
      <c r="C305" t="inlineStr">
        <is>
          <t>DIPLOVIS - Diplôme supérieur en immobilier</t>
        </is>
      </c>
      <c r="D305" s="37" t="inlineStr">
        <is>
          <t>À vérifier</t>
        </is>
      </c>
      <c r="E305" t="inlineStr">
        <is>
          <t>Successeur déjà publié : RNCP41903 (Diplôme supérieur en immobilier) — préparer la bascule de l'offre CPF</t>
        </is>
      </c>
      <c r="F305" t="inlineStr">
        <is>
          <t>RNCP41903</t>
        </is>
      </c>
      <c r="G305" t="inlineStr">
        <is>
          <t>Diplôme supérieur en immobilier</t>
        </is>
      </c>
      <c r="H305" t="inlineStr">
        <is>
          <t>42158 (Commercialisation immobilière) ; 42178 (Financement immobilier) ; 42137 (Expertise immobilière) ; 42133 (Gestion immobilière) ; 42186 (Promotion immobilière)</t>
        </is>
      </c>
      <c r="I305" t="inlineStr">
        <is>
          <t>31/08/2027</t>
        </is>
      </c>
    </row>
  </sheetData>
  <autoFilter ref="A12:I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style="21" min="1" max="1"/>
    <col width="13" customWidth="1" style="21" min="2" max="2"/>
    <col width="26" customWidth="1" style="21" min="3" max="3"/>
    <col width="55" customWidth="1" style="21" min="4" max="4"/>
    <col width="55" customWidth="1" style="21" min="5" max="5"/>
  </cols>
  <sheetData>
    <row r="1">
      <c r="A1" s="42" t="inlineStr">
        <is>
          <t>Journal des changements — les lignes surlignées en bleu sont les nouveautés de ce contrôle (contenu du dernier envoi)</t>
        </is>
      </c>
    </row>
    <row r="2">
      <c r="A2" s="40" t="inlineStr">
        <is>
          <t>Date</t>
        </is>
      </c>
      <c r="B2" s="40" t="inlineStr">
        <is>
          <t>Code RNCP</t>
        </is>
      </c>
      <c r="C2" s="40" t="inlineStr">
        <is>
          <t>Changement</t>
        </is>
      </c>
      <c r="D2" s="40" t="inlineStr">
        <is>
          <t>Avant</t>
        </is>
      </c>
      <c r="E2" s="40" t="inlineStr">
        <is>
          <t>Après</t>
        </is>
      </c>
    </row>
    <row r="3">
      <c r="A3" s="43" t="inlineStr">
        <is>
          <t>2026-07-18</t>
        </is>
      </c>
      <c r="B3" s="43" t="inlineStr">
        <is>
          <t>RNCP38919</t>
        </is>
      </c>
      <c r="C3" s="43" t="inlineStr">
        <is>
          <t>Successeur(s) modifié(s)</t>
        </is>
      </c>
      <c r="D3" s="43" t="inlineStr"/>
      <c r="E3" s="43" t="inlineStr">
        <is>
          <t>RNCP42655</t>
        </is>
      </c>
    </row>
    <row r="4">
      <c r="A4" s="43" t="inlineStr">
        <is>
          <t>2026-07-18</t>
        </is>
      </c>
      <c r="B4" s="43" t="inlineStr">
        <is>
          <t>RNCP38038</t>
        </is>
      </c>
      <c r="C4" s="43" t="inlineStr">
        <is>
          <t>Successeur(s) modifié(s)</t>
        </is>
      </c>
      <c r="D4" s="43" t="inlineStr"/>
      <c r="E4" s="43" t="inlineStr">
        <is>
          <t>RNCP42641</t>
        </is>
      </c>
    </row>
    <row r="5">
      <c r="A5" s="43" t="inlineStr">
        <is>
          <t>2026-07-18</t>
        </is>
      </c>
      <c r="B5" s="43" t="inlineStr">
        <is>
          <t>RNCP37778</t>
        </is>
      </c>
      <c r="C5" s="43" t="inlineStr">
        <is>
          <t>Successeur(s) modifié(s)</t>
        </is>
      </c>
      <c r="D5" s="43" t="inlineStr"/>
      <c r="E5" s="43" t="inlineStr">
        <is>
          <t>RNCP42620</t>
        </is>
      </c>
    </row>
    <row r="6">
      <c r="A6" s="43" t="inlineStr">
        <is>
          <t>2026-07-18</t>
        </is>
      </c>
      <c r="B6" s="43" t="inlineStr">
        <is>
          <t>RNCP36086</t>
        </is>
      </c>
      <c r="C6" s="43" t="inlineStr">
        <is>
          <t>Successeur(s) modifié(s)</t>
        </is>
      </c>
      <c r="D6" s="43" t="inlineStr"/>
      <c r="E6" s="43" t="inlineStr">
        <is>
          <t>RNCP42657</t>
        </is>
      </c>
    </row>
    <row r="7">
      <c r="A7" t="inlineStr">
        <is>
          <t>2026-07-15</t>
        </is>
      </c>
      <c r="B7" t="inlineStr">
        <is>
          <t>RNCP35634</t>
        </is>
      </c>
      <c r="C7" t="inlineStr">
        <is>
          <t>État de la fiche</t>
        </is>
      </c>
      <c r="D7" t="inlineStr">
        <is>
          <t>Active</t>
        </is>
      </c>
      <c r="E7" t="inlineStr">
        <is>
          <t>Inactive</t>
        </is>
      </c>
    </row>
    <row r="8">
      <c r="A8" t="inlineStr">
        <is>
          <t>2026-07-15</t>
        </is>
      </c>
      <c r="B8" t="inlineStr">
        <is>
          <t>RNCP35634</t>
        </is>
      </c>
      <c r="C8" t="inlineStr">
        <is>
          <t>Changement de statut</t>
        </is>
      </c>
      <c r="D8" t="inlineStr">
        <is>
          <t>À vérifier</t>
        </is>
      </c>
      <c r="E8" t="inlineStr">
        <is>
          <t>Expiré / remplacé</t>
        </is>
      </c>
    </row>
    <row r="9">
      <c r="A9" t="inlineStr">
        <is>
          <t>2026-07-11</t>
        </is>
      </c>
      <c r="B9" t="inlineStr">
        <is>
          <t>—</t>
        </is>
      </c>
      <c r="C9" t="inlineStr">
        <is>
          <t>Initialisation du suivi</t>
        </is>
      </c>
      <c r="D9" t="inlineStr"/>
      <c r="E9" t="inlineStr">
        <is>
          <t>1411 codes suivis</t>
        </is>
      </c>
    </row>
  </sheetData>
  <autoFilter ref="A2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5004"/>
  <sheetViews>
    <sheetView tabSelected="1" zoomScaleNormal="100" workbookViewId="0">
      <selection activeCell="D1881" sqref="D1881"/>
    </sheetView>
  </sheetViews>
  <sheetFormatPr baseColWidth="10" defaultColWidth="8.88671875" defaultRowHeight="14.4"/>
  <cols>
    <col width="43.21875" customWidth="1" style="21" min="1" max="1"/>
    <col width="13.77734375" customWidth="1" style="21" min="2" max="2"/>
    <col width="21.44140625" customWidth="1" style="21" min="3" max="3"/>
    <col width="24" customWidth="1" style="1" min="4" max="4"/>
    <col width="21.77734375" customWidth="1" style="21" min="5" max="5"/>
    <col width="91" customWidth="1" style="21" min="6" max="6"/>
    <col width="83.88671875" customWidth="1" style="2" min="7" max="7"/>
    <col width="16" customWidth="1" style="21" min="8" max="8"/>
    <col width="60" customWidth="1" style="21" min="9" max="9"/>
    <col width="22" customWidth="1" style="21" min="10" max="10"/>
    <col width="50" customWidth="1" style="21" min="11" max="11"/>
    <col width="14" customWidth="1" style="21" min="12" max="12"/>
    <col width="55" customWidth="1" style="21" min="13" max="13"/>
    <col width="10" customWidth="1" style="21" min="14" max="14"/>
    <col width="45" customWidth="1" style="21" min="15" max="15"/>
  </cols>
  <sheetData>
    <row r="1">
      <c r="B1" s="3" t="n"/>
      <c r="C1" t="inlineStr">
        <is>
          <t>action saisie sur EDOF pour les diplômes EN</t>
        </is>
      </c>
    </row>
    <row r="2">
      <c r="B2" s="4" t="n"/>
      <c r="C2" t="inlineStr">
        <is>
          <t>formacodes pas de diplômes EN concernés donc pas de saisie sur EDOF</t>
        </is>
      </c>
    </row>
    <row r="4">
      <c r="A4" s="5" t="inlineStr">
        <is>
          <t>LIEN CPF à envoyer aux candidats</t>
        </is>
      </c>
      <c r="B4" s="6" t="inlineStr">
        <is>
          <t>Formacode</t>
        </is>
      </c>
      <c r="C4" s="6" t="inlineStr">
        <is>
          <t>Formacode Simplifié</t>
        </is>
      </c>
      <c r="D4" s="7" t="inlineStr">
        <is>
          <t>Code RNCP</t>
        </is>
      </c>
      <c r="E4" s="7" t="inlineStr">
        <is>
          <t>Nomenclature RNCP</t>
        </is>
      </c>
      <c r="F4" s="7" t="inlineStr">
        <is>
          <t>Certification</t>
        </is>
      </c>
      <c r="G4" s="8" t="inlineStr">
        <is>
          <t xml:space="preserve">RNCP + Certification </t>
        </is>
      </c>
      <c r="H4" s="44" t="inlineStr">
        <is>
          <t>Statut</t>
        </is>
      </c>
      <c r="I4" s="44" t="inlineStr">
        <is>
          <t>Contrôle France compétences</t>
        </is>
      </c>
      <c r="J4" s="44" t="inlineStr">
        <is>
          <t>Code(s) à jour</t>
        </is>
      </c>
      <c r="K4" s="44" t="inlineStr">
        <is>
          <t>Intitulé à jour</t>
        </is>
      </c>
      <c r="L4" s="44" t="inlineStr">
        <is>
          <t>Échéance fiche</t>
        </is>
      </c>
      <c r="M4" s="44" t="inlineStr">
        <is>
          <t>Formacodes de la fiche à jour</t>
        </is>
      </c>
      <c r="N4" s="44" t="inlineStr">
        <is>
          <t>Changé ?</t>
        </is>
      </c>
      <c r="O4" s="44" t="inlineStr">
        <is>
          <t>Changement depuis le dernier envoi</t>
        </is>
      </c>
    </row>
    <row r="5" customFormat="1" s="3">
      <c r="A5" s="45" t="n"/>
      <c r="B5" s="46" t="inlineStr">
        <is>
          <t>11014</t>
        </is>
      </c>
      <c r="C5" s="46">
        <f>LEFT(Tableau1[[#This Row],[Formacode]],3)</f>
        <v/>
      </c>
      <c r="D5" s="47" t="n">
        <v>41030</v>
      </c>
      <c r="E5" s="48">
        <f>"RNCP"&amp;D5</f>
        <v/>
      </c>
      <c r="F5" s="48" t="inlineStr">
        <is>
          <t>Titre ingénieur - Diplôme d'ingénieur d'Efrei Paris (Université Paris- Panthéon Assas)</t>
        </is>
      </c>
      <c r="G5" s="49">
        <f>E5&amp;" - "&amp;F5</f>
        <v/>
      </c>
      <c r="H5" s="36" t="inlineStr">
        <is>
          <t>RAS</t>
        </is>
      </c>
      <c r="I5" s="45" t="inlineStr"/>
      <c r="J5" s="45" t="inlineStr">
        <is>
          <t>RNCP41030</t>
        </is>
      </c>
      <c r="K5" s="45" t="inlineStr">
        <is>
          <t>Diplôme d'ingénieur d'Efrei Paris (Université Paris- Panthéon Assas)</t>
        </is>
      </c>
      <c r="L5" s="45" t="inlineStr">
        <is>
          <t>01/09/2030</t>
        </is>
      </c>
      <c r="M5" s="45" t="inlineStr">
        <is>
          <t>24354 (Électronique) ; 24231 (Réseau informatique) ; 31057 (Génie logiciel) ; 11014 (Algorithme) ; 32062 (Recherche développement)</t>
        </is>
      </c>
      <c r="N5" s="50" t="inlineStr">
        <is>
          <t>NON</t>
        </is>
      </c>
      <c r="O5" s="45" t="inlineStr"/>
    </row>
    <row r="6" customFormat="1" s="3">
      <c r="A6" s="45" t="n"/>
      <c r="B6" s="46" t="inlineStr">
        <is>
          <t>11031</t>
        </is>
      </c>
      <c r="C6" s="46">
        <f>LEFT(Tableau1[[#This Row],[Formacode]],3)</f>
        <v/>
      </c>
      <c r="D6" s="47" t="n">
        <v>38620</v>
      </c>
      <c r="E6" s="48">
        <f>"RNCP"&amp;D6</f>
        <v/>
      </c>
      <c r="F6" s="48" t="inlineStr">
        <is>
          <t>CQP Concepteur modélisateur numérique de produits ou de systèmes mécaniques</t>
        </is>
      </c>
      <c r="G6" s="49">
        <f>E6&amp;" - "&amp;F6</f>
        <v/>
      </c>
      <c r="H6" s="36" t="inlineStr">
        <is>
          <t>RAS</t>
        </is>
      </c>
      <c r="I6" s="45" t="inlineStr"/>
      <c r="J6" s="45" t="inlineStr">
        <is>
          <t>RNCP38620</t>
        </is>
      </c>
      <c r="K6" s="45" t="inlineStr">
        <is>
          <t>CQP Concepteur modélisateur numérique de produits ou de systèmes mécaniques</t>
        </is>
      </c>
      <c r="L6" s="45" t="inlineStr">
        <is>
          <t>09/02/2027</t>
        </is>
      </c>
      <c r="M6" s="45" t="inlineStr">
        <is>
          <t>11020 (Modèle simulation)</t>
        </is>
      </c>
      <c r="N6" s="50" t="inlineStr">
        <is>
          <t>NON</t>
        </is>
      </c>
      <c r="O6" s="45" t="inlineStr"/>
    </row>
    <row r="7" customFormat="1" s="3">
      <c r="A7" s="45" t="n"/>
      <c r="B7" s="46" t="inlineStr">
        <is>
          <t>11031</t>
        </is>
      </c>
      <c r="C7" s="46">
        <f>LEFT(Tableau1[[#This Row],[Formacode]],3)</f>
        <v/>
      </c>
      <c r="D7" s="47" t="n">
        <v>40167</v>
      </c>
      <c r="E7" s="48">
        <f>"RNCP"&amp;D7</f>
        <v/>
      </c>
      <c r="F7" s="48" t="inlineStr">
        <is>
          <t>Expert en ingénierie de données massives et intelligence artificielle</t>
        </is>
      </c>
      <c r="G7" s="49">
        <f>E7&amp;" - "&amp;F7</f>
        <v/>
      </c>
      <c r="H7" s="36" t="inlineStr">
        <is>
          <t>RAS</t>
        </is>
      </c>
      <c r="I7" s="45" t="inlineStr"/>
      <c r="J7" s="45" t="inlineStr">
        <is>
          <t>RNCP40167</t>
        </is>
      </c>
      <c r="K7" s="45" t="inlineStr">
        <is>
          <t>Expert en ingénierie de données massives et intelligence artificielle</t>
        </is>
      </c>
      <c r="L7" s="45" t="inlineStr">
        <is>
          <t>31/01/2028</t>
        </is>
      </c>
      <c r="M7" s="45" t="inlineStr">
        <is>
          <t>31023 (Gestion données massives) ; 11031 (Modèle mathématique) ; 31028 (Intelligence artificielle) ; 31094 (Gestion projet informatique) ; 31006 (Sécurité informatique)</t>
        </is>
      </c>
      <c r="N7" s="50" t="inlineStr">
        <is>
          <t>NON</t>
        </is>
      </c>
      <c r="O7" s="45" t="inlineStr"/>
    </row>
    <row r="8" customFormat="1" s="3">
      <c r="A8" s="51" t="n"/>
      <c r="B8" s="52" t="inlineStr">
        <is>
          <t>11067</t>
        </is>
      </c>
      <c r="C8" s="52">
        <f>LEFT(Tableau1[[#This Row],[Formacode]],3)</f>
        <v/>
      </c>
      <c r="D8" s="53" t="n">
        <v>37707</v>
      </c>
      <c r="E8" s="54">
        <f>"RNCP"&amp;D8</f>
        <v/>
      </c>
      <c r="F8" s="54" t="inlineStr">
        <is>
          <t>BTS - Métiers du géomètre-topographe et de la modélisation numérique</t>
        </is>
      </c>
      <c r="G8" s="55">
        <f>E8&amp;" - "&amp;F8</f>
        <v/>
      </c>
      <c r="H8" s="37" t="inlineStr">
        <is>
          <t>À vérifier</t>
        </is>
      </c>
      <c r="I8" s="51" t="inlineStr">
        <is>
          <t>Successeur déjà publié : RNCP41848 (Métiers du géomètre-topographe et de la modélisation numérique) — préparer la bascule de l'offre CPF | Échéance le 31/08/2026 (dans 44 j)</t>
        </is>
      </c>
      <c r="J8" s="51" t="inlineStr">
        <is>
          <t>RNCP41848</t>
        </is>
      </c>
      <c r="K8" s="51" t="inlineStr">
        <is>
          <t>Métiers du géomètre-topographe et de la modélisation numérique</t>
        </is>
      </c>
      <c r="L8" s="51" t="inlineStr">
        <is>
          <t>31/08/2026</t>
        </is>
      </c>
      <c r="M8" s="51" t="inlineStr">
        <is>
          <t>11067 (Géométrie) ; 12225 (Topographie) ; 24289 (Photo interprétation)</t>
        </is>
      </c>
      <c r="N8" s="62" t="inlineStr">
        <is>
          <t>NON</t>
        </is>
      </c>
      <c r="O8" s="51" t="inlineStr"/>
    </row>
    <row r="9" customFormat="1" s="3">
      <c r="A9" s="51" t="n"/>
      <c r="B9" s="52" t="inlineStr">
        <is>
          <t>11421</t>
        </is>
      </c>
      <c r="C9" s="52">
        <f>LEFT(Tableau1[[#This Row],[Formacode]],3)</f>
        <v/>
      </c>
      <c r="D9" s="53" t="n">
        <v>35803</v>
      </c>
      <c r="E9" s="54">
        <f>"RNCP"&amp;D9</f>
        <v/>
      </c>
      <c r="F9" s="54" t="inlineStr">
        <is>
          <t>BTS - Métiers de la mesure</t>
        </is>
      </c>
      <c r="G9" s="55">
        <f>E9&amp;" - "&amp;F9</f>
        <v/>
      </c>
      <c r="H9" s="37" t="inlineStr">
        <is>
          <t>À vérifier</t>
        </is>
      </c>
      <c r="I9" s="51" t="inlineStr">
        <is>
          <t>Successeur déjà publié : RNCP41832 (Métiers de la mesure) — préparer la bascule de l'offre CPF | Échéance le 31/08/2026 (dans 44 j)</t>
        </is>
      </c>
      <c r="J9" s="51" t="inlineStr">
        <is>
          <t>RNCP41832</t>
        </is>
      </c>
      <c r="K9" s="51" t="inlineStr">
        <is>
          <t>Métiers de la mesure</t>
        </is>
      </c>
      <c r="L9" s="51" t="inlineStr">
        <is>
          <t>31/08/2026</t>
        </is>
      </c>
      <c r="M9" s="51" t="inlineStr">
        <is>
          <t>11523 (Analyse chimique) ; 11421 (Thermométrie) ; 24351 (Mesure électronique)</t>
        </is>
      </c>
      <c r="N9" s="62" t="inlineStr">
        <is>
          <t>NON</t>
        </is>
      </c>
      <c r="O9" s="51" t="inlineStr"/>
    </row>
    <row r="10" customFormat="1" s="3">
      <c r="A10" s="45" t="n"/>
      <c r="B10" s="46" t="inlineStr">
        <is>
          <t>11452</t>
        </is>
      </c>
      <c r="C10" s="46">
        <f>LEFT(Tableau1[[#This Row],[Formacode]],3)</f>
        <v/>
      </c>
      <c r="D10" s="47" t="n">
        <v>36966</v>
      </c>
      <c r="E10" s="48">
        <f>"RNCP"&amp;D10</f>
        <v/>
      </c>
      <c r="F10" s="48" t="inlineStr">
        <is>
          <t>BTS - Motorisations toutes énergies</t>
        </is>
      </c>
      <c r="G10" s="49">
        <f>E10&amp;" - "&amp;F10</f>
        <v/>
      </c>
      <c r="H10" s="36" t="inlineStr">
        <is>
          <t>RAS</t>
        </is>
      </c>
      <c r="I10" s="45" t="inlineStr"/>
      <c r="J10" s="45" t="inlineStr">
        <is>
          <t>RNCP36966</t>
        </is>
      </c>
      <c r="K10" s="45" t="inlineStr">
        <is>
          <t>Motorisations toutes énergies</t>
        </is>
      </c>
      <c r="L10" s="45" t="inlineStr">
        <is>
          <t>31/08/2027</t>
        </is>
      </c>
      <c r="M10" s="45" t="inlineStr">
        <is>
          <t>23677 (Moteur) ; 31754 (Manutention) ; 11452 (Thermodynamique)</t>
        </is>
      </c>
      <c r="N10" s="50" t="inlineStr">
        <is>
          <t>NON</t>
        </is>
      </c>
      <c r="O10" s="45" t="inlineStr"/>
    </row>
    <row r="11" customFormat="1" s="3">
      <c r="A11" s="45" t="n"/>
      <c r="B11" s="46" t="inlineStr">
        <is>
          <t>11466</t>
        </is>
      </c>
      <c r="C11" s="46">
        <f>LEFT(Tableau1[[#This Row],[Formacode]],3)</f>
        <v/>
      </c>
      <c r="D11" s="47" t="n">
        <v>37490</v>
      </c>
      <c r="E11" s="48">
        <f>"RNCP"&amp;D11</f>
        <v/>
      </c>
      <c r="F11" s="48" t="inlineStr">
        <is>
          <t>BAC PRO - Optique Photonique : Technologies de la Lumière</t>
        </is>
      </c>
      <c r="G11" s="49">
        <f>E11&amp;" - "&amp;F11</f>
        <v/>
      </c>
      <c r="H11" s="36" t="inlineStr">
        <is>
          <t>RAS</t>
        </is>
      </c>
      <c r="I11" s="45" t="inlineStr"/>
      <c r="J11" s="45" t="inlineStr">
        <is>
          <t>RNCP37490</t>
        </is>
      </c>
      <c r="K11" s="45" t="inlineStr">
        <is>
          <t>Optique Photonique : Technologies de la Lumière</t>
        </is>
      </c>
      <c r="L11" s="45" t="inlineStr">
        <is>
          <t>31/08/2028</t>
        </is>
      </c>
      <c r="M11" s="45" t="inlineStr">
        <is>
          <t>11481 (Photonique) ; 11467 (Optique) ; 24314 (Opto-électronique) ; 24229 (Transmission fibre optique)</t>
        </is>
      </c>
      <c r="N11" s="50" t="inlineStr">
        <is>
          <t>NON</t>
        </is>
      </c>
      <c r="O11" s="45" t="inlineStr"/>
    </row>
    <row r="12" customFormat="1" s="3">
      <c r="A12" s="45" t="n"/>
      <c r="B12" s="46" t="inlineStr">
        <is>
          <t>11466</t>
        </is>
      </c>
      <c r="C12" s="46">
        <f>LEFT(Tableau1[[#This Row],[Formacode]],3)</f>
        <v/>
      </c>
      <c r="D12" s="47" t="n">
        <v>38543</v>
      </c>
      <c r="E12" s="48">
        <f>"RNCP"&amp;D12</f>
        <v/>
      </c>
      <c r="F12" s="48" t="inlineStr">
        <is>
          <t>BTS - Photonique : Technologies et Sciences de la Lumière</t>
        </is>
      </c>
      <c r="G12" s="49">
        <f>E12&amp;" - "&amp;F12</f>
        <v/>
      </c>
      <c r="H12" s="36" t="inlineStr">
        <is>
          <t>RAS</t>
        </is>
      </c>
      <c r="I12" s="45" t="inlineStr"/>
      <c r="J12" s="45" t="inlineStr">
        <is>
          <t>RNCP38543</t>
        </is>
      </c>
      <c r="K12" s="45" t="inlineStr">
        <is>
          <t>Photonique : Technologies et Sciences de la Lumière</t>
        </is>
      </c>
      <c r="L12" s="45" t="inlineStr">
        <is>
          <t>31/08/2029</t>
        </is>
      </c>
      <c r="M12" s="45" t="inlineStr">
        <is>
          <t>24229 (Transmission fibre optique) ; 11481 (Photonique) ; 24314 (Opto-électronique) ; 11467 (Optique)</t>
        </is>
      </c>
      <c r="N12" s="50" t="inlineStr">
        <is>
          <t>NON</t>
        </is>
      </c>
      <c r="O12" s="45" t="inlineStr"/>
    </row>
    <row r="13" customFormat="1" s="3">
      <c r="A13" s="45" t="n"/>
      <c r="B13" s="46" t="inlineStr">
        <is>
          <t>11472</t>
        </is>
      </c>
      <c r="C13" s="46">
        <f>LEFT(Tableau1[[#This Row],[Formacode]],3)</f>
        <v/>
      </c>
      <c r="D13" s="47" t="n">
        <v>37490</v>
      </c>
      <c r="E13" s="48">
        <f>"RNCP"&amp;D13</f>
        <v/>
      </c>
      <c r="F13" s="48" t="inlineStr">
        <is>
          <t>BAC PRO - Optique Photonique : Technologies de la Lumière</t>
        </is>
      </c>
      <c r="G13" s="49">
        <f>E13&amp;" - "&amp;F13</f>
        <v/>
      </c>
      <c r="H13" s="36" t="inlineStr">
        <is>
          <t>RAS</t>
        </is>
      </c>
      <c r="I13" s="45" t="inlineStr"/>
      <c r="J13" s="45" t="inlineStr">
        <is>
          <t>RNCP37490</t>
        </is>
      </c>
      <c r="K13" s="45" t="inlineStr">
        <is>
          <t>Optique Photonique : Technologies de la Lumière</t>
        </is>
      </c>
      <c r="L13" s="45" t="inlineStr">
        <is>
          <t>31/08/2028</t>
        </is>
      </c>
      <c r="M13" s="45" t="inlineStr">
        <is>
          <t>11481 (Photonique) ; 11467 (Optique) ; 24314 (Opto-électronique) ; 24229 (Transmission fibre optique)</t>
        </is>
      </c>
      <c r="N13" s="50" t="inlineStr">
        <is>
          <t>NON</t>
        </is>
      </c>
      <c r="O13" s="45" t="inlineStr"/>
    </row>
    <row r="14" customFormat="1" s="3">
      <c r="A14" s="45" t="n"/>
      <c r="B14" s="46" t="inlineStr">
        <is>
          <t>11472</t>
        </is>
      </c>
      <c r="C14" s="46">
        <f>LEFT(Tableau1[[#This Row],[Formacode]],3)</f>
        <v/>
      </c>
      <c r="D14" s="47" t="n">
        <v>38543</v>
      </c>
      <c r="E14" s="48">
        <f>"RNCP"&amp;D14</f>
        <v/>
      </c>
      <c r="F14" s="48" t="inlineStr">
        <is>
          <t>BTS - Photonique : Technologies et Sciences de la Lumière</t>
        </is>
      </c>
      <c r="G14" s="49">
        <f>E14&amp;" - "&amp;F14</f>
        <v/>
      </c>
      <c r="H14" s="36" t="inlineStr">
        <is>
          <t>RAS</t>
        </is>
      </c>
      <c r="I14" s="45" t="inlineStr"/>
      <c r="J14" s="45" t="inlineStr">
        <is>
          <t>RNCP38543</t>
        </is>
      </c>
      <c r="K14" s="45" t="inlineStr">
        <is>
          <t>Photonique : Technologies et Sciences de la Lumière</t>
        </is>
      </c>
      <c r="L14" s="45" t="inlineStr">
        <is>
          <t>31/08/2029</t>
        </is>
      </c>
      <c r="M14" s="45" t="inlineStr">
        <is>
          <t>24229 (Transmission fibre optique) ; 11481 (Photonique) ; 24314 (Opto-électronique) ; 11467 (Optique)</t>
        </is>
      </c>
      <c r="N14" s="50" t="inlineStr">
        <is>
          <t>NON</t>
        </is>
      </c>
      <c r="O14" s="45" t="inlineStr"/>
    </row>
    <row r="15" customFormat="1" s="3">
      <c r="A15" s="63" t="n"/>
      <c r="B15" s="64" t="inlineStr">
        <is>
          <t>11502</t>
        </is>
      </c>
      <c r="C15" s="64">
        <f>LEFT(Tableau1[[#This Row],[Formacode]],3)</f>
        <v/>
      </c>
      <c r="D15" s="65" t="n">
        <v>35310</v>
      </c>
      <c r="E15" s="66">
        <f>"RNCP"&amp;D15</f>
        <v/>
      </c>
      <c r="F15" s="66" t="inlineStr">
        <is>
          <t>TP - Technicien de laboratoire</t>
        </is>
      </c>
      <c r="G15" s="67">
        <f>E15&amp;" - "&amp;F15</f>
        <v/>
      </c>
      <c r="H15" s="38" t="inlineStr">
        <is>
          <t>Expiré / remplacé</t>
        </is>
      </c>
      <c r="I15" s="63" t="inlineStr">
        <is>
          <t>Fiche inactive — remplacée par RNCP42551 (Technicien de laboratoire)</t>
        </is>
      </c>
      <c r="J15" s="63" t="inlineStr">
        <is>
          <t>RNCP42551</t>
        </is>
      </c>
      <c r="K15" s="63" t="inlineStr">
        <is>
          <t>Technicien de laboratoire</t>
        </is>
      </c>
      <c r="L15" s="63" t="inlineStr">
        <is>
          <t>05/06/2026</t>
        </is>
      </c>
      <c r="M15" s="63" t="inlineStr">
        <is>
          <t>11502 (Méthode physico-chimique analyse) ; 12058 (Biochimie) ; 12026 (Microbiologie) ; 12065 (Qualité laboratoire) ; 12081 (Biotechnologie)</t>
        </is>
      </c>
      <c r="N15" s="68" t="inlineStr">
        <is>
          <t>NON</t>
        </is>
      </c>
      <c r="O15" s="63" t="inlineStr"/>
    </row>
    <row r="16" customFormat="1" s="3">
      <c r="A16" s="51" t="n"/>
      <c r="B16" s="52" t="inlineStr">
        <is>
          <t>11502</t>
        </is>
      </c>
      <c r="C16" s="52">
        <f>LEFT(Tableau1[[#This Row],[Formacode]],3)</f>
        <v/>
      </c>
      <c r="D16" s="53" t="n">
        <v>35803</v>
      </c>
      <c r="E16" s="54">
        <f>"RNCP"&amp;D16</f>
        <v/>
      </c>
      <c r="F16" s="54" t="inlineStr">
        <is>
          <t>BTS - Métiers de la mesure</t>
        </is>
      </c>
      <c r="G16" s="55">
        <f>E16&amp;" - "&amp;F16</f>
        <v/>
      </c>
      <c r="H16" s="37" t="inlineStr">
        <is>
          <t>À vérifier</t>
        </is>
      </c>
      <c r="I16" s="51" t="inlineStr">
        <is>
          <t>Successeur déjà publié : RNCP41832 (Métiers de la mesure) — préparer la bascule de l'offre CPF | Échéance le 31/08/2026 (dans 44 j)</t>
        </is>
      </c>
      <c r="J16" s="51" t="inlineStr">
        <is>
          <t>RNCP41832</t>
        </is>
      </c>
      <c r="K16" s="51" t="inlineStr">
        <is>
          <t>Métiers de la mesure</t>
        </is>
      </c>
      <c r="L16" s="51" t="inlineStr">
        <is>
          <t>31/08/2026</t>
        </is>
      </c>
      <c r="M16" s="51" t="inlineStr">
        <is>
          <t>11523 (Analyse chimique) ; 11421 (Thermométrie) ; 24351 (Mesure électronique)</t>
        </is>
      </c>
      <c r="N16" s="62" t="inlineStr">
        <is>
          <t>NON</t>
        </is>
      </c>
      <c r="O16" s="51" t="inlineStr"/>
    </row>
    <row r="17" customFormat="1" s="3">
      <c r="A17" s="45" t="n"/>
      <c r="B17" s="46" t="inlineStr">
        <is>
          <t>11502</t>
        </is>
      </c>
      <c r="C17" s="46">
        <f>LEFT(Tableau1[[#This Row],[Formacode]],3)</f>
        <v/>
      </c>
      <c r="D17" s="47" t="n">
        <v>38382</v>
      </c>
      <c r="E17" s="48">
        <f>"RNCP"&amp;D17</f>
        <v/>
      </c>
      <c r="F17" s="48" t="inlineStr">
        <is>
          <t>BTS - Métiers de la chimie</t>
        </is>
      </c>
      <c r="G17" s="49">
        <f>E17&amp;" - "&amp;F17</f>
        <v/>
      </c>
      <c r="H17" s="36" t="inlineStr">
        <is>
          <t>RAS</t>
        </is>
      </c>
      <c r="I17" s="45" t="inlineStr"/>
      <c r="J17" s="45" t="inlineStr">
        <is>
          <t>RNCP38382</t>
        </is>
      </c>
      <c r="K17" s="45" t="inlineStr">
        <is>
          <t>Métiers de la chimie</t>
        </is>
      </c>
      <c r="L17" s="45" t="inlineStr">
        <is>
          <t>31/12/2028</t>
        </is>
      </c>
      <c r="M17" s="45" t="inlineStr">
        <is>
          <t>11523 (Analyse chimique) ; 11547 (Qualité chimie) ; 22867 (Produit chimique)</t>
        </is>
      </c>
      <c r="N17" s="50" t="inlineStr">
        <is>
          <t>NON</t>
        </is>
      </c>
      <c r="O17" s="45" t="inlineStr"/>
    </row>
    <row r="18" customFormat="1" s="3">
      <c r="A18" s="45" t="n"/>
      <c r="B18" s="46" t="inlineStr">
        <is>
          <t>11502</t>
        </is>
      </c>
      <c r="C18" s="46">
        <f>LEFT(Tableau1[[#This Row],[Formacode]],3)</f>
        <v/>
      </c>
      <c r="D18" s="47" t="n">
        <v>39084</v>
      </c>
      <c r="E18" s="48">
        <f>"RNCP"&amp;D18</f>
        <v/>
      </c>
      <c r="F18" s="48" t="inlineStr">
        <is>
          <t>TP - Technicien supérieur physicien chimiste</t>
        </is>
      </c>
      <c r="G18" s="49">
        <f>E18&amp;" - "&amp;F18</f>
        <v/>
      </c>
      <c r="H18" s="36" t="inlineStr">
        <is>
          <t>RAS</t>
        </is>
      </c>
      <c r="I18" s="45" t="inlineStr"/>
      <c r="J18" s="45" t="inlineStr">
        <is>
          <t>RNCP39084</t>
        </is>
      </c>
      <c r="K18" s="45" t="inlineStr">
        <is>
          <t>Technicien supérieur physicien chimiste</t>
        </is>
      </c>
      <c r="L18" s="45" t="inlineStr">
        <is>
          <t>09/06/2029</t>
        </is>
      </c>
      <c r="M18" s="45" t="inlineStr">
        <is>
          <t>11523 (Analyse chimique) ; 11509 (Spectrométrie) ; 11518 (Chromatographie) ; 31407 (Qualité hygiène sécurité environnement)</t>
        </is>
      </c>
      <c r="N18" s="50" t="inlineStr">
        <is>
          <t>NON</t>
        </is>
      </c>
      <c r="O18" s="45" t="inlineStr"/>
    </row>
    <row r="19" customFormat="1" s="3">
      <c r="A19" s="63" t="n"/>
      <c r="B19" s="64" t="inlineStr">
        <is>
          <t>11531</t>
        </is>
      </c>
      <c r="C19" s="64">
        <f>LEFT(Tableau1[[#This Row],[Formacode]],3)</f>
        <v/>
      </c>
      <c r="D19" s="65" t="n">
        <v>35308</v>
      </c>
      <c r="E19" s="66">
        <f>"RNCP"&amp;D19</f>
        <v/>
      </c>
      <c r="F19" s="66" t="inlineStr">
        <is>
          <t>TP - Technicien de fabrication de l'industrie de la chimie</t>
        </is>
      </c>
      <c r="G19" s="67">
        <f>E19&amp;" - "&amp;F19</f>
        <v/>
      </c>
      <c r="H19" s="38" t="inlineStr">
        <is>
          <t>Expiré / remplacé</t>
        </is>
      </c>
      <c r="I19" s="63" t="inlineStr">
        <is>
          <t>Fiche inactive — remplacée par RNCP42550 (Technicien de fabrication de l’industrie de la chimie)</t>
        </is>
      </c>
      <c r="J19" s="63" t="inlineStr">
        <is>
          <t>RNCP42550</t>
        </is>
      </c>
      <c r="K19" s="63" t="inlineStr">
        <is>
          <t>Technicien de fabrication de l’industrie de la chimie</t>
        </is>
      </c>
      <c r="L19" s="63" t="inlineStr">
        <is>
          <t>01/06/2026</t>
        </is>
      </c>
      <c r="M19" s="63" t="inlineStr">
        <is>
          <t>11561 (Chimie organique) ; 11534 (Génie chimique) ; 11594 (Chimie minérale) ; 11557 (Conduite équipement industrie chimique pétrolière) ; 11531 (Chimie verte)</t>
        </is>
      </c>
      <c r="N19" s="68" t="inlineStr">
        <is>
          <t>NON</t>
        </is>
      </c>
      <c r="O19" s="63" t="inlineStr"/>
    </row>
    <row r="20" customFormat="1" s="3">
      <c r="A20" s="63" t="n"/>
      <c r="B20" s="64" t="inlineStr">
        <is>
          <t>11531</t>
        </is>
      </c>
      <c r="C20" s="64">
        <f>LEFT(Tableau1[[#This Row],[Formacode]],3)</f>
        <v/>
      </c>
      <c r="D20" s="65" t="n">
        <v>35314</v>
      </c>
      <c r="E20" s="66">
        <f>"RNCP"&amp;D20</f>
        <v/>
      </c>
      <c r="F20" s="66" t="inlineStr">
        <is>
          <t>TP - Conducteur d'appareils de l'industrie de la chimie</t>
        </is>
      </c>
      <c r="G20" s="67">
        <f>E20&amp;" - "&amp;F20</f>
        <v/>
      </c>
      <c r="H20" s="38" t="inlineStr">
        <is>
          <t>Expiré / remplacé</t>
        </is>
      </c>
      <c r="I20" s="63" t="inlineStr">
        <is>
          <t>Fiche inactive — remplacée par RNCP42549 (Conducteur d'appareils de l'industrie de la chimie)</t>
        </is>
      </c>
      <c r="J20" s="63" t="inlineStr">
        <is>
          <t>RNCP42549</t>
        </is>
      </c>
      <c r="K20" s="63" t="inlineStr">
        <is>
          <t>Conducteur d'appareils de l'industrie de la chimie</t>
        </is>
      </c>
      <c r="L20" s="63" t="inlineStr">
        <is>
          <t>01/06/2026</t>
        </is>
      </c>
      <c r="M20" s="63" t="inlineStr">
        <is>
          <t>11561 (Chimie organique) ; 11534 (Génie chimique) ; 11594 (Chimie minérale) ; 11557 (Conduite équipement industrie chimique pétrolière) ; 11531 (Chimie verte)</t>
        </is>
      </c>
      <c r="N20" s="68" t="inlineStr">
        <is>
          <t>NON</t>
        </is>
      </c>
      <c r="O20" s="63" t="inlineStr"/>
    </row>
    <row r="21" customFormat="1" s="3">
      <c r="A21" s="63" t="n"/>
      <c r="B21" s="64" t="inlineStr">
        <is>
          <t>11534</t>
        </is>
      </c>
      <c r="C21" s="64">
        <f>LEFT(Tableau1[[#This Row],[Formacode]],3)</f>
        <v/>
      </c>
      <c r="D21" s="65" t="n">
        <v>35308</v>
      </c>
      <c r="E21" s="66">
        <f>"RNCP"&amp;D21</f>
        <v/>
      </c>
      <c r="F21" s="66" t="inlineStr">
        <is>
          <t>TP - Technicien de fabrication de l'industrie de la chimie</t>
        </is>
      </c>
      <c r="G21" s="67">
        <f>E21&amp;" - "&amp;F21</f>
        <v/>
      </c>
      <c r="H21" s="38" t="inlineStr">
        <is>
          <t>Expiré / remplacé</t>
        </is>
      </c>
      <c r="I21" s="63" t="inlineStr">
        <is>
          <t>Fiche inactive — remplacée par RNCP42550 (Technicien de fabrication de l’industrie de la chimie)</t>
        </is>
      </c>
      <c r="J21" s="63" t="inlineStr">
        <is>
          <t>RNCP42550</t>
        </is>
      </c>
      <c r="K21" s="63" t="inlineStr">
        <is>
          <t>Technicien de fabrication de l’industrie de la chimie</t>
        </is>
      </c>
      <c r="L21" s="63" t="inlineStr">
        <is>
          <t>01/06/2026</t>
        </is>
      </c>
      <c r="M21" s="63" t="inlineStr">
        <is>
          <t>11561 (Chimie organique) ; 11534 (Génie chimique) ; 11594 (Chimie minérale) ; 11557 (Conduite équipement industrie chimique pétrolière) ; 11531 (Chimie verte)</t>
        </is>
      </c>
      <c r="N21" s="68" t="inlineStr">
        <is>
          <t>NON</t>
        </is>
      </c>
      <c r="O21" s="63" t="inlineStr"/>
    </row>
    <row r="22" customFormat="1" s="3">
      <c r="A22" s="63" t="n"/>
      <c r="B22" s="64" t="inlineStr">
        <is>
          <t>11534</t>
        </is>
      </c>
      <c r="C22" s="64">
        <f>LEFT(Tableau1[[#This Row],[Formacode]],3)</f>
        <v/>
      </c>
      <c r="D22" s="65" t="n">
        <v>35314</v>
      </c>
      <c r="E22" s="66">
        <f>"RNCP"&amp;D22</f>
        <v/>
      </c>
      <c r="F22" s="66" t="inlineStr">
        <is>
          <t>TP - Conducteur d'appareils de l'industrie de la chimie</t>
        </is>
      </c>
      <c r="G22" s="67">
        <f>E22&amp;" - "&amp;F22</f>
        <v/>
      </c>
      <c r="H22" s="38" t="inlineStr">
        <is>
          <t>Expiré / remplacé</t>
        </is>
      </c>
      <c r="I22" s="63" t="inlineStr">
        <is>
          <t>Fiche inactive — remplacée par RNCP42549 (Conducteur d'appareils de l'industrie de la chimie)</t>
        </is>
      </c>
      <c r="J22" s="63" t="inlineStr">
        <is>
          <t>RNCP42549</t>
        </is>
      </c>
      <c r="K22" s="63" t="inlineStr">
        <is>
          <t>Conducteur d'appareils de l'industrie de la chimie</t>
        </is>
      </c>
      <c r="L22" s="63" t="inlineStr">
        <is>
          <t>01/06/2026</t>
        </is>
      </c>
      <c r="M22" s="63" t="inlineStr">
        <is>
          <t>11561 (Chimie organique) ; 11534 (Génie chimique) ; 11594 (Chimie minérale) ; 11557 (Conduite équipement industrie chimique pétrolière) ; 11531 (Chimie verte)</t>
        </is>
      </c>
      <c r="N22" s="68" t="inlineStr">
        <is>
          <t>NON</t>
        </is>
      </c>
      <c r="O22" s="63" t="inlineStr"/>
    </row>
    <row r="23" customFormat="1" s="3">
      <c r="A23" s="45" t="n"/>
      <c r="B23" s="46" t="inlineStr">
        <is>
          <t>11534</t>
        </is>
      </c>
      <c r="C23" s="46">
        <f>LEFT(Tableau1[[#This Row],[Formacode]],3)</f>
        <v/>
      </c>
      <c r="D23" s="47" t="n">
        <v>38499</v>
      </c>
      <c r="E23" s="48">
        <f>"RNCP"&amp;D23</f>
        <v/>
      </c>
      <c r="F23" s="48" t="inlineStr">
        <is>
          <t>BAC PRO - Procédés de la chimie, de l'eau et des papiers cartons</t>
        </is>
      </c>
      <c r="G23" s="49">
        <f>E23&amp;" - "&amp;F23</f>
        <v/>
      </c>
      <c r="H23" s="36" t="inlineStr">
        <is>
          <t>RAS</t>
        </is>
      </c>
      <c r="I23" s="45" t="inlineStr"/>
      <c r="J23" s="45" t="inlineStr">
        <is>
          <t>RNCP38499</t>
        </is>
      </c>
      <c r="K23" s="45" t="inlineStr">
        <is>
          <t>Procédés de la chimie, de l'eau et des papiers cartons</t>
        </is>
      </c>
      <c r="L23" s="45" t="inlineStr">
        <is>
          <t>31/12/2028</t>
        </is>
      </c>
      <c r="M23" s="45" t="inlineStr">
        <is>
          <t>11534 (Génie chimique) ; 22884 (Papier carton)</t>
        </is>
      </c>
      <c r="N23" s="50" t="inlineStr">
        <is>
          <t>NON</t>
        </is>
      </c>
      <c r="O23" s="45" t="inlineStr"/>
    </row>
    <row r="24" customFormat="1" s="3">
      <c r="A24" s="45" t="n"/>
      <c r="B24" s="46" t="inlineStr">
        <is>
          <t>11541</t>
        </is>
      </c>
      <c r="C24" s="46">
        <f>LEFT(Tableau1[[#This Row],[Formacode]],3)</f>
        <v/>
      </c>
      <c r="D24" s="47" t="n">
        <v>40269</v>
      </c>
      <c r="E24" s="48">
        <f>"RNCP"&amp;D24</f>
        <v/>
      </c>
      <c r="F24" s="48" t="inlineStr">
        <is>
          <t>Responsable génie des bioprocédés pharmaceutiques</t>
        </is>
      </c>
      <c r="G24" s="49">
        <f>E24&amp;" - "&amp;F24</f>
        <v/>
      </c>
      <c r="H24" s="36" t="inlineStr">
        <is>
          <t>RAS</t>
        </is>
      </c>
      <c r="I24" s="45" t="inlineStr"/>
      <c r="J24" s="45" t="inlineStr">
        <is>
          <t>RNCP40269</t>
        </is>
      </c>
      <c r="K24" s="45" t="inlineStr">
        <is>
          <t>Responsable génie des bioprocédés pharmaceutiques</t>
        </is>
      </c>
      <c r="L24" s="45" t="inlineStr">
        <is>
          <t>28/02/2028</t>
        </is>
      </c>
      <c r="M24" s="45" t="inlineStr">
        <is>
          <t>11541 (Pharmacologie) ; 12058 (Biochimie)</t>
        </is>
      </c>
      <c r="N24" s="50" t="inlineStr">
        <is>
          <t>NON</t>
        </is>
      </c>
      <c r="O24" s="45" t="inlineStr"/>
    </row>
    <row r="25" customFormat="1" s="3">
      <c r="A25" s="45" t="n"/>
      <c r="B25" s="46" t="inlineStr">
        <is>
          <t>11547</t>
        </is>
      </c>
      <c r="C25" s="46">
        <f>LEFT(Tableau1[[#This Row],[Formacode]],3)</f>
        <v/>
      </c>
      <c r="D25" s="47" t="n">
        <v>38382</v>
      </c>
      <c r="E25" s="48">
        <f>"RNCP"&amp;D25</f>
        <v/>
      </c>
      <c r="F25" s="48" t="inlineStr">
        <is>
          <t>BTS - Métiers de la chimie</t>
        </is>
      </c>
      <c r="G25" s="49">
        <f>E25&amp;" - "&amp;F25</f>
        <v/>
      </c>
      <c r="H25" s="36" t="inlineStr">
        <is>
          <t>RAS</t>
        </is>
      </c>
      <c r="I25" s="45" t="inlineStr"/>
      <c r="J25" s="45" t="inlineStr">
        <is>
          <t>RNCP38382</t>
        </is>
      </c>
      <c r="K25" s="45" t="inlineStr">
        <is>
          <t>Métiers de la chimie</t>
        </is>
      </c>
      <c r="L25" s="45" t="inlineStr">
        <is>
          <t>31/12/2028</t>
        </is>
      </c>
      <c r="M25" s="45" t="inlineStr">
        <is>
          <t>11523 (Analyse chimique) ; 11547 (Qualité chimie) ; 22867 (Produit chimique)</t>
        </is>
      </c>
      <c r="N25" s="50" t="inlineStr">
        <is>
          <t>NON</t>
        </is>
      </c>
      <c r="O25" s="45" t="inlineStr"/>
    </row>
    <row r="26" customFormat="1" s="3">
      <c r="A26" s="63" t="n"/>
      <c r="B26" s="64" t="inlineStr">
        <is>
          <t>11557</t>
        </is>
      </c>
      <c r="C26" s="64">
        <f>LEFT(Tableau1[[#This Row],[Formacode]],3)</f>
        <v/>
      </c>
      <c r="D26" s="65" t="n">
        <v>35308</v>
      </c>
      <c r="E26" s="66">
        <f>"RNCP"&amp;D26</f>
        <v/>
      </c>
      <c r="F26" s="66" t="inlineStr">
        <is>
          <t>TP - Technicien de fabrication de l'industrie de la chimie</t>
        </is>
      </c>
      <c r="G26" s="67">
        <f>E26&amp;" - "&amp;F26</f>
        <v/>
      </c>
      <c r="H26" s="38" t="inlineStr">
        <is>
          <t>Expiré / remplacé</t>
        </is>
      </c>
      <c r="I26" s="63" t="inlineStr">
        <is>
          <t>Fiche inactive — remplacée par RNCP42550 (Technicien de fabrication de l’industrie de la chimie)</t>
        </is>
      </c>
      <c r="J26" s="63" t="inlineStr">
        <is>
          <t>RNCP42550</t>
        </is>
      </c>
      <c r="K26" s="63" t="inlineStr">
        <is>
          <t>Technicien de fabrication de l’industrie de la chimie</t>
        </is>
      </c>
      <c r="L26" s="63" t="inlineStr">
        <is>
          <t>01/06/2026</t>
        </is>
      </c>
      <c r="M26" s="63" t="inlineStr">
        <is>
          <t>11561 (Chimie organique) ; 11534 (Génie chimique) ; 11594 (Chimie minérale) ; 11557 (Conduite équipement industrie chimique pétrolière) ; 11531 (Chimie verte)</t>
        </is>
      </c>
      <c r="N26" s="68" t="inlineStr">
        <is>
          <t>NON</t>
        </is>
      </c>
      <c r="O26" s="63" t="inlineStr"/>
    </row>
    <row r="27" customFormat="1" s="3">
      <c r="A27" s="63" t="n"/>
      <c r="B27" s="64" t="inlineStr">
        <is>
          <t>11557</t>
        </is>
      </c>
      <c r="C27" s="64">
        <f>LEFT(Tableau1[[#This Row],[Formacode]],3)</f>
        <v/>
      </c>
      <c r="D27" s="65" t="n">
        <v>35314</v>
      </c>
      <c r="E27" s="66">
        <f>"RNCP"&amp;D27</f>
        <v/>
      </c>
      <c r="F27" s="66" t="inlineStr">
        <is>
          <t>TP - Conducteur d'appareils de l'industrie de la chimie</t>
        </is>
      </c>
      <c r="G27" s="67">
        <f>E27&amp;" - "&amp;F27</f>
        <v/>
      </c>
      <c r="H27" s="38" t="inlineStr">
        <is>
          <t>Expiré / remplacé</t>
        </is>
      </c>
      <c r="I27" s="63" t="inlineStr">
        <is>
          <t>Fiche inactive — remplacée par RNCP42549 (Conducteur d'appareils de l'industrie de la chimie)</t>
        </is>
      </c>
      <c r="J27" s="63" t="inlineStr">
        <is>
          <t>RNCP42549</t>
        </is>
      </c>
      <c r="K27" s="63" t="inlineStr">
        <is>
          <t>Conducteur d'appareils de l'industrie de la chimie</t>
        </is>
      </c>
      <c r="L27" s="63" t="inlineStr">
        <is>
          <t>01/06/2026</t>
        </is>
      </c>
      <c r="M27" s="63" t="inlineStr">
        <is>
          <t>11561 (Chimie organique) ; 11534 (Génie chimique) ; 11594 (Chimie minérale) ; 11557 (Conduite équipement industrie chimique pétrolière) ; 11531 (Chimie verte)</t>
        </is>
      </c>
      <c r="N27" s="68" t="inlineStr">
        <is>
          <t>NON</t>
        </is>
      </c>
      <c r="O27" s="63" t="inlineStr"/>
    </row>
    <row r="28" customFormat="1" s="3">
      <c r="A28" s="45" t="n"/>
      <c r="B28" s="46" t="inlineStr">
        <is>
          <t>11557</t>
        </is>
      </c>
      <c r="C28" s="46">
        <f>LEFT(Tableau1[[#This Row],[Formacode]],3)</f>
        <v/>
      </c>
      <c r="D28" s="47" t="n">
        <v>39699</v>
      </c>
      <c r="E28" s="48">
        <f>"RNCP"&amp;D28</f>
        <v/>
      </c>
      <c r="F28" s="48" t="inlineStr">
        <is>
          <t>CAP - Industries chimiques</t>
        </is>
      </c>
      <c r="G28" s="49">
        <f>E28&amp;" - "&amp;F28</f>
        <v/>
      </c>
      <c r="H28" s="36" t="inlineStr">
        <is>
          <t>RAS</t>
        </is>
      </c>
      <c r="I28" s="45" t="inlineStr"/>
      <c r="J28" s="45" t="inlineStr">
        <is>
          <t>RNCP39699</t>
        </is>
      </c>
      <c r="K28" s="45" t="inlineStr">
        <is>
          <t>Industries chimiques</t>
        </is>
      </c>
      <c r="L28" s="45" t="inlineStr">
        <is>
          <t>31/12/2027</t>
        </is>
      </c>
      <c r="M28" s="45" t="inlineStr">
        <is>
          <t>11557 (Conduite équipement industrie chimique pétrolière) ; 31620 (Conduite installation industrielle)</t>
        </is>
      </c>
      <c r="N28" s="50" t="inlineStr">
        <is>
          <t>NON</t>
        </is>
      </c>
      <c r="O28" s="45" t="inlineStr"/>
    </row>
    <row r="29" customFormat="1" s="3">
      <c r="A29" s="63" t="n"/>
      <c r="B29" s="64" t="inlineStr">
        <is>
          <t>11561</t>
        </is>
      </c>
      <c r="C29" s="64">
        <f>LEFT(Tableau1[[#This Row],[Formacode]],3)</f>
        <v/>
      </c>
      <c r="D29" s="65" t="n">
        <v>35308</v>
      </c>
      <c r="E29" s="66">
        <f>"RNCP"&amp;D29</f>
        <v/>
      </c>
      <c r="F29" s="66" t="inlineStr">
        <is>
          <t>TP - Technicien de fabrication de l'industrie de la chimie</t>
        </is>
      </c>
      <c r="G29" s="67">
        <f>E29&amp;" - "&amp;F29</f>
        <v/>
      </c>
      <c r="H29" s="38" t="inlineStr">
        <is>
          <t>Expiré / remplacé</t>
        </is>
      </c>
      <c r="I29" s="63" t="inlineStr">
        <is>
          <t>Fiche inactive — remplacée par RNCP42550 (Technicien de fabrication de l’industrie de la chimie)</t>
        </is>
      </c>
      <c r="J29" s="63" t="inlineStr">
        <is>
          <t>RNCP42550</t>
        </is>
      </c>
      <c r="K29" s="63" t="inlineStr">
        <is>
          <t>Technicien de fabrication de l’industrie de la chimie</t>
        </is>
      </c>
      <c r="L29" s="63" t="inlineStr">
        <is>
          <t>01/06/2026</t>
        </is>
      </c>
      <c r="M29" s="63" t="inlineStr">
        <is>
          <t>11561 (Chimie organique) ; 11534 (Génie chimique) ; 11594 (Chimie minérale) ; 11557 (Conduite équipement industrie chimique pétrolière) ; 11531 (Chimie verte)</t>
        </is>
      </c>
      <c r="N29" s="68" t="inlineStr">
        <is>
          <t>NON</t>
        </is>
      </c>
      <c r="O29" s="63" t="inlineStr"/>
    </row>
    <row r="30" customFormat="1" s="3">
      <c r="A30" s="63" t="n"/>
      <c r="B30" s="64" t="inlineStr">
        <is>
          <t>11561</t>
        </is>
      </c>
      <c r="C30" s="64">
        <f>LEFT(Tableau1[[#This Row],[Formacode]],3)</f>
        <v/>
      </c>
      <c r="D30" s="65" t="n">
        <v>35314</v>
      </c>
      <c r="E30" s="66">
        <f>"RNCP"&amp;D30</f>
        <v/>
      </c>
      <c r="F30" s="66" t="inlineStr">
        <is>
          <t>TP - Conducteur d'appareils de l'industrie de la chimie</t>
        </is>
      </c>
      <c r="G30" s="67">
        <f>E30&amp;" - "&amp;F30</f>
        <v/>
      </c>
      <c r="H30" s="38" t="inlineStr">
        <is>
          <t>Expiré / remplacé</t>
        </is>
      </c>
      <c r="I30" s="63" t="inlineStr">
        <is>
          <t>Fiche inactive — remplacée par RNCP42549 (Conducteur d'appareils de l'industrie de la chimie)</t>
        </is>
      </c>
      <c r="J30" s="63" t="inlineStr">
        <is>
          <t>RNCP42549</t>
        </is>
      </c>
      <c r="K30" s="63" t="inlineStr">
        <is>
          <t>Conducteur d'appareils de l'industrie de la chimie</t>
        </is>
      </c>
      <c r="L30" s="63" t="inlineStr">
        <is>
          <t>01/06/2026</t>
        </is>
      </c>
      <c r="M30" s="63" t="inlineStr">
        <is>
          <t>11561 (Chimie organique) ; 11534 (Génie chimique) ; 11594 (Chimie minérale) ; 11557 (Conduite équipement industrie chimique pétrolière) ; 11531 (Chimie verte)</t>
        </is>
      </c>
      <c r="N30" s="68" t="inlineStr">
        <is>
          <t>NON</t>
        </is>
      </c>
      <c r="O30" s="63" t="inlineStr"/>
    </row>
    <row r="31" ht="28.8" customFormat="1" customHeight="1" s="3">
      <c r="A31" s="45" t="n"/>
      <c r="B31" s="46" t="inlineStr">
        <is>
          <t>12023</t>
        </is>
      </c>
      <c r="C31" s="46">
        <f>LEFT(Tableau1[[#This Row],[Formacode]],3)</f>
        <v/>
      </c>
      <c r="D31" s="47" t="n">
        <v>36772</v>
      </c>
      <c r="E31" s="48">
        <f>"RNCP"&amp;D31</f>
        <v/>
      </c>
      <c r="F31" s="48" t="inlineStr">
        <is>
          <t>BTSA - Analyses biologiques, biotechnologiques, agricoles et environnementales (ANABIOTEC)</t>
        </is>
      </c>
      <c r="G31" s="49">
        <f>E31&amp;" - "&amp;F31</f>
        <v/>
      </c>
      <c r="H31" s="36" t="inlineStr">
        <is>
          <t>RAS</t>
        </is>
      </c>
      <c r="I31" s="45" t="inlineStr"/>
      <c r="J31" s="45" t="inlineStr">
        <is>
          <t>RNCP36772</t>
        </is>
      </c>
      <c r="K31" s="45" t="inlineStr">
        <is>
          <t>Analyses biologiques, biotechnologiques, agricoles et environnementales (ANABIOTEC)</t>
        </is>
      </c>
      <c r="L31" s="45" t="inlineStr">
        <is>
          <t>31/08/2028</t>
        </is>
      </c>
      <c r="M31" s="45" t="inlineStr">
        <is>
          <t>12081 (Biotechnologie) ; 12003 (Biologie végétale) ; 21007 (Recherche agronomique) ; 21547 (Bonnes pratiques hygiène agroalimentaire)</t>
        </is>
      </c>
      <c r="N31" s="50" t="inlineStr">
        <is>
          <t>NON</t>
        </is>
      </c>
      <c r="O31" s="45" t="inlineStr"/>
    </row>
    <row r="32" customFormat="1" s="3">
      <c r="A32" s="45" t="n"/>
      <c r="B32" s="46" t="inlineStr">
        <is>
          <t>12032</t>
        </is>
      </c>
      <c r="C32" s="46">
        <f>LEFT(Tableau1[[#This Row],[Formacode]],3)</f>
        <v/>
      </c>
      <c r="D32" s="47" t="n">
        <v>38315</v>
      </c>
      <c r="E32" s="48">
        <f>"RNCP"&amp;D32</f>
        <v/>
      </c>
      <c r="F32" s="48" t="inlineStr">
        <is>
          <t>BP - Technicien animalier en unité d'expérimentation</t>
        </is>
      </c>
      <c r="G32" s="49">
        <f>E32&amp;" - "&amp;F32</f>
        <v/>
      </c>
      <c r="H32" s="36" t="inlineStr">
        <is>
          <t>RAS</t>
        </is>
      </c>
      <c r="I32" s="45" t="inlineStr"/>
      <c r="J32" s="45" t="inlineStr">
        <is>
          <t>RNCP38315</t>
        </is>
      </c>
      <c r="K32" s="45" t="inlineStr">
        <is>
          <t>Technicien animalier en unité d'expérimentation</t>
        </is>
      </c>
      <c r="L32" s="45" t="inlineStr">
        <is>
          <t>01/01/2029</t>
        </is>
      </c>
      <c r="M32" s="45" t="inlineStr">
        <is>
          <t>12010 (Expérimentation animale)</t>
        </is>
      </c>
      <c r="N32" s="50" t="inlineStr">
        <is>
          <t>NON</t>
        </is>
      </c>
      <c r="O32" s="45" t="inlineStr"/>
    </row>
    <row r="33" customFormat="1" s="3">
      <c r="A33" s="45" t="n"/>
      <c r="B33" s="46" t="inlineStr">
        <is>
          <t>12032</t>
        </is>
      </c>
      <c r="C33" s="46">
        <f>LEFT(Tableau1[[#This Row],[Formacode]],3)</f>
        <v/>
      </c>
      <c r="D33" s="47" t="n">
        <v>38385</v>
      </c>
      <c r="E33" s="48">
        <f>"RNCP"&amp;D33</f>
        <v/>
      </c>
      <c r="F33" s="48" t="inlineStr">
        <is>
          <t>BAC PRO - Technicien en expérimentation animale</t>
        </is>
      </c>
      <c r="G33" s="49">
        <f>E33&amp;" - "&amp;F33</f>
        <v/>
      </c>
      <c r="H33" s="36" t="inlineStr">
        <is>
          <t>RAS</t>
        </is>
      </c>
      <c r="I33" s="45" t="inlineStr"/>
      <c r="J33" s="45" t="inlineStr">
        <is>
          <t>RNCP38385</t>
        </is>
      </c>
      <c r="K33" s="45" t="inlineStr">
        <is>
          <t>Technicien en expérimentation animale</t>
        </is>
      </c>
      <c r="L33" s="45" t="inlineStr">
        <is>
          <t>31/12/2028</t>
        </is>
      </c>
      <c r="M33" s="45" t="inlineStr">
        <is>
          <t>12010 (Expérimentation animale)</t>
        </is>
      </c>
      <c r="N33" s="50" t="inlineStr">
        <is>
          <t>NON</t>
        </is>
      </c>
      <c r="O33" s="45" t="inlineStr"/>
    </row>
    <row r="34" customFormat="1" s="3">
      <c r="A34" s="63" t="n"/>
      <c r="B34" s="64" t="inlineStr">
        <is>
          <t>12046</t>
        </is>
      </c>
      <c r="C34" s="64">
        <f>LEFT(Tableau1[[#This Row],[Formacode]],3)</f>
        <v/>
      </c>
      <c r="D34" s="65" t="n">
        <v>35310</v>
      </c>
      <c r="E34" s="66">
        <f>"RNCP"&amp;D34</f>
        <v/>
      </c>
      <c r="F34" s="66" t="inlineStr">
        <is>
          <t>TP - Technicien de laboratoire</t>
        </is>
      </c>
      <c r="G34" s="67">
        <f>E34&amp;" - "&amp;F34</f>
        <v/>
      </c>
      <c r="H34" s="38" t="inlineStr">
        <is>
          <t>Expiré / remplacé</t>
        </is>
      </c>
      <c r="I34" s="63" t="inlineStr">
        <is>
          <t>Fiche inactive — remplacée par RNCP42551 (Technicien de laboratoire)</t>
        </is>
      </c>
      <c r="J34" s="63" t="inlineStr">
        <is>
          <t>RNCP42551</t>
        </is>
      </c>
      <c r="K34" s="63" t="inlineStr">
        <is>
          <t>Technicien de laboratoire</t>
        </is>
      </c>
      <c r="L34" s="63" t="inlineStr">
        <is>
          <t>05/06/2026</t>
        </is>
      </c>
      <c r="M34" s="63" t="inlineStr">
        <is>
          <t>11502 (Méthode physico-chimique analyse) ; 12058 (Biochimie) ; 12026 (Microbiologie) ; 12065 (Qualité laboratoire) ; 12081 (Biotechnologie)</t>
        </is>
      </c>
      <c r="N34" s="68" t="inlineStr">
        <is>
          <t>NON</t>
        </is>
      </c>
      <c r="O34" s="63" t="inlineStr"/>
    </row>
    <row r="35" customFormat="1" s="3">
      <c r="A35" s="45" t="n"/>
      <c r="B35" s="46" t="inlineStr">
        <is>
          <t>12046</t>
        </is>
      </c>
      <c r="C35" s="46">
        <f>LEFT(Tableau1[[#This Row],[Formacode]],3)</f>
        <v/>
      </c>
      <c r="D35" s="47" t="n">
        <v>38318</v>
      </c>
      <c r="E35" s="48">
        <f>"RNCP"&amp;D35</f>
        <v/>
      </c>
      <c r="F35" s="48" t="inlineStr">
        <is>
          <t>BAC PRO - Laboratoire contrôle qualité</t>
        </is>
      </c>
      <c r="G35" s="49">
        <f>E35&amp;" - "&amp;F35</f>
        <v/>
      </c>
      <c r="H35" s="36" t="inlineStr">
        <is>
          <t>RAS</t>
        </is>
      </c>
      <c r="I35" s="45" t="inlineStr"/>
      <c r="J35" s="45" t="inlineStr">
        <is>
          <t>RNCP38318</t>
        </is>
      </c>
      <c r="K35" s="45" t="inlineStr">
        <is>
          <t>Laboratoire contrôle qualité</t>
        </is>
      </c>
      <c r="L35" s="45" t="inlineStr">
        <is>
          <t>01/01/2029</t>
        </is>
      </c>
      <c r="M35" s="45" t="inlineStr">
        <is>
          <t>12065 (Qualité laboratoire)</t>
        </is>
      </c>
      <c r="N35" s="50" t="inlineStr">
        <is>
          <t>NON</t>
        </is>
      </c>
      <c r="O35" s="45" t="inlineStr"/>
    </row>
    <row r="36" customFormat="1" s="3">
      <c r="A36" s="45" t="n"/>
      <c r="B36" s="46" t="inlineStr">
        <is>
          <t>12046</t>
        </is>
      </c>
      <c r="C36" s="46">
        <f>LEFT(Tableau1[[#This Row],[Formacode]],3)</f>
        <v/>
      </c>
      <c r="D36" s="47" t="n">
        <v>38884</v>
      </c>
      <c r="E36" s="48">
        <f>"RNCP"&amp;D36</f>
        <v/>
      </c>
      <c r="F36" s="48" t="inlineStr">
        <is>
          <t>BTS - Bioanalyses en laboratoire de contrôle</t>
        </is>
      </c>
      <c r="G36" s="49">
        <f>E36&amp;" - "&amp;F36</f>
        <v/>
      </c>
      <c r="H36" s="36" t="inlineStr">
        <is>
          <t>RAS</t>
        </is>
      </c>
      <c r="I36" s="45" t="inlineStr"/>
      <c r="J36" s="45" t="inlineStr">
        <is>
          <t>RNCP38884</t>
        </is>
      </c>
      <c r="K36" s="45" t="inlineStr">
        <is>
          <t>Bioanalyses en laboratoire de contrôle</t>
        </is>
      </c>
      <c r="L36" s="45" t="inlineStr">
        <is>
          <t>31/08/2029</t>
        </is>
      </c>
      <c r="M36" s="45" t="inlineStr">
        <is>
          <t>12058 (Biochimie)</t>
        </is>
      </c>
      <c r="N36" s="50" t="inlineStr">
        <is>
          <t>NON</t>
        </is>
      </c>
      <c r="O36" s="45" t="inlineStr"/>
    </row>
    <row r="37" customFormat="1" s="3">
      <c r="A37" s="45" t="n"/>
      <c r="B37" s="46" t="inlineStr">
        <is>
          <t>12046</t>
        </is>
      </c>
      <c r="C37" s="46">
        <f>LEFT(Tableau1[[#This Row],[Formacode]],3)</f>
        <v/>
      </c>
      <c r="D37" s="47" t="n">
        <v>40269</v>
      </c>
      <c r="E37" s="48">
        <f>"RNCP"&amp;D37</f>
        <v/>
      </c>
      <c r="F37" s="48" t="inlineStr">
        <is>
          <t>Responsable génie des bioprocédés pharmaceutiques</t>
        </is>
      </c>
      <c r="G37" s="49">
        <f>E37&amp;" - "&amp;F37</f>
        <v/>
      </c>
      <c r="H37" s="36" t="inlineStr">
        <is>
          <t>RAS</t>
        </is>
      </c>
      <c r="I37" s="45" t="inlineStr"/>
      <c r="J37" s="45" t="inlineStr">
        <is>
          <t>RNCP40269</t>
        </is>
      </c>
      <c r="K37" s="45" t="inlineStr">
        <is>
          <t>Responsable génie des bioprocédés pharmaceutiques</t>
        </is>
      </c>
      <c r="L37" s="45" t="inlineStr">
        <is>
          <t>28/02/2028</t>
        </is>
      </c>
      <c r="M37" s="45" t="inlineStr">
        <is>
          <t>11541 (Pharmacologie) ; 12058 (Biochimie)</t>
        </is>
      </c>
      <c r="N37" s="50" t="inlineStr">
        <is>
          <t>NON</t>
        </is>
      </c>
      <c r="O37" s="45" t="inlineStr"/>
    </row>
    <row r="38" customFormat="1" s="3">
      <c r="A38" s="45" t="n"/>
      <c r="B38" s="46" t="inlineStr">
        <is>
          <t>12046</t>
        </is>
      </c>
      <c r="C38" s="46">
        <f>LEFT(Tableau1[[#This Row],[Formacode]],3)</f>
        <v/>
      </c>
      <c r="D38" s="47" t="n">
        <v>40348</v>
      </c>
      <c r="E38" s="48">
        <f>"RNCP"&amp;D38</f>
        <v/>
      </c>
      <c r="F38" s="48" t="inlineStr">
        <is>
          <t>Expert en accompagnement à la transition par la bioinspiration et le design (MS)</t>
        </is>
      </c>
      <c r="G38" s="49">
        <f>E38&amp;" - "&amp;F38</f>
        <v/>
      </c>
      <c r="H38" s="36" t="inlineStr">
        <is>
          <t>RAS</t>
        </is>
      </c>
      <c r="I38" s="45" t="inlineStr"/>
      <c r="J38" s="45" t="inlineStr">
        <is>
          <t>RNCP40348</t>
        </is>
      </c>
      <c r="K38" s="45" t="inlineStr">
        <is>
          <t>Expert en accompagnement à la transition par la bioinspiration et le design (MS)</t>
        </is>
      </c>
      <c r="L38" s="45" t="inlineStr">
        <is>
          <t>28/03/2028</t>
        </is>
      </c>
      <c r="M38" s="45" t="inlineStr">
        <is>
          <t>12046 (Biologie) ; 45027 (Art appliqué) ; 12587 (Management environnemental) ; 12585 (Conseil environnement)</t>
        </is>
      </c>
      <c r="N38" s="50" t="inlineStr">
        <is>
          <t>NON</t>
        </is>
      </c>
      <c r="O38" s="45" t="inlineStr"/>
    </row>
    <row r="39" customFormat="1" s="3">
      <c r="A39" s="45" t="n"/>
      <c r="B39" s="46" t="inlineStr">
        <is>
          <t>12046</t>
        </is>
      </c>
      <c r="C39" s="46">
        <f>LEFT(Tableau1[[#This Row],[Formacode]],3)</f>
        <v/>
      </c>
      <c r="D39" s="47" t="n">
        <v>41043</v>
      </c>
      <c r="E39" s="48">
        <f>"RNCP"&amp;D39</f>
        <v/>
      </c>
      <c r="F39" s="48" t="inlineStr">
        <is>
          <t>BTS - Bioqualité</t>
        </is>
      </c>
      <c r="G39" s="49">
        <f>E39&amp;" - "&amp;F39</f>
        <v/>
      </c>
      <c r="H39" s="36" t="inlineStr">
        <is>
          <t>RAS</t>
        </is>
      </c>
      <c r="I39" s="45" t="inlineStr"/>
      <c r="J39" s="45" t="inlineStr">
        <is>
          <t>RNCP41043</t>
        </is>
      </c>
      <c r="K39" s="45" t="inlineStr">
        <is>
          <t>Bioqualité</t>
        </is>
      </c>
      <c r="L39" s="45" t="inlineStr">
        <is>
          <t>31/08/2030</t>
        </is>
      </c>
      <c r="M39" s="45" t="inlineStr">
        <is>
          <t>12065 (Qualité laboratoire) ; 12081 (Biotechnologie) ; 21543 (Laboratoire analyse agroalimentaire) ; 21570 (Qualité sécurité agroalimentaire)</t>
        </is>
      </c>
      <c r="N39" s="50" t="inlineStr">
        <is>
          <t>NON</t>
        </is>
      </c>
      <c r="O39" s="45" t="inlineStr"/>
    </row>
    <row r="40" customFormat="1" s="3">
      <c r="A40" s="63" t="n"/>
      <c r="B40" s="64" t="inlineStr">
        <is>
          <t>12081</t>
        </is>
      </c>
      <c r="C40" s="64">
        <f>LEFT(Tableau1[[#This Row],[Formacode]],3)</f>
        <v/>
      </c>
      <c r="D40" s="65" t="n">
        <v>35310</v>
      </c>
      <c r="E40" s="66">
        <f>"RNCP"&amp;D40</f>
        <v/>
      </c>
      <c r="F40" s="66" t="inlineStr">
        <is>
          <t>TP - Technicien de laboratoire</t>
        </is>
      </c>
      <c r="G40" s="67">
        <f>E40&amp;" - "&amp;F40</f>
        <v/>
      </c>
      <c r="H40" s="38" t="inlineStr">
        <is>
          <t>Expiré / remplacé</t>
        </is>
      </c>
      <c r="I40" s="63" t="inlineStr">
        <is>
          <t>Fiche inactive — remplacée par RNCP42551 (Technicien de laboratoire)</t>
        </is>
      </c>
      <c r="J40" s="63" t="inlineStr">
        <is>
          <t>RNCP42551</t>
        </is>
      </c>
      <c r="K40" s="63" t="inlineStr">
        <is>
          <t>Technicien de laboratoire</t>
        </is>
      </c>
      <c r="L40" s="63" t="inlineStr">
        <is>
          <t>05/06/2026</t>
        </is>
      </c>
      <c r="M40" s="63" t="inlineStr">
        <is>
          <t>11502 (Méthode physico-chimique analyse) ; 12058 (Biochimie) ; 12026 (Microbiologie) ; 12065 (Qualité laboratoire) ; 12081 (Biotechnologie)</t>
        </is>
      </c>
      <c r="N40" s="68" t="inlineStr">
        <is>
          <t>NON</t>
        </is>
      </c>
      <c r="O40" s="63" t="inlineStr"/>
    </row>
    <row r="41" ht="28.8" customFormat="1" customHeight="1" s="3">
      <c r="A41" s="45" t="n"/>
      <c r="B41" s="46" t="inlineStr">
        <is>
          <t>12081</t>
        </is>
      </c>
      <c r="C41" s="46">
        <f>LEFT(Tableau1[[#This Row],[Formacode]],3)</f>
        <v/>
      </c>
      <c r="D41" s="47" t="n">
        <v>36772</v>
      </c>
      <c r="E41" s="48">
        <f>"RNCP"&amp;D41</f>
        <v/>
      </c>
      <c r="F41" s="48" t="inlineStr">
        <is>
          <t>BTSA - Analyses biologiques, biotechnologiques, agricoles et environnementales (ANABIOTEC)</t>
        </is>
      </c>
      <c r="G41" s="49">
        <f>E41&amp;" - "&amp;F41</f>
        <v/>
      </c>
      <c r="H41" s="36" t="inlineStr">
        <is>
          <t>RAS</t>
        </is>
      </c>
      <c r="I41" s="45" t="inlineStr"/>
      <c r="J41" s="45" t="inlineStr">
        <is>
          <t>RNCP36772</t>
        </is>
      </c>
      <c r="K41" s="45" t="inlineStr">
        <is>
          <t>Analyses biologiques, biotechnologiques, agricoles et environnementales (ANABIOTEC)</t>
        </is>
      </c>
      <c r="L41" s="45" t="inlineStr">
        <is>
          <t>31/08/2028</t>
        </is>
      </c>
      <c r="M41" s="45" t="inlineStr">
        <is>
          <t>12081 (Biotechnologie) ; 12003 (Biologie végétale) ; 21007 (Recherche agronomique) ; 21547 (Bonnes pratiques hygiène agroalimentaire)</t>
        </is>
      </c>
      <c r="N41" s="50" t="inlineStr">
        <is>
          <t>NON</t>
        </is>
      </c>
      <c r="O41" s="45" t="inlineStr"/>
    </row>
    <row r="42" ht="28.8" customFormat="1" customHeight="1" s="3">
      <c r="A42" s="45" t="n"/>
      <c r="B42" s="46" t="inlineStr">
        <is>
          <t>12081</t>
        </is>
      </c>
      <c r="C42" s="46">
        <f>LEFT(Tableau1[[#This Row],[Formacode]],3)</f>
        <v/>
      </c>
      <c r="D42" s="47" t="n">
        <v>37699</v>
      </c>
      <c r="E42" s="48">
        <f>"RNCP"&amp;D42</f>
        <v/>
      </c>
      <c r="F42" s="48" t="inlineStr">
        <is>
          <t>BAC PRO - Production en industries pharmaceutiques, alimentaires et cosmétiques (PIPAC)</t>
        </is>
      </c>
      <c r="G42" s="49">
        <f>E42&amp;" - "&amp;F42</f>
        <v/>
      </c>
      <c r="H42" s="36" t="inlineStr">
        <is>
          <t>RAS</t>
        </is>
      </c>
      <c r="I42" s="45" t="inlineStr"/>
      <c r="J42" s="45" t="inlineStr">
        <is>
          <t>RNCP37699</t>
        </is>
      </c>
      <c r="K42" s="45" t="inlineStr">
        <is>
          <t>Production en industries pharmaceutiques, alimentaires et cosmétiques (PIPAC)</t>
        </is>
      </c>
      <c r="L42" s="45" t="inlineStr">
        <is>
          <t>31/08/2028</t>
        </is>
      </c>
      <c r="M42" s="45" t="inlineStr">
        <is>
          <t>21554 (Agroalimentaire) ; 12081 (Biotechnologie)</t>
        </is>
      </c>
      <c r="N42" s="50" t="inlineStr">
        <is>
          <t>NON</t>
        </is>
      </c>
      <c r="O42" s="45" t="inlineStr"/>
    </row>
    <row r="43" customFormat="1" s="3">
      <c r="A43" s="45" t="n"/>
      <c r="B43" s="46" t="inlineStr">
        <is>
          <t>12081</t>
        </is>
      </c>
      <c r="C43" s="46">
        <f>LEFT(Tableau1[[#This Row],[Formacode]],3)</f>
        <v/>
      </c>
      <c r="D43" s="47" t="n">
        <v>38883</v>
      </c>
      <c r="E43" s="48">
        <f>"RNCP"&amp;D43</f>
        <v/>
      </c>
      <c r="F43" s="48" t="inlineStr">
        <is>
          <t>BTS - Biotechnologie  en recherche et en production</t>
        </is>
      </c>
      <c r="G43" s="49">
        <f>E43&amp;" - "&amp;F43</f>
        <v/>
      </c>
      <c r="H43" s="36" t="inlineStr">
        <is>
          <t>RAS</t>
        </is>
      </c>
      <c r="I43" s="45" t="inlineStr"/>
      <c r="J43" s="45" t="inlineStr">
        <is>
          <t>RNCP38883</t>
        </is>
      </c>
      <c r="K43" s="45" t="inlineStr">
        <is>
          <t>Biotechnologie en recherche et en production</t>
        </is>
      </c>
      <c r="L43" s="45" t="inlineStr">
        <is>
          <t>31/08/2029</t>
        </is>
      </c>
      <c r="M43" s="45" t="inlineStr">
        <is>
          <t>12081 (Biotechnologie)</t>
        </is>
      </c>
      <c r="N43" s="50" t="inlineStr">
        <is>
          <t>NON</t>
        </is>
      </c>
      <c r="O43" s="45" t="inlineStr"/>
    </row>
    <row r="44" customFormat="1" s="3">
      <c r="A44" s="45" t="n"/>
      <c r="B44" s="46" t="inlineStr">
        <is>
          <t>12081</t>
        </is>
      </c>
      <c r="C44" s="46">
        <f>LEFT(Tableau1[[#This Row],[Formacode]],3)</f>
        <v/>
      </c>
      <c r="D44" s="47" t="n">
        <v>41043</v>
      </c>
      <c r="E44" s="48">
        <f>"RNCP"&amp;D44</f>
        <v/>
      </c>
      <c r="F44" s="48" t="inlineStr">
        <is>
          <t>BTS - Bioqualité</t>
        </is>
      </c>
      <c r="G44" s="49">
        <f>E44&amp;" - "&amp;F44</f>
        <v/>
      </c>
      <c r="H44" s="36" t="inlineStr">
        <is>
          <t>RAS</t>
        </is>
      </c>
      <c r="I44" s="45" t="inlineStr"/>
      <c r="J44" s="45" t="inlineStr">
        <is>
          <t>RNCP41043</t>
        </is>
      </c>
      <c r="K44" s="45" t="inlineStr">
        <is>
          <t>Bioqualité</t>
        </is>
      </c>
      <c r="L44" s="45" t="inlineStr">
        <is>
          <t>31/08/2030</t>
        </is>
      </c>
      <c r="M44" s="45" t="inlineStr">
        <is>
          <t>12065 (Qualité laboratoire) ; 12081 (Biotechnologie) ; 21543 (Laboratoire analyse agroalimentaire) ; 21570 (Qualité sécurité agroalimentaire)</t>
        </is>
      </c>
      <c r="N44" s="50" t="inlineStr">
        <is>
          <t>NON</t>
        </is>
      </c>
      <c r="O44" s="45" t="inlineStr"/>
    </row>
    <row r="45" customFormat="1" s="3">
      <c r="A45" s="45" t="n"/>
      <c r="B45" s="46" t="inlineStr">
        <is>
          <t>12083</t>
        </is>
      </c>
      <c r="C45" s="46">
        <f>LEFT(Tableau1[[#This Row],[Formacode]],3)</f>
        <v/>
      </c>
      <c r="D45" s="47" t="n">
        <v>39704</v>
      </c>
      <c r="E45" s="48">
        <f>"RNCP"&amp;D45</f>
        <v/>
      </c>
      <c r="F45" s="48" t="inlineStr">
        <is>
          <t>CAP - Taxidermiste</t>
        </is>
      </c>
      <c r="G45" s="49">
        <f>E45&amp;" - "&amp;F45</f>
        <v/>
      </c>
      <c r="H45" s="36" t="inlineStr">
        <is>
          <t>RAS</t>
        </is>
      </c>
      <c r="I45" s="45" t="inlineStr"/>
      <c r="J45" s="45" t="inlineStr">
        <is>
          <t>RNCP39704</t>
        </is>
      </c>
      <c r="K45" s="45" t="inlineStr">
        <is>
          <t>Taxidermiste</t>
        </is>
      </c>
      <c r="L45" s="45" t="inlineStr">
        <is>
          <t>31/08/2029</t>
        </is>
      </c>
      <c r="M45" s="45" t="inlineStr">
        <is>
          <t>12083 (Taxidermie)</t>
        </is>
      </c>
      <c r="N45" s="50" t="inlineStr">
        <is>
          <t>NON</t>
        </is>
      </c>
      <c r="O45" s="45" t="inlineStr"/>
    </row>
    <row r="46" customFormat="1" s="3">
      <c r="A46" s="45" t="n"/>
      <c r="B46" s="46" t="inlineStr">
        <is>
          <t>12225</t>
        </is>
      </c>
      <c r="C46" s="46">
        <f>LEFT(Tableau1[[#This Row],[Formacode]],3)</f>
        <v/>
      </c>
      <c r="D46" s="47" t="n">
        <v>37100</v>
      </c>
      <c r="E46" s="48">
        <f>"RNCP"&amp;D46</f>
        <v/>
      </c>
      <c r="F46" s="48" t="inlineStr">
        <is>
          <t>TP - Géomètre topographe d'entreprise du bâtiment et des travaux publics</t>
        </is>
      </c>
      <c r="G46" s="49">
        <f>E46&amp;" - "&amp;F46</f>
        <v/>
      </c>
      <c r="H46" s="36" t="inlineStr">
        <is>
          <t>RAS</t>
        </is>
      </c>
      <c r="I46" s="45" t="inlineStr"/>
      <c r="J46" s="45" t="inlineStr">
        <is>
          <t>RNCP37100</t>
        </is>
      </c>
      <c r="K46" s="45" t="inlineStr">
        <is>
          <t>Géomètre topographe d'entreprise du bâtiment et des travaux publics</t>
        </is>
      </c>
      <c r="L46" s="45" t="inlineStr">
        <is>
          <t>10/02/2028</t>
        </is>
      </c>
      <c r="M46" s="45" t="inlineStr">
        <is>
          <t>12225 (Topographie)</t>
        </is>
      </c>
      <c r="N46" s="50" t="inlineStr">
        <is>
          <t>NON</t>
        </is>
      </c>
      <c r="O46" s="45" t="inlineStr"/>
    </row>
    <row r="47" customFormat="1" s="3">
      <c r="A47" s="45" t="n"/>
      <c r="B47" s="46" t="inlineStr">
        <is>
          <t>12225</t>
        </is>
      </c>
      <c r="C47" s="46">
        <f>LEFT(Tableau1[[#This Row],[Formacode]],3)</f>
        <v/>
      </c>
      <c r="D47" s="47" t="n">
        <v>37101</v>
      </c>
      <c r="E47" s="48">
        <f>"RNCP"&amp;D47</f>
        <v/>
      </c>
      <c r="F47" s="48" t="inlineStr">
        <is>
          <t>TP - Opérateur en détection de réseaux</t>
        </is>
      </c>
      <c r="G47" s="49">
        <f>E47&amp;" - "&amp;F47</f>
        <v/>
      </c>
      <c r="H47" s="36" t="inlineStr">
        <is>
          <t>RAS</t>
        </is>
      </c>
      <c r="I47" s="45" t="inlineStr"/>
      <c r="J47" s="45" t="inlineStr">
        <is>
          <t>RNCP37101</t>
        </is>
      </c>
      <c r="K47" s="45" t="inlineStr">
        <is>
          <t>Opérateur en détection de réseaux</t>
        </is>
      </c>
      <c r="L47" s="45" t="inlineStr">
        <is>
          <t>02/01/2028</t>
        </is>
      </c>
      <c r="M47" s="45" t="inlineStr">
        <is>
          <t>24277 (Télédétection) ; 12232 (Géomatique) ; 12225 (Topographie) ; 24252 (Réseau télécom)</t>
        </is>
      </c>
      <c r="N47" s="50" t="inlineStr">
        <is>
          <t>NON</t>
        </is>
      </c>
      <c r="O47" s="45" t="inlineStr"/>
    </row>
    <row r="48" customFormat="1" s="3">
      <c r="A48" s="45" t="n"/>
      <c r="B48" s="46" t="inlineStr">
        <is>
          <t>12225</t>
        </is>
      </c>
      <c r="C48" s="46">
        <f>LEFT(Tableau1[[#This Row],[Formacode]],3)</f>
        <v/>
      </c>
      <c r="D48" s="47" t="n">
        <v>37102</v>
      </c>
      <c r="E48" s="48">
        <f>"RNCP"&amp;D48</f>
        <v/>
      </c>
      <c r="F48" s="48" t="inlineStr">
        <is>
          <t>TP - Technicien en détection et géoréférencement de réseaux</t>
        </is>
      </c>
      <c r="G48" s="49">
        <f>E48&amp;" - "&amp;F48</f>
        <v/>
      </c>
      <c r="H48" s="36" t="inlineStr">
        <is>
          <t>RAS</t>
        </is>
      </c>
      <c r="I48" s="45" t="inlineStr"/>
      <c r="J48" s="45" t="inlineStr">
        <is>
          <t>RNCP37102</t>
        </is>
      </c>
      <c r="K48" s="45" t="inlineStr">
        <is>
          <t>Technicien en détection et géoréférencement de réseaux</t>
        </is>
      </c>
      <c r="L48" s="45" t="inlineStr">
        <is>
          <t>02/01/2028</t>
        </is>
      </c>
      <c r="M48" s="45" t="inlineStr">
        <is>
          <t>12232 (Géomatique) ; 24277 (Télédétection) ; 12225 (Topographie)</t>
        </is>
      </c>
      <c r="N48" s="50" t="inlineStr">
        <is>
          <t>NON</t>
        </is>
      </c>
      <c r="O48" s="45" t="inlineStr"/>
    </row>
    <row r="49" customFormat="1" s="3">
      <c r="A49" s="45" t="n"/>
      <c r="B49" s="46" t="inlineStr">
        <is>
          <t>12225</t>
        </is>
      </c>
      <c r="C49" s="46">
        <f>LEFT(Tableau1[[#This Row],[Formacode]],3)</f>
        <v/>
      </c>
      <c r="D49" s="47" t="n">
        <v>37104</v>
      </c>
      <c r="E49" s="48">
        <f>"RNCP"&amp;D49</f>
        <v/>
      </c>
      <c r="F49" s="48" t="inlineStr">
        <is>
          <t>TP - Technicien géomètre en cabinet</t>
        </is>
      </c>
      <c r="G49" s="49">
        <f>E49&amp;" - "&amp;F49</f>
        <v/>
      </c>
      <c r="H49" s="36" t="inlineStr">
        <is>
          <t>RAS</t>
        </is>
      </c>
      <c r="I49" s="45" t="inlineStr"/>
      <c r="J49" s="45" t="inlineStr">
        <is>
          <t>RNCP37104</t>
        </is>
      </c>
      <c r="K49" s="45" t="inlineStr">
        <is>
          <t>Technicien géomètre en cabinet</t>
        </is>
      </c>
      <c r="L49" s="45" t="inlineStr">
        <is>
          <t>10/02/2028</t>
        </is>
      </c>
      <c r="M49" s="45" t="inlineStr">
        <is>
          <t>12225 (Topographie)</t>
        </is>
      </c>
      <c r="N49" s="50" t="inlineStr">
        <is>
          <t>NON</t>
        </is>
      </c>
      <c r="O49" s="45" t="inlineStr"/>
    </row>
    <row r="50" customFormat="1" s="3">
      <c r="A50" s="51" t="n"/>
      <c r="B50" s="52" t="inlineStr">
        <is>
          <t>12225</t>
        </is>
      </c>
      <c r="C50" s="52">
        <f>LEFT(Tableau1[[#This Row],[Formacode]],3)</f>
        <v/>
      </c>
      <c r="D50" s="53" t="n">
        <v>37707</v>
      </c>
      <c r="E50" s="54">
        <f>"RNCP"&amp;D50</f>
        <v/>
      </c>
      <c r="F50" s="54" t="inlineStr">
        <is>
          <t>BTS - Métiers du géomètre-topographe et de la modélisation numérique</t>
        </is>
      </c>
      <c r="G50" s="55">
        <f>E50&amp;" - "&amp;F50</f>
        <v/>
      </c>
      <c r="H50" s="37" t="inlineStr">
        <is>
          <t>À vérifier</t>
        </is>
      </c>
      <c r="I50" s="51" t="inlineStr">
        <is>
          <t>Successeur déjà publié : RNCP41848 (Métiers du géomètre-topographe et de la modélisation numérique) — préparer la bascule de l'offre CPF | Échéance le 31/08/2026 (dans 44 j)</t>
        </is>
      </c>
      <c r="J50" s="51" t="inlineStr">
        <is>
          <t>RNCP41848</t>
        </is>
      </c>
      <c r="K50" s="51" t="inlineStr">
        <is>
          <t>Métiers du géomètre-topographe et de la modélisation numérique</t>
        </is>
      </c>
      <c r="L50" s="51" t="inlineStr">
        <is>
          <t>31/08/2026</t>
        </is>
      </c>
      <c r="M50" s="51" t="inlineStr">
        <is>
          <t>11067 (Géométrie) ; 12225 (Topographie) ; 24289 (Photo interprétation)</t>
        </is>
      </c>
      <c r="N50" s="62" t="inlineStr">
        <is>
          <t>NON</t>
        </is>
      </c>
      <c r="O50" s="51" t="inlineStr"/>
    </row>
    <row r="51" customFormat="1" s="3">
      <c r="A51" s="45" t="n"/>
      <c r="B51" s="46" t="inlineStr">
        <is>
          <t>12225</t>
        </is>
      </c>
      <c r="C51" s="46">
        <f>LEFT(Tableau1[[#This Row],[Formacode]],3)</f>
        <v/>
      </c>
      <c r="D51" s="47" t="n">
        <v>39085</v>
      </c>
      <c r="E51" s="48">
        <f>"RNCP"&amp;D51</f>
        <v/>
      </c>
      <c r="F51" s="48" t="inlineStr">
        <is>
          <t>BTS - Géologie appliquée</t>
        </is>
      </c>
      <c r="G51" s="49">
        <f>E51&amp;" - "&amp;F51</f>
        <v/>
      </c>
      <c r="H51" s="36" t="inlineStr">
        <is>
          <t>RAS</t>
        </is>
      </c>
      <c r="I51" s="45" t="inlineStr"/>
      <c r="J51" s="45" t="inlineStr">
        <is>
          <t>RNCP39085</t>
        </is>
      </c>
      <c r="K51" s="45" t="inlineStr">
        <is>
          <t>Géologie appliquée</t>
        </is>
      </c>
      <c r="L51" s="45" t="inlineStr">
        <is>
          <t>31/08/2029</t>
        </is>
      </c>
      <c r="M51" s="45" t="inlineStr">
        <is>
          <t>12275 (Géologie) ; 22254 (BTP conception organisation) ; 12225 (Topographie)</t>
        </is>
      </c>
      <c r="N51" s="50" t="inlineStr">
        <is>
          <t>NON</t>
        </is>
      </c>
      <c r="O51" s="45" t="inlineStr"/>
    </row>
    <row r="52" customFormat="1" s="3">
      <c r="A52" s="45" t="n"/>
      <c r="B52" s="46" t="inlineStr">
        <is>
          <t>12225</t>
        </is>
      </c>
      <c r="C52" s="46">
        <f>LEFT(Tableau1[[#This Row],[Formacode]],3)</f>
        <v/>
      </c>
      <c r="D52" s="47" t="n">
        <v>39269</v>
      </c>
      <c r="E52" s="48">
        <f>"RNCP"&amp;D52</f>
        <v/>
      </c>
      <c r="F52" s="48" t="inlineStr">
        <is>
          <t>BAC PRO - Géomètre</t>
        </is>
      </c>
      <c r="G52" s="49">
        <f>E52&amp;" - "&amp;F52</f>
        <v/>
      </c>
      <c r="H52" s="36" t="inlineStr">
        <is>
          <t>RAS</t>
        </is>
      </c>
      <c r="I52" s="45" t="inlineStr"/>
      <c r="J52" s="45" t="inlineStr">
        <is>
          <t>RNCP39269</t>
        </is>
      </c>
      <c r="K52" s="45" t="inlineStr">
        <is>
          <t>Géomètre</t>
        </is>
      </c>
      <c r="L52" s="45" t="inlineStr">
        <is>
          <t>31/08/2029</t>
        </is>
      </c>
      <c r="M52" s="45" t="inlineStr">
        <is>
          <t>12225 (Topographie)</t>
        </is>
      </c>
      <c r="N52" s="50" t="inlineStr">
        <is>
          <t>NON</t>
        </is>
      </c>
      <c r="O52" s="45" t="inlineStr"/>
    </row>
    <row r="53" customFormat="1" s="3">
      <c r="A53" s="45" t="n"/>
      <c r="B53" s="46" t="inlineStr">
        <is>
          <t>12252</t>
        </is>
      </c>
      <c r="C53" s="46">
        <f>LEFT(Tableau1[[#This Row],[Formacode]],3)</f>
        <v/>
      </c>
      <c r="D53" s="47" t="n">
        <v>37101</v>
      </c>
      <c r="E53" s="48">
        <f>"RNCP"&amp;D53</f>
        <v/>
      </c>
      <c r="F53" s="48" t="inlineStr">
        <is>
          <t>TP - Opérateur en détection de réseaux</t>
        </is>
      </c>
      <c r="G53" s="49">
        <f>E53&amp;" - "&amp;F53</f>
        <v/>
      </c>
      <c r="H53" s="36" t="inlineStr">
        <is>
          <t>RAS</t>
        </is>
      </c>
      <c r="I53" s="45" t="inlineStr"/>
      <c r="J53" s="45" t="inlineStr">
        <is>
          <t>RNCP37101</t>
        </is>
      </c>
      <c r="K53" s="45" t="inlineStr">
        <is>
          <t>Opérateur en détection de réseaux</t>
        </is>
      </c>
      <c r="L53" s="45" t="inlineStr">
        <is>
          <t>02/01/2028</t>
        </is>
      </c>
      <c r="M53" s="45" t="inlineStr">
        <is>
          <t>24277 (Télédétection) ; 12232 (Géomatique) ; 12225 (Topographie) ; 24252 (Réseau télécom)</t>
        </is>
      </c>
      <c r="N53" s="50" t="inlineStr">
        <is>
          <t>NON</t>
        </is>
      </c>
      <c r="O53" s="45" t="inlineStr"/>
    </row>
    <row r="54" customFormat="1" s="3">
      <c r="A54" s="45" t="n"/>
      <c r="B54" s="46" t="inlineStr">
        <is>
          <t>12252</t>
        </is>
      </c>
      <c r="C54" s="46">
        <f>LEFT(Tableau1[[#This Row],[Formacode]],3)</f>
        <v/>
      </c>
      <c r="D54" s="47" t="n">
        <v>37102</v>
      </c>
      <c r="E54" s="48">
        <f>"RNCP"&amp;D54</f>
        <v/>
      </c>
      <c r="F54" s="48" t="inlineStr">
        <is>
          <t>TP - Technicien en détection et géoréférencement de réseaux</t>
        </is>
      </c>
      <c r="G54" s="49">
        <f>E54&amp;" - "&amp;F54</f>
        <v/>
      </c>
      <c r="H54" s="36" t="inlineStr">
        <is>
          <t>RAS</t>
        </is>
      </c>
      <c r="I54" s="45" t="inlineStr"/>
      <c r="J54" s="45" t="inlineStr">
        <is>
          <t>RNCP37102</t>
        </is>
      </c>
      <c r="K54" s="45" t="inlineStr">
        <is>
          <t>Technicien en détection et géoréférencement de réseaux</t>
        </is>
      </c>
      <c r="L54" s="45" t="inlineStr">
        <is>
          <t>02/01/2028</t>
        </is>
      </c>
      <c r="M54" s="45" t="inlineStr">
        <is>
          <t>12232 (Géomatique) ; 24277 (Télédétection) ; 12225 (Topographie)</t>
        </is>
      </c>
      <c r="N54" s="50" t="inlineStr">
        <is>
          <t>NON</t>
        </is>
      </c>
      <c r="O54" s="45" t="inlineStr"/>
    </row>
    <row r="55" customFormat="1" s="3">
      <c r="A55" s="45" t="n"/>
      <c r="B55" s="46" t="inlineStr">
        <is>
          <t>12252</t>
        </is>
      </c>
      <c r="C55" s="46">
        <f>LEFT(Tableau1[[#This Row],[Formacode]],3)</f>
        <v/>
      </c>
      <c r="D55" s="47" t="n">
        <v>37103</v>
      </c>
      <c r="E55" s="48">
        <f>"RNCP"&amp;D55</f>
        <v/>
      </c>
      <c r="F55" s="48" t="inlineStr">
        <is>
          <t>TP - Technicien en géomatique</t>
        </is>
      </c>
      <c r="G55" s="49">
        <f>E55&amp;" - "&amp;F55</f>
        <v/>
      </c>
      <c r="H55" s="36" t="inlineStr">
        <is>
          <t>RAS</t>
        </is>
      </c>
      <c r="I55" s="45" t="inlineStr"/>
      <c r="J55" s="45" t="inlineStr">
        <is>
          <t>RNCP37103</t>
        </is>
      </c>
      <c r="K55" s="45" t="inlineStr">
        <is>
          <t>Technicien en géomatique</t>
        </is>
      </c>
      <c r="L55" s="45" t="inlineStr">
        <is>
          <t>25/02/2028</t>
        </is>
      </c>
      <c r="M55" s="45" t="inlineStr">
        <is>
          <t>12232 (Géomatique) ; 31054 (Informatique - Systèmes d’information et numérique) ; 12505 (Plan local urbanisme)</t>
        </is>
      </c>
      <c r="N55" s="50" t="inlineStr">
        <is>
          <t>NON</t>
        </is>
      </c>
      <c r="O55" s="45" t="inlineStr"/>
    </row>
    <row r="56" customFormat="1" s="3">
      <c r="A56" s="45" t="n"/>
      <c r="B56" s="46" t="inlineStr">
        <is>
          <t>12252</t>
        </is>
      </c>
      <c r="C56" s="46">
        <f>LEFT(Tableau1[[#This Row],[Formacode]],3)</f>
        <v/>
      </c>
      <c r="D56" s="47" t="n">
        <v>39877</v>
      </c>
      <c r="E56" s="48">
        <f>"RNCP"&amp;D56</f>
        <v/>
      </c>
      <c r="F56" s="48" t="inlineStr">
        <is>
          <t>Chef de projet géomatique</t>
        </is>
      </c>
      <c r="G56" s="49">
        <f>E56&amp;" - "&amp;F56</f>
        <v/>
      </c>
      <c r="H56" s="36" t="inlineStr">
        <is>
          <t>RAS</t>
        </is>
      </c>
      <c r="I56" s="45" t="inlineStr"/>
      <c r="J56" s="45" t="inlineStr">
        <is>
          <t>RNCP39877</t>
        </is>
      </c>
      <c r="K56" s="45" t="inlineStr">
        <is>
          <t>Chef de projet géomatique</t>
        </is>
      </c>
      <c r="L56" s="45" t="inlineStr">
        <is>
          <t>28/11/2029</t>
        </is>
      </c>
      <c r="M56" s="45" t="inlineStr">
        <is>
          <t>31008 (Système information) ; 12232 (Géomatique)</t>
        </is>
      </c>
      <c r="N56" s="50" t="inlineStr">
        <is>
          <t>NON</t>
        </is>
      </c>
      <c r="O56" s="45" t="inlineStr"/>
    </row>
    <row r="57" customFormat="1" s="3">
      <c r="A57" s="45" t="n"/>
      <c r="B57" s="46" t="inlineStr">
        <is>
          <t>12275</t>
        </is>
      </c>
      <c r="C57" s="46">
        <f>LEFT(Tableau1[[#This Row],[Formacode]],3)</f>
        <v/>
      </c>
      <c r="D57" s="47" t="n">
        <v>39085</v>
      </c>
      <c r="E57" s="48">
        <f>"RNCP"&amp;D57</f>
        <v/>
      </c>
      <c r="F57" s="48" t="inlineStr">
        <is>
          <t>BTS - Géologie appliquée</t>
        </is>
      </c>
      <c r="G57" s="49">
        <f>E57&amp;" - "&amp;F57</f>
        <v/>
      </c>
      <c r="H57" s="36" t="inlineStr">
        <is>
          <t>RAS</t>
        </is>
      </c>
      <c r="I57" s="45" t="inlineStr"/>
      <c r="J57" s="45" t="inlineStr">
        <is>
          <t>RNCP39085</t>
        </is>
      </c>
      <c r="K57" s="45" t="inlineStr">
        <is>
          <t>Géologie appliquée</t>
        </is>
      </c>
      <c r="L57" s="45" t="inlineStr">
        <is>
          <t>31/08/2029</t>
        </is>
      </c>
      <c r="M57" s="45" t="inlineStr">
        <is>
          <t>12275 (Géologie) ; 22254 (BTP conception organisation) ; 12225 (Topographie)</t>
        </is>
      </c>
      <c r="N57" s="50" t="inlineStr">
        <is>
          <t>NON</t>
        </is>
      </c>
      <c r="O57" s="45" t="inlineStr"/>
    </row>
    <row r="58" customFormat="1" s="3">
      <c r="A58" s="63" t="n"/>
      <c r="B58" s="64" t="inlineStr">
        <is>
          <t>12518</t>
        </is>
      </c>
      <c r="C58" s="64">
        <f>LEFT(Tableau1[[#This Row],[Formacode]],3)</f>
        <v/>
      </c>
      <c r="D58" s="65" t="n">
        <v>35590</v>
      </c>
      <c r="E58" s="66">
        <f>"RNCP"&amp;D58</f>
        <v/>
      </c>
      <c r="F58" s="66" t="inlineStr">
        <is>
          <t>Manager de l'habitat social et durable</t>
        </is>
      </c>
      <c r="G58" s="67">
        <f>E58&amp;" - "&amp;F58</f>
        <v/>
      </c>
      <c r="H58" s="38" t="inlineStr">
        <is>
          <t>Expiré / remplacé</t>
        </is>
      </c>
      <c r="I58" s="63" t="inlineStr">
        <is>
          <t>Fiche inactive — remplacée par RNCP42170 (Manager de projet immobilier durable)</t>
        </is>
      </c>
      <c r="J58" s="63" t="inlineStr">
        <is>
          <t>RNCP42170</t>
        </is>
      </c>
      <c r="K58" s="63" t="inlineStr">
        <is>
          <t>Manager de projet immobilier durable</t>
        </is>
      </c>
      <c r="L58" s="63" t="inlineStr">
        <is>
          <t>19/05/2026</t>
        </is>
      </c>
      <c r="M58" s="63" t="inlineStr">
        <is>
          <t>42154 (Immobilier) ; 22250 (Éco-construction) ; 32145 (Management transversal) ; 12554 (Environnement aménagement)</t>
        </is>
      </c>
      <c r="N58" s="68" t="inlineStr">
        <is>
          <t>NON</t>
        </is>
      </c>
      <c r="O58" s="63" t="inlineStr"/>
    </row>
    <row r="59" customFormat="1" s="3">
      <c r="A59" s="45" t="n"/>
      <c r="B59" s="46" t="inlineStr">
        <is>
          <t>12518</t>
        </is>
      </c>
      <c r="C59" s="46">
        <f>LEFT(Tableau1[[#This Row],[Formacode]],3)</f>
        <v/>
      </c>
      <c r="D59" s="47" t="n">
        <v>36916</v>
      </c>
      <c r="E59" s="48">
        <f>"RNCP"&amp;D59</f>
        <v/>
      </c>
      <c r="F59" s="48" t="inlineStr">
        <is>
          <t>Responsable management durable qualité sécurité environnement</t>
        </is>
      </c>
      <c r="G59" s="49">
        <f>E59&amp;" - "&amp;F59</f>
        <v/>
      </c>
      <c r="H59" s="36" t="inlineStr">
        <is>
          <t>RAS</t>
        </is>
      </c>
      <c r="I59" s="45" t="inlineStr"/>
      <c r="J59" s="45" t="inlineStr">
        <is>
          <t>RNCP36916</t>
        </is>
      </c>
      <c r="K59" s="45" t="inlineStr">
        <is>
          <t>Responsable management durable qualité sécurité environnement</t>
        </is>
      </c>
      <c r="L59" s="45" t="inlineStr">
        <is>
          <t>29/09/2027</t>
        </is>
      </c>
      <c r="M59" s="45" t="inlineStr">
        <is>
          <t>31407 (Qualité hygiène sécurité environnement) ; 12554 (Environnement aménagement) ; 42866 (Santé sécurité travail)</t>
        </is>
      </c>
      <c r="N59" s="50" t="inlineStr">
        <is>
          <t>NON</t>
        </is>
      </c>
      <c r="O59" s="45" t="inlineStr"/>
    </row>
    <row r="60" customFormat="1" s="3">
      <c r="A60" s="45" t="n"/>
      <c r="B60" s="46" t="inlineStr">
        <is>
          <t>12518</t>
        </is>
      </c>
      <c r="C60" s="46">
        <f>LEFT(Tableau1[[#This Row],[Formacode]],3)</f>
        <v/>
      </c>
      <c r="D60" s="47" t="n">
        <v>39588</v>
      </c>
      <c r="E60" s="48">
        <f>"RNCP"&amp;D60</f>
        <v/>
      </c>
      <c r="F60" s="48" t="inlineStr">
        <is>
          <t>Manager santé, sécurité et environnement</t>
        </is>
      </c>
      <c r="G60" s="49">
        <f>E60&amp;" - "&amp;F60</f>
        <v/>
      </c>
      <c r="H60" s="36" t="inlineStr">
        <is>
          <t>RAS</t>
        </is>
      </c>
      <c r="I60" s="45" t="inlineStr"/>
      <c r="J60" s="45" t="inlineStr">
        <is>
          <t>RNCP39588</t>
        </is>
      </c>
      <c r="K60" s="45" t="inlineStr">
        <is>
          <t>Manager santé, sécurité et environnement</t>
        </is>
      </c>
      <c r="L60" s="45" t="inlineStr">
        <is>
          <t>01/10/2027</t>
        </is>
      </c>
      <c r="M60" s="45" t="inlineStr">
        <is>
          <t>42866 (Santé sécurité travail) ; 12554 (Environnement aménagement)</t>
        </is>
      </c>
      <c r="N60" s="50" t="inlineStr">
        <is>
          <t>NON</t>
        </is>
      </c>
      <c r="O60" s="45" t="inlineStr"/>
    </row>
    <row r="61" customFormat="1" s="3">
      <c r="A61" s="63" t="n"/>
      <c r="B61" s="64" t="inlineStr">
        <is>
          <t>12522</t>
        </is>
      </c>
      <c r="C61" s="64">
        <f>LEFT(Tableau1[[#This Row],[Formacode]],3)</f>
        <v/>
      </c>
      <c r="D61" s="65" t="n">
        <v>35590</v>
      </c>
      <c r="E61" s="66">
        <f>"RNCP"&amp;D61</f>
        <v/>
      </c>
      <c r="F61" s="66" t="inlineStr">
        <is>
          <t>Manager de l'habitat social et durable</t>
        </is>
      </c>
      <c r="G61" s="67">
        <f>E61&amp;" - "&amp;F61</f>
        <v/>
      </c>
      <c r="H61" s="38" t="inlineStr">
        <is>
          <t>Expiré / remplacé</t>
        </is>
      </c>
      <c r="I61" s="63" t="inlineStr">
        <is>
          <t>Fiche inactive — remplacée par RNCP42170 (Manager de projet immobilier durable)</t>
        </is>
      </c>
      <c r="J61" s="63" t="inlineStr">
        <is>
          <t>RNCP42170</t>
        </is>
      </c>
      <c r="K61" s="63" t="inlineStr">
        <is>
          <t>Manager de projet immobilier durable</t>
        </is>
      </c>
      <c r="L61" s="63" t="inlineStr">
        <is>
          <t>19/05/2026</t>
        </is>
      </c>
      <c r="M61" s="63" t="inlineStr">
        <is>
          <t>42154 (Immobilier) ; 22250 (Éco-construction) ; 32145 (Management transversal) ; 12554 (Environnement aménagement)</t>
        </is>
      </c>
      <c r="N61" s="68" t="inlineStr">
        <is>
          <t>NON</t>
        </is>
      </c>
      <c r="O61" s="63" t="inlineStr"/>
    </row>
    <row r="62" customFormat="1" s="3">
      <c r="A62" s="45" t="n"/>
      <c r="B62" s="46" t="inlineStr">
        <is>
          <t>12522</t>
        </is>
      </c>
      <c r="C62" s="46">
        <f>LEFT(Tableau1[[#This Row],[Formacode]],3)</f>
        <v/>
      </c>
      <c r="D62" s="47" t="n">
        <v>36916</v>
      </c>
      <c r="E62" s="48">
        <f>"RNCP"&amp;D62</f>
        <v/>
      </c>
      <c r="F62" s="48" t="inlineStr">
        <is>
          <t>Responsable management durable qualité sécurité environnement</t>
        </is>
      </c>
      <c r="G62" s="49">
        <f>E62&amp;" - "&amp;F62</f>
        <v/>
      </c>
      <c r="H62" s="36" t="inlineStr">
        <is>
          <t>RAS</t>
        </is>
      </c>
      <c r="I62" s="45" t="inlineStr"/>
      <c r="J62" s="45" t="inlineStr">
        <is>
          <t>RNCP36916</t>
        </is>
      </c>
      <c r="K62" s="45" t="inlineStr">
        <is>
          <t>Responsable management durable qualité sécurité environnement</t>
        </is>
      </c>
      <c r="L62" s="45" t="inlineStr">
        <is>
          <t>29/09/2027</t>
        </is>
      </c>
      <c r="M62" s="45" t="inlineStr">
        <is>
          <t>31407 (Qualité hygiène sécurité environnement) ; 12554 (Environnement aménagement) ; 42866 (Santé sécurité travail)</t>
        </is>
      </c>
      <c r="N62" s="50" t="inlineStr">
        <is>
          <t>NON</t>
        </is>
      </c>
      <c r="O62" s="45" t="inlineStr"/>
    </row>
    <row r="63" customFormat="1" s="3">
      <c r="A63" s="45" t="n"/>
      <c r="B63" s="46" t="inlineStr">
        <is>
          <t>12522</t>
        </is>
      </c>
      <c r="C63" s="46">
        <f>LEFT(Tableau1[[#This Row],[Formacode]],3)</f>
        <v/>
      </c>
      <c r="D63" s="47" t="n">
        <v>39570</v>
      </c>
      <c r="E63" s="48">
        <f>"RNCP"&amp;D63</f>
        <v/>
      </c>
      <c r="F63" s="48" t="inlineStr">
        <is>
          <t>DIPLOVIS - Coordinateur de projets de développement international et sociétal</t>
        </is>
      </c>
      <c r="G63" s="49">
        <f>E63&amp;" - "&amp;F63</f>
        <v/>
      </c>
      <c r="H63" s="36" t="inlineStr">
        <is>
          <t>RAS</t>
        </is>
      </c>
      <c r="I63" s="45" t="inlineStr"/>
      <c r="J63" s="45" t="inlineStr">
        <is>
          <t>RNCP39570</t>
        </is>
      </c>
      <c r="K63" s="45" t="inlineStr">
        <is>
          <t>Coordinateur de projets de développement international et sociétal</t>
        </is>
      </c>
      <c r="L63" s="45" t="inlineStr">
        <is>
          <t>31/08/2027</t>
        </is>
      </c>
      <c r="M63" s="45" t="inlineStr">
        <is>
          <t>13017 (Action humanitaire) ; 13175 (Économie sociale) ; 12522 (Développement durable) ; 32094 (Gestion PME PMI) ; 32006 (Gestion entreprise internationale)</t>
        </is>
      </c>
      <c r="N63" s="50" t="inlineStr">
        <is>
          <t>NON</t>
        </is>
      </c>
      <c r="O63" s="45" t="inlineStr"/>
    </row>
    <row r="64" customFormat="1" s="3">
      <c r="A64" s="45" t="n"/>
      <c r="B64" s="46" t="inlineStr">
        <is>
          <t>12522</t>
        </is>
      </c>
      <c r="C64" s="46">
        <f>LEFT(Tableau1[[#This Row],[Formacode]],3)</f>
        <v/>
      </c>
      <c r="D64" s="47" t="n">
        <v>39588</v>
      </c>
      <c r="E64" s="48">
        <f>"RNCP"&amp;D64</f>
        <v/>
      </c>
      <c r="F64" s="48" t="inlineStr">
        <is>
          <t>Manager santé, sécurité et environnement</t>
        </is>
      </c>
      <c r="G64" s="49">
        <f>E64&amp;" - "&amp;F64</f>
        <v/>
      </c>
      <c r="H64" s="36" t="inlineStr">
        <is>
          <t>RAS</t>
        </is>
      </c>
      <c r="I64" s="45" t="inlineStr"/>
      <c r="J64" s="45" t="inlineStr">
        <is>
          <t>RNCP39588</t>
        </is>
      </c>
      <c r="K64" s="45" t="inlineStr">
        <is>
          <t>Manager santé, sécurité et environnement</t>
        </is>
      </c>
      <c r="L64" s="45" t="inlineStr">
        <is>
          <t>01/10/2027</t>
        </is>
      </c>
      <c r="M64" s="45" t="inlineStr">
        <is>
          <t>42866 (Santé sécurité travail) ; 12554 (Environnement aménagement)</t>
        </is>
      </c>
      <c r="N64" s="50" t="inlineStr">
        <is>
          <t>NON</t>
        </is>
      </c>
      <c r="O64" s="45" t="inlineStr"/>
    </row>
    <row r="65" customFormat="1" s="3">
      <c r="A65" s="45" t="n"/>
      <c r="B65" s="46" t="inlineStr">
        <is>
          <t>12522</t>
        </is>
      </c>
      <c r="C65" s="46">
        <f>LEFT(Tableau1[[#This Row],[Formacode]],3)</f>
        <v/>
      </c>
      <c r="D65" s="47" t="n">
        <v>39684</v>
      </c>
      <c r="E65" s="48">
        <f>"RNCP"&amp;D65</f>
        <v/>
      </c>
      <c r="F65" s="48" t="inlineStr">
        <is>
          <t>BTSA - Développement et animation de projets territoriaux</t>
        </is>
      </c>
      <c r="G65" s="49">
        <f>E65&amp;" - "&amp;F65</f>
        <v/>
      </c>
      <c r="H65" s="36" t="inlineStr">
        <is>
          <t>RAS</t>
        </is>
      </c>
      <c r="I65" s="45" t="inlineStr"/>
      <c r="J65" s="45" t="inlineStr">
        <is>
          <t>RNCP39684</t>
        </is>
      </c>
      <c r="K65" s="45" t="inlineStr">
        <is>
          <t>Développement et animation de projets territoriaux</t>
        </is>
      </c>
      <c r="L65" s="45" t="inlineStr">
        <is>
          <t>31/08/2030</t>
        </is>
      </c>
      <c r="M65" s="45" t="inlineStr">
        <is>
          <t>12514 (Développement rural) ; 12522 (Développement durable) ; 13016 (Aide développement)</t>
        </is>
      </c>
      <c r="N65" s="50" t="inlineStr">
        <is>
          <t>NON</t>
        </is>
      </c>
      <c r="O65" s="45" t="inlineStr"/>
    </row>
    <row r="66" customFormat="1" s="3">
      <c r="A66" s="45" t="n"/>
      <c r="B66" s="46" t="inlineStr">
        <is>
          <t>12522</t>
        </is>
      </c>
      <c r="C66" s="46">
        <f>LEFT(Tableau1[[#This Row],[Formacode]],3)</f>
        <v/>
      </c>
      <c r="D66" s="47" t="n">
        <v>40155</v>
      </c>
      <c r="E66" s="48">
        <f>"RNCP"&amp;D66</f>
        <v/>
      </c>
      <c r="F66" s="48" t="inlineStr">
        <is>
          <t>Manager en ingénierie et droit de l'environnement</t>
        </is>
      </c>
      <c r="G66" s="49">
        <f>E66&amp;" - "&amp;F66</f>
        <v/>
      </c>
      <c r="H66" s="36" t="inlineStr">
        <is>
          <t>RAS</t>
        </is>
      </c>
      <c r="I66" s="45" t="inlineStr"/>
      <c r="J66" s="45" t="inlineStr">
        <is>
          <t>RNCP40155</t>
        </is>
      </c>
      <c r="K66" s="45" t="inlineStr">
        <is>
          <t>Manager en ingénierie et droit de l'environnement</t>
        </is>
      </c>
      <c r="L66" s="45" t="inlineStr">
        <is>
          <t>31/01/2028</t>
        </is>
      </c>
      <c r="M66" s="45" t="inlineStr">
        <is>
          <t>12585 (Conseil environnement) ; 12522 (Développement durable) ; 12587 (Management environnemental) ; 31407 (Qualité hygiène sécurité environnement) ; 32008 (Responsabilité sociétale entreprise)</t>
        </is>
      </c>
      <c r="N66" s="50" t="inlineStr">
        <is>
          <t>NON</t>
        </is>
      </c>
      <c r="O66" s="45" t="inlineStr"/>
    </row>
    <row r="67" customFormat="1" s="3">
      <c r="A67" s="45" t="n"/>
      <c r="B67" s="46" t="inlineStr">
        <is>
          <t>12522</t>
        </is>
      </c>
      <c r="C67" s="46">
        <f>LEFT(Tableau1[[#This Row],[Formacode]],3)</f>
        <v/>
      </c>
      <c r="D67" s="47" t="n">
        <v>40659</v>
      </c>
      <c r="E67" s="48">
        <f>"RNCP"&amp;D67</f>
        <v/>
      </c>
      <c r="F67" s="48" t="inlineStr">
        <is>
          <t>Manager green IT</t>
        </is>
      </c>
      <c r="G67" s="49">
        <f>E67&amp;" - "&amp;F67</f>
        <v/>
      </c>
      <c r="H67" s="36" t="inlineStr">
        <is>
          <t>RAS</t>
        </is>
      </c>
      <c r="I67" s="45" t="inlineStr"/>
      <c r="J67" s="45" t="inlineStr">
        <is>
          <t>RNCP40659</t>
        </is>
      </c>
      <c r="K67" s="45" t="inlineStr">
        <is>
          <t>Manager green IT</t>
        </is>
      </c>
      <c r="L67" s="45" t="inlineStr">
        <is>
          <t>23/05/2028</t>
        </is>
      </c>
      <c r="M67" s="45" t="inlineStr">
        <is>
          <t>12545 (Bilan carbone) ; 12522 (Développement durable) ; 31002 (Informatique verte) ; 31008 (Système information) ; 32008 (Responsabilité sociétale entreprise)</t>
        </is>
      </c>
      <c r="N67" s="50" t="inlineStr">
        <is>
          <t>NON</t>
        </is>
      </c>
      <c r="O67" s="45" t="inlineStr"/>
    </row>
    <row r="68" customFormat="1" s="3">
      <c r="A68" s="45" t="n"/>
      <c r="B68" s="46" t="inlineStr">
        <is>
          <t>12522</t>
        </is>
      </c>
      <c r="C68" s="46">
        <f>LEFT(Tableau1[[#This Row],[Formacode]],3)</f>
        <v/>
      </c>
      <c r="D68" s="47" t="n">
        <v>40889</v>
      </c>
      <c r="E68" s="48">
        <f>"RNCP"&amp;D68</f>
        <v/>
      </c>
      <c r="F68" s="48" t="inlineStr">
        <is>
          <t>Responsable du développement des activités</t>
        </is>
      </c>
      <c r="G68" s="49">
        <f>E68&amp;" - "&amp;F68</f>
        <v/>
      </c>
      <c r="H68" s="36" t="inlineStr">
        <is>
          <t>RAS</t>
        </is>
      </c>
      <c r="I68" s="45" t="inlineStr"/>
      <c r="J68" s="45" t="inlineStr">
        <is>
          <t>RNCP40889</t>
        </is>
      </c>
      <c r="K68" s="45" t="inlineStr">
        <is>
          <t>Responsable du développement des activités</t>
        </is>
      </c>
      <c r="L68" s="45" t="inlineStr">
        <is>
          <t>25/06/2027</t>
        </is>
      </c>
      <c r="M68" s="45" t="inlineStr">
        <is>
          <t>34573 (Action commerciale) ; 34072 (Marketing direct) ; 34031 (Marketing mix) ; 34026 (Développement sens commercial) ; 12522 (Développement durable)</t>
        </is>
      </c>
      <c r="N68" s="50" t="inlineStr">
        <is>
          <t>NON</t>
        </is>
      </c>
      <c r="O68" s="45" t="inlineStr"/>
    </row>
    <row r="69" customFormat="1" s="3">
      <c r="A69" s="45" t="n"/>
      <c r="B69" s="46" t="inlineStr">
        <is>
          <t>12522</t>
        </is>
      </c>
      <c r="C69" s="46">
        <f>LEFT(Tableau1[[#This Row],[Formacode]],3)</f>
        <v/>
      </c>
      <c r="D69" s="47" t="n">
        <v>41102</v>
      </c>
      <c r="E69" s="48">
        <f>"RNCP"&amp;D69</f>
        <v/>
      </c>
      <c r="F69" s="48" t="inlineStr">
        <is>
          <t>Expert en stratégie d'innovation durable par le design (MS)</t>
        </is>
      </c>
      <c r="G69" s="49">
        <f>E69&amp;" - "&amp;F69</f>
        <v/>
      </c>
      <c r="H69" s="36" t="inlineStr">
        <is>
          <t>RAS</t>
        </is>
      </c>
      <c r="I69" s="45" t="inlineStr"/>
      <c r="J69" s="45" t="inlineStr">
        <is>
          <t>RNCP41102</t>
        </is>
      </c>
      <c r="K69" s="45" t="inlineStr">
        <is>
          <t>Expert en stratégie d'innovation durable par le design (MS)</t>
        </is>
      </c>
      <c r="L69" s="45" t="inlineStr">
        <is>
          <t>18/07/2030</t>
        </is>
      </c>
      <c r="M69" s="45" t="inlineStr">
        <is>
          <t>32135 (Conduite projet) ; 32070 (Innovation entreprise) ; 32025 (Stratégie entreprise) ; 12522 (Développement durable)</t>
        </is>
      </c>
      <c r="N69" s="50" t="inlineStr">
        <is>
          <t>NON</t>
        </is>
      </c>
      <c r="O69" s="45" t="inlineStr"/>
    </row>
    <row r="70" customFormat="1" s="3">
      <c r="A70" s="45" t="n"/>
      <c r="B70" s="46" t="inlineStr">
        <is>
          <t>12522</t>
        </is>
      </c>
      <c r="C70" s="46">
        <f>LEFT(Tableau1[[#This Row],[Formacode]],3)</f>
        <v/>
      </c>
      <c r="D70" s="47" t="n">
        <v>41300</v>
      </c>
      <c r="E70" s="48">
        <f>"RNCP"&amp;D70</f>
        <v/>
      </c>
      <c r="F70" s="48" t="inlineStr">
        <is>
          <t>Créateur de produits technologiques et durables (MS)</t>
        </is>
      </c>
      <c r="G70" s="49">
        <f>E70&amp;" - "&amp;F70</f>
        <v/>
      </c>
      <c r="H70" s="36" t="inlineStr">
        <is>
          <t>RAS</t>
        </is>
      </c>
      <c r="I70" s="45" t="inlineStr"/>
      <c r="J70" s="45" t="inlineStr">
        <is>
          <t>RNCP41300</t>
        </is>
      </c>
      <c r="K70" s="45" t="inlineStr">
        <is>
          <t>Créateur de produits technologiques et durables (MS)</t>
        </is>
      </c>
      <c r="L70" s="45" t="inlineStr">
        <is>
          <t>24/09/2030</t>
        </is>
      </c>
      <c r="M70" s="45" t="inlineStr">
        <is>
          <t>12522 (Développement durable) ; 45027 (Art appliqué) ; 31684 (CAO) ; 31028 (Intelligence artificielle) ; 31606 (Conduite projet industriel)</t>
        </is>
      </c>
      <c r="N70" s="50" t="inlineStr">
        <is>
          <t>NON</t>
        </is>
      </c>
      <c r="O70" s="45" t="inlineStr"/>
    </row>
    <row r="71" customFormat="1" s="3">
      <c r="A71" s="63" t="n"/>
      <c r="B71" s="64" t="inlineStr">
        <is>
          <t>12526</t>
        </is>
      </c>
      <c r="C71" s="64">
        <f>LEFT(Tableau1[[#This Row],[Formacode]],3)</f>
        <v/>
      </c>
      <c r="D71" s="65" t="n">
        <v>35590</v>
      </c>
      <c r="E71" s="66">
        <f>"RNCP"&amp;D71</f>
        <v/>
      </c>
      <c r="F71" s="66" t="inlineStr">
        <is>
          <t>Manager de l'habitat social et durable</t>
        </is>
      </c>
      <c r="G71" s="67">
        <f>E71&amp;" - "&amp;F71</f>
        <v/>
      </c>
      <c r="H71" s="38" t="inlineStr">
        <is>
          <t>Expiré / remplacé</t>
        </is>
      </c>
      <c r="I71" s="63" t="inlineStr">
        <is>
          <t>Fiche inactive — remplacée par RNCP42170 (Manager de projet immobilier durable)</t>
        </is>
      </c>
      <c r="J71" s="63" t="inlineStr">
        <is>
          <t>RNCP42170</t>
        </is>
      </c>
      <c r="K71" s="63" t="inlineStr">
        <is>
          <t>Manager de projet immobilier durable</t>
        </is>
      </c>
      <c r="L71" s="63" t="inlineStr">
        <is>
          <t>19/05/2026</t>
        </is>
      </c>
      <c r="M71" s="63" t="inlineStr">
        <is>
          <t>42154 (Immobilier) ; 22250 (Éco-construction) ; 32145 (Management transversal) ; 12554 (Environnement aménagement)</t>
        </is>
      </c>
      <c r="N71" s="68" t="inlineStr">
        <is>
          <t>NON</t>
        </is>
      </c>
      <c r="O71" s="63" t="inlineStr"/>
    </row>
    <row r="72" customFormat="1" s="3">
      <c r="A72" s="51" t="n"/>
      <c r="B72" s="52" t="inlineStr">
        <is>
          <t>12526</t>
        </is>
      </c>
      <c r="C72" s="52">
        <f>LEFT(Tableau1[[#This Row],[Formacode]],3)</f>
        <v/>
      </c>
      <c r="D72" s="53" t="n">
        <v>35934</v>
      </c>
      <c r="E72" s="54">
        <f>"RNCP"&amp;D72</f>
        <v/>
      </c>
      <c r="F72" s="54" t="inlineStr">
        <is>
          <t>TP - Ouvrier du génie écologique</t>
        </is>
      </c>
      <c r="G72" s="55">
        <f>E72&amp;" - "&amp;F72</f>
        <v/>
      </c>
      <c r="H72" s="37" t="inlineStr">
        <is>
          <t>À vérifier</t>
        </is>
      </c>
      <c r="I72" s="51" t="inlineStr">
        <is>
          <t>Échéance le 01/09/2026 (dans 45 j)</t>
        </is>
      </c>
      <c r="J72" s="51" t="inlineStr">
        <is>
          <t>RNCP35934</t>
        </is>
      </c>
      <c r="K72" s="51" t="inlineStr">
        <is>
          <t>Ouvrier du génie écologique</t>
        </is>
      </c>
      <c r="L72" s="51" t="inlineStr">
        <is>
          <t>01/09/2026</t>
        </is>
      </c>
      <c r="M72" s="51" t="inlineStr">
        <is>
          <t>12510 (Aménagement gestion rivière) ; 12549 (Conservation littoral) ; 12526 (Réhabilitation écologique)</t>
        </is>
      </c>
      <c r="N72" s="62" t="inlineStr">
        <is>
          <t>NON</t>
        </is>
      </c>
      <c r="O72" s="51" t="inlineStr"/>
    </row>
    <row r="73" customFormat="1" s="3">
      <c r="A73" s="45" t="n"/>
      <c r="B73" s="46" t="inlineStr">
        <is>
          <t>12526</t>
        </is>
      </c>
      <c r="C73" s="46">
        <f>LEFT(Tableau1[[#This Row],[Formacode]],3)</f>
        <v/>
      </c>
      <c r="D73" s="47" t="n">
        <v>36916</v>
      </c>
      <c r="E73" s="48">
        <f>"RNCP"&amp;D73</f>
        <v/>
      </c>
      <c r="F73" s="48" t="inlineStr">
        <is>
          <t>Responsable management durable qualité sécurité environnement</t>
        </is>
      </c>
      <c r="G73" s="49">
        <f>E73&amp;" - "&amp;F73</f>
        <v/>
      </c>
      <c r="H73" s="36" t="inlineStr">
        <is>
          <t>RAS</t>
        </is>
      </c>
      <c r="I73" s="45" t="inlineStr"/>
      <c r="J73" s="45" t="inlineStr">
        <is>
          <t>RNCP36916</t>
        </is>
      </c>
      <c r="K73" s="45" t="inlineStr">
        <is>
          <t>Responsable management durable qualité sécurité environnement</t>
        </is>
      </c>
      <c r="L73" s="45" t="inlineStr">
        <is>
          <t>29/09/2027</t>
        </is>
      </c>
      <c r="M73" s="45" t="inlineStr">
        <is>
          <t>31407 (Qualité hygiène sécurité environnement) ; 12554 (Environnement aménagement) ; 42866 (Santé sécurité travail)</t>
        </is>
      </c>
      <c r="N73" s="50" t="inlineStr">
        <is>
          <t>NON</t>
        </is>
      </c>
      <c r="O73" s="45" t="inlineStr"/>
    </row>
    <row r="74" customFormat="1" s="3">
      <c r="A74" s="45" t="n"/>
      <c r="B74" s="46" t="inlineStr">
        <is>
          <t>12526</t>
        </is>
      </c>
      <c r="C74" s="46">
        <f>LEFT(Tableau1[[#This Row],[Formacode]],3)</f>
        <v/>
      </c>
      <c r="D74" s="47" t="n">
        <v>39588</v>
      </c>
      <c r="E74" s="48">
        <f>"RNCP"&amp;D74</f>
        <v/>
      </c>
      <c r="F74" s="48" t="inlineStr">
        <is>
          <t>Manager santé, sécurité et environnement</t>
        </is>
      </c>
      <c r="G74" s="49">
        <f>E74&amp;" - "&amp;F74</f>
        <v/>
      </c>
      <c r="H74" s="36" t="inlineStr">
        <is>
          <t>RAS</t>
        </is>
      </c>
      <c r="I74" s="45" t="inlineStr"/>
      <c r="J74" s="45" t="inlineStr">
        <is>
          <t>RNCP39588</t>
        </is>
      </c>
      <c r="K74" s="45" t="inlineStr">
        <is>
          <t>Manager santé, sécurité et environnement</t>
        </is>
      </c>
      <c r="L74" s="45" t="inlineStr">
        <is>
          <t>01/10/2027</t>
        </is>
      </c>
      <c r="M74" s="45" t="inlineStr">
        <is>
          <t>42866 (Santé sécurité travail) ; 12554 (Environnement aménagement)</t>
        </is>
      </c>
      <c r="N74" s="50" t="inlineStr">
        <is>
          <t>NON</t>
        </is>
      </c>
      <c r="O74" s="45" t="inlineStr"/>
    </row>
    <row r="75" customFormat="1" s="3">
      <c r="A75" s="63" t="n"/>
      <c r="B75" s="64" t="inlineStr">
        <is>
          <t>12531</t>
        </is>
      </c>
      <c r="C75" s="64">
        <f>LEFT(Tableau1[[#This Row],[Formacode]],3)</f>
        <v/>
      </c>
      <c r="D75" s="65" t="n">
        <v>35590</v>
      </c>
      <c r="E75" s="66">
        <f>"RNCP"&amp;D75</f>
        <v/>
      </c>
      <c r="F75" s="66" t="inlineStr">
        <is>
          <t>Manager de l'habitat social et durable</t>
        </is>
      </c>
      <c r="G75" s="67">
        <f>E75&amp;" - "&amp;F75</f>
        <v/>
      </c>
      <c r="H75" s="38" t="inlineStr">
        <is>
          <t>Expiré / remplacé</t>
        </is>
      </c>
      <c r="I75" s="63" t="inlineStr">
        <is>
          <t>Fiche inactive — remplacée par RNCP42170 (Manager de projet immobilier durable)</t>
        </is>
      </c>
      <c r="J75" s="63" t="inlineStr">
        <is>
          <t>RNCP42170</t>
        </is>
      </c>
      <c r="K75" s="63" t="inlineStr">
        <is>
          <t>Manager de projet immobilier durable</t>
        </is>
      </c>
      <c r="L75" s="63" t="inlineStr">
        <is>
          <t>19/05/2026</t>
        </is>
      </c>
      <c r="M75" s="63" t="inlineStr">
        <is>
          <t>42154 (Immobilier) ; 22250 (Éco-construction) ; 32145 (Management transversal) ; 12554 (Environnement aménagement)</t>
        </is>
      </c>
      <c r="N75" s="68" t="inlineStr">
        <is>
          <t>NON</t>
        </is>
      </c>
      <c r="O75" s="63" t="inlineStr"/>
    </row>
    <row r="76" customFormat="1" s="3">
      <c r="A76" s="45" t="n"/>
      <c r="B76" s="46" t="inlineStr">
        <is>
          <t>12531</t>
        </is>
      </c>
      <c r="C76" s="46">
        <f>LEFT(Tableau1[[#This Row],[Formacode]],3)</f>
        <v/>
      </c>
      <c r="D76" s="47" t="n">
        <v>36916</v>
      </c>
      <c r="E76" s="48">
        <f>"RNCP"&amp;D76</f>
        <v/>
      </c>
      <c r="F76" s="48" t="inlineStr">
        <is>
          <t>Responsable management durable qualité sécurité environnement</t>
        </is>
      </c>
      <c r="G76" s="49">
        <f>E76&amp;" - "&amp;F76</f>
        <v/>
      </c>
      <c r="H76" s="36" t="inlineStr">
        <is>
          <t>RAS</t>
        </is>
      </c>
      <c r="I76" s="45" t="inlineStr"/>
      <c r="J76" s="45" t="inlineStr">
        <is>
          <t>RNCP36916</t>
        </is>
      </c>
      <c r="K76" s="45" t="inlineStr">
        <is>
          <t>Responsable management durable qualité sécurité environnement</t>
        </is>
      </c>
      <c r="L76" s="45" t="inlineStr">
        <is>
          <t>29/09/2027</t>
        </is>
      </c>
      <c r="M76" s="45" t="inlineStr">
        <is>
          <t>31407 (Qualité hygiène sécurité environnement) ; 12554 (Environnement aménagement) ; 42866 (Santé sécurité travail)</t>
        </is>
      </c>
      <c r="N76" s="50" t="inlineStr">
        <is>
          <t>NON</t>
        </is>
      </c>
      <c r="O76" s="45" t="inlineStr"/>
    </row>
    <row r="77" customFormat="1" s="3">
      <c r="A77" s="45" t="n"/>
      <c r="B77" s="46" t="inlineStr">
        <is>
          <t>12531</t>
        </is>
      </c>
      <c r="C77" s="46">
        <f>LEFT(Tableau1[[#This Row],[Formacode]],3)</f>
        <v/>
      </c>
      <c r="D77" s="47" t="n">
        <v>39588</v>
      </c>
      <c r="E77" s="48">
        <f>"RNCP"&amp;D77</f>
        <v/>
      </c>
      <c r="F77" s="48" t="inlineStr">
        <is>
          <t>Manager santé, sécurité et environnement</t>
        </is>
      </c>
      <c r="G77" s="49">
        <f>E77&amp;" - "&amp;F77</f>
        <v/>
      </c>
      <c r="H77" s="36" t="inlineStr">
        <is>
          <t>RAS</t>
        </is>
      </c>
      <c r="I77" s="45" t="inlineStr"/>
      <c r="J77" s="45" t="inlineStr">
        <is>
          <t>RNCP39588</t>
        </is>
      </c>
      <c r="K77" s="45" t="inlineStr">
        <is>
          <t>Manager santé, sécurité et environnement</t>
        </is>
      </c>
      <c r="L77" s="45" t="inlineStr">
        <is>
          <t>01/10/2027</t>
        </is>
      </c>
      <c r="M77" s="45" t="inlineStr">
        <is>
          <t>42866 (Santé sécurité travail) ; 12554 (Environnement aménagement)</t>
        </is>
      </c>
      <c r="N77" s="50" t="inlineStr">
        <is>
          <t>NON</t>
        </is>
      </c>
      <c r="O77" s="45" t="inlineStr"/>
    </row>
    <row r="78" customFormat="1" s="3">
      <c r="A78" s="45" t="n"/>
      <c r="B78" s="46" t="inlineStr">
        <is>
          <t>12531</t>
        </is>
      </c>
      <c r="C78" s="46">
        <f>LEFT(Tableau1[[#This Row],[Formacode]],3)</f>
        <v/>
      </c>
      <c r="D78" s="47" t="n">
        <v>40659</v>
      </c>
      <c r="E78" s="48">
        <f>"RNCP"&amp;D78</f>
        <v/>
      </c>
      <c r="F78" s="48" t="inlineStr">
        <is>
          <t>Manager green IT</t>
        </is>
      </c>
      <c r="G78" s="49">
        <f>E78&amp;" - "&amp;F78</f>
        <v/>
      </c>
      <c r="H78" s="36" t="inlineStr">
        <is>
          <t>RAS</t>
        </is>
      </c>
      <c r="I78" s="45" t="inlineStr"/>
      <c r="J78" s="45" t="inlineStr">
        <is>
          <t>RNCP40659</t>
        </is>
      </c>
      <c r="K78" s="45" t="inlineStr">
        <is>
          <t>Manager green IT</t>
        </is>
      </c>
      <c r="L78" s="45" t="inlineStr">
        <is>
          <t>23/05/2028</t>
        </is>
      </c>
      <c r="M78" s="45" t="inlineStr">
        <is>
          <t>12545 (Bilan carbone) ; 12522 (Développement durable) ; 31002 (Informatique verte) ; 31008 (Système information) ; 32008 (Responsabilité sociétale entreprise)</t>
        </is>
      </c>
      <c r="N78" s="50" t="inlineStr">
        <is>
          <t>NON</t>
        </is>
      </c>
      <c r="O78" s="45" t="inlineStr"/>
    </row>
    <row r="79" customFormat="1" s="3">
      <c r="A79" s="63" t="n"/>
      <c r="B79" s="64" t="inlineStr">
        <is>
          <t>12532</t>
        </is>
      </c>
      <c r="C79" s="64">
        <f>LEFT(Tableau1[[#This Row],[Formacode]],3)</f>
        <v/>
      </c>
      <c r="D79" s="65" t="n">
        <v>35590</v>
      </c>
      <c r="E79" s="66">
        <f>"RNCP"&amp;D79</f>
        <v/>
      </c>
      <c r="F79" s="66" t="inlineStr">
        <is>
          <t>Manager de l'habitat social et durable</t>
        </is>
      </c>
      <c r="G79" s="67">
        <f>E79&amp;" - "&amp;F79</f>
        <v/>
      </c>
      <c r="H79" s="38" t="inlineStr">
        <is>
          <t>Expiré / remplacé</t>
        </is>
      </c>
      <c r="I79" s="63" t="inlineStr">
        <is>
          <t>Fiche inactive — remplacée par RNCP42170 (Manager de projet immobilier durable)</t>
        </is>
      </c>
      <c r="J79" s="63" t="inlineStr">
        <is>
          <t>RNCP42170</t>
        </is>
      </c>
      <c r="K79" s="63" t="inlineStr">
        <is>
          <t>Manager de projet immobilier durable</t>
        </is>
      </c>
      <c r="L79" s="63" t="inlineStr">
        <is>
          <t>19/05/2026</t>
        </is>
      </c>
      <c r="M79" s="63" t="inlineStr">
        <is>
          <t>42154 (Immobilier) ; 22250 (Éco-construction) ; 32145 (Management transversal) ; 12554 (Environnement aménagement)</t>
        </is>
      </c>
      <c r="N79" s="68" t="inlineStr">
        <is>
          <t>NON</t>
        </is>
      </c>
      <c r="O79" s="63" t="inlineStr"/>
    </row>
    <row r="80" customFormat="1" s="3">
      <c r="A80" s="51" t="n"/>
      <c r="B80" s="52" t="inlineStr">
        <is>
          <t>12532</t>
        </is>
      </c>
      <c r="C80" s="52">
        <f>LEFT(Tableau1[[#This Row],[Formacode]],3)</f>
        <v/>
      </c>
      <c r="D80" s="53" t="n">
        <v>35934</v>
      </c>
      <c r="E80" s="54">
        <f>"RNCP"&amp;D80</f>
        <v/>
      </c>
      <c r="F80" s="54" t="inlineStr">
        <is>
          <t>TP - Ouvrier du génie écologique</t>
        </is>
      </c>
      <c r="G80" s="55">
        <f>E80&amp;" - "&amp;F80</f>
        <v/>
      </c>
      <c r="H80" s="37" t="inlineStr">
        <is>
          <t>À vérifier</t>
        </is>
      </c>
      <c r="I80" s="51" t="inlineStr">
        <is>
          <t>Échéance le 01/09/2026 (dans 45 j)</t>
        </is>
      </c>
      <c r="J80" s="51" t="inlineStr">
        <is>
          <t>RNCP35934</t>
        </is>
      </c>
      <c r="K80" s="51" t="inlineStr">
        <is>
          <t>Ouvrier du génie écologique</t>
        </is>
      </c>
      <c r="L80" s="51" t="inlineStr">
        <is>
          <t>01/09/2026</t>
        </is>
      </c>
      <c r="M80" s="51" t="inlineStr">
        <is>
          <t>12510 (Aménagement gestion rivière) ; 12549 (Conservation littoral) ; 12526 (Réhabilitation écologique)</t>
        </is>
      </c>
      <c r="N80" s="62" t="inlineStr">
        <is>
          <t>NON</t>
        </is>
      </c>
      <c r="O80" s="51" t="inlineStr"/>
    </row>
    <row r="81" customFormat="1" s="3">
      <c r="A81" s="45" t="n"/>
      <c r="B81" s="46" t="inlineStr">
        <is>
          <t>12532</t>
        </is>
      </c>
      <c r="C81" s="46">
        <f>LEFT(Tableau1[[#This Row],[Formacode]],3)</f>
        <v/>
      </c>
      <c r="D81" s="47" t="n">
        <v>36795</v>
      </c>
      <c r="E81" s="48">
        <f>"RNCP"&amp;D81</f>
        <v/>
      </c>
      <c r="F81" s="48" t="inlineStr">
        <is>
          <t>CS - Travaux mécanisés de génie écologique</t>
        </is>
      </c>
      <c r="G81" s="49">
        <f>E81&amp;" - "&amp;F81</f>
        <v/>
      </c>
      <c r="H81" s="36" t="inlineStr">
        <is>
          <t>RAS</t>
        </is>
      </c>
      <c r="I81" s="45" t="inlineStr"/>
      <c r="J81" s="45" t="inlineStr">
        <is>
          <t>RNCP36795</t>
        </is>
      </c>
      <c r="K81" s="45" t="inlineStr">
        <is>
          <t>Travaux mécanisés de génie écologique</t>
        </is>
      </c>
      <c r="L81" s="45" t="inlineStr">
        <is>
          <t>19/05/2027</t>
        </is>
      </c>
      <c r="M81" s="45" t="inlineStr">
        <is>
          <t>12510 (Aménagement gestion rivière) ; 12549 (Conservation littoral) ; 12558 (Protection forêt)</t>
        </is>
      </c>
      <c r="N81" s="50" t="inlineStr">
        <is>
          <t>NON</t>
        </is>
      </c>
      <c r="O81" s="45" t="inlineStr"/>
    </row>
    <row r="82" customFormat="1" s="3">
      <c r="A82" s="45" t="n"/>
      <c r="B82" s="46" t="inlineStr">
        <is>
          <t>12532</t>
        </is>
      </c>
      <c r="C82" s="46">
        <f>LEFT(Tableau1[[#This Row],[Formacode]],3)</f>
        <v/>
      </c>
      <c r="D82" s="47" t="n">
        <v>36916</v>
      </c>
      <c r="E82" s="48">
        <f>"RNCP"&amp;D82</f>
        <v/>
      </c>
      <c r="F82" s="48" t="inlineStr">
        <is>
          <t>Responsable management durable qualité sécurité environnement</t>
        </is>
      </c>
      <c r="G82" s="49">
        <f>E82&amp;" - "&amp;F82</f>
        <v/>
      </c>
      <c r="H82" s="36" t="inlineStr">
        <is>
          <t>RAS</t>
        </is>
      </c>
      <c r="I82" s="45" t="inlineStr"/>
      <c r="J82" s="45" t="inlineStr">
        <is>
          <t>RNCP36916</t>
        </is>
      </c>
      <c r="K82" s="45" t="inlineStr">
        <is>
          <t>Responsable management durable qualité sécurité environnement</t>
        </is>
      </c>
      <c r="L82" s="45" t="inlineStr">
        <is>
          <t>29/09/2027</t>
        </is>
      </c>
      <c r="M82" s="45" t="inlineStr">
        <is>
          <t>31407 (Qualité hygiène sécurité environnement) ; 12554 (Environnement aménagement) ; 42866 (Santé sécurité travail)</t>
        </is>
      </c>
      <c r="N82" s="50" t="inlineStr">
        <is>
          <t>NON</t>
        </is>
      </c>
      <c r="O82" s="45" t="inlineStr"/>
    </row>
    <row r="83" customFormat="1" s="3">
      <c r="A83" s="45" t="n"/>
      <c r="B83" s="46" t="inlineStr">
        <is>
          <t>12532</t>
        </is>
      </c>
      <c r="C83" s="46">
        <f>LEFT(Tableau1[[#This Row],[Formacode]],3)</f>
        <v/>
      </c>
      <c r="D83" s="47" t="n">
        <v>37964</v>
      </c>
      <c r="E83" s="48">
        <f>"RNCP"&amp;D83</f>
        <v/>
      </c>
      <c r="F83" s="48" t="inlineStr">
        <is>
          <t>BTS - Métiers de l'eau</t>
        </is>
      </c>
      <c r="G83" s="49">
        <f>E83&amp;" - "&amp;F83</f>
        <v/>
      </c>
      <c r="H83" s="36" t="inlineStr">
        <is>
          <t>RAS</t>
        </is>
      </c>
      <c r="I83" s="45" t="inlineStr"/>
      <c r="J83" s="45" t="inlineStr">
        <is>
          <t>RNCP37964</t>
        </is>
      </c>
      <c r="K83" s="45" t="inlineStr">
        <is>
          <t>Métiers de l'eau</t>
        </is>
      </c>
      <c r="L83" s="45" t="inlineStr">
        <is>
          <t>31/08/2028</t>
        </is>
      </c>
      <c r="M83" s="45" t="inlineStr">
        <is>
          <t>12520 (Traitement eau)</t>
        </is>
      </c>
      <c r="N83" s="50" t="inlineStr">
        <is>
          <t>NON</t>
        </is>
      </c>
      <c r="O83" s="45" t="inlineStr"/>
    </row>
    <row r="84" customFormat="1" s="3">
      <c r="A84" s="45" t="n"/>
      <c r="B84" s="46" t="inlineStr">
        <is>
          <t>12532</t>
        </is>
      </c>
      <c r="C84" s="46">
        <f>LEFT(Tableau1[[#This Row],[Formacode]],3)</f>
        <v/>
      </c>
      <c r="D84" s="47" t="n">
        <v>38078</v>
      </c>
      <c r="E84" s="48">
        <f>"RNCP"&amp;D84</f>
        <v/>
      </c>
      <c r="F84" s="48" t="inlineStr">
        <is>
          <t>TP - Canalisateur</t>
        </is>
      </c>
      <c r="G84" s="49">
        <f>E84&amp;" - "&amp;F84</f>
        <v/>
      </c>
      <c r="H84" s="36" t="inlineStr">
        <is>
          <t>RAS</t>
        </is>
      </c>
      <c r="I84" s="45" t="inlineStr"/>
      <c r="J84" s="45" t="inlineStr">
        <is>
          <t>RNCP38078</t>
        </is>
      </c>
      <c r="K84" s="45" t="inlineStr">
        <is>
          <t>Canalisateur</t>
        </is>
      </c>
      <c r="L84" s="45" t="inlineStr">
        <is>
          <t>21/10/2028</t>
        </is>
      </c>
      <c r="M84" s="45" t="inlineStr">
        <is>
          <t>22070 (Canalisation réseau extérieur) ; 12532 (Gestion ressource eau)</t>
        </is>
      </c>
      <c r="N84" s="50" t="inlineStr">
        <is>
          <t>NON</t>
        </is>
      </c>
      <c r="O84" s="45" t="inlineStr"/>
    </row>
    <row r="85" customFormat="1" s="3">
      <c r="A85" s="45" t="n"/>
      <c r="B85" s="46" t="inlineStr">
        <is>
          <t>12532</t>
        </is>
      </c>
      <c r="C85" s="46">
        <f>LEFT(Tableau1[[#This Row],[Formacode]],3)</f>
        <v/>
      </c>
      <c r="D85" s="47" t="n">
        <v>38351</v>
      </c>
      <c r="E85" s="48">
        <f>"RNCP"&amp;D85</f>
        <v/>
      </c>
      <c r="F85" s="48" t="inlineStr">
        <is>
          <t>BTSA - Gestion et protection de la nature</t>
        </is>
      </c>
      <c r="G85" s="49">
        <f>E85&amp;" - "&amp;F85</f>
        <v/>
      </c>
      <c r="H85" s="36" t="inlineStr">
        <is>
          <t>RAS</t>
        </is>
      </c>
      <c r="I85" s="45" t="inlineStr"/>
      <c r="J85" s="45" t="inlineStr">
        <is>
          <t>RNCP38351</t>
        </is>
      </c>
      <c r="K85" s="45" t="inlineStr">
        <is>
          <t>Gestion et protection de la nature</t>
        </is>
      </c>
      <c r="L85" s="45" t="inlineStr">
        <is>
          <t>01/09/2029</t>
        </is>
      </c>
      <c r="M85" s="45" t="inlineStr">
        <is>
          <t>12547 (Protection milieu naturel) ; 12510 (Aménagement gestion rivière) ; 12578 (Animation environnement)</t>
        </is>
      </c>
      <c r="N85" s="50" t="inlineStr">
        <is>
          <t>NON</t>
        </is>
      </c>
      <c r="O85" s="45" t="inlineStr"/>
    </row>
    <row r="86" customFormat="1" s="3">
      <c r="A86" s="51" t="n"/>
      <c r="B86" s="52" t="inlineStr">
        <is>
          <t>12532</t>
        </is>
      </c>
      <c r="C86" s="52">
        <f>LEFT(Tableau1[[#This Row],[Formacode]],3)</f>
        <v/>
      </c>
      <c r="D86" s="53" t="n">
        <v>38741</v>
      </c>
      <c r="E86" s="54">
        <f>"RNCP"&amp;D86</f>
        <v/>
      </c>
      <c r="F86" s="54" t="inlineStr">
        <is>
          <t>CAP - Agent de la qualité de l'eau</t>
        </is>
      </c>
      <c r="G86" s="55">
        <f>E86&amp;" - "&amp;F86</f>
        <v/>
      </c>
      <c r="H86" s="37" t="inlineStr">
        <is>
          <t>À vérifier</t>
        </is>
      </c>
      <c r="I86" s="51" t="inlineStr">
        <is>
          <t>Échéance le 31/12/2026 (dans 166 j)</t>
        </is>
      </c>
      <c r="J86" s="51" t="inlineStr">
        <is>
          <t>RNCP38741</t>
        </is>
      </c>
      <c r="K86" s="51" t="inlineStr">
        <is>
          <t>Agent de la qualité de l'eau</t>
        </is>
      </c>
      <c r="L86" s="51" t="inlineStr">
        <is>
          <t>31/12/2026</t>
        </is>
      </c>
      <c r="M86" s="51" t="inlineStr">
        <is>
          <t>12520 (Traitement eau)</t>
        </is>
      </c>
      <c r="N86" s="62" t="inlineStr">
        <is>
          <t>NON</t>
        </is>
      </c>
      <c r="O86" s="51" t="inlineStr"/>
    </row>
    <row r="87" customFormat="1" s="3">
      <c r="A87" s="45" t="n"/>
      <c r="B87" s="46" t="inlineStr">
        <is>
          <t>12532</t>
        </is>
      </c>
      <c r="C87" s="46">
        <f>LEFT(Tableau1[[#This Row],[Formacode]],3)</f>
        <v/>
      </c>
      <c r="D87" s="47" t="n">
        <v>39588</v>
      </c>
      <c r="E87" s="48">
        <f>"RNCP"&amp;D87</f>
        <v/>
      </c>
      <c r="F87" s="48" t="inlineStr">
        <is>
          <t>Manager santé, sécurité et environnement</t>
        </is>
      </c>
      <c r="G87" s="49">
        <f>E87&amp;" - "&amp;F87</f>
        <v/>
      </c>
      <c r="H87" s="36" t="inlineStr">
        <is>
          <t>RAS</t>
        </is>
      </c>
      <c r="I87" s="45" t="inlineStr"/>
      <c r="J87" s="45" t="inlineStr">
        <is>
          <t>RNCP39588</t>
        </is>
      </c>
      <c r="K87" s="45" t="inlineStr">
        <is>
          <t>Manager santé, sécurité et environnement</t>
        </is>
      </c>
      <c r="L87" s="45" t="inlineStr">
        <is>
          <t>01/10/2027</t>
        </is>
      </c>
      <c r="M87" s="45" t="inlineStr">
        <is>
          <t>42866 (Santé sécurité travail) ; 12554 (Environnement aménagement)</t>
        </is>
      </c>
      <c r="N87" s="50" t="inlineStr">
        <is>
          <t>NON</t>
        </is>
      </c>
      <c r="O87" s="45" t="inlineStr"/>
    </row>
    <row r="88" customFormat="1" s="3">
      <c r="A88" s="45" t="n"/>
      <c r="B88" s="46" t="inlineStr">
        <is>
          <t>12532</t>
        </is>
      </c>
      <c r="C88" s="46">
        <f>LEFT(Tableau1[[#This Row],[Formacode]],3)</f>
        <v/>
      </c>
      <c r="D88" s="47" t="n">
        <v>39718</v>
      </c>
      <c r="E88" s="48">
        <f>"RNCP"&amp;D88</f>
        <v/>
      </c>
      <c r="F88" s="48" t="inlineStr">
        <is>
          <t>CQP Opérateur d'intervention en milieu sensible</t>
        </is>
      </c>
      <c r="G88" s="49">
        <f>E88&amp;" - "&amp;F88</f>
        <v/>
      </c>
      <c r="H88" s="36" t="inlineStr">
        <is>
          <t>RAS</t>
        </is>
      </c>
      <c r="I88" s="45" t="inlineStr"/>
      <c r="J88" s="45" t="inlineStr">
        <is>
          <t>RNCP39718</t>
        </is>
      </c>
      <c r="K88" s="45" t="inlineStr">
        <is>
          <t>CQP Opérateur d'intervention en milieu sensible</t>
        </is>
      </c>
      <c r="L88" s="45" t="inlineStr">
        <is>
          <t>31/10/2029</t>
        </is>
      </c>
      <c r="M88" s="45" t="inlineStr">
        <is>
          <t>22201 (Risque sanitaire bâtiment) ; 12592 (Gestion déchet industriel) ; 24114 (Retraitement combustible irradié) ; 12541 (Assainissement)</t>
        </is>
      </c>
      <c r="N88" s="50" t="inlineStr">
        <is>
          <t>NON</t>
        </is>
      </c>
      <c r="O88" s="45" t="inlineStr"/>
    </row>
    <row r="89" customFormat="1" s="3">
      <c r="A89" s="45" t="n"/>
      <c r="B89" s="46" t="inlineStr">
        <is>
          <t>12532</t>
        </is>
      </c>
      <c r="C89" s="46">
        <f>LEFT(Tableau1[[#This Row],[Formacode]],3)</f>
        <v/>
      </c>
      <c r="D89" s="47" t="n">
        <v>40313</v>
      </c>
      <c r="E89" s="48">
        <f>"RNCP"&amp;D89</f>
        <v/>
      </c>
      <c r="F89" s="48" t="inlineStr">
        <is>
          <t>TP - Technicien de traitement des eaux</t>
        </is>
      </c>
      <c r="G89" s="49">
        <f>E89&amp;" - "&amp;F89</f>
        <v/>
      </c>
      <c r="H89" s="36" t="inlineStr">
        <is>
          <t>RAS</t>
        </is>
      </c>
      <c r="I89" s="45" t="inlineStr"/>
      <c r="J89" s="45" t="inlineStr">
        <is>
          <t>RNCP40313</t>
        </is>
      </c>
      <c r="K89" s="45" t="inlineStr">
        <is>
          <t>Technicien de traitement des eaux</t>
        </is>
      </c>
      <c r="L89" s="45" t="inlineStr">
        <is>
          <t>06/03/2027</t>
        </is>
      </c>
      <c r="M89" s="45" t="inlineStr">
        <is>
          <t>12530 (Distribution eau potable) ; 12520 (Traitement eau) ; 12584 (Génie environnement)</t>
        </is>
      </c>
      <c r="N89" s="50" t="inlineStr">
        <is>
          <t>NON</t>
        </is>
      </c>
      <c r="O89" s="45" t="inlineStr"/>
    </row>
    <row r="90" customFormat="1" s="3">
      <c r="A90" s="45" t="n"/>
      <c r="B90" s="46" t="inlineStr">
        <is>
          <t>12532</t>
        </is>
      </c>
      <c r="C90" s="46">
        <f>LEFT(Tableau1[[#This Row],[Formacode]],3)</f>
        <v/>
      </c>
      <c r="D90" s="47" t="n">
        <v>41382</v>
      </c>
      <c r="E90" s="48">
        <f>"RNCP"&amp;D90</f>
        <v/>
      </c>
      <c r="F90" s="48" t="inlineStr">
        <is>
          <t>BTSA - Gestion et maîtrise de l'eau</t>
        </is>
      </c>
      <c r="G90" s="49">
        <f>E90&amp;" - "&amp;F90</f>
        <v/>
      </c>
      <c r="H90" s="36" t="inlineStr">
        <is>
          <t>RAS</t>
        </is>
      </c>
      <c r="I90" s="45" t="inlineStr"/>
      <c r="J90" s="45" t="inlineStr">
        <is>
          <t>RNCP41382</t>
        </is>
      </c>
      <c r="K90" s="45" t="inlineStr">
        <is>
          <t>Gestion et maîtrise de l'eau</t>
        </is>
      </c>
      <c r="L90" s="45" t="inlineStr">
        <is>
          <t>01/09/2031</t>
        </is>
      </c>
      <c r="M90" s="45" t="inlineStr">
        <is>
          <t>12520 (Traitement eau) ; 12530 (Distribution eau potable)</t>
        </is>
      </c>
      <c r="N90" s="50" t="inlineStr">
        <is>
          <t>NON</t>
        </is>
      </c>
      <c r="O90" s="45" t="inlineStr"/>
    </row>
    <row r="91" customFormat="1" s="3">
      <c r="A91" s="63" t="n"/>
      <c r="B91" s="64" t="inlineStr">
        <is>
          <t>12534</t>
        </is>
      </c>
      <c r="C91" s="64">
        <f>LEFT(Tableau1[[#This Row],[Formacode]],3)</f>
        <v/>
      </c>
      <c r="D91" s="65" t="n">
        <v>35590</v>
      </c>
      <c r="E91" s="66">
        <f>"RNCP"&amp;D91</f>
        <v/>
      </c>
      <c r="F91" s="66" t="inlineStr">
        <is>
          <t>Manager de l'habitat social et durable</t>
        </is>
      </c>
      <c r="G91" s="67">
        <f>E91&amp;" - "&amp;F91</f>
        <v/>
      </c>
      <c r="H91" s="38" t="inlineStr">
        <is>
          <t>Expiré / remplacé</t>
        </is>
      </c>
      <c r="I91" s="63" t="inlineStr">
        <is>
          <t>Fiche inactive — remplacée par RNCP42170 (Manager de projet immobilier durable)</t>
        </is>
      </c>
      <c r="J91" s="63" t="inlineStr">
        <is>
          <t>RNCP42170</t>
        </is>
      </c>
      <c r="K91" s="63" t="inlineStr">
        <is>
          <t>Manager de projet immobilier durable</t>
        </is>
      </c>
      <c r="L91" s="63" t="inlineStr">
        <is>
          <t>19/05/2026</t>
        </is>
      </c>
      <c r="M91" s="63" t="inlineStr">
        <is>
          <t>42154 (Immobilier) ; 22250 (Éco-construction) ; 32145 (Management transversal) ; 12554 (Environnement aménagement)</t>
        </is>
      </c>
      <c r="N91" s="68" t="inlineStr">
        <is>
          <t>NON</t>
        </is>
      </c>
      <c r="O91" s="63" t="inlineStr"/>
    </row>
    <row r="92" customFormat="1" s="3">
      <c r="A92" s="51" t="n"/>
      <c r="B92" s="52" t="inlineStr">
        <is>
          <t>12534</t>
        </is>
      </c>
      <c r="C92" s="52">
        <f>LEFT(Tableau1[[#This Row],[Formacode]],3)</f>
        <v/>
      </c>
      <c r="D92" s="53" t="n">
        <v>35706</v>
      </c>
      <c r="E92" s="54">
        <f>"RNCP"&amp;D92</f>
        <v/>
      </c>
      <c r="F92" s="54" t="inlineStr">
        <is>
          <t>TP - Responsable de développement touristique territorial</t>
        </is>
      </c>
      <c r="G92" s="55">
        <f>E92&amp;" - "&amp;F92</f>
        <v/>
      </c>
      <c r="H92" s="37" t="inlineStr">
        <is>
          <t>À vérifier</t>
        </is>
      </c>
      <c r="I92" s="51" t="inlineStr">
        <is>
          <t>Successeur déjà publié : RNCP42430 (Chargé de développement touristique territorial) — préparer la bascule de l'offre CPF | Échéance le 02/08/2026 (dans 15 j)</t>
        </is>
      </c>
      <c r="J92" s="51" t="inlineStr">
        <is>
          <t>RNCP42430</t>
        </is>
      </c>
      <c r="K92" s="51" t="inlineStr">
        <is>
          <t>Chargé de développement touristique territorial</t>
        </is>
      </c>
      <c r="L92" s="51" t="inlineStr">
        <is>
          <t>02/08/2026</t>
        </is>
      </c>
      <c r="M92" s="51" t="inlineStr">
        <is>
          <t>12516 (Aménagement touristique) ; 42638 (Développement touristique)</t>
        </is>
      </c>
      <c r="N92" s="62" t="inlineStr">
        <is>
          <t>NON</t>
        </is>
      </c>
      <c r="O92" s="51" t="inlineStr"/>
    </row>
    <row r="93" customFormat="1" s="3">
      <c r="A93" s="45" t="n"/>
      <c r="B93" s="46" t="inlineStr">
        <is>
          <t>12534</t>
        </is>
      </c>
      <c r="C93" s="46">
        <f>LEFT(Tableau1[[#This Row],[Formacode]],3)</f>
        <v/>
      </c>
      <c r="D93" s="47" t="n">
        <v>36916</v>
      </c>
      <c r="E93" s="48">
        <f>"RNCP"&amp;D93</f>
        <v/>
      </c>
      <c r="F93" s="48" t="inlineStr">
        <is>
          <t>Responsable management durable qualité sécurité environnement</t>
        </is>
      </c>
      <c r="G93" s="49">
        <f>E93&amp;" - "&amp;F93</f>
        <v/>
      </c>
      <c r="H93" s="36" t="inlineStr">
        <is>
          <t>RAS</t>
        </is>
      </c>
      <c r="I93" s="45" t="inlineStr"/>
      <c r="J93" s="45" t="inlineStr">
        <is>
          <t>RNCP36916</t>
        </is>
      </c>
      <c r="K93" s="45" t="inlineStr">
        <is>
          <t>Responsable management durable qualité sécurité environnement</t>
        </is>
      </c>
      <c r="L93" s="45" t="inlineStr">
        <is>
          <t>29/09/2027</t>
        </is>
      </c>
      <c r="M93" s="45" t="inlineStr">
        <is>
          <t>31407 (Qualité hygiène sécurité environnement) ; 12554 (Environnement aménagement) ; 42866 (Santé sécurité travail)</t>
        </is>
      </c>
      <c r="N93" s="50" t="inlineStr">
        <is>
          <t>NON</t>
        </is>
      </c>
      <c r="O93" s="45" t="inlineStr"/>
    </row>
    <row r="94" customFormat="1" s="3">
      <c r="A94" s="45" t="n"/>
      <c r="B94" s="46" t="inlineStr">
        <is>
          <t>12534</t>
        </is>
      </c>
      <c r="C94" s="46">
        <f>LEFT(Tableau1[[#This Row],[Formacode]],3)</f>
        <v/>
      </c>
      <c r="D94" s="47" t="n">
        <v>37103</v>
      </c>
      <c r="E94" s="48">
        <f>"RNCP"&amp;D94</f>
        <v/>
      </c>
      <c r="F94" s="48" t="inlineStr">
        <is>
          <t>TP - Technicien en géomatique</t>
        </is>
      </c>
      <c r="G94" s="49">
        <f>E94&amp;" - "&amp;F94</f>
        <v/>
      </c>
      <c r="H94" s="36" t="inlineStr">
        <is>
          <t>RAS</t>
        </is>
      </c>
      <c r="I94" s="45" t="inlineStr"/>
      <c r="J94" s="45" t="inlineStr">
        <is>
          <t>RNCP37103</t>
        </is>
      </c>
      <c r="K94" s="45" t="inlineStr">
        <is>
          <t>Technicien en géomatique</t>
        </is>
      </c>
      <c r="L94" s="45" t="inlineStr">
        <is>
          <t>25/02/2028</t>
        </is>
      </c>
      <c r="M94" s="45" t="inlineStr">
        <is>
          <t>12232 (Géomatique) ; 31054 (Informatique - Systèmes d’information et numérique) ; 12505 (Plan local urbanisme)</t>
        </is>
      </c>
      <c r="N94" s="50" t="inlineStr">
        <is>
          <t>NON</t>
        </is>
      </c>
      <c r="O94" s="45" t="inlineStr"/>
    </row>
    <row r="95" customFormat="1" s="3">
      <c r="A95" s="45" t="n"/>
      <c r="B95" s="46" t="inlineStr">
        <is>
          <t>12534</t>
        </is>
      </c>
      <c r="C95" s="46">
        <f>LEFT(Tableau1[[#This Row],[Formacode]],3)</f>
        <v/>
      </c>
      <c r="D95" s="47" t="n">
        <v>39588</v>
      </c>
      <c r="E95" s="48">
        <f>"RNCP"&amp;D95</f>
        <v/>
      </c>
      <c r="F95" s="48" t="inlineStr">
        <is>
          <t>Manager santé, sécurité et environnement</t>
        </is>
      </c>
      <c r="G95" s="49">
        <f>E95&amp;" - "&amp;F95</f>
        <v/>
      </c>
      <c r="H95" s="36" t="inlineStr">
        <is>
          <t>RAS</t>
        </is>
      </c>
      <c r="I95" s="45" t="inlineStr"/>
      <c r="J95" s="45" t="inlineStr">
        <is>
          <t>RNCP39588</t>
        </is>
      </c>
      <c r="K95" s="45" t="inlineStr">
        <is>
          <t>Manager santé, sécurité et environnement</t>
        </is>
      </c>
      <c r="L95" s="45" t="inlineStr">
        <is>
          <t>01/10/2027</t>
        </is>
      </c>
      <c r="M95" s="45" t="inlineStr">
        <is>
          <t>42866 (Santé sécurité travail) ; 12554 (Environnement aménagement)</t>
        </is>
      </c>
      <c r="N95" s="50" t="inlineStr">
        <is>
          <t>NON</t>
        </is>
      </c>
      <c r="O95" s="45" t="inlineStr"/>
    </row>
    <row r="96" customFormat="1" s="3">
      <c r="A96" s="45" t="n"/>
      <c r="B96" s="46" t="inlineStr">
        <is>
          <t>12534</t>
        </is>
      </c>
      <c r="C96" s="46">
        <f>LEFT(Tableau1[[#This Row],[Formacode]],3)</f>
        <v/>
      </c>
      <c r="D96" s="47" t="n">
        <v>39684</v>
      </c>
      <c r="E96" s="48">
        <f>"RNCP"&amp;D96</f>
        <v/>
      </c>
      <c r="F96" s="48" t="inlineStr">
        <is>
          <t>BTSA - Développement et animation de projets territoriaux</t>
        </is>
      </c>
      <c r="G96" s="49">
        <f>E96&amp;" - "&amp;F96</f>
        <v/>
      </c>
      <c r="H96" s="36" t="inlineStr">
        <is>
          <t>RAS</t>
        </is>
      </c>
      <c r="I96" s="45" t="inlineStr"/>
      <c r="J96" s="45" t="inlineStr">
        <is>
          <t>RNCP39684</t>
        </is>
      </c>
      <c r="K96" s="45" t="inlineStr">
        <is>
          <t>Développement et animation de projets territoriaux</t>
        </is>
      </c>
      <c r="L96" s="45" t="inlineStr">
        <is>
          <t>31/08/2030</t>
        </is>
      </c>
      <c r="M96" s="45" t="inlineStr">
        <is>
          <t>12514 (Développement rural) ; 12522 (Développement durable) ; 13016 (Aide développement)</t>
        </is>
      </c>
      <c r="N96" s="50" t="inlineStr">
        <is>
          <t>NON</t>
        </is>
      </c>
      <c r="O96" s="45" t="inlineStr"/>
    </row>
    <row r="97" customFormat="1" s="3">
      <c r="A97" s="45" t="n"/>
      <c r="B97" s="46" t="inlineStr">
        <is>
          <t>12534</t>
        </is>
      </c>
      <c r="C97" s="46">
        <f>LEFT(Tableau1[[#This Row],[Formacode]],3)</f>
        <v/>
      </c>
      <c r="D97" s="47" t="n">
        <v>40485</v>
      </c>
      <c r="E97" s="48">
        <f>"RNCP"&amp;D97</f>
        <v/>
      </c>
      <c r="F97" s="48" t="inlineStr">
        <is>
          <t>CAP - Constructeur de routes et d'aménagements urbains</t>
        </is>
      </c>
      <c r="G97" s="49">
        <f>E97&amp;" - "&amp;F97</f>
        <v/>
      </c>
      <c r="H97" s="36" t="inlineStr">
        <is>
          <t>RAS</t>
        </is>
      </c>
      <c r="I97" s="45" t="inlineStr"/>
      <c r="J97" s="45" t="inlineStr">
        <is>
          <t>RNCP40485</t>
        </is>
      </c>
      <c r="K97" s="45" t="inlineStr">
        <is>
          <t>Constructeur de routes et d'aménagements urbains</t>
        </is>
      </c>
      <c r="L97" s="45" t="inlineStr">
        <is>
          <t>31/08/2030</t>
        </is>
      </c>
      <c r="M97" s="45" t="inlineStr">
        <is>
          <t>22022 (Travaux routiers) ; 12512 (Aménagement urbain)</t>
        </is>
      </c>
      <c r="N97" s="50" t="inlineStr">
        <is>
          <t>NON</t>
        </is>
      </c>
      <c r="O97" s="45" t="inlineStr"/>
    </row>
    <row r="98" customFormat="1" s="3">
      <c r="A98" s="45" t="n"/>
      <c r="B98" s="46" t="inlineStr">
        <is>
          <t>12534</t>
        </is>
      </c>
      <c r="C98" s="46">
        <f>LEFT(Tableau1[[#This Row],[Formacode]],3)</f>
        <v/>
      </c>
      <c r="D98" s="47" t="n">
        <v>40598</v>
      </c>
      <c r="E98" s="48">
        <f>"RNCP"&amp;D98</f>
        <v/>
      </c>
      <c r="F98" s="48" t="inlineStr">
        <is>
          <t>Développeur économique territorial (MS)</t>
        </is>
      </c>
      <c r="G98" s="49">
        <f>E98&amp;" - "&amp;F98</f>
        <v/>
      </c>
      <c r="H98" s="36" t="inlineStr">
        <is>
          <t>RAS</t>
        </is>
      </c>
      <c r="I98" s="45" t="inlineStr"/>
      <c r="J98" s="45" t="inlineStr">
        <is>
          <t>RNCP40598</t>
        </is>
      </c>
      <c r="K98" s="45" t="inlineStr">
        <is>
          <t>Développeur économique territorial (MS)</t>
        </is>
      </c>
      <c r="L98" s="45" t="inlineStr">
        <is>
          <t>30/04/2030</t>
        </is>
      </c>
      <c r="M98" s="45" t="inlineStr">
        <is>
          <t>12523 (Développement local) ; 12512 (Aménagement urbain)</t>
        </is>
      </c>
      <c r="N98" s="50" t="inlineStr">
        <is>
          <t>NON</t>
        </is>
      </c>
      <c r="O98" s="45" t="inlineStr"/>
    </row>
    <row r="99" customFormat="1" s="3">
      <c r="A99" s="45" t="n"/>
      <c r="B99" s="46" t="inlineStr">
        <is>
          <t>12534</t>
        </is>
      </c>
      <c r="C99" s="46">
        <f>LEFT(Tableau1[[#This Row],[Formacode]],3)</f>
        <v/>
      </c>
      <c r="D99" s="47" t="n">
        <v>41124</v>
      </c>
      <c r="E99" s="48">
        <f>"RNCP"&amp;D99</f>
        <v/>
      </c>
      <c r="F99" s="48" t="inlineStr">
        <is>
          <t>Coordonnateur de projet de solidarités</t>
        </is>
      </c>
      <c r="G99" s="49">
        <f>E99&amp;" - "&amp;F99</f>
        <v/>
      </c>
      <c r="H99" s="36" t="inlineStr">
        <is>
          <t>RAS</t>
        </is>
      </c>
      <c r="I99" s="45" t="inlineStr"/>
      <c r="J99" s="45" t="inlineStr">
        <is>
          <t>RNCP41124</t>
        </is>
      </c>
      <c r="K99" s="45" t="inlineStr">
        <is>
          <t>Coordonnateur de projet de solidarités</t>
        </is>
      </c>
      <c r="L99" s="45" t="inlineStr">
        <is>
          <t>18/07/2030</t>
        </is>
      </c>
      <c r="M99" s="45" t="inlineStr">
        <is>
          <t>13175 (Économie sociale) ; 12523 (Développement local) ; 13016 (Aide développement) ; 32135 (Conduite projet)</t>
        </is>
      </c>
      <c r="N99" s="50" t="inlineStr">
        <is>
          <t>NON</t>
        </is>
      </c>
      <c r="O99" s="45" t="inlineStr"/>
    </row>
    <row r="100" customFormat="1" s="3">
      <c r="A100" s="45" t="n"/>
      <c r="B100" s="46" t="inlineStr">
        <is>
          <t>12534</t>
        </is>
      </c>
      <c r="C100" s="46">
        <f>LEFT(Tableau1[[#This Row],[Formacode]],3)</f>
        <v/>
      </c>
      <c r="D100" s="47" t="n">
        <v>41416</v>
      </c>
      <c r="E100" s="48">
        <f>"RNCP"&amp;D100</f>
        <v/>
      </c>
      <c r="F100" s="48" t="inlineStr">
        <is>
          <t>Animateur formateur en technologies agricoles</t>
        </is>
      </c>
      <c r="G100" s="49">
        <f>E100&amp;" - "&amp;F100</f>
        <v/>
      </c>
      <c r="H100" s="36" t="inlineStr">
        <is>
          <t>RAS</t>
        </is>
      </c>
      <c r="I100" s="45" t="inlineStr"/>
      <c r="J100" s="45" t="inlineStr">
        <is>
          <t>RNCP41416</t>
        </is>
      </c>
      <c r="K100" s="45" t="inlineStr">
        <is>
          <t>Animateur formateur en technologies agricoles</t>
        </is>
      </c>
      <c r="L100" s="45" t="inlineStr">
        <is>
          <t>27/10/2028</t>
        </is>
      </c>
      <c r="M100" s="45" t="inlineStr">
        <is>
          <t>12514 (Développement rural) ; 21052 (Gestion exploitation agricole) ; 44517 (Conception action formation)</t>
        </is>
      </c>
      <c r="N100" s="50" t="inlineStr">
        <is>
          <t>NON</t>
        </is>
      </c>
      <c r="O100" s="45" t="inlineStr"/>
    </row>
    <row r="101" customFormat="1" s="3">
      <c r="A101" s="45" t="n"/>
      <c r="B101" s="46" t="inlineStr">
        <is>
          <t>12534</t>
        </is>
      </c>
      <c r="C101" s="46">
        <f>LEFT(Tableau1[[#This Row],[Formacode]],3)</f>
        <v/>
      </c>
      <c r="D101" s="47" t="n">
        <v>41728</v>
      </c>
      <c r="E101" s="48">
        <f>"RNCP"&amp;D101</f>
        <v/>
      </c>
      <c r="F101" s="48" t="inlineStr">
        <is>
          <t>Coordinateur de projets à impact social et environnemental</t>
        </is>
      </c>
      <c r="G101" s="49">
        <f>E101&amp;" - "&amp;F101</f>
        <v/>
      </c>
      <c r="H101" s="36" t="inlineStr">
        <is>
          <t>RAS</t>
        </is>
      </c>
      <c r="I101" s="45" t="inlineStr"/>
      <c r="J101" s="45" t="inlineStr">
        <is>
          <t>RNCP41728</t>
        </is>
      </c>
      <c r="K101" s="45" t="inlineStr">
        <is>
          <t>Coordinateur de projets à impact social et environnemental</t>
        </is>
      </c>
      <c r="L101" s="45" t="inlineStr">
        <is>
          <t>27/11/2028</t>
        </is>
      </c>
      <c r="M101" s="45" t="inlineStr">
        <is>
          <t>32135 (Conduite projet) ; 12523 (Développement local) ; 13175 (Économie sociale) ; 12578 (Animation environnement)</t>
        </is>
      </c>
      <c r="N101" s="50" t="inlineStr">
        <is>
          <t>NON</t>
        </is>
      </c>
      <c r="O101" s="45" t="inlineStr"/>
    </row>
    <row r="102" customFormat="1" s="3">
      <c r="A102" s="63" t="n"/>
      <c r="B102" s="64" t="inlineStr">
        <is>
          <t>12547</t>
        </is>
      </c>
      <c r="C102" s="64">
        <f>LEFT(Tableau1[[#This Row],[Formacode]],3)</f>
        <v/>
      </c>
      <c r="D102" s="65" t="n">
        <v>35590</v>
      </c>
      <c r="E102" s="66">
        <f>"RNCP"&amp;D102</f>
        <v/>
      </c>
      <c r="F102" s="66" t="inlineStr">
        <is>
          <t>Manager de l'habitat social et durable</t>
        </is>
      </c>
      <c r="G102" s="67">
        <f>E102&amp;" - "&amp;F102</f>
        <v/>
      </c>
      <c r="H102" s="38" t="inlineStr">
        <is>
          <t>Expiré / remplacé</t>
        </is>
      </c>
      <c r="I102" s="63" t="inlineStr">
        <is>
          <t>Fiche inactive — remplacée par RNCP42170 (Manager de projet immobilier durable)</t>
        </is>
      </c>
      <c r="J102" s="63" t="inlineStr">
        <is>
          <t>RNCP42170</t>
        </is>
      </c>
      <c r="K102" s="63" t="inlineStr">
        <is>
          <t>Manager de projet immobilier durable</t>
        </is>
      </c>
      <c r="L102" s="63" t="inlineStr">
        <is>
          <t>19/05/2026</t>
        </is>
      </c>
      <c r="M102" s="63" t="inlineStr">
        <is>
          <t>42154 (Immobilier) ; 22250 (Éco-construction) ; 32145 (Management transversal) ; 12554 (Environnement aménagement)</t>
        </is>
      </c>
      <c r="N102" s="68" t="inlineStr">
        <is>
          <t>NON</t>
        </is>
      </c>
      <c r="O102" s="63" t="inlineStr"/>
    </row>
    <row r="103" customFormat="1" s="3">
      <c r="A103" s="51" t="n"/>
      <c r="B103" s="52" t="inlineStr">
        <is>
          <t>12547</t>
        </is>
      </c>
      <c r="C103" s="52">
        <f>LEFT(Tableau1[[#This Row],[Formacode]],3)</f>
        <v/>
      </c>
      <c r="D103" s="53" t="n">
        <v>35934</v>
      </c>
      <c r="E103" s="54">
        <f>"RNCP"&amp;D103</f>
        <v/>
      </c>
      <c r="F103" s="54" t="inlineStr">
        <is>
          <t>TP - Ouvrier du génie écologique</t>
        </is>
      </c>
      <c r="G103" s="55">
        <f>E103&amp;" - "&amp;F103</f>
        <v/>
      </c>
      <c r="H103" s="37" t="inlineStr">
        <is>
          <t>À vérifier</t>
        </is>
      </c>
      <c r="I103" s="51" t="inlineStr">
        <is>
          <t>Échéance le 01/09/2026 (dans 45 j)</t>
        </is>
      </c>
      <c r="J103" s="51" t="inlineStr">
        <is>
          <t>RNCP35934</t>
        </is>
      </c>
      <c r="K103" s="51" t="inlineStr">
        <is>
          <t>Ouvrier du génie écologique</t>
        </is>
      </c>
      <c r="L103" s="51" t="inlineStr">
        <is>
          <t>01/09/2026</t>
        </is>
      </c>
      <c r="M103" s="51" t="inlineStr">
        <is>
          <t>12510 (Aménagement gestion rivière) ; 12549 (Conservation littoral) ; 12526 (Réhabilitation écologique)</t>
        </is>
      </c>
      <c r="N103" s="62" t="inlineStr">
        <is>
          <t>NON</t>
        </is>
      </c>
      <c r="O103" s="51" t="inlineStr"/>
    </row>
    <row r="104" customFormat="1" s="3">
      <c r="A104" s="45" t="n"/>
      <c r="B104" s="46" t="inlineStr">
        <is>
          <t>12547</t>
        </is>
      </c>
      <c r="C104" s="46">
        <f>LEFT(Tableau1[[#This Row],[Formacode]],3)</f>
        <v/>
      </c>
      <c r="D104" s="47" t="n">
        <v>36789</v>
      </c>
      <c r="E104" s="48">
        <f>"RNCP"&amp;D104</f>
        <v/>
      </c>
      <c r="F104" s="48" t="inlineStr">
        <is>
          <t>BAC PRO - Gestion des milieux naturels et de la faune</t>
        </is>
      </c>
      <c r="G104" s="49">
        <f>E104&amp;" - "&amp;F104</f>
        <v/>
      </c>
      <c r="H104" s="36" t="inlineStr">
        <is>
          <t>RAS</t>
        </is>
      </c>
      <c r="I104" s="45" t="inlineStr"/>
      <c r="J104" s="45" t="inlineStr">
        <is>
          <t>RNCP36789</t>
        </is>
      </c>
      <c r="K104" s="45" t="inlineStr">
        <is>
          <t>Gestion des milieux naturels et de la faune</t>
        </is>
      </c>
      <c r="L104" s="45" t="inlineStr">
        <is>
          <t>31/08/2027</t>
        </is>
      </c>
      <c r="M104" s="45" t="inlineStr">
        <is>
          <t>12547 (Protection milieu naturel)</t>
        </is>
      </c>
      <c r="N104" s="50" t="inlineStr">
        <is>
          <t>NON</t>
        </is>
      </c>
      <c r="O104" s="45" t="inlineStr"/>
    </row>
    <row r="105" customFormat="1" s="3">
      <c r="A105" s="45" t="n"/>
      <c r="B105" s="46" t="inlineStr">
        <is>
          <t>12547</t>
        </is>
      </c>
      <c r="C105" s="46">
        <f>LEFT(Tableau1[[#This Row],[Formacode]],3)</f>
        <v/>
      </c>
      <c r="D105" s="47" t="n">
        <v>36795</v>
      </c>
      <c r="E105" s="48">
        <f>"RNCP"&amp;D105</f>
        <v/>
      </c>
      <c r="F105" s="48" t="inlineStr">
        <is>
          <t>CS - Travaux mécanisés de génie écologique</t>
        </is>
      </c>
      <c r="G105" s="49">
        <f>E105&amp;" - "&amp;F105</f>
        <v/>
      </c>
      <c r="H105" s="36" t="inlineStr">
        <is>
          <t>RAS</t>
        </is>
      </c>
      <c r="I105" s="45" t="inlineStr"/>
      <c r="J105" s="45" t="inlineStr">
        <is>
          <t>RNCP36795</t>
        </is>
      </c>
      <c r="K105" s="45" t="inlineStr">
        <is>
          <t>Travaux mécanisés de génie écologique</t>
        </is>
      </c>
      <c r="L105" s="45" t="inlineStr">
        <is>
          <t>19/05/2027</t>
        </is>
      </c>
      <c r="M105" s="45" t="inlineStr">
        <is>
          <t>12510 (Aménagement gestion rivière) ; 12549 (Conservation littoral) ; 12558 (Protection forêt)</t>
        </is>
      </c>
      <c r="N105" s="50" t="inlineStr">
        <is>
          <t>NON</t>
        </is>
      </c>
      <c r="O105" s="45" t="inlineStr"/>
    </row>
    <row r="106" customFormat="1" s="3">
      <c r="A106" s="45" t="n"/>
      <c r="B106" s="46" t="inlineStr">
        <is>
          <t>12547</t>
        </is>
      </c>
      <c r="C106" s="46">
        <f>LEFT(Tableau1[[#This Row],[Formacode]],3)</f>
        <v/>
      </c>
      <c r="D106" s="47" t="n">
        <v>36916</v>
      </c>
      <c r="E106" s="48">
        <f>"RNCP"&amp;D106</f>
        <v/>
      </c>
      <c r="F106" s="48" t="inlineStr">
        <is>
          <t>Responsable management durable qualité sécurité environnement</t>
        </is>
      </c>
      <c r="G106" s="49">
        <f>E106&amp;" - "&amp;F106</f>
        <v/>
      </c>
      <c r="H106" s="36" t="inlineStr">
        <is>
          <t>RAS</t>
        </is>
      </c>
      <c r="I106" s="45" t="inlineStr"/>
      <c r="J106" s="45" t="inlineStr">
        <is>
          <t>RNCP36916</t>
        </is>
      </c>
      <c r="K106" s="45" t="inlineStr">
        <is>
          <t>Responsable management durable qualité sécurité environnement</t>
        </is>
      </c>
      <c r="L106" s="45" t="inlineStr">
        <is>
          <t>29/09/2027</t>
        </is>
      </c>
      <c r="M106" s="45" t="inlineStr">
        <is>
          <t>31407 (Qualité hygiène sécurité environnement) ; 12554 (Environnement aménagement) ; 42866 (Santé sécurité travail)</t>
        </is>
      </c>
      <c r="N106" s="50" t="inlineStr">
        <is>
          <t>NON</t>
        </is>
      </c>
      <c r="O106" s="45" t="inlineStr"/>
    </row>
    <row r="107" customFormat="1" s="3">
      <c r="A107" s="45" t="n"/>
      <c r="B107" s="46" t="inlineStr">
        <is>
          <t>12547</t>
        </is>
      </c>
      <c r="C107" s="46">
        <f>LEFT(Tableau1[[#This Row],[Formacode]],3)</f>
        <v/>
      </c>
      <c r="D107" s="47" t="n">
        <v>38351</v>
      </c>
      <c r="E107" s="48">
        <f>"RNCP"&amp;D107</f>
        <v/>
      </c>
      <c r="F107" s="48" t="inlineStr">
        <is>
          <t>BTSA - Gestion et protection de la nature</t>
        </is>
      </c>
      <c r="G107" s="49">
        <f>E107&amp;" - "&amp;F107</f>
        <v/>
      </c>
      <c r="H107" s="36" t="inlineStr">
        <is>
          <t>RAS</t>
        </is>
      </c>
      <c r="I107" s="45" t="inlineStr"/>
      <c r="J107" s="45" t="inlineStr">
        <is>
          <t>RNCP38351</t>
        </is>
      </c>
      <c r="K107" s="45" t="inlineStr">
        <is>
          <t>Gestion et protection de la nature</t>
        </is>
      </c>
      <c r="L107" s="45" t="inlineStr">
        <is>
          <t>01/09/2029</t>
        </is>
      </c>
      <c r="M107" s="45" t="inlineStr">
        <is>
          <t>12547 (Protection milieu naturel) ; 12510 (Aménagement gestion rivière) ; 12578 (Animation environnement)</t>
        </is>
      </c>
      <c r="N107" s="50" t="inlineStr">
        <is>
          <t>NON</t>
        </is>
      </c>
      <c r="O107" s="45" t="inlineStr"/>
    </row>
    <row r="108" customFormat="1" s="3">
      <c r="A108" s="45" t="n"/>
      <c r="B108" s="46" t="inlineStr">
        <is>
          <t>12547</t>
        </is>
      </c>
      <c r="C108" s="46">
        <f>LEFT(Tableau1[[#This Row],[Formacode]],3)</f>
        <v/>
      </c>
      <c r="D108" s="47" t="n">
        <v>39284</v>
      </c>
      <c r="E108" s="48">
        <f>"RNCP"&amp;D108</f>
        <v/>
      </c>
      <c r="F108" s="48" t="inlineStr">
        <is>
          <t>CS - Techniques cynégétiques</t>
        </is>
      </c>
      <c r="G108" s="49">
        <f>E108&amp;" - "&amp;F108</f>
        <v/>
      </c>
      <c r="H108" s="36" t="inlineStr">
        <is>
          <t>RAS</t>
        </is>
      </c>
      <c r="I108" s="45" t="inlineStr"/>
      <c r="J108" s="45" t="inlineStr">
        <is>
          <t>RNCP39284</t>
        </is>
      </c>
      <c r="K108" s="45" t="inlineStr">
        <is>
          <t>Techniques cynégétiques</t>
        </is>
      </c>
      <c r="L108" s="45" t="inlineStr">
        <is>
          <t>31/12/2029</t>
        </is>
      </c>
      <c r="M108" s="45" t="inlineStr">
        <is>
          <t>12539 (Chasse)</t>
        </is>
      </c>
      <c r="N108" s="50" t="inlineStr">
        <is>
          <t>NON</t>
        </is>
      </c>
      <c r="O108" s="45" t="inlineStr"/>
    </row>
    <row r="109" customFormat="1" s="3">
      <c r="A109" s="45" t="n"/>
      <c r="B109" s="46" t="inlineStr">
        <is>
          <t>12547</t>
        </is>
      </c>
      <c r="C109" s="46">
        <f>LEFT(Tableau1[[#This Row],[Formacode]],3)</f>
        <v/>
      </c>
      <c r="D109" s="47" t="n">
        <v>39588</v>
      </c>
      <c r="E109" s="48">
        <f>"RNCP"&amp;D109</f>
        <v/>
      </c>
      <c r="F109" s="48" t="inlineStr">
        <is>
          <t>Manager santé, sécurité et environnement</t>
        </is>
      </c>
      <c r="G109" s="49">
        <f>E109&amp;" - "&amp;F109</f>
        <v/>
      </c>
      <c r="H109" s="36" t="inlineStr">
        <is>
          <t>RAS</t>
        </is>
      </c>
      <c r="I109" s="45" t="inlineStr"/>
      <c r="J109" s="45" t="inlineStr">
        <is>
          <t>RNCP39588</t>
        </is>
      </c>
      <c r="K109" s="45" t="inlineStr">
        <is>
          <t>Manager santé, sécurité et environnement</t>
        </is>
      </c>
      <c r="L109" s="45" t="inlineStr">
        <is>
          <t>01/10/2027</t>
        </is>
      </c>
      <c r="M109" s="45" t="inlineStr">
        <is>
          <t>42866 (Santé sécurité travail) ; 12554 (Environnement aménagement)</t>
        </is>
      </c>
      <c r="N109" s="50" t="inlineStr">
        <is>
          <t>NON</t>
        </is>
      </c>
      <c r="O109" s="45" t="inlineStr"/>
    </row>
    <row r="110" customFormat="1" s="3">
      <c r="A110" s="63" t="n"/>
      <c r="B110" s="64" t="inlineStr">
        <is>
          <t>12556</t>
        </is>
      </c>
      <c r="C110" s="64">
        <f>LEFT(Tableau1[[#This Row],[Formacode]],3)</f>
        <v/>
      </c>
      <c r="D110" s="65" t="n">
        <v>35590</v>
      </c>
      <c r="E110" s="66">
        <f>"RNCP"&amp;D110</f>
        <v/>
      </c>
      <c r="F110" s="66" t="inlineStr">
        <is>
          <t>Manager de l'habitat social et durable</t>
        </is>
      </c>
      <c r="G110" s="67">
        <f>E110&amp;" - "&amp;F110</f>
        <v/>
      </c>
      <c r="H110" s="38" t="inlineStr">
        <is>
          <t>Expiré / remplacé</t>
        </is>
      </c>
      <c r="I110" s="63" t="inlineStr">
        <is>
          <t>Fiche inactive — remplacée par RNCP42170 (Manager de projet immobilier durable)</t>
        </is>
      </c>
      <c r="J110" s="63" t="inlineStr">
        <is>
          <t>RNCP42170</t>
        </is>
      </c>
      <c r="K110" s="63" t="inlineStr">
        <is>
          <t>Manager de projet immobilier durable</t>
        </is>
      </c>
      <c r="L110" s="63" t="inlineStr">
        <is>
          <t>19/05/2026</t>
        </is>
      </c>
      <c r="M110" s="63" t="inlineStr">
        <is>
          <t>42154 (Immobilier) ; 22250 (Éco-construction) ; 32145 (Management transversal) ; 12554 (Environnement aménagement)</t>
        </is>
      </c>
      <c r="N110" s="68" t="inlineStr">
        <is>
          <t>NON</t>
        </is>
      </c>
      <c r="O110" s="63" t="inlineStr"/>
    </row>
    <row r="111" customFormat="1" s="3">
      <c r="A111" s="45" t="n"/>
      <c r="B111" s="46" t="inlineStr">
        <is>
          <t>12556</t>
        </is>
      </c>
      <c r="C111" s="46">
        <f>LEFT(Tableau1[[#This Row],[Formacode]],3)</f>
        <v/>
      </c>
      <c r="D111" s="47" t="n">
        <v>36916</v>
      </c>
      <c r="E111" s="48">
        <f>"RNCP"&amp;D111</f>
        <v/>
      </c>
      <c r="F111" s="48" t="inlineStr">
        <is>
          <t>Responsable management durable qualité sécurité environnement</t>
        </is>
      </c>
      <c r="G111" s="49">
        <f>E111&amp;" - "&amp;F111</f>
        <v/>
      </c>
      <c r="H111" s="36" t="inlineStr">
        <is>
          <t>RAS</t>
        </is>
      </c>
      <c r="I111" s="45" t="inlineStr"/>
      <c r="J111" s="45" t="inlineStr">
        <is>
          <t>RNCP36916</t>
        </is>
      </c>
      <c r="K111" s="45" t="inlineStr">
        <is>
          <t>Responsable management durable qualité sécurité environnement</t>
        </is>
      </c>
      <c r="L111" s="45" t="inlineStr">
        <is>
          <t>29/09/2027</t>
        </is>
      </c>
      <c r="M111" s="45" t="inlineStr">
        <is>
          <t>31407 (Qualité hygiène sécurité environnement) ; 12554 (Environnement aménagement) ; 42866 (Santé sécurité travail)</t>
        </is>
      </c>
      <c r="N111" s="50" t="inlineStr">
        <is>
          <t>NON</t>
        </is>
      </c>
      <c r="O111" s="45" t="inlineStr"/>
    </row>
    <row r="112" customFormat="1" s="3">
      <c r="A112" s="45" t="n"/>
      <c r="B112" s="46" t="inlineStr">
        <is>
          <t>12556</t>
        </is>
      </c>
      <c r="C112" s="46">
        <f>LEFT(Tableau1[[#This Row],[Formacode]],3)</f>
        <v/>
      </c>
      <c r="D112" s="47" t="n">
        <v>39588</v>
      </c>
      <c r="E112" s="48">
        <f>"RNCP"&amp;D112</f>
        <v/>
      </c>
      <c r="F112" s="48" t="inlineStr">
        <is>
          <t>Manager santé, sécurité et environnement</t>
        </is>
      </c>
      <c r="G112" s="49">
        <f>E112&amp;" - "&amp;F112</f>
        <v/>
      </c>
      <c r="H112" s="36" t="inlineStr">
        <is>
          <t>RAS</t>
        </is>
      </c>
      <c r="I112" s="45" t="inlineStr"/>
      <c r="J112" s="45" t="inlineStr">
        <is>
          <t>RNCP39588</t>
        </is>
      </c>
      <c r="K112" s="45" t="inlineStr">
        <is>
          <t>Manager santé, sécurité et environnement</t>
        </is>
      </c>
      <c r="L112" s="45" t="inlineStr">
        <is>
          <t>01/10/2027</t>
        </is>
      </c>
      <c r="M112" s="45" t="inlineStr">
        <is>
          <t>42866 (Santé sécurité travail) ; 12554 (Environnement aménagement)</t>
        </is>
      </c>
      <c r="N112" s="50" t="inlineStr">
        <is>
          <t>NON</t>
        </is>
      </c>
      <c r="O112" s="45" t="inlineStr"/>
    </row>
    <row r="113" customFormat="1" s="3">
      <c r="A113" s="45" t="n"/>
      <c r="B113" s="46" t="inlineStr">
        <is>
          <t>12562</t>
        </is>
      </c>
      <c r="C113" s="46">
        <f>LEFT(Tableau1[[#This Row],[Formacode]],3)</f>
        <v/>
      </c>
      <c r="D113" s="47" t="n">
        <v>35234</v>
      </c>
      <c r="E113" s="48">
        <f>"RNCP"&amp;D113</f>
        <v/>
      </c>
      <c r="F113" s="48" t="inlineStr">
        <is>
          <t>TP - Agent technique de réception et de valorisation de déchets</t>
        </is>
      </c>
      <c r="G113" s="49">
        <f>E113&amp;" - "&amp;F113</f>
        <v/>
      </c>
      <c r="H113" s="36" t="inlineStr">
        <is>
          <t>RAS</t>
        </is>
      </c>
      <c r="I113" s="45" t="inlineStr"/>
      <c r="J113" s="45" t="inlineStr">
        <is>
          <t>RNCP35234</t>
        </is>
      </c>
      <c r="K113" s="45" t="inlineStr">
        <is>
          <t>Agent technique de réception et de valorisation de déchets</t>
        </is>
      </c>
      <c r="L113" s="45" t="inlineStr">
        <is>
          <t>08/02/2027</t>
        </is>
      </c>
      <c r="M113" s="45" t="inlineStr">
        <is>
          <t>12582 (Gestion déchet)</t>
        </is>
      </c>
      <c r="N113" s="50" t="inlineStr">
        <is>
          <t>NON</t>
        </is>
      </c>
      <c r="O113" s="45" t="inlineStr"/>
    </row>
    <row r="114" customFormat="1" s="3">
      <c r="A114" s="63" t="n"/>
      <c r="B114" s="64" t="inlineStr">
        <is>
          <t>12562</t>
        </is>
      </c>
      <c r="C114" s="64">
        <f>LEFT(Tableau1[[#This Row],[Formacode]],3)</f>
        <v/>
      </c>
      <c r="D114" s="65" t="n">
        <v>35297</v>
      </c>
      <c r="E114" s="66">
        <f>"RNCP"&amp;D114</f>
        <v/>
      </c>
      <c r="F114" s="66" t="inlineStr">
        <is>
          <t>TP - Opérateur en dépollution pyrotechnique</t>
        </is>
      </c>
      <c r="G114" s="67">
        <f>E114&amp;" - "&amp;F114</f>
        <v/>
      </c>
      <c r="H114" s="38" t="inlineStr">
        <is>
          <t>Expiré / remplacé</t>
        </is>
      </c>
      <c r="I114" s="63" t="inlineStr">
        <is>
          <t>Fiche inactive — remplacée par RNCP41872 (Opérateur en dépollution pyrotechnique)</t>
        </is>
      </c>
      <c r="J114" s="63" t="inlineStr">
        <is>
          <t>RNCP41872</t>
        </is>
      </c>
      <c r="K114" s="63" t="inlineStr">
        <is>
          <t>Opérateur en dépollution pyrotechnique</t>
        </is>
      </c>
      <c r="L114" s="63" t="inlineStr">
        <is>
          <t>28/04/2026</t>
        </is>
      </c>
      <c r="M114" s="63" t="inlineStr">
        <is>
          <t>42804 (Déminage) ; 22294 (Conduite chantier BTP) ; 22097 (Explosif) ; 12580 (Pollution sol)</t>
        </is>
      </c>
      <c r="N114" s="68" t="inlineStr">
        <is>
          <t>NON</t>
        </is>
      </c>
      <c r="O114" s="63" t="inlineStr"/>
    </row>
    <row r="115" customFormat="1" s="3">
      <c r="A115" s="63" t="n"/>
      <c r="B115" s="64" t="inlineStr">
        <is>
          <t>12562</t>
        </is>
      </c>
      <c r="C115" s="64">
        <f>LEFT(Tableau1[[#This Row],[Formacode]],3)</f>
        <v/>
      </c>
      <c r="D115" s="65" t="n">
        <v>35590</v>
      </c>
      <c r="E115" s="66">
        <f>"RNCP"&amp;D115</f>
        <v/>
      </c>
      <c r="F115" s="66" t="inlineStr">
        <is>
          <t>Manager de l'habitat social et durable</t>
        </is>
      </c>
      <c r="G115" s="67">
        <f>E115&amp;" - "&amp;F115</f>
        <v/>
      </c>
      <c r="H115" s="38" t="inlineStr">
        <is>
          <t>Expiré / remplacé</t>
        </is>
      </c>
      <c r="I115" s="63" t="inlineStr">
        <is>
          <t>Fiche inactive — remplacée par RNCP42170 (Manager de projet immobilier durable)</t>
        </is>
      </c>
      <c r="J115" s="63" t="inlineStr">
        <is>
          <t>RNCP42170</t>
        </is>
      </c>
      <c r="K115" s="63" t="inlineStr">
        <is>
          <t>Manager de projet immobilier durable</t>
        </is>
      </c>
      <c r="L115" s="63" t="inlineStr">
        <is>
          <t>19/05/2026</t>
        </is>
      </c>
      <c r="M115" s="63" t="inlineStr">
        <is>
          <t>42154 (Immobilier) ; 22250 (Éco-construction) ; 32145 (Management transversal) ; 12554 (Environnement aménagement)</t>
        </is>
      </c>
      <c r="N115" s="68" t="inlineStr">
        <is>
          <t>NON</t>
        </is>
      </c>
      <c r="O115" s="63" t="inlineStr"/>
    </row>
    <row r="116" customFormat="1" s="3">
      <c r="A116" s="45" t="n"/>
      <c r="B116" s="46" t="inlineStr">
        <is>
          <t>12562</t>
        </is>
      </c>
      <c r="C116" s="46">
        <f>LEFT(Tableau1[[#This Row],[Formacode]],3)</f>
        <v/>
      </c>
      <c r="D116" s="47" t="n">
        <v>36170</v>
      </c>
      <c r="E116" s="48">
        <f>"RNCP"&amp;D116</f>
        <v/>
      </c>
      <c r="F116" s="48" t="inlineStr">
        <is>
          <t>TP - Agent de refabrication et de recyclage de batteries d'accumulateurs</t>
        </is>
      </c>
      <c r="G116" s="49">
        <f>E116&amp;" - "&amp;F116</f>
        <v/>
      </c>
      <c r="H116" s="36" t="inlineStr">
        <is>
          <t>RAS</t>
        </is>
      </c>
      <c r="I116" s="45" t="inlineStr"/>
      <c r="J116" s="45" t="inlineStr">
        <is>
          <t>RNCP36170</t>
        </is>
      </c>
      <c r="K116" s="45" t="inlineStr">
        <is>
          <t>Agent de refabrication et de recyclage de batteries d'accumulateurs</t>
        </is>
      </c>
      <c r="L116" s="45" t="inlineStr">
        <is>
          <t>30/01/2027</t>
        </is>
      </c>
      <c r="M116" s="45" t="inlineStr">
        <is>
          <t>12592 (Gestion déchet industriel)</t>
        </is>
      </c>
      <c r="N116" s="50" t="inlineStr">
        <is>
          <t>NON</t>
        </is>
      </c>
      <c r="O116" s="45" t="inlineStr"/>
    </row>
    <row r="117" customFormat="1" s="3">
      <c r="A117" s="45" t="n"/>
      <c r="B117" s="46" t="inlineStr">
        <is>
          <t>12562</t>
        </is>
      </c>
      <c r="C117" s="46">
        <f>LEFT(Tableau1[[#This Row],[Formacode]],3)</f>
        <v/>
      </c>
      <c r="D117" s="47" t="n">
        <v>36635</v>
      </c>
      <c r="E117" s="48">
        <f>"RNCP"&amp;D117</f>
        <v/>
      </c>
      <c r="F117" s="48" t="inlineStr">
        <is>
          <t>CQP Opérateur de tri manuel des industries du recyclage</t>
        </is>
      </c>
      <c r="G117" s="49">
        <f>E117&amp;" - "&amp;F117</f>
        <v/>
      </c>
      <c r="H117" s="36" t="inlineStr">
        <is>
          <t>RAS</t>
        </is>
      </c>
      <c r="I117" s="45" t="inlineStr"/>
      <c r="J117" s="45" t="inlineStr">
        <is>
          <t>RNCP36635</t>
        </is>
      </c>
      <c r="K117" s="45" t="inlineStr">
        <is>
          <t>CQP Opérateur de tri manuel des industries du recyclage</t>
        </is>
      </c>
      <c r="L117" s="45" t="inlineStr">
        <is>
          <t>01/07/2027</t>
        </is>
      </c>
      <c r="M117" s="45" t="inlineStr">
        <is>
          <t>12582 (Gestion déchet)</t>
        </is>
      </c>
      <c r="N117" s="50" t="inlineStr">
        <is>
          <t>NON</t>
        </is>
      </c>
      <c r="O117" s="45" t="inlineStr"/>
    </row>
    <row r="118" customFormat="1" s="3">
      <c r="A118" s="45" t="n"/>
      <c r="B118" s="46" t="inlineStr">
        <is>
          <t>12562</t>
        </is>
      </c>
      <c r="C118" s="46">
        <f>LEFT(Tableau1[[#This Row],[Formacode]],3)</f>
        <v/>
      </c>
      <c r="D118" s="47" t="n">
        <v>36916</v>
      </c>
      <c r="E118" s="48">
        <f>"RNCP"&amp;D118</f>
        <v/>
      </c>
      <c r="F118" s="48" t="inlineStr">
        <is>
          <t>Responsable management durable qualité sécurité environnement</t>
        </is>
      </c>
      <c r="G118" s="49">
        <f>E118&amp;" - "&amp;F118</f>
        <v/>
      </c>
      <c r="H118" s="36" t="inlineStr">
        <is>
          <t>RAS</t>
        </is>
      </c>
      <c r="I118" s="45" t="inlineStr"/>
      <c r="J118" s="45" t="inlineStr">
        <is>
          <t>RNCP36916</t>
        </is>
      </c>
      <c r="K118" s="45" t="inlineStr">
        <is>
          <t>Responsable management durable qualité sécurité environnement</t>
        </is>
      </c>
      <c r="L118" s="45" t="inlineStr">
        <is>
          <t>29/09/2027</t>
        </is>
      </c>
      <c r="M118" s="45" t="inlineStr">
        <is>
          <t>31407 (Qualité hygiène sécurité environnement) ; 12554 (Environnement aménagement) ; 42866 (Santé sécurité travail)</t>
        </is>
      </c>
      <c r="N118" s="50" t="inlineStr">
        <is>
          <t>NON</t>
        </is>
      </c>
      <c r="O118" s="45" t="inlineStr"/>
    </row>
    <row r="119" ht="28.8" customFormat="1" customHeight="1" s="3">
      <c r="A119" s="45" t="n"/>
      <c r="B119" s="46" t="inlineStr">
        <is>
          <t>12562</t>
        </is>
      </c>
      <c r="C119" s="46">
        <f>LEFT(Tableau1[[#This Row],[Formacode]],3)</f>
        <v/>
      </c>
      <c r="D119" s="47" t="n">
        <v>38098</v>
      </c>
      <c r="E119" s="48">
        <f>"RNCP"&amp;D119</f>
        <v/>
      </c>
      <c r="F119" s="48" t="inlineStr">
        <is>
          <t>TP - Encadrant technique d'une opération de traitement de l'amiante ou d'autres polluants particulaires</t>
        </is>
      </c>
      <c r="G119" s="49">
        <f>E119&amp;" - "&amp;F119</f>
        <v/>
      </c>
      <c r="H119" s="36" t="inlineStr">
        <is>
          <t>RAS</t>
        </is>
      </c>
      <c r="I119" s="45" t="inlineStr"/>
      <c r="J119" s="45" t="inlineStr">
        <is>
          <t>RNCP38098</t>
        </is>
      </c>
      <c r="K119" s="45" t="inlineStr">
        <is>
          <t>Encadrant technique d'une opération de traitement de l'amiante ou d'autres polluants particulaires</t>
        </is>
      </c>
      <c r="L119" s="45" t="inlineStr">
        <is>
          <t>01/01/2029</t>
        </is>
      </c>
      <c r="M119" s="45" t="inlineStr">
        <is>
          <t>22265 (Risque amiante) ; 12562 (Pollution) ; 23062 (Métallurgie)</t>
        </is>
      </c>
      <c r="N119" s="50" t="inlineStr">
        <is>
          <t>NON</t>
        </is>
      </c>
      <c r="O119" s="45" t="inlineStr"/>
    </row>
    <row r="120" ht="28.8" customFormat="1" customHeight="1" s="3">
      <c r="A120" s="45" t="n"/>
      <c r="B120" s="46" t="inlineStr">
        <is>
          <t>12562</t>
        </is>
      </c>
      <c r="C120" s="46">
        <f>LEFT(Tableau1[[#This Row],[Formacode]],3)</f>
        <v/>
      </c>
      <c r="D120" s="47" t="n">
        <v>38099</v>
      </c>
      <c r="E120" s="48">
        <f>"RNCP"&amp;D120</f>
        <v/>
      </c>
      <c r="F120" s="48" t="inlineStr">
        <is>
          <t>TP - Opérateur de chantier de traitement de l'amiante ou d'autres polluants particulaires</t>
        </is>
      </c>
      <c r="G120" s="49">
        <f>E120&amp;" - "&amp;F120</f>
        <v/>
      </c>
      <c r="H120" s="36" t="inlineStr">
        <is>
          <t>RAS</t>
        </is>
      </c>
      <c r="I120" s="45" t="inlineStr"/>
      <c r="J120" s="45" t="inlineStr">
        <is>
          <t>RNCP38099</t>
        </is>
      </c>
      <c r="K120" s="45" t="inlineStr">
        <is>
          <t>Opérateur de chantier de traitement de l'amiante ou d'autres polluants particulaires</t>
        </is>
      </c>
      <c r="L120" s="45" t="inlineStr">
        <is>
          <t>01/01/2029</t>
        </is>
      </c>
      <c r="M120" s="45" t="inlineStr">
        <is>
          <t>22265 (Risque amiante) ; 12562 (Pollution) ; 23062 (Métallurgie)</t>
        </is>
      </c>
      <c r="N120" s="50" t="inlineStr">
        <is>
          <t>NON</t>
        </is>
      </c>
      <c r="O120" s="45" t="inlineStr"/>
    </row>
    <row r="121" ht="28.8" customFormat="1" customHeight="1" s="3">
      <c r="A121" s="45" t="n"/>
      <c r="B121" s="46" t="inlineStr">
        <is>
          <t>12562</t>
        </is>
      </c>
      <c r="C121" s="46">
        <f>LEFT(Tableau1[[#This Row],[Formacode]],3)</f>
        <v/>
      </c>
      <c r="D121" s="47" t="n">
        <v>38100</v>
      </c>
      <c r="E121" s="48">
        <f>"RNCP"&amp;D121</f>
        <v/>
      </c>
      <c r="F121" s="48" t="inlineStr">
        <is>
          <t>TP - Encadrant de chantier de traitement de l'amiante ou d'autres polluants particulaires</t>
        </is>
      </c>
      <c r="G121" s="49">
        <f>E121&amp;" - "&amp;F121</f>
        <v/>
      </c>
      <c r="H121" s="36" t="inlineStr">
        <is>
          <t>RAS</t>
        </is>
      </c>
      <c r="I121" s="45" t="inlineStr"/>
      <c r="J121" s="45" t="inlineStr">
        <is>
          <t>RNCP38100</t>
        </is>
      </c>
      <c r="K121" s="45" t="inlineStr">
        <is>
          <t>Encadrant de chantier de traitement de l'amiante ou d'autres polluants particulaires</t>
        </is>
      </c>
      <c r="L121" s="45" t="inlineStr">
        <is>
          <t>01/01/2029</t>
        </is>
      </c>
      <c r="M121" s="45" t="inlineStr">
        <is>
          <t>22265 (Risque amiante) ; 12562 (Pollution) ; 23062 (Métallurgie)</t>
        </is>
      </c>
      <c r="N121" s="50" t="inlineStr">
        <is>
          <t>NON</t>
        </is>
      </c>
      <c r="O121" s="45" t="inlineStr"/>
    </row>
    <row r="122" customFormat="1" s="3">
      <c r="A122" s="45" t="n"/>
      <c r="B122" s="46" t="inlineStr">
        <is>
          <t>12562</t>
        </is>
      </c>
      <c r="C122" s="46">
        <f>LEFT(Tableau1[[#This Row],[Formacode]],3)</f>
        <v/>
      </c>
      <c r="D122" s="47" t="n">
        <v>39588</v>
      </c>
      <c r="E122" s="48">
        <f>"RNCP"&amp;D122</f>
        <v/>
      </c>
      <c r="F122" s="48" t="inlineStr">
        <is>
          <t>Manager santé, sécurité et environnement</t>
        </is>
      </c>
      <c r="G122" s="49">
        <f>E122&amp;" - "&amp;F122</f>
        <v/>
      </c>
      <c r="H122" s="36" t="inlineStr">
        <is>
          <t>RAS</t>
        </is>
      </c>
      <c r="I122" s="45" t="inlineStr"/>
      <c r="J122" s="45" t="inlineStr">
        <is>
          <t>RNCP39588</t>
        </is>
      </c>
      <c r="K122" s="45" t="inlineStr">
        <is>
          <t>Manager santé, sécurité et environnement</t>
        </is>
      </c>
      <c r="L122" s="45" t="inlineStr">
        <is>
          <t>01/10/2027</t>
        </is>
      </c>
      <c r="M122" s="45" t="inlineStr">
        <is>
          <t>42866 (Santé sécurité travail) ; 12554 (Environnement aménagement)</t>
        </is>
      </c>
      <c r="N122" s="50" t="inlineStr">
        <is>
          <t>NON</t>
        </is>
      </c>
      <c r="O122" s="45" t="inlineStr"/>
    </row>
    <row r="123" customFormat="1" s="3">
      <c r="A123" s="45" t="n"/>
      <c r="B123" s="46" t="inlineStr">
        <is>
          <t>12562</t>
        </is>
      </c>
      <c r="C123" s="46">
        <f>LEFT(Tableau1[[#This Row],[Formacode]],3)</f>
        <v/>
      </c>
      <c r="D123" s="47" t="n">
        <v>39718</v>
      </c>
      <c r="E123" s="48">
        <f>"RNCP"&amp;D123</f>
        <v/>
      </c>
      <c r="F123" s="48" t="inlineStr">
        <is>
          <t>CQP Opérateur d'intervention en milieu sensible</t>
        </is>
      </c>
      <c r="G123" s="49">
        <f>E123&amp;" - "&amp;F123</f>
        <v/>
      </c>
      <c r="H123" s="36" t="inlineStr">
        <is>
          <t>RAS</t>
        </is>
      </c>
      <c r="I123" s="45" t="inlineStr"/>
      <c r="J123" s="45" t="inlineStr">
        <is>
          <t>RNCP39718</t>
        </is>
      </c>
      <c r="K123" s="45" t="inlineStr">
        <is>
          <t>CQP Opérateur d'intervention en milieu sensible</t>
        </is>
      </c>
      <c r="L123" s="45" t="inlineStr">
        <is>
          <t>31/10/2029</t>
        </is>
      </c>
      <c r="M123" s="45" t="inlineStr">
        <is>
          <t>22201 (Risque sanitaire bâtiment) ; 12592 (Gestion déchet industriel) ; 24114 (Retraitement combustible irradié) ; 12541 (Assainissement)</t>
        </is>
      </c>
      <c r="N123" s="50" t="inlineStr">
        <is>
          <t>NON</t>
        </is>
      </c>
      <c r="O123" s="45" t="inlineStr"/>
    </row>
    <row r="124" customFormat="1" s="3">
      <c r="A124" s="45" t="n"/>
      <c r="B124" s="46" t="inlineStr">
        <is>
          <t>12562</t>
        </is>
      </c>
      <c r="C124" s="46">
        <f>LEFT(Tableau1[[#This Row],[Formacode]],3)</f>
        <v/>
      </c>
      <c r="D124" s="47" t="n">
        <v>39720</v>
      </c>
      <c r="E124" s="48">
        <f>"RNCP"&amp;D124</f>
        <v/>
      </c>
      <c r="F124" s="48" t="inlineStr">
        <is>
          <t>CQP Chargé de travaux en milieu nucléaire</t>
        </is>
      </c>
      <c r="G124" s="49">
        <f>E124&amp;" - "&amp;F124</f>
        <v/>
      </c>
      <c r="H124" s="36" t="inlineStr">
        <is>
          <t>RAS</t>
        </is>
      </c>
      <c r="I124" s="45" t="inlineStr"/>
      <c r="J124" s="45" t="inlineStr">
        <is>
          <t>RNCP39720</t>
        </is>
      </c>
      <c r="K124" s="45" t="inlineStr">
        <is>
          <t>CQP Chargé de travaux en milieu nucléaire</t>
        </is>
      </c>
      <c r="L124" s="45" t="inlineStr">
        <is>
          <t>31/10/2027</t>
        </is>
      </c>
      <c r="M124" s="45" t="inlineStr">
        <is>
          <t>12592 (Gestion déchet industriel) ; 24134 (Énergie nucléaire)</t>
        </is>
      </c>
      <c r="N124" s="50" t="inlineStr">
        <is>
          <t>NON</t>
        </is>
      </c>
      <c r="O124" s="45" t="inlineStr"/>
    </row>
    <row r="125" customFormat="1" s="3">
      <c r="A125" s="45" t="n"/>
      <c r="B125" s="46" t="inlineStr">
        <is>
          <t>12562</t>
        </is>
      </c>
      <c r="C125" s="46">
        <f>LEFT(Tableau1[[#This Row],[Formacode]],3)</f>
        <v/>
      </c>
      <c r="D125" s="47" t="n">
        <v>39886</v>
      </c>
      <c r="E125" s="48">
        <f>"RNCP"&amp;D125</f>
        <v/>
      </c>
      <c r="F125" s="48" t="inlineStr">
        <is>
          <t>Diagnostiqueur de produits, équipements, matériaux et déchets issus des bâtiments</t>
        </is>
      </c>
      <c r="G125" s="49">
        <f>E125&amp;" - "&amp;F125</f>
        <v/>
      </c>
      <c r="H125" s="36" t="inlineStr">
        <is>
          <t>RAS</t>
        </is>
      </c>
      <c r="I125" s="45" t="inlineStr"/>
      <c r="J125" s="45" t="inlineStr">
        <is>
          <t>RNCP39886</t>
        </is>
      </c>
      <c r="K125" s="45" t="inlineStr">
        <is>
          <t>Diagnostiqueur de produits, équipements, matériaux et déchets issus des bâtiments</t>
        </is>
      </c>
      <c r="L125" s="45" t="inlineStr">
        <is>
          <t>28/11/2027</t>
        </is>
      </c>
      <c r="M125" s="45" t="inlineStr">
        <is>
          <t>12582 (Gestion déchet) ; 42101 (Diagnostic immobilier) ; 22329 (Démolition) ; 22485 (Rénovation bâtiment)</t>
        </is>
      </c>
      <c r="N125" s="50" t="inlineStr">
        <is>
          <t>NON</t>
        </is>
      </c>
      <c r="O125" s="45" t="inlineStr"/>
    </row>
    <row r="126" customFormat="1" s="3">
      <c r="A126" s="45" t="n"/>
      <c r="B126" s="46" t="inlineStr">
        <is>
          <t>12562</t>
        </is>
      </c>
      <c r="C126" s="46">
        <f>LEFT(Tableau1[[#This Row],[Formacode]],3)</f>
        <v/>
      </c>
      <c r="D126" s="47" t="n">
        <v>39944</v>
      </c>
      <c r="E126" s="48">
        <f>"RNCP"&amp;D126</f>
        <v/>
      </c>
      <c r="F126" s="48" t="inlineStr">
        <is>
          <t>BTS - Métiers des services à l'environnement</t>
        </is>
      </c>
      <c r="G126" s="49">
        <f>E126&amp;" - "&amp;F126</f>
        <v/>
      </c>
      <c r="H126" s="36" t="inlineStr">
        <is>
          <t>RAS</t>
        </is>
      </c>
      <c r="I126" s="45" t="inlineStr"/>
      <c r="J126" s="45" t="inlineStr">
        <is>
          <t>RNCP39944</t>
        </is>
      </c>
      <c r="K126" s="45" t="inlineStr">
        <is>
          <t>Métiers des services à l'environnement</t>
        </is>
      </c>
      <c r="L126" s="45" t="inlineStr">
        <is>
          <t>31/12/2029</t>
        </is>
      </c>
      <c r="M126" s="45" t="inlineStr">
        <is>
          <t>12582 (Gestion déchet) ; 12570 (Pollution atmosphérique) ; 42093 (Nettoyage locaux) ; 32008 (Responsabilité sociétale entreprise) ; 31407 (Qualité hygiène sécurité environnement)</t>
        </is>
      </c>
      <c r="N126" s="50" t="inlineStr">
        <is>
          <t>NON</t>
        </is>
      </c>
      <c r="O126" s="45" t="inlineStr"/>
    </row>
    <row r="127" customFormat="1" s="3">
      <c r="A127" s="45" t="n"/>
      <c r="B127" s="46" t="inlineStr">
        <is>
          <t>12562</t>
        </is>
      </c>
      <c r="C127" s="46">
        <f>LEFT(Tableau1[[#This Row],[Formacode]],3)</f>
        <v/>
      </c>
      <c r="D127" s="47" t="n">
        <v>40310</v>
      </c>
      <c r="E127" s="48">
        <f>"RNCP"&amp;D127</f>
        <v/>
      </c>
      <c r="F127" s="48" t="inlineStr">
        <is>
          <t>CAP - Valorisation des matières et propreté des espaces urbains</t>
        </is>
      </c>
      <c r="G127" s="49">
        <f>E127&amp;" - "&amp;F127</f>
        <v/>
      </c>
      <c r="H127" s="36" t="inlineStr">
        <is>
          <t>RAS</t>
        </is>
      </c>
      <c r="I127" s="45" t="inlineStr"/>
      <c r="J127" s="45" t="inlineStr">
        <is>
          <t>RNCP40310</t>
        </is>
      </c>
      <c r="K127" s="45" t="inlineStr">
        <is>
          <t>Valorisation des matières et propreté des espaces urbains</t>
        </is>
      </c>
      <c r="L127" s="45" t="inlineStr">
        <is>
          <t>31/08/2030</t>
        </is>
      </c>
      <c r="M127" s="45" t="inlineStr">
        <is>
          <t>42006 (Nettoyage urbain) ; 12582 (Gestion déchet)</t>
        </is>
      </c>
      <c r="N127" s="50" t="inlineStr">
        <is>
          <t>NON</t>
        </is>
      </c>
      <c r="O127" s="45" t="inlineStr"/>
    </row>
    <row r="128" customFormat="1" s="3">
      <c r="A128" s="45" t="n"/>
      <c r="B128" s="46" t="inlineStr">
        <is>
          <t>12562</t>
        </is>
      </c>
      <c r="C128" s="46">
        <f>LEFT(Tableau1[[#This Row],[Formacode]],3)</f>
        <v/>
      </c>
      <c r="D128" s="47" t="n">
        <v>40311</v>
      </c>
      <c r="E128" s="48">
        <f>"RNCP"&amp;D128</f>
        <v/>
      </c>
      <c r="F128" s="48" t="inlineStr">
        <is>
          <t>BAC PRO - Maintenance environnementale et propreté des espaces urbains</t>
        </is>
      </c>
      <c r="G128" s="49">
        <f>E128&amp;" - "&amp;F128</f>
        <v/>
      </c>
      <c r="H128" s="36" t="inlineStr">
        <is>
          <t>RAS</t>
        </is>
      </c>
      <c r="I128" s="45" t="inlineStr"/>
      <c r="J128" s="45" t="inlineStr">
        <is>
          <t>RNCP40311</t>
        </is>
      </c>
      <c r="K128" s="45" t="inlineStr">
        <is>
          <t>Maintenance environnementale et propreté des espaces urbains</t>
        </is>
      </c>
      <c r="L128" s="45" t="inlineStr">
        <is>
          <t>31/08/2030</t>
        </is>
      </c>
      <c r="M128" s="45" t="inlineStr">
        <is>
          <t>42006 (Nettoyage urbain) ; 42093 (Nettoyage locaux) ; 31624 (Maintenance industrielle) ; 12582 (Gestion déchet)</t>
        </is>
      </c>
      <c r="N128" s="50" t="inlineStr">
        <is>
          <t>NON</t>
        </is>
      </c>
      <c r="O128" s="45" t="inlineStr"/>
    </row>
    <row r="129" customFormat="1" s="3">
      <c r="A129" s="45" t="n"/>
      <c r="B129" s="46" t="inlineStr">
        <is>
          <t>12562</t>
        </is>
      </c>
      <c r="C129" s="46">
        <f>LEFT(Tableau1[[#This Row],[Formacode]],3)</f>
        <v/>
      </c>
      <c r="D129" s="47" t="n">
        <v>40315</v>
      </c>
      <c r="E129" s="48">
        <f>"RNCP"&amp;D129</f>
        <v/>
      </c>
      <c r="F129" s="48" t="inlineStr">
        <is>
          <t>TP - Aide opérateur en dépollution pyrotechnique</t>
        </is>
      </c>
      <c r="G129" s="49">
        <f>E129&amp;" - "&amp;F129</f>
        <v/>
      </c>
      <c r="H129" s="36" t="inlineStr">
        <is>
          <t>RAS</t>
        </is>
      </c>
      <c r="I129" s="45" t="inlineStr"/>
      <c r="J129" s="45" t="inlineStr">
        <is>
          <t>RNCP40315</t>
        </is>
      </c>
      <c r="K129" s="45" t="inlineStr">
        <is>
          <t>Aide opérateur en dépollution pyrotechnique</t>
        </is>
      </c>
      <c r="L129" s="45" t="inlineStr">
        <is>
          <t>26/04/2028</t>
        </is>
      </c>
      <c r="M129" s="45" t="inlineStr">
        <is>
          <t>12580 (Pollution sol) ; 31795 (Sécurité manutention)</t>
        </is>
      </c>
      <c r="N129" s="50" t="inlineStr">
        <is>
          <t>NON</t>
        </is>
      </c>
      <c r="O129" s="45" t="inlineStr"/>
    </row>
    <row r="130" customFormat="1" s="3">
      <c r="A130" s="45" t="n"/>
      <c r="B130" s="46" t="inlineStr">
        <is>
          <t>12562</t>
        </is>
      </c>
      <c r="C130" s="46">
        <f>LEFT(Tableau1[[#This Row],[Formacode]],3)</f>
        <v/>
      </c>
      <c r="D130" s="47" t="n">
        <v>40567</v>
      </c>
      <c r="E130" s="48">
        <f>"RNCP"&amp;D130</f>
        <v/>
      </c>
      <c r="F130" s="48" t="inlineStr">
        <is>
          <t>Diagnostiqueur de produits, équipements, matériaux et déchets issus du bâtiment</t>
        </is>
      </c>
      <c r="G130" s="49">
        <f>E130&amp;" - "&amp;F130</f>
        <v/>
      </c>
      <c r="H130" s="36" t="inlineStr">
        <is>
          <t>RAS</t>
        </is>
      </c>
      <c r="I130" s="45" t="inlineStr"/>
      <c r="J130" s="45" t="inlineStr">
        <is>
          <t>RNCP40567</t>
        </is>
      </c>
      <c r="K130" s="45" t="inlineStr">
        <is>
          <t>Diagnostiqueur de produits, équipements, matériaux et déchets issus du bâtiment</t>
        </is>
      </c>
      <c r="L130" s="45" t="inlineStr">
        <is>
          <t>30/04/2028</t>
        </is>
      </c>
      <c r="M130" s="45" t="inlineStr">
        <is>
          <t>12592 (Gestion déchet industriel) ; 12533 (Economie circulaire) ; 22269 (Maîtrise d'ouvrage BTP)</t>
        </is>
      </c>
      <c r="N130" s="50" t="inlineStr">
        <is>
          <t>NON</t>
        </is>
      </c>
      <c r="O130" s="45" t="inlineStr"/>
    </row>
    <row r="131" customFormat="1" s="3">
      <c r="A131" s="45" t="n"/>
      <c r="B131" s="46" t="inlineStr">
        <is>
          <t>12562</t>
        </is>
      </c>
      <c r="C131" s="46">
        <f>LEFT(Tableau1[[#This Row],[Formacode]],3)</f>
        <v/>
      </c>
      <c r="D131" s="47" t="n">
        <v>40671</v>
      </c>
      <c r="E131" s="48">
        <f>"RNCP"&amp;D131</f>
        <v/>
      </c>
      <c r="F131" s="48" t="inlineStr">
        <is>
          <t>Diagnostiqueur produits, équipements, matériaux et déchets issus du bâtiment</t>
        </is>
      </c>
      <c r="G131" s="49">
        <f>E131&amp;" - "&amp;F131</f>
        <v/>
      </c>
      <c r="H131" s="36" t="inlineStr">
        <is>
          <t>RAS</t>
        </is>
      </c>
      <c r="I131" s="45" t="inlineStr"/>
      <c r="J131" s="45" t="inlineStr">
        <is>
          <t>RNCP40671</t>
        </is>
      </c>
      <c r="K131" s="45" t="inlineStr">
        <is>
          <t>Diagnostiqueur produits, équipements, matériaux et déchets issus du bâtiment</t>
        </is>
      </c>
      <c r="L131" s="45" t="inlineStr">
        <is>
          <t>23/05/2027</t>
        </is>
      </c>
      <c r="M131" s="45" t="inlineStr">
        <is>
          <t>42101 (Diagnostic immobilier) ; 12582 (Gestion déchet) ; 22329 (Démolition)</t>
        </is>
      </c>
      <c r="N131" s="50" t="inlineStr">
        <is>
          <t>NON</t>
        </is>
      </c>
      <c r="O131" s="45" t="inlineStr"/>
    </row>
    <row r="132" customFormat="1" s="3">
      <c r="A132" s="45" t="n"/>
      <c r="B132" s="46" t="inlineStr">
        <is>
          <t>12562</t>
        </is>
      </c>
      <c r="C132" s="46">
        <f>LEFT(Tableau1[[#This Row],[Formacode]],3)</f>
        <v/>
      </c>
      <c r="D132" s="47" t="n">
        <v>40678</v>
      </c>
      <c r="E132" s="48">
        <f>"RNCP"&amp;D132</f>
        <v/>
      </c>
      <c r="F132" s="48" t="inlineStr">
        <is>
          <t>Diagnostiqueur produits, équipements, matériaux et déchets issus du bâtiment</t>
        </is>
      </c>
      <c r="G132" s="49">
        <f>E132&amp;" - "&amp;F132</f>
        <v/>
      </c>
      <c r="H132" s="36" t="inlineStr">
        <is>
          <t>RAS</t>
        </is>
      </c>
      <c r="I132" s="45" t="inlineStr"/>
      <c r="J132" s="45" t="inlineStr">
        <is>
          <t>RNCP40678</t>
        </is>
      </c>
      <c r="K132" s="45" t="inlineStr">
        <is>
          <t>Diagnostiqueur produits, équipements, matériaux et déchets issus du bâtiment</t>
        </is>
      </c>
      <c r="L132" s="45" t="inlineStr">
        <is>
          <t>23/05/2027</t>
        </is>
      </c>
      <c r="M132" s="45" t="inlineStr">
        <is>
          <t>42101 (Diagnostic immobilier) ; 12582 (Gestion déchet) ; 22329 (Démolition)</t>
        </is>
      </c>
      <c r="N132" s="50" t="inlineStr">
        <is>
          <t>NON</t>
        </is>
      </c>
      <c r="O132" s="45" t="inlineStr"/>
    </row>
    <row r="133" customFormat="1" s="3">
      <c r="A133" s="45" t="n"/>
      <c r="B133" s="46" t="inlineStr">
        <is>
          <t>12562</t>
        </is>
      </c>
      <c r="C133" s="46">
        <f>LEFT(Tableau1[[#This Row],[Formacode]],3)</f>
        <v/>
      </c>
      <c r="D133" s="47" t="n">
        <v>41305</v>
      </c>
      <c r="E133" s="48">
        <f>"RNCP"&amp;D133</f>
        <v/>
      </c>
      <c r="F133" s="48" t="inlineStr">
        <is>
          <t>Agent des services de gestion et valorisation des déchets</t>
        </is>
      </c>
      <c r="G133" s="49">
        <f>E133&amp;" - "&amp;F133</f>
        <v/>
      </c>
      <c r="H133" s="36" t="inlineStr">
        <is>
          <t>RAS</t>
        </is>
      </c>
      <c r="I133" s="45" t="inlineStr"/>
      <c r="J133" s="45" t="inlineStr">
        <is>
          <t>RNCP41305</t>
        </is>
      </c>
      <c r="K133" s="45" t="inlineStr">
        <is>
          <t>Agent des services de gestion et valorisation des déchets</t>
        </is>
      </c>
      <c r="L133" s="45" t="inlineStr">
        <is>
          <t>24/09/2030</t>
        </is>
      </c>
      <c r="M133" s="45" t="inlineStr">
        <is>
          <t>12582 (Gestion déchet)</t>
        </is>
      </c>
      <c r="N133" s="50" t="inlineStr">
        <is>
          <t>NON</t>
        </is>
      </c>
      <c r="O133" s="45" t="inlineStr"/>
    </row>
    <row r="134" customFormat="1" s="3">
      <c r="A134" s="45" t="n"/>
      <c r="B134" s="46" t="inlineStr">
        <is>
          <t>12562</t>
        </is>
      </c>
      <c r="C134" s="46">
        <f>LEFT(Tableau1[[#This Row],[Formacode]],3)</f>
        <v/>
      </c>
      <c r="D134" s="47" t="n">
        <v>41489</v>
      </c>
      <c r="E134" s="48">
        <f>"RNCP"&amp;D134</f>
        <v/>
      </c>
      <c r="F134" s="48" t="inlineStr">
        <is>
          <t>Technicien valoriste du réemploi</t>
        </is>
      </c>
      <c r="G134" s="49">
        <f>E134&amp;" - "&amp;F134</f>
        <v/>
      </c>
      <c r="H134" s="36" t="inlineStr">
        <is>
          <t>RAS</t>
        </is>
      </c>
      <c r="I134" s="45" t="inlineStr"/>
      <c r="J134" s="45" t="inlineStr">
        <is>
          <t>RNCP41489</t>
        </is>
      </c>
      <c r="K134" s="45" t="inlineStr">
        <is>
          <t>Technicien valoriste du réemploi</t>
        </is>
      </c>
      <c r="L134" s="45" t="inlineStr">
        <is>
          <t>27/10/2028</t>
        </is>
      </c>
      <c r="M134" s="45" t="inlineStr">
        <is>
          <t>12582 (Gestion déchet) ; 12578 (Animation environnement) ; 42054 (Services commerces proximité) ; 12573 (Éco-produit)</t>
        </is>
      </c>
      <c r="N134" s="50" t="inlineStr">
        <is>
          <t>NON</t>
        </is>
      </c>
      <c r="O134" s="45" t="inlineStr"/>
    </row>
    <row r="135" customFormat="1" s="3">
      <c r="A135" s="63" t="n"/>
      <c r="B135" s="64" t="inlineStr">
        <is>
          <t>12576</t>
        </is>
      </c>
      <c r="C135" s="64">
        <f>LEFT(Tableau1[[#This Row],[Formacode]],3)</f>
        <v/>
      </c>
      <c r="D135" s="65" t="n">
        <v>35590</v>
      </c>
      <c r="E135" s="66">
        <f>"RNCP"&amp;D135</f>
        <v/>
      </c>
      <c r="F135" s="66" t="inlineStr">
        <is>
          <t>Manager de l'habitat social et durable</t>
        </is>
      </c>
      <c r="G135" s="67">
        <f>E135&amp;" - "&amp;F135</f>
        <v/>
      </c>
      <c r="H135" s="38" t="inlineStr">
        <is>
          <t>Expiré / remplacé</t>
        </is>
      </c>
      <c r="I135" s="63" t="inlineStr">
        <is>
          <t>Fiche inactive — remplacée par RNCP42170 (Manager de projet immobilier durable)</t>
        </is>
      </c>
      <c r="J135" s="63" t="inlineStr">
        <is>
          <t>RNCP42170</t>
        </is>
      </c>
      <c r="K135" s="63" t="inlineStr">
        <is>
          <t>Manager de projet immobilier durable</t>
        </is>
      </c>
      <c r="L135" s="63" t="inlineStr">
        <is>
          <t>19/05/2026</t>
        </is>
      </c>
      <c r="M135" s="63" t="inlineStr">
        <is>
          <t>42154 (Immobilier) ; 22250 (Éco-construction) ; 32145 (Management transversal) ; 12554 (Environnement aménagement)</t>
        </is>
      </c>
      <c r="N135" s="68" t="inlineStr">
        <is>
          <t>NON</t>
        </is>
      </c>
      <c r="O135" s="63" t="inlineStr"/>
    </row>
    <row r="136" customFormat="1" s="3">
      <c r="A136" s="45" t="n"/>
      <c r="B136" s="46" t="inlineStr">
        <is>
          <t>12576</t>
        </is>
      </c>
      <c r="C136" s="46">
        <f>LEFT(Tableau1[[#This Row],[Formacode]],3)</f>
        <v/>
      </c>
      <c r="D136" s="47" t="n">
        <v>36916</v>
      </c>
      <c r="E136" s="48">
        <f>"RNCP"&amp;D136</f>
        <v/>
      </c>
      <c r="F136" s="48" t="inlineStr">
        <is>
          <t>Responsable management durable qualité sécurité environnement</t>
        </is>
      </c>
      <c r="G136" s="49">
        <f>E136&amp;" - "&amp;F136</f>
        <v/>
      </c>
      <c r="H136" s="36" t="inlineStr">
        <is>
          <t>RAS</t>
        </is>
      </c>
      <c r="I136" s="45" t="inlineStr"/>
      <c r="J136" s="45" t="inlineStr">
        <is>
          <t>RNCP36916</t>
        </is>
      </c>
      <c r="K136" s="45" t="inlineStr">
        <is>
          <t>Responsable management durable qualité sécurité environnement</t>
        </is>
      </c>
      <c r="L136" s="45" t="inlineStr">
        <is>
          <t>29/09/2027</t>
        </is>
      </c>
      <c r="M136" s="45" t="inlineStr">
        <is>
          <t>31407 (Qualité hygiène sécurité environnement) ; 12554 (Environnement aménagement) ; 42866 (Santé sécurité travail)</t>
        </is>
      </c>
      <c r="N136" s="50" t="inlineStr">
        <is>
          <t>NON</t>
        </is>
      </c>
      <c r="O136" s="45" t="inlineStr"/>
    </row>
    <row r="137" customFormat="1" s="3">
      <c r="A137" s="45" t="n"/>
      <c r="B137" s="46" t="inlineStr">
        <is>
          <t>12576</t>
        </is>
      </c>
      <c r="C137" s="46">
        <f>LEFT(Tableau1[[#This Row],[Formacode]],3)</f>
        <v/>
      </c>
      <c r="D137" s="47" t="n">
        <v>39588</v>
      </c>
      <c r="E137" s="48">
        <f>"RNCP"&amp;D137</f>
        <v/>
      </c>
      <c r="F137" s="48" t="inlineStr">
        <is>
          <t>Manager santé, sécurité et environnement</t>
        </is>
      </c>
      <c r="G137" s="49">
        <f>E137&amp;" - "&amp;F137</f>
        <v/>
      </c>
      <c r="H137" s="36" t="inlineStr">
        <is>
          <t>RAS</t>
        </is>
      </c>
      <c r="I137" s="45" t="inlineStr"/>
      <c r="J137" s="45" t="inlineStr">
        <is>
          <t>RNCP39588</t>
        </is>
      </c>
      <c r="K137" s="45" t="inlineStr">
        <is>
          <t>Manager santé, sécurité et environnement</t>
        </is>
      </c>
      <c r="L137" s="45" t="inlineStr">
        <is>
          <t>01/10/2027</t>
        </is>
      </c>
      <c r="M137" s="45" t="inlineStr">
        <is>
          <t>42866 (Santé sécurité travail) ; 12554 (Environnement aménagement)</t>
        </is>
      </c>
      <c r="N137" s="50" t="inlineStr">
        <is>
          <t>NON</t>
        </is>
      </c>
      <c r="O137" s="45" t="inlineStr"/>
    </row>
    <row r="138" customFormat="1" s="3">
      <c r="A138" s="45" t="n"/>
      <c r="B138" s="46" t="inlineStr">
        <is>
          <t>12576</t>
        </is>
      </c>
      <c r="C138" s="46">
        <f>LEFT(Tableau1[[#This Row],[Formacode]],3)</f>
        <v/>
      </c>
      <c r="D138" s="47" t="n">
        <v>41387</v>
      </c>
      <c r="E138" s="48">
        <f>"RNCP"&amp;D138</f>
        <v/>
      </c>
      <c r="F138" s="48" t="inlineStr">
        <is>
          <t>Grade_Master - Designer textile</t>
        </is>
      </c>
      <c r="G138" s="49">
        <f>E138&amp;" - "&amp;F138</f>
        <v/>
      </c>
      <c r="H138" s="36" t="inlineStr">
        <is>
          <t>RAS</t>
        </is>
      </c>
      <c r="I138" s="45" t="inlineStr"/>
      <c r="J138" s="45" t="inlineStr">
        <is>
          <t>RNCP41387</t>
        </is>
      </c>
      <c r="K138" s="45" t="inlineStr">
        <is>
          <t>Designer textile</t>
        </is>
      </c>
      <c r="L138" s="45" t="inlineStr">
        <is>
          <t>28/08/2030</t>
        </is>
      </c>
      <c r="M138" s="45" t="inlineStr">
        <is>
          <t>21627 (Création textile) ; 12536 (Eco-conception) ; 21696 (Tissu) ; 21698 (Étoffe maille) ; 32062 (Recherche développement)</t>
        </is>
      </c>
      <c r="N138" s="50" t="inlineStr">
        <is>
          <t>NON</t>
        </is>
      </c>
      <c r="O138" s="45" t="inlineStr"/>
    </row>
    <row r="139" customFormat="1" s="3">
      <c r="A139" s="45" t="n"/>
      <c r="B139" s="46" t="inlineStr">
        <is>
          <t>12576</t>
        </is>
      </c>
      <c r="C139" s="46">
        <f>LEFT(Tableau1[[#This Row],[Formacode]],3)</f>
        <v/>
      </c>
      <c r="D139" s="47" t="n">
        <v>41489</v>
      </c>
      <c r="E139" s="48">
        <f>"RNCP"&amp;D139</f>
        <v/>
      </c>
      <c r="F139" s="48" t="inlineStr">
        <is>
          <t>Technicien valoriste du réemploi</t>
        </is>
      </c>
      <c r="G139" s="49">
        <f>E139&amp;" - "&amp;F139</f>
        <v/>
      </c>
      <c r="H139" s="36" t="inlineStr">
        <is>
          <t>RAS</t>
        </is>
      </c>
      <c r="I139" s="45" t="inlineStr"/>
      <c r="J139" s="45" t="inlineStr">
        <is>
          <t>RNCP41489</t>
        </is>
      </c>
      <c r="K139" s="45" t="inlineStr">
        <is>
          <t>Technicien valoriste du réemploi</t>
        </is>
      </c>
      <c r="L139" s="45" t="inlineStr">
        <is>
          <t>27/10/2028</t>
        </is>
      </c>
      <c r="M139" s="45" t="inlineStr">
        <is>
          <t>12582 (Gestion déchet) ; 12578 (Animation environnement) ; 42054 (Services commerces proximité) ; 12573 (Éco-produit)</t>
        </is>
      </c>
      <c r="N139" s="50" t="inlineStr">
        <is>
          <t>NON</t>
        </is>
      </c>
      <c r="O139" s="45" t="inlineStr"/>
    </row>
    <row r="140" customFormat="1" s="3">
      <c r="A140" s="63" t="n"/>
      <c r="B140" s="64" t="inlineStr">
        <is>
          <t>12578</t>
        </is>
      </c>
      <c r="C140" s="64">
        <f>LEFT(Tableau1[[#This Row],[Formacode]],3)</f>
        <v/>
      </c>
      <c r="D140" s="65" t="n">
        <v>35590</v>
      </c>
      <c r="E140" s="66">
        <f>"RNCP"&amp;D140</f>
        <v/>
      </c>
      <c r="F140" s="66" t="inlineStr">
        <is>
          <t>Manager de l'habitat social et durable</t>
        </is>
      </c>
      <c r="G140" s="67">
        <f>E140&amp;" - "&amp;F140</f>
        <v/>
      </c>
      <c r="H140" s="38" t="inlineStr">
        <is>
          <t>Expiré / remplacé</t>
        </is>
      </c>
      <c r="I140" s="63" t="inlineStr">
        <is>
          <t>Fiche inactive — remplacée par RNCP42170 (Manager de projet immobilier durable)</t>
        </is>
      </c>
      <c r="J140" s="63" t="inlineStr">
        <is>
          <t>RNCP42170</t>
        </is>
      </c>
      <c r="K140" s="63" t="inlineStr">
        <is>
          <t>Manager de projet immobilier durable</t>
        </is>
      </c>
      <c r="L140" s="63" t="inlineStr">
        <is>
          <t>19/05/2026</t>
        </is>
      </c>
      <c r="M140" s="63" t="inlineStr">
        <is>
          <t>42154 (Immobilier) ; 22250 (Éco-construction) ; 32145 (Management transversal) ; 12554 (Environnement aménagement)</t>
        </is>
      </c>
      <c r="N140" s="68" t="inlineStr">
        <is>
          <t>NON</t>
        </is>
      </c>
      <c r="O140" s="63" t="inlineStr"/>
    </row>
    <row r="141" customFormat="1" s="3">
      <c r="A141" s="45" t="n"/>
      <c r="B141" s="46" t="inlineStr">
        <is>
          <t>12578</t>
        </is>
      </c>
      <c r="C141" s="46">
        <f>LEFT(Tableau1[[#This Row],[Formacode]],3)</f>
        <v/>
      </c>
      <c r="D141" s="47" t="n">
        <v>36916</v>
      </c>
      <c r="E141" s="48">
        <f>"RNCP"&amp;D141</f>
        <v/>
      </c>
      <c r="F141" s="48" t="inlineStr">
        <is>
          <t>Responsable management durable qualité sécurité environnement</t>
        </is>
      </c>
      <c r="G141" s="49">
        <f>E141&amp;" - "&amp;F141</f>
        <v/>
      </c>
      <c r="H141" s="36" t="inlineStr">
        <is>
          <t>RAS</t>
        </is>
      </c>
      <c r="I141" s="45" t="inlineStr"/>
      <c r="J141" s="45" t="inlineStr">
        <is>
          <t>RNCP36916</t>
        </is>
      </c>
      <c r="K141" s="45" t="inlineStr">
        <is>
          <t>Responsable management durable qualité sécurité environnement</t>
        </is>
      </c>
      <c r="L141" s="45" t="inlineStr">
        <is>
          <t>29/09/2027</t>
        </is>
      </c>
      <c r="M141" s="45" t="inlineStr">
        <is>
          <t>31407 (Qualité hygiène sécurité environnement) ; 12554 (Environnement aménagement) ; 42866 (Santé sécurité travail)</t>
        </is>
      </c>
      <c r="N141" s="50" t="inlineStr">
        <is>
          <t>NON</t>
        </is>
      </c>
      <c r="O141" s="45" t="inlineStr"/>
    </row>
    <row r="142" customFormat="1" s="3">
      <c r="A142" s="45" t="n"/>
      <c r="B142" s="46" t="inlineStr">
        <is>
          <t>12578</t>
        </is>
      </c>
      <c r="C142" s="46">
        <f>LEFT(Tableau1[[#This Row],[Formacode]],3)</f>
        <v/>
      </c>
      <c r="D142" s="47" t="n">
        <v>38351</v>
      </c>
      <c r="E142" s="48">
        <f>"RNCP"&amp;D142</f>
        <v/>
      </c>
      <c r="F142" s="48" t="inlineStr">
        <is>
          <t>BTSA - Gestion et protection de la nature</t>
        </is>
      </c>
      <c r="G142" s="49">
        <f>E142&amp;" - "&amp;F142</f>
        <v/>
      </c>
      <c r="H142" s="36" t="inlineStr">
        <is>
          <t>RAS</t>
        </is>
      </c>
      <c r="I142" s="45" t="inlineStr"/>
      <c r="J142" s="45" t="inlineStr">
        <is>
          <t>RNCP38351</t>
        </is>
      </c>
      <c r="K142" s="45" t="inlineStr">
        <is>
          <t>Gestion et protection de la nature</t>
        </is>
      </c>
      <c r="L142" s="45" t="inlineStr">
        <is>
          <t>01/09/2029</t>
        </is>
      </c>
      <c r="M142" s="45" t="inlineStr">
        <is>
          <t>12547 (Protection milieu naturel) ; 12510 (Aménagement gestion rivière) ; 12578 (Animation environnement)</t>
        </is>
      </c>
      <c r="N142" s="50" t="inlineStr">
        <is>
          <t>NON</t>
        </is>
      </c>
      <c r="O142" s="45" t="inlineStr"/>
    </row>
    <row r="143" customFormat="1" s="3">
      <c r="A143" s="45" t="n"/>
      <c r="B143" s="46" t="inlineStr">
        <is>
          <t>12578</t>
        </is>
      </c>
      <c r="C143" s="46">
        <f>LEFT(Tableau1[[#This Row],[Formacode]],3)</f>
        <v/>
      </c>
      <c r="D143" s="47" t="n">
        <v>39588</v>
      </c>
      <c r="E143" s="48">
        <f>"RNCP"&amp;D143</f>
        <v/>
      </c>
      <c r="F143" s="48" t="inlineStr">
        <is>
          <t>Manager santé, sécurité et environnement</t>
        </is>
      </c>
      <c r="G143" s="49">
        <f>E143&amp;" - "&amp;F143</f>
        <v/>
      </c>
      <c r="H143" s="36" t="inlineStr">
        <is>
          <t>RAS</t>
        </is>
      </c>
      <c r="I143" s="45" t="inlineStr"/>
      <c r="J143" s="45" t="inlineStr">
        <is>
          <t>RNCP39588</t>
        </is>
      </c>
      <c r="K143" s="45" t="inlineStr">
        <is>
          <t>Manager santé, sécurité et environnement</t>
        </is>
      </c>
      <c r="L143" s="45" t="inlineStr">
        <is>
          <t>01/10/2027</t>
        </is>
      </c>
      <c r="M143" s="45" t="inlineStr">
        <is>
          <t>42866 (Santé sécurité travail) ; 12554 (Environnement aménagement)</t>
        </is>
      </c>
      <c r="N143" s="50" t="inlineStr">
        <is>
          <t>NON</t>
        </is>
      </c>
      <c r="O143" s="45" t="inlineStr"/>
    </row>
    <row r="144" customFormat="1" s="3">
      <c r="A144" s="45" t="n"/>
      <c r="B144" s="46" t="inlineStr">
        <is>
          <t>12578</t>
        </is>
      </c>
      <c r="C144" s="46">
        <f>LEFT(Tableau1[[#This Row],[Formacode]],3)</f>
        <v/>
      </c>
      <c r="D144" s="47" t="n">
        <v>41489</v>
      </c>
      <c r="E144" s="48">
        <f>"RNCP"&amp;D144</f>
        <v/>
      </c>
      <c r="F144" s="48" t="inlineStr">
        <is>
          <t>Technicien valoriste du réemploi</t>
        </is>
      </c>
      <c r="G144" s="49">
        <f>E144&amp;" - "&amp;F144</f>
        <v/>
      </c>
      <c r="H144" s="36" t="inlineStr">
        <is>
          <t>RAS</t>
        </is>
      </c>
      <c r="I144" s="45" t="inlineStr"/>
      <c r="J144" s="45" t="inlineStr">
        <is>
          <t>RNCP41489</t>
        </is>
      </c>
      <c r="K144" s="45" t="inlineStr">
        <is>
          <t>Technicien valoriste du réemploi</t>
        </is>
      </c>
      <c r="L144" s="45" t="inlineStr">
        <is>
          <t>27/10/2028</t>
        </is>
      </c>
      <c r="M144" s="45" t="inlineStr">
        <is>
          <t>12582 (Gestion déchet) ; 12578 (Animation environnement) ; 42054 (Services commerces proximité) ; 12573 (Éco-produit)</t>
        </is>
      </c>
      <c r="N144" s="50" t="inlineStr">
        <is>
          <t>NON</t>
        </is>
      </c>
      <c r="O144" s="45" t="inlineStr"/>
    </row>
    <row r="145" customFormat="1" s="3">
      <c r="A145" s="45" t="n"/>
      <c r="B145" s="46" t="inlineStr">
        <is>
          <t>12578</t>
        </is>
      </c>
      <c r="C145" s="46">
        <f>LEFT(Tableau1[[#This Row],[Formacode]],3)</f>
        <v/>
      </c>
      <c r="D145" s="47" t="n">
        <v>41728</v>
      </c>
      <c r="E145" s="48">
        <f>"RNCP"&amp;D145</f>
        <v/>
      </c>
      <c r="F145" s="48" t="inlineStr">
        <is>
          <t>Coordinateur de projets à impact social et environnemental</t>
        </is>
      </c>
      <c r="G145" s="49">
        <f>E145&amp;" - "&amp;F145</f>
        <v/>
      </c>
      <c r="H145" s="36" t="inlineStr">
        <is>
          <t>RAS</t>
        </is>
      </c>
      <c r="I145" s="45" t="inlineStr"/>
      <c r="J145" s="45" t="inlineStr">
        <is>
          <t>RNCP41728</t>
        </is>
      </c>
      <c r="K145" s="45" t="inlineStr">
        <is>
          <t>Coordinateur de projets à impact social et environnemental</t>
        </is>
      </c>
      <c r="L145" s="45" t="inlineStr">
        <is>
          <t>27/11/2028</t>
        </is>
      </c>
      <c r="M145" s="45" t="inlineStr">
        <is>
          <t>32135 (Conduite projet) ; 12523 (Développement local) ; 13175 (Économie sociale) ; 12578 (Animation environnement)</t>
        </is>
      </c>
      <c r="N145" s="50" t="inlineStr">
        <is>
          <t>NON</t>
        </is>
      </c>
      <c r="O145" s="45" t="inlineStr"/>
    </row>
    <row r="146" customFormat="1" s="3">
      <c r="A146" s="63" t="n"/>
      <c r="B146" s="64" t="inlineStr">
        <is>
          <t>12584</t>
        </is>
      </c>
      <c r="C146" s="64">
        <f>LEFT(Tableau1[[#This Row],[Formacode]],3)</f>
        <v/>
      </c>
      <c r="D146" s="65" t="n">
        <v>35590</v>
      </c>
      <c r="E146" s="66">
        <f>"RNCP"&amp;D146</f>
        <v/>
      </c>
      <c r="F146" s="66" t="inlineStr">
        <is>
          <t>Manager de l'habitat social et durable</t>
        </is>
      </c>
      <c r="G146" s="67">
        <f>E146&amp;" - "&amp;F146</f>
        <v/>
      </c>
      <c r="H146" s="38" t="inlineStr">
        <is>
          <t>Expiré / remplacé</t>
        </is>
      </c>
      <c r="I146" s="63" t="inlineStr">
        <is>
          <t>Fiche inactive — remplacée par RNCP42170 (Manager de projet immobilier durable)</t>
        </is>
      </c>
      <c r="J146" s="63" t="inlineStr">
        <is>
          <t>RNCP42170</t>
        </is>
      </c>
      <c r="K146" s="63" t="inlineStr">
        <is>
          <t>Manager de projet immobilier durable</t>
        </is>
      </c>
      <c r="L146" s="63" t="inlineStr">
        <is>
          <t>19/05/2026</t>
        </is>
      </c>
      <c r="M146" s="63" t="inlineStr">
        <is>
          <t>42154 (Immobilier) ; 22250 (Éco-construction) ; 32145 (Management transversal) ; 12554 (Environnement aménagement)</t>
        </is>
      </c>
      <c r="N146" s="68" t="inlineStr">
        <is>
          <t>NON</t>
        </is>
      </c>
      <c r="O146" s="63" t="inlineStr"/>
    </row>
    <row r="147" customFormat="1" s="3">
      <c r="A147" s="45" t="n"/>
      <c r="B147" s="46" t="inlineStr">
        <is>
          <t>12584</t>
        </is>
      </c>
      <c r="C147" s="46">
        <f>LEFT(Tableau1[[#This Row],[Formacode]],3)</f>
        <v/>
      </c>
      <c r="D147" s="47" t="n">
        <v>36916</v>
      </c>
      <c r="E147" s="48">
        <f>"RNCP"&amp;D147</f>
        <v/>
      </c>
      <c r="F147" s="48" t="inlineStr">
        <is>
          <t>Responsable management durable qualité sécurité environnement</t>
        </is>
      </c>
      <c r="G147" s="49">
        <f>E147&amp;" - "&amp;F147</f>
        <v/>
      </c>
      <c r="H147" s="36" t="inlineStr">
        <is>
          <t>RAS</t>
        </is>
      </c>
      <c r="I147" s="45" t="inlineStr"/>
      <c r="J147" s="45" t="inlineStr">
        <is>
          <t>RNCP36916</t>
        </is>
      </c>
      <c r="K147" s="45" t="inlineStr">
        <is>
          <t>Responsable management durable qualité sécurité environnement</t>
        </is>
      </c>
      <c r="L147" s="45" t="inlineStr">
        <is>
          <t>29/09/2027</t>
        </is>
      </c>
      <c r="M147" s="45" t="inlineStr">
        <is>
          <t>31407 (Qualité hygiène sécurité environnement) ; 12554 (Environnement aménagement) ; 42866 (Santé sécurité travail)</t>
        </is>
      </c>
      <c r="N147" s="50" t="inlineStr">
        <is>
          <t>NON</t>
        </is>
      </c>
      <c r="O147" s="45" t="inlineStr"/>
    </row>
    <row r="148" customFormat="1" s="3">
      <c r="A148" s="45" t="n"/>
      <c r="B148" s="46" t="inlineStr">
        <is>
          <t>12584</t>
        </is>
      </c>
      <c r="C148" s="46">
        <f>LEFT(Tableau1[[#This Row],[Formacode]],3)</f>
        <v/>
      </c>
      <c r="D148" s="47" t="n">
        <v>39588</v>
      </c>
      <c r="E148" s="48">
        <f>"RNCP"&amp;D148</f>
        <v/>
      </c>
      <c r="F148" s="48" t="inlineStr">
        <is>
          <t>Manager santé, sécurité et environnement</t>
        </is>
      </c>
      <c r="G148" s="49">
        <f>E148&amp;" - "&amp;F148</f>
        <v/>
      </c>
      <c r="H148" s="36" t="inlineStr">
        <is>
          <t>RAS</t>
        </is>
      </c>
      <c r="I148" s="45" t="inlineStr"/>
      <c r="J148" s="45" t="inlineStr">
        <is>
          <t>RNCP39588</t>
        </is>
      </c>
      <c r="K148" s="45" t="inlineStr">
        <is>
          <t>Manager santé, sécurité et environnement</t>
        </is>
      </c>
      <c r="L148" s="45" t="inlineStr">
        <is>
          <t>01/10/2027</t>
        </is>
      </c>
      <c r="M148" s="45" t="inlineStr">
        <is>
          <t>42866 (Santé sécurité travail) ; 12554 (Environnement aménagement)</t>
        </is>
      </c>
      <c r="N148" s="50" t="inlineStr">
        <is>
          <t>NON</t>
        </is>
      </c>
      <c r="O148" s="45" t="inlineStr"/>
    </row>
    <row r="149" customFormat="1" s="3">
      <c r="A149" s="45" t="n"/>
      <c r="B149" s="46" t="inlineStr">
        <is>
          <t>12584</t>
        </is>
      </c>
      <c r="C149" s="46">
        <f>LEFT(Tableau1[[#This Row],[Formacode]],3)</f>
        <v/>
      </c>
      <c r="D149" s="47" t="n">
        <v>40313</v>
      </c>
      <c r="E149" s="48">
        <f>"RNCP"&amp;D149</f>
        <v/>
      </c>
      <c r="F149" s="48" t="inlineStr">
        <is>
          <t>TP - Technicien de traitement des eaux</t>
        </is>
      </c>
      <c r="G149" s="49">
        <f>E149&amp;" - "&amp;F149</f>
        <v/>
      </c>
      <c r="H149" s="36" t="inlineStr">
        <is>
          <t>RAS</t>
        </is>
      </c>
      <c r="I149" s="45" t="inlineStr"/>
      <c r="J149" s="45" t="inlineStr">
        <is>
          <t>RNCP40313</t>
        </is>
      </c>
      <c r="K149" s="45" t="inlineStr">
        <is>
          <t>Technicien de traitement des eaux</t>
        </is>
      </c>
      <c r="L149" s="45" t="inlineStr">
        <is>
          <t>06/03/2027</t>
        </is>
      </c>
      <c r="M149" s="45" t="inlineStr">
        <is>
          <t>12530 (Distribution eau potable) ; 12520 (Traitement eau) ; 12584 (Génie environnement)</t>
        </is>
      </c>
      <c r="N149" s="50" t="inlineStr">
        <is>
          <t>NON</t>
        </is>
      </c>
      <c r="O149" s="45" t="inlineStr"/>
    </row>
    <row r="150" customFormat="1" s="3">
      <c r="A150" s="63" t="n"/>
      <c r="B150" s="64" t="inlineStr">
        <is>
          <t>12585</t>
        </is>
      </c>
      <c r="C150" s="64">
        <f>LEFT(Tableau1[[#This Row],[Formacode]],3)</f>
        <v/>
      </c>
      <c r="D150" s="65" t="n">
        <v>35590</v>
      </c>
      <c r="E150" s="66">
        <f>"RNCP"&amp;D150</f>
        <v/>
      </c>
      <c r="F150" s="66" t="inlineStr">
        <is>
          <t>Manager de l'habitat social et durable</t>
        </is>
      </c>
      <c r="G150" s="67">
        <f>E150&amp;" - "&amp;F150</f>
        <v/>
      </c>
      <c r="H150" s="38" t="inlineStr">
        <is>
          <t>Expiré / remplacé</t>
        </is>
      </c>
      <c r="I150" s="63" t="inlineStr">
        <is>
          <t>Fiche inactive — remplacée par RNCP42170 (Manager de projet immobilier durable)</t>
        </is>
      </c>
      <c r="J150" s="63" t="inlineStr">
        <is>
          <t>RNCP42170</t>
        </is>
      </c>
      <c r="K150" s="63" t="inlineStr">
        <is>
          <t>Manager de projet immobilier durable</t>
        </is>
      </c>
      <c r="L150" s="63" t="inlineStr">
        <is>
          <t>19/05/2026</t>
        </is>
      </c>
      <c r="M150" s="63" t="inlineStr">
        <is>
          <t>42154 (Immobilier) ; 22250 (Éco-construction) ; 32145 (Management transversal) ; 12554 (Environnement aménagement)</t>
        </is>
      </c>
      <c r="N150" s="68" t="inlineStr">
        <is>
          <t>NON</t>
        </is>
      </c>
      <c r="O150" s="63" t="inlineStr"/>
    </row>
    <row r="151" customFormat="1" s="3">
      <c r="A151" s="45" t="n"/>
      <c r="B151" s="46" t="inlineStr">
        <is>
          <t>12585</t>
        </is>
      </c>
      <c r="C151" s="46">
        <f>LEFT(Tableau1[[#This Row],[Formacode]],3)</f>
        <v/>
      </c>
      <c r="D151" s="47" t="n">
        <v>36916</v>
      </c>
      <c r="E151" s="48">
        <f>"RNCP"&amp;D151</f>
        <v/>
      </c>
      <c r="F151" s="48" t="inlineStr">
        <is>
          <t>Responsable management durable qualité sécurité environnement</t>
        </is>
      </c>
      <c r="G151" s="49">
        <f>E151&amp;" - "&amp;F151</f>
        <v/>
      </c>
      <c r="H151" s="36" t="inlineStr">
        <is>
          <t>RAS</t>
        </is>
      </c>
      <c r="I151" s="45" t="inlineStr"/>
      <c r="J151" s="45" t="inlineStr">
        <is>
          <t>RNCP36916</t>
        </is>
      </c>
      <c r="K151" s="45" t="inlineStr">
        <is>
          <t>Responsable management durable qualité sécurité environnement</t>
        </is>
      </c>
      <c r="L151" s="45" t="inlineStr">
        <is>
          <t>29/09/2027</t>
        </is>
      </c>
      <c r="M151" s="45" t="inlineStr">
        <is>
          <t>31407 (Qualité hygiène sécurité environnement) ; 12554 (Environnement aménagement) ; 42866 (Santé sécurité travail)</t>
        </is>
      </c>
      <c r="N151" s="50" t="inlineStr">
        <is>
          <t>NON</t>
        </is>
      </c>
      <c r="O151" s="45" t="inlineStr"/>
    </row>
    <row r="152" customFormat="1" s="3">
      <c r="A152" s="45" t="n"/>
      <c r="B152" s="46" t="inlineStr">
        <is>
          <t>12585</t>
        </is>
      </c>
      <c r="C152" s="46">
        <f>LEFT(Tableau1[[#This Row],[Formacode]],3)</f>
        <v/>
      </c>
      <c r="D152" s="47" t="n">
        <v>39588</v>
      </c>
      <c r="E152" s="48">
        <f>"RNCP"&amp;D152</f>
        <v/>
      </c>
      <c r="F152" s="48" t="inlineStr">
        <is>
          <t>Manager santé, sécurité et environnement</t>
        </is>
      </c>
      <c r="G152" s="49">
        <f>E152&amp;" - "&amp;F152</f>
        <v/>
      </c>
      <c r="H152" s="36" t="inlineStr">
        <is>
          <t>RAS</t>
        </is>
      </c>
      <c r="I152" s="45" t="inlineStr"/>
      <c r="J152" s="45" t="inlineStr">
        <is>
          <t>RNCP39588</t>
        </is>
      </c>
      <c r="K152" s="45" t="inlineStr">
        <is>
          <t>Manager santé, sécurité et environnement</t>
        </is>
      </c>
      <c r="L152" s="45" t="inlineStr">
        <is>
          <t>01/10/2027</t>
        </is>
      </c>
      <c r="M152" s="45" t="inlineStr">
        <is>
          <t>42866 (Santé sécurité travail) ; 12554 (Environnement aménagement)</t>
        </is>
      </c>
      <c r="N152" s="50" t="inlineStr">
        <is>
          <t>NON</t>
        </is>
      </c>
      <c r="O152" s="45" t="inlineStr"/>
    </row>
    <row r="153" customFormat="1" s="3">
      <c r="A153" s="45" t="n"/>
      <c r="B153" s="46" t="inlineStr">
        <is>
          <t>12585</t>
        </is>
      </c>
      <c r="C153" s="46">
        <f>LEFT(Tableau1[[#This Row],[Formacode]],3)</f>
        <v/>
      </c>
      <c r="D153" s="47" t="n">
        <v>40155</v>
      </c>
      <c r="E153" s="48">
        <f>"RNCP"&amp;D153</f>
        <v/>
      </c>
      <c r="F153" s="48" t="inlineStr">
        <is>
          <t>Manager en ingénierie et droit de l'environnement</t>
        </is>
      </c>
      <c r="G153" s="49">
        <f>E153&amp;" - "&amp;F153</f>
        <v/>
      </c>
      <c r="H153" s="36" t="inlineStr">
        <is>
          <t>RAS</t>
        </is>
      </c>
      <c r="I153" s="45" t="inlineStr"/>
      <c r="J153" s="45" t="inlineStr">
        <is>
          <t>RNCP40155</t>
        </is>
      </c>
      <c r="K153" s="45" t="inlineStr">
        <is>
          <t>Manager en ingénierie et droit de l'environnement</t>
        </is>
      </c>
      <c r="L153" s="45" t="inlineStr">
        <is>
          <t>31/01/2028</t>
        </is>
      </c>
      <c r="M153" s="45" t="inlineStr">
        <is>
          <t>12585 (Conseil environnement) ; 12522 (Développement durable) ; 12587 (Management environnemental) ; 31407 (Qualité hygiène sécurité environnement) ; 32008 (Responsabilité sociétale entreprise)</t>
        </is>
      </c>
      <c r="N153" s="50" t="inlineStr">
        <is>
          <t>NON</t>
        </is>
      </c>
      <c r="O153" s="45" t="inlineStr"/>
    </row>
    <row r="154" customFormat="1" s="3">
      <c r="A154" s="45" t="n"/>
      <c r="B154" s="46" t="inlineStr">
        <is>
          <t>12585</t>
        </is>
      </c>
      <c r="C154" s="46">
        <f>LEFT(Tableau1[[#This Row],[Formacode]],3)</f>
        <v/>
      </c>
      <c r="D154" s="47" t="n">
        <v>40348</v>
      </c>
      <c r="E154" s="48">
        <f>"RNCP"&amp;D154</f>
        <v/>
      </c>
      <c r="F154" s="48" t="inlineStr">
        <is>
          <t>Expert en accompagnement à la transition par la bioinspiration et le design (MS)</t>
        </is>
      </c>
      <c r="G154" s="49">
        <f>E154&amp;" - "&amp;F154</f>
        <v/>
      </c>
      <c r="H154" s="36" t="inlineStr">
        <is>
          <t>RAS</t>
        </is>
      </c>
      <c r="I154" s="45" t="inlineStr"/>
      <c r="J154" s="45" t="inlineStr">
        <is>
          <t>RNCP40348</t>
        </is>
      </c>
      <c r="K154" s="45" t="inlineStr">
        <is>
          <t>Expert en accompagnement à la transition par la bioinspiration et le design (MS)</t>
        </is>
      </c>
      <c r="L154" s="45" t="inlineStr">
        <is>
          <t>28/03/2028</t>
        </is>
      </c>
      <c r="M154" s="45" t="inlineStr">
        <is>
          <t>12046 (Biologie) ; 45027 (Art appliqué) ; 12587 (Management environnemental) ; 12585 (Conseil environnement)</t>
        </is>
      </c>
      <c r="N154" s="50" t="inlineStr">
        <is>
          <t>NON</t>
        </is>
      </c>
      <c r="O154" s="45" t="inlineStr"/>
    </row>
    <row r="155" customFormat="1" s="3">
      <c r="A155" s="63" t="n"/>
      <c r="B155" s="64" t="inlineStr">
        <is>
          <t>12587</t>
        </is>
      </c>
      <c r="C155" s="64">
        <f>LEFT(Tableau1[[#This Row],[Formacode]],3)</f>
        <v/>
      </c>
      <c r="D155" s="65" t="n">
        <v>35590</v>
      </c>
      <c r="E155" s="66">
        <f>"RNCP"&amp;D155</f>
        <v/>
      </c>
      <c r="F155" s="66" t="inlineStr">
        <is>
          <t>Manager de l'habitat social et durable</t>
        </is>
      </c>
      <c r="G155" s="67">
        <f>E155&amp;" - "&amp;F155</f>
        <v/>
      </c>
      <c r="H155" s="38" t="inlineStr">
        <is>
          <t>Expiré / remplacé</t>
        </is>
      </c>
      <c r="I155" s="63" t="inlineStr">
        <is>
          <t>Fiche inactive — remplacée par RNCP42170 (Manager de projet immobilier durable)</t>
        </is>
      </c>
      <c r="J155" s="63" t="inlineStr">
        <is>
          <t>RNCP42170</t>
        </is>
      </c>
      <c r="K155" s="63" t="inlineStr">
        <is>
          <t>Manager de projet immobilier durable</t>
        </is>
      </c>
      <c r="L155" s="63" t="inlineStr">
        <is>
          <t>19/05/2026</t>
        </is>
      </c>
      <c r="M155" s="63" t="inlineStr">
        <is>
          <t>42154 (Immobilier) ; 22250 (Éco-construction) ; 32145 (Management transversal) ; 12554 (Environnement aménagement)</t>
        </is>
      </c>
      <c r="N155" s="68" t="inlineStr">
        <is>
          <t>NON</t>
        </is>
      </c>
      <c r="O155" s="63" t="inlineStr"/>
    </row>
    <row r="156" customFormat="1" s="3">
      <c r="A156" s="51" t="n"/>
      <c r="B156" s="52" t="inlineStr">
        <is>
          <t>12587</t>
        </is>
      </c>
      <c r="C156" s="52">
        <f>LEFT(Tableau1[[#This Row],[Formacode]],3)</f>
        <v/>
      </c>
      <c r="D156" s="53" t="n">
        <v>35862</v>
      </c>
      <c r="E156" s="54">
        <f>"RNCP"&amp;D156</f>
        <v/>
      </c>
      <c r="F156" s="54" t="inlineStr">
        <is>
          <t>Responsable qualité, santé, sécurité, environnement</t>
        </is>
      </c>
      <c r="G156" s="55">
        <f>E156&amp;" - "&amp;F156</f>
        <v/>
      </c>
      <c r="H156" s="37" t="inlineStr">
        <is>
          <t>À vérifier</t>
        </is>
      </c>
      <c r="I156" s="51" t="inlineStr">
        <is>
          <t>Successeur déjà publié : RNCP42494 (Responsable qualité santé sécurité environnement) — préparer la bascule de l'offre CPF | Échéance le 15/09/2026 (dans 59 j)</t>
        </is>
      </c>
      <c r="J156" s="51" t="inlineStr">
        <is>
          <t>RNCP42494</t>
        </is>
      </c>
      <c r="K156" s="51" t="inlineStr">
        <is>
          <t>Responsable qualité santé sécurité environnement</t>
        </is>
      </c>
      <c r="L156" s="51" t="inlineStr">
        <is>
          <t>15/09/2026</t>
        </is>
      </c>
      <c r="M156" s="51" t="inlineStr">
        <is>
          <t>31407 (Qualité hygiène sécurité environnement) ; 32008 (Responsabilité sociétale entreprise) ; 42818 (Système management santé sécurité travail) ; 12587 (Management environnemental)</t>
        </is>
      </c>
      <c r="N156" s="62" t="inlineStr">
        <is>
          <t>NON</t>
        </is>
      </c>
      <c r="O156" s="51" t="inlineStr"/>
    </row>
    <row r="157" customFormat="1" s="3">
      <c r="A157" s="45" t="n"/>
      <c r="B157" s="46" t="inlineStr">
        <is>
          <t>12587</t>
        </is>
      </c>
      <c r="C157" s="46">
        <f>LEFT(Tableau1[[#This Row],[Formacode]],3)</f>
        <v/>
      </c>
      <c r="D157" s="47" t="n">
        <v>36916</v>
      </c>
      <c r="E157" s="48">
        <f>"RNCP"&amp;D157</f>
        <v/>
      </c>
      <c r="F157" s="48" t="inlineStr">
        <is>
          <t>Responsable management durable qualité sécurité environnement</t>
        </is>
      </c>
      <c r="G157" s="49">
        <f>E157&amp;" - "&amp;F157</f>
        <v/>
      </c>
      <c r="H157" s="36" t="inlineStr">
        <is>
          <t>RAS</t>
        </is>
      </c>
      <c r="I157" s="45" t="inlineStr"/>
      <c r="J157" s="45" t="inlineStr">
        <is>
          <t>RNCP36916</t>
        </is>
      </c>
      <c r="K157" s="45" t="inlineStr">
        <is>
          <t>Responsable management durable qualité sécurité environnement</t>
        </is>
      </c>
      <c r="L157" s="45" t="inlineStr">
        <is>
          <t>29/09/2027</t>
        </is>
      </c>
      <c r="M157" s="45" t="inlineStr">
        <is>
          <t>31407 (Qualité hygiène sécurité environnement) ; 12554 (Environnement aménagement) ; 42866 (Santé sécurité travail)</t>
        </is>
      </c>
      <c r="N157" s="50" t="inlineStr">
        <is>
          <t>NON</t>
        </is>
      </c>
      <c r="O157" s="45" t="inlineStr"/>
    </row>
    <row r="158" customFormat="1" s="3">
      <c r="A158" s="45" t="n"/>
      <c r="B158" s="46" t="inlineStr">
        <is>
          <t>12587</t>
        </is>
      </c>
      <c r="C158" s="46">
        <f>LEFT(Tableau1[[#This Row],[Formacode]],3)</f>
        <v/>
      </c>
      <c r="D158" s="47" t="n">
        <v>39588</v>
      </c>
      <c r="E158" s="48">
        <f>"RNCP"&amp;D158</f>
        <v/>
      </c>
      <c r="F158" s="48" t="inlineStr">
        <is>
          <t>Manager santé, sécurité et environnement</t>
        </is>
      </c>
      <c r="G158" s="49">
        <f>E158&amp;" - "&amp;F158</f>
        <v/>
      </c>
      <c r="H158" s="36" t="inlineStr">
        <is>
          <t>RAS</t>
        </is>
      </c>
      <c r="I158" s="45" t="inlineStr"/>
      <c r="J158" s="45" t="inlineStr">
        <is>
          <t>RNCP39588</t>
        </is>
      </c>
      <c r="K158" s="45" t="inlineStr">
        <is>
          <t>Manager santé, sécurité et environnement</t>
        </is>
      </c>
      <c r="L158" s="45" t="inlineStr">
        <is>
          <t>01/10/2027</t>
        </is>
      </c>
      <c r="M158" s="45" t="inlineStr">
        <is>
          <t>42866 (Santé sécurité travail) ; 12554 (Environnement aménagement)</t>
        </is>
      </c>
      <c r="N158" s="50" t="inlineStr">
        <is>
          <t>NON</t>
        </is>
      </c>
      <c r="O158" s="45" t="inlineStr"/>
    </row>
    <row r="159" customFormat="1" s="3">
      <c r="A159" s="45" t="n"/>
      <c r="B159" s="46" t="inlineStr">
        <is>
          <t>12587</t>
        </is>
      </c>
      <c r="C159" s="46">
        <f>LEFT(Tableau1[[#This Row],[Formacode]],3)</f>
        <v/>
      </c>
      <c r="D159" s="47" t="n">
        <v>39599</v>
      </c>
      <c r="E159" s="48">
        <f>"RNCP"&amp;D159</f>
        <v/>
      </c>
      <c r="F159" s="48" t="inlineStr">
        <is>
          <t>Responsable de projet qualité sécurité environnement et développement durable</t>
        </is>
      </c>
      <c r="G159" s="49">
        <f>E159&amp;" - "&amp;F159</f>
        <v/>
      </c>
      <c r="H159" s="36" t="inlineStr">
        <is>
          <t>RAS</t>
        </is>
      </c>
      <c r="I159" s="45" t="inlineStr"/>
      <c r="J159" s="45" t="inlineStr">
        <is>
          <t>RNCP39599</t>
        </is>
      </c>
      <c r="K159" s="45" t="inlineStr">
        <is>
          <t>Responsable de projet qualité sécurité environnement et développement durable</t>
        </is>
      </c>
      <c r="L159" s="45" t="inlineStr">
        <is>
          <t>01/10/2027</t>
        </is>
      </c>
      <c r="M159" s="45" t="inlineStr">
        <is>
          <t>42818 (Système management santé sécurité travail) ; 12587 (Management environnemental) ; 31407 (Qualité hygiène sécurité environnement) ; 31354 (Qualité industrielle) ; 31449 (Norme qualité)</t>
        </is>
      </c>
      <c r="N159" s="50" t="inlineStr">
        <is>
          <t>NON</t>
        </is>
      </c>
      <c r="O159" s="45" t="inlineStr"/>
    </row>
    <row r="160" customFormat="1" s="3">
      <c r="A160" s="45" t="n"/>
      <c r="B160" s="46" t="inlineStr">
        <is>
          <t>12587</t>
        </is>
      </c>
      <c r="C160" s="46">
        <f>LEFT(Tableau1[[#This Row],[Formacode]],3)</f>
        <v/>
      </c>
      <c r="D160" s="47" t="n">
        <v>40155</v>
      </c>
      <c r="E160" s="48">
        <f>"RNCP"&amp;D160</f>
        <v/>
      </c>
      <c r="F160" s="48" t="inlineStr">
        <is>
          <t>Manager en ingénierie et droit de l'environnement</t>
        </is>
      </c>
      <c r="G160" s="49">
        <f>E160&amp;" - "&amp;F160</f>
        <v/>
      </c>
      <c r="H160" s="36" t="inlineStr">
        <is>
          <t>RAS</t>
        </is>
      </c>
      <c r="I160" s="45" t="inlineStr"/>
      <c r="J160" s="45" t="inlineStr">
        <is>
          <t>RNCP40155</t>
        </is>
      </c>
      <c r="K160" s="45" t="inlineStr">
        <is>
          <t>Manager en ingénierie et droit de l'environnement</t>
        </is>
      </c>
      <c r="L160" s="45" t="inlineStr">
        <is>
          <t>31/01/2028</t>
        </is>
      </c>
      <c r="M160" s="45" t="inlineStr">
        <is>
          <t>12585 (Conseil environnement) ; 12522 (Développement durable) ; 12587 (Management environnemental) ; 31407 (Qualité hygiène sécurité environnement) ; 32008 (Responsabilité sociétale entreprise)</t>
        </is>
      </c>
      <c r="N160" s="50" t="inlineStr">
        <is>
          <t>NON</t>
        </is>
      </c>
      <c r="O160" s="45" t="inlineStr"/>
    </row>
    <row r="161" customFormat="1" s="3">
      <c r="A161" s="45" t="n"/>
      <c r="B161" s="46" t="inlineStr">
        <is>
          <t>12587</t>
        </is>
      </c>
      <c r="C161" s="46">
        <f>LEFT(Tableau1[[#This Row],[Formacode]],3)</f>
        <v/>
      </c>
      <c r="D161" s="47" t="n">
        <v>40348</v>
      </c>
      <c r="E161" s="48">
        <f>"RNCP"&amp;D161</f>
        <v/>
      </c>
      <c r="F161" s="48" t="inlineStr">
        <is>
          <t>Expert en accompagnement à la transition par la bioinspiration et le design (MS)</t>
        </is>
      </c>
      <c r="G161" s="49">
        <f>E161&amp;" - "&amp;F161</f>
        <v/>
      </c>
      <c r="H161" s="36" t="inlineStr">
        <is>
          <t>RAS</t>
        </is>
      </c>
      <c r="I161" s="45" t="inlineStr"/>
      <c r="J161" s="45" t="inlineStr">
        <is>
          <t>RNCP40348</t>
        </is>
      </c>
      <c r="K161" s="45" t="inlineStr">
        <is>
          <t>Expert en accompagnement à la transition par la bioinspiration et le design (MS)</t>
        </is>
      </c>
      <c r="L161" s="45" t="inlineStr">
        <is>
          <t>28/03/2028</t>
        </is>
      </c>
      <c r="M161" s="45" t="inlineStr">
        <is>
          <t>12046 (Biologie) ; 45027 (Art appliqué) ; 12587 (Management environnemental) ; 12585 (Conseil environnement)</t>
        </is>
      </c>
      <c r="N161" s="50" t="inlineStr">
        <is>
          <t>NON</t>
        </is>
      </c>
      <c r="O161" s="45" t="inlineStr"/>
    </row>
    <row r="162" customFormat="1" s="3">
      <c r="A162" s="45" t="n"/>
      <c r="B162" s="46" t="inlineStr">
        <is>
          <t>12587</t>
        </is>
      </c>
      <c r="C162" s="46">
        <f>LEFT(Tableau1[[#This Row],[Formacode]],3)</f>
        <v/>
      </c>
      <c r="D162" s="47" t="n">
        <v>41433</v>
      </c>
      <c r="E162" s="48">
        <f>"RNCP"&amp;D162</f>
        <v/>
      </c>
      <c r="F162" s="48" t="inlineStr">
        <is>
          <t>Manager de la qualité globale et durable</t>
        </is>
      </c>
      <c r="G162" s="49">
        <f>E162&amp;" - "&amp;F162</f>
        <v/>
      </c>
      <c r="H162" s="36" t="inlineStr">
        <is>
          <t>RAS</t>
        </is>
      </c>
      <c r="I162" s="45" t="inlineStr"/>
      <c r="J162" s="45" t="inlineStr">
        <is>
          <t>RNCP41433</t>
        </is>
      </c>
      <c r="K162" s="45" t="inlineStr">
        <is>
          <t>Manager de la qualité globale et durable</t>
        </is>
      </c>
      <c r="L162" s="45" t="inlineStr">
        <is>
          <t>27/10/2030</t>
        </is>
      </c>
      <c r="M162" s="45" t="inlineStr">
        <is>
          <t>31454 (Gestion qualité) ; 32008 (Responsabilité sociétale entreprise) ; 12587 (Management environnemental)</t>
        </is>
      </c>
      <c r="N162" s="50" t="inlineStr">
        <is>
          <t>NON</t>
        </is>
      </c>
      <c r="O162" s="45" t="inlineStr"/>
    </row>
    <row r="163" customFormat="1" s="3">
      <c r="A163" s="63" t="n"/>
      <c r="B163" s="64" t="inlineStr">
        <is>
          <t>12598</t>
        </is>
      </c>
      <c r="C163" s="64">
        <f>LEFT(Tableau1[[#This Row],[Formacode]],3)</f>
        <v/>
      </c>
      <c r="D163" s="65" t="n">
        <v>35590</v>
      </c>
      <c r="E163" s="66">
        <f>"RNCP"&amp;D163</f>
        <v/>
      </c>
      <c r="F163" s="66" t="inlineStr">
        <is>
          <t>Manager de l'habitat social et durable</t>
        </is>
      </c>
      <c r="G163" s="67">
        <f>E163&amp;" - "&amp;F163</f>
        <v/>
      </c>
      <c r="H163" s="38" t="inlineStr">
        <is>
          <t>Expiré / remplacé</t>
        </is>
      </c>
      <c r="I163" s="63" t="inlineStr">
        <is>
          <t>Fiche inactive — remplacée par RNCP42170 (Manager de projet immobilier durable)</t>
        </is>
      </c>
      <c r="J163" s="63" t="inlineStr">
        <is>
          <t>RNCP42170</t>
        </is>
      </c>
      <c r="K163" s="63" t="inlineStr">
        <is>
          <t>Manager de projet immobilier durable</t>
        </is>
      </c>
      <c r="L163" s="63" t="inlineStr">
        <is>
          <t>19/05/2026</t>
        </is>
      </c>
      <c r="M163" s="63" t="inlineStr">
        <is>
          <t>42154 (Immobilier) ; 22250 (Éco-construction) ; 32145 (Management transversal) ; 12554 (Environnement aménagement)</t>
        </is>
      </c>
      <c r="N163" s="68" t="inlineStr">
        <is>
          <t>NON</t>
        </is>
      </c>
      <c r="O163" s="63" t="inlineStr"/>
    </row>
    <row r="164" customFormat="1" s="3">
      <c r="A164" s="45" t="n"/>
      <c r="B164" s="46" t="inlineStr">
        <is>
          <t>12598</t>
        </is>
      </c>
      <c r="C164" s="46">
        <f>LEFT(Tableau1[[#This Row],[Formacode]],3)</f>
        <v/>
      </c>
      <c r="D164" s="47" t="n">
        <v>36916</v>
      </c>
      <c r="E164" s="48">
        <f>"RNCP"&amp;D164</f>
        <v/>
      </c>
      <c r="F164" s="48" t="inlineStr">
        <is>
          <t>Responsable management durable qualité sécurité environnement</t>
        </is>
      </c>
      <c r="G164" s="49">
        <f>E164&amp;" - "&amp;F164</f>
        <v/>
      </c>
      <c r="H164" s="36" t="inlineStr">
        <is>
          <t>RAS</t>
        </is>
      </c>
      <c r="I164" s="45" t="inlineStr"/>
      <c r="J164" s="45" t="inlineStr">
        <is>
          <t>RNCP36916</t>
        </is>
      </c>
      <c r="K164" s="45" t="inlineStr">
        <is>
          <t>Responsable management durable qualité sécurité environnement</t>
        </is>
      </c>
      <c r="L164" s="45" t="inlineStr">
        <is>
          <t>29/09/2027</t>
        </is>
      </c>
      <c r="M164" s="45" t="inlineStr">
        <is>
          <t>31407 (Qualité hygiène sécurité environnement) ; 12554 (Environnement aménagement) ; 42866 (Santé sécurité travail)</t>
        </is>
      </c>
      <c r="N164" s="50" t="inlineStr">
        <is>
          <t>NON</t>
        </is>
      </c>
      <c r="O164" s="45" t="inlineStr"/>
    </row>
    <row r="165" customFormat="1" s="3">
      <c r="A165" s="45" t="n"/>
      <c r="B165" s="46" t="inlineStr">
        <is>
          <t>12598</t>
        </is>
      </c>
      <c r="C165" s="46">
        <f>LEFT(Tableau1[[#This Row],[Formacode]],3)</f>
        <v/>
      </c>
      <c r="D165" s="47" t="n">
        <v>38093</v>
      </c>
      <c r="E165" s="48">
        <f>"RNCP"&amp;D165</f>
        <v/>
      </c>
      <c r="F165" s="48" t="inlineStr">
        <is>
          <t>BP - Responsable d'entreprise agricole</t>
        </is>
      </c>
      <c r="G165" s="49">
        <f>E165&amp;" - "&amp;F165</f>
        <v/>
      </c>
      <c r="H165" s="36" t="inlineStr">
        <is>
          <t>RAS</t>
        </is>
      </c>
      <c r="I165" s="45" t="inlineStr"/>
      <c r="J165" s="45" t="inlineStr">
        <is>
          <t>RNCP38093</t>
        </is>
      </c>
      <c r="K165" s="45" t="inlineStr">
        <is>
          <t>Responsable d'entreprise agricole</t>
        </is>
      </c>
      <c r="L165" s="45" t="inlineStr">
        <is>
          <t>01/01/2029</t>
        </is>
      </c>
      <c r="M165" s="45" t="inlineStr">
        <is>
          <t>21052 (Gestion exploitation agricole) ; 12598 (Environnement agriculture)</t>
        </is>
      </c>
      <c r="N165" s="50" t="inlineStr">
        <is>
          <t>NON</t>
        </is>
      </c>
      <c r="O165" s="45" t="inlineStr"/>
    </row>
    <row r="166" customFormat="1" s="3">
      <c r="A166" s="45" t="n"/>
      <c r="B166" s="46" t="inlineStr">
        <is>
          <t>12598</t>
        </is>
      </c>
      <c r="C166" s="46">
        <f>LEFT(Tableau1[[#This Row],[Formacode]],3)</f>
        <v/>
      </c>
      <c r="D166" s="47" t="n">
        <v>39588</v>
      </c>
      <c r="E166" s="48">
        <f>"RNCP"&amp;D166</f>
        <v/>
      </c>
      <c r="F166" s="48" t="inlineStr">
        <is>
          <t>Manager santé, sécurité et environnement</t>
        </is>
      </c>
      <c r="G166" s="49">
        <f>E166&amp;" - "&amp;F166</f>
        <v/>
      </c>
      <c r="H166" s="36" t="inlineStr">
        <is>
          <t>RAS</t>
        </is>
      </c>
      <c r="I166" s="45" t="inlineStr"/>
      <c r="J166" s="45" t="inlineStr">
        <is>
          <t>RNCP39588</t>
        </is>
      </c>
      <c r="K166" s="45" t="inlineStr">
        <is>
          <t>Manager santé, sécurité et environnement</t>
        </is>
      </c>
      <c r="L166" s="45" t="inlineStr">
        <is>
          <t>01/10/2027</t>
        </is>
      </c>
      <c r="M166" s="45" t="inlineStr">
        <is>
          <t>42866 (Santé sécurité travail) ; 12554 (Environnement aménagement)</t>
        </is>
      </c>
      <c r="N166" s="50" t="inlineStr">
        <is>
          <t>NON</t>
        </is>
      </c>
      <c r="O166" s="45" t="inlineStr"/>
    </row>
    <row r="167" customFormat="1" s="3">
      <c r="A167" s="45" t="n"/>
      <c r="B167" s="46" t="inlineStr">
        <is>
          <t>12598</t>
        </is>
      </c>
      <c r="C167" s="46">
        <f>LEFT(Tableau1[[#This Row],[Formacode]],3)</f>
        <v/>
      </c>
      <c r="D167" s="47" t="n">
        <v>39836</v>
      </c>
      <c r="E167" s="48">
        <f>"RNCP"&amp;D167</f>
        <v/>
      </c>
      <c r="F167" s="48" t="inlineStr">
        <is>
          <t>BTSA - ACS'AGRI : Analyse, Conduite et Stratégie de l'entreprise Agricole</t>
        </is>
      </c>
      <c r="G167" s="49">
        <f>E167&amp;" - "&amp;F167</f>
        <v/>
      </c>
      <c r="H167" s="36" t="inlineStr">
        <is>
          <t>RAS</t>
        </is>
      </c>
      <c r="I167" s="45" t="inlineStr"/>
      <c r="J167" s="45" t="inlineStr">
        <is>
          <t>RNCP39836</t>
        </is>
      </c>
      <c r="K167" s="45" t="inlineStr">
        <is>
          <t>ACS'AGRI : Analyse, Conduite et Stratégie de l'entreprise Agricole</t>
        </is>
      </c>
      <c r="L167" s="45" t="inlineStr">
        <is>
          <t>01/08/2030</t>
        </is>
      </c>
      <c r="M167" s="45" t="inlineStr">
        <is>
          <t>21052 (Gestion exploitation agricole) ; 32047 (Création entreprise) ; 12598 (Environnement agriculture) ; 21056 (Élevage)</t>
        </is>
      </c>
      <c r="N167" s="50" t="inlineStr">
        <is>
          <t>NON</t>
        </is>
      </c>
      <c r="O167" s="45" t="inlineStr"/>
    </row>
    <row r="168" customFormat="1" s="4">
      <c r="A168" s="45" t="n"/>
      <c r="B168" s="46" t="inlineStr">
        <is>
          <t>13024</t>
        </is>
      </c>
      <c r="C168" s="46">
        <f>LEFT(Tableau1[[#This Row],[Formacode]],3)</f>
        <v/>
      </c>
      <c r="D168" s="47" t="n">
        <v>39136</v>
      </c>
      <c r="E168" s="48">
        <f>"RNCP"&amp;D168</f>
        <v/>
      </c>
      <c r="F168" s="48" t="inlineStr">
        <is>
          <t>Grade_Master - Diplôme des Instituts d’Études Politiques – Sciences Po</t>
        </is>
      </c>
      <c r="G168" s="49">
        <f>E168&amp;" - "&amp;F168</f>
        <v/>
      </c>
      <c r="H168" s="36" t="inlineStr">
        <is>
          <t>RAS</t>
        </is>
      </c>
      <c r="I168" s="45" t="inlineStr"/>
      <c r="J168" s="45" t="inlineStr">
        <is>
          <t>RNCP39136</t>
        </is>
      </c>
      <c r="K168" s="45" t="inlineStr">
        <is>
          <t>Diplôme des Instituts d’Études Politiques – Sciences Po</t>
        </is>
      </c>
      <c r="L168" s="45" t="inlineStr">
        <is>
          <t>14/04/2029</t>
        </is>
      </c>
      <c r="M168" s="45" t="inlineStr">
        <is>
          <t>13154 (Économie) ; 13054 (Science politique) ; 46354 (Information - Communication numérique) ; 32154 (Encadrement management) ; 13254 (Droit)</t>
        </is>
      </c>
      <c r="N168" s="50" t="inlineStr">
        <is>
          <t>NON</t>
        </is>
      </c>
      <c r="O168" s="45" t="inlineStr"/>
    </row>
    <row r="169" customFormat="1" s="4">
      <c r="A169" s="63" t="n"/>
      <c r="B169" s="64" t="inlineStr">
        <is>
          <t>13027</t>
        </is>
      </c>
      <c r="C169" s="64">
        <f>LEFT(Tableau1[[#This Row],[Formacode]],3)</f>
        <v/>
      </c>
      <c r="D169" s="65" t="n">
        <v>38947</v>
      </c>
      <c r="E169" s="66">
        <f>"RNCP"&amp;D169</f>
        <v/>
      </c>
      <c r="F169" s="66" t="inlineStr">
        <is>
          <t>Manager du commerce de l'art</t>
        </is>
      </c>
      <c r="G169" s="67">
        <f>E169&amp;" - "&amp;F169</f>
        <v/>
      </c>
      <c r="H169" s="38" t="inlineStr">
        <is>
          <t>Expiré / remplacé</t>
        </is>
      </c>
      <c r="I169" s="63" t="inlineStr">
        <is>
          <t>Fiche inactive — remplacée par RNCP42080 (Manager du commerce de l'art)</t>
        </is>
      </c>
      <c r="J169" s="63" t="inlineStr">
        <is>
          <t>RNCP42080</t>
        </is>
      </c>
      <c r="K169" s="63" t="inlineStr">
        <is>
          <t>Manager du commerce de l'art</t>
        </is>
      </c>
      <c r="L169" s="63" t="inlineStr">
        <is>
          <t>26/04/2026</t>
        </is>
      </c>
      <c r="M169" s="63" t="inlineStr">
        <is>
          <t>13096 (Politique culturelle) ; 45075 (Commerce art)</t>
        </is>
      </c>
      <c r="N169" s="68" t="inlineStr">
        <is>
          <t>NON</t>
        </is>
      </c>
      <c r="O169" s="63" t="inlineStr"/>
    </row>
    <row r="170" customFormat="1" s="4">
      <c r="A170" s="45" t="n"/>
      <c r="B170" s="46" t="inlineStr">
        <is>
          <t>13027</t>
        </is>
      </c>
      <c r="C170" s="46">
        <f>LEFT(Tableau1[[#This Row],[Formacode]],3)</f>
        <v/>
      </c>
      <c r="D170" s="47" t="n">
        <v>39136</v>
      </c>
      <c r="E170" s="48">
        <f>"RNCP"&amp;D170</f>
        <v/>
      </c>
      <c r="F170" s="48" t="inlineStr">
        <is>
          <t>Grade_Master - Diplôme des Instituts d’Études Politiques – Sciences Po</t>
        </is>
      </c>
      <c r="G170" s="49">
        <f>E170&amp;" - "&amp;F170</f>
        <v/>
      </c>
      <c r="H170" s="36" t="inlineStr">
        <is>
          <t>RAS</t>
        </is>
      </c>
      <c r="I170" s="45" t="inlineStr"/>
      <c r="J170" s="45" t="inlineStr">
        <is>
          <t>RNCP39136</t>
        </is>
      </c>
      <c r="K170" s="45" t="inlineStr">
        <is>
          <t>Diplôme des Instituts d’Études Politiques – Sciences Po</t>
        </is>
      </c>
      <c r="L170" s="45" t="inlineStr">
        <is>
          <t>14/04/2029</t>
        </is>
      </c>
      <c r="M170" s="45" t="inlineStr">
        <is>
          <t>13154 (Économie) ; 13054 (Science politique) ; 46354 (Information - Communication numérique) ; 32154 (Encadrement management) ; 13254 (Droit)</t>
        </is>
      </c>
      <c r="N170" s="50" t="inlineStr">
        <is>
          <t>NON</t>
        </is>
      </c>
      <c r="O170" s="45" t="inlineStr"/>
    </row>
    <row r="171" customFormat="1" s="4">
      <c r="A171" s="45" t="n"/>
      <c r="B171" s="46" t="inlineStr">
        <is>
          <t>13027</t>
        </is>
      </c>
      <c r="C171" s="46">
        <f>LEFT(Tableau1[[#This Row],[Formacode]],3)</f>
        <v/>
      </c>
      <c r="D171" s="47" t="n">
        <v>39853</v>
      </c>
      <c r="E171" s="48">
        <f>"RNCP"&amp;D171</f>
        <v/>
      </c>
      <c r="F171" s="48" t="inlineStr">
        <is>
          <t>Expert en relations et coopérations internationales</t>
        </is>
      </c>
      <c r="G171" s="49">
        <f>E171&amp;" - "&amp;F171</f>
        <v/>
      </c>
      <c r="H171" s="36" t="inlineStr">
        <is>
          <t>RAS</t>
        </is>
      </c>
      <c r="I171" s="45" t="inlineStr"/>
      <c r="J171" s="45" t="inlineStr">
        <is>
          <t>RNCP39853</t>
        </is>
      </c>
      <c r="K171" s="45" t="inlineStr">
        <is>
          <t>Expert en relations et coopérations internationales</t>
        </is>
      </c>
      <c r="L171" s="45" t="inlineStr">
        <is>
          <t>28/11/2029</t>
        </is>
      </c>
      <c r="M171" s="45" t="inlineStr">
        <is>
          <t>13027 (Politique publique) ; 32136 (Conduite projet international) ; 13121 (Gestion publique) ; 42803 (Sécurité publique)</t>
        </is>
      </c>
      <c r="N171" s="50" t="inlineStr">
        <is>
          <t>NON</t>
        </is>
      </c>
      <c r="O171" s="45" t="inlineStr"/>
    </row>
    <row r="172" customFormat="1" s="4">
      <c r="A172" s="45" t="n"/>
      <c r="B172" s="46" t="inlineStr">
        <is>
          <t>13027</t>
        </is>
      </c>
      <c r="C172" s="46">
        <f>LEFT(Tableau1[[#This Row],[Formacode]],3)</f>
        <v/>
      </c>
      <c r="D172" s="47" t="n">
        <v>39879</v>
      </c>
      <c r="E172" s="48">
        <f>"RNCP"&amp;D172</f>
        <v/>
      </c>
      <c r="F172" s="48" t="inlineStr">
        <is>
          <t>Manager des institutions et des affaires publiques</t>
        </is>
      </c>
      <c r="G172" s="49">
        <f>E172&amp;" - "&amp;F172</f>
        <v/>
      </c>
      <c r="H172" s="36" t="inlineStr">
        <is>
          <t>RAS</t>
        </is>
      </c>
      <c r="I172" s="45" t="inlineStr"/>
      <c r="J172" s="45" t="inlineStr">
        <is>
          <t>RNCP39879</t>
        </is>
      </c>
      <c r="K172" s="45" t="inlineStr">
        <is>
          <t>Manager des institutions et des affaires publiques</t>
        </is>
      </c>
      <c r="L172" s="45" t="inlineStr">
        <is>
          <t>28/11/2029</t>
        </is>
      </c>
      <c r="M172" s="45" t="inlineStr">
        <is>
          <t>13121 (Gestion publique) ; 13027 (Politique publique) ; 46355 (Relations publiques) ; 32136 (Conduite projet international)</t>
        </is>
      </c>
      <c r="N172" s="50" t="inlineStr">
        <is>
          <t>NON</t>
        </is>
      </c>
      <c r="O172" s="45" t="inlineStr"/>
    </row>
    <row r="173" customFormat="1" s="4">
      <c r="A173" s="45" t="n"/>
      <c r="B173" s="46" t="inlineStr">
        <is>
          <t>13027</t>
        </is>
      </c>
      <c r="C173" s="46">
        <f>LEFT(Tableau1[[#This Row],[Formacode]],3)</f>
        <v/>
      </c>
      <c r="D173" s="47" t="n">
        <v>40674</v>
      </c>
      <c r="E173" s="48">
        <f>"RNCP"&amp;D173</f>
        <v/>
      </c>
      <c r="F173" s="48" t="inlineStr">
        <is>
          <t>Manager de l'ingénierie culturelle</t>
        </is>
      </c>
      <c r="G173" s="49">
        <f>E173&amp;" - "&amp;F173</f>
        <v/>
      </c>
      <c r="H173" s="36" t="inlineStr">
        <is>
          <t>RAS</t>
        </is>
      </c>
      <c r="I173" s="45" t="inlineStr"/>
      <c r="J173" s="45" t="inlineStr">
        <is>
          <t>RNCP40674</t>
        </is>
      </c>
      <c r="K173" s="45" t="inlineStr">
        <is>
          <t>Manager de l'ingénierie culturelle</t>
        </is>
      </c>
      <c r="L173" s="45" t="inlineStr">
        <is>
          <t>23/05/2030</t>
        </is>
      </c>
      <c r="M173" s="45" t="inlineStr">
        <is>
          <t>45052 (Production spectacle) ; 13096 (Politique culturelle) ; 44035 (Médiation socioculturelle) ; 46340 (Communication événementielle)</t>
        </is>
      </c>
      <c r="N173" s="50" t="inlineStr">
        <is>
          <t>NON</t>
        </is>
      </c>
      <c r="O173" s="45" t="inlineStr"/>
    </row>
    <row r="174" customFormat="1" s="4">
      <c r="A174" s="45" t="n"/>
      <c r="B174" s="46" t="inlineStr">
        <is>
          <t>13027</t>
        </is>
      </c>
      <c r="C174" s="46">
        <f>LEFT(Tableau1[[#This Row],[Formacode]],3)</f>
        <v/>
      </c>
      <c r="D174" s="47" t="n">
        <v>41386</v>
      </c>
      <c r="E174" s="48">
        <f>"RNCP"&amp;D174</f>
        <v/>
      </c>
      <c r="F174" s="48" t="inlineStr">
        <is>
          <t>Grade_Master - Créateur industriel</t>
        </is>
      </c>
      <c r="G174" s="49">
        <f>E174&amp;" - "&amp;F174</f>
        <v/>
      </c>
      <c r="H174" s="36" t="inlineStr">
        <is>
          <t>RAS</t>
        </is>
      </c>
      <c r="I174" s="45" t="inlineStr"/>
      <c r="J174" s="45" t="inlineStr">
        <is>
          <t>RNCP41386</t>
        </is>
      </c>
      <c r="K174" s="45" t="inlineStr">
        <is>
          <t>Créateur industriel</t>
        </is>
      </c>
      <c r="L174" s="45" t="inlineStr">
        <is>
          <t>28/08/2030</t>
        </is>
      </c>
      <c r="M174" s="45" t="inlineStr">
        <is>
          <t>45006 (Esthétique industrielle) ; 32135 (Conduite projet) ; 32070 (Innovation entreprise) ; 13027 (Politique publique) ; 13175 (Économie sociale)</t>
        </is>
      </c>
      <c r="N174" s="50" t="inlineStr">
        <is>
          <t>NON</t>
        </is>
      </c>
      <c r="O174" s="45" t="inlineStr"/>
    </row>
    <row r="175" customFormat="1" s="4">
      <c r="A175" s="45" t="n"/>
      <c r="B175" s="46" t="inlineStr">
        <is>
          <t>13032</t>
        </is>
      </c>
      <c r="C175" s="46">
        <f>LEFT(Tableau1[[#This Row],[Formacode]],3)</f>
        <v/>
      </c>
      <c r="D175" s="47" t="n">
        <v>39136</v>
      </c>
      <c r="E175" s="48">
        <f>"RNCP"&amp;D175</f>
        <v/>
      </c>
      <c r="F175" s="48" t="inlineStr">
        <is>
          <t>Grade_Master - Diplôme des Instituts d’Études Politiques – Sciences Po</t>
        </is>
      </c>
      <c r="G175" s="49">
        <f>E175&amp;" - "&amp;F175</f>
        <v/>
      </c>
      <c r="H175" s="36" t="inlineStr">
        <is>
          <t>RAS</t>
        </is>
      </c>
      <c r="I175" s="45" t="inlineStr"/>
      <c r="J175" s="45" t="inlineStr">
        <is>
          <t>RNCP39136</t>
        </is>
      </c>
      <c r="K175" s="45" t="inlineStr">
        <is>
          <t>Diplôme des Instituts d’Études Politiques – Sciences Po</t>
        </is>
      </c>
      <c r="L175" s="45" t="inlineStr">
        <is>
          <t>14/04/2029</t>
        </is>
      </c>
      <c r="M175" s="45" t="inlineStr">
        <is>
          <t>13154 (Économie) ; 13054 (Science politique) ; 46354 (Information - Communication numérique) ; 32154 (Encadrement management) ; 13254 (Droit)</t>
        </is>
      </c>
      <c r="N175" s="50" t="inlineStr">
        <is>
          <t>NON</t>
        </is>
      </c>
      <c r="O175" s="45" t="inlineStr"/>
    </row>
    <row r="176" customFormat="1" s="4">
      <c r="A176" s="45" t="n"/>
      <c r="B176" s="46" t="inlineStr">
        <is>
          <t>13036</t>
        </is>
      </c>
      <c r="C176" s="46">
        <f>LEFT(Tableau1[[#This Row],[Formacode]],3)</f>
        <v/>
      </c>
      <c r="D176" s="47" t="n">
        <v>37270</v>
      </c>
      <c r="E176" s="48">
        <f>"RNCP"&amp;D176</f>
        <v/>
      </c>
      <c r="F176" s="48" t="inlineStr">
        <is>
          <t>Manager de programmes internationaux - humanitaire et développement</t>
        </is>
      </c>
      <c r="G176" s="49">
        <f>E176&amp;" - "&amp;F176</f>
        <v/>
      </c>
      <c r="H176" s="36" t="inlineStr">
        <is>
          <t>RAS</t>
        </is>
      </c>
      <c r="I176" s="45" t="inlineStr"/>
      <c r="J176" s="45" t="inlineStr">
        <is>
          <t>RNCP37270</t>
        </is>
      </c>
      <c r="K176" s="45" t="inlineStr">
        <is>
          <t>Manager de programmes internationaux - humanitaire et développement</t>
        </is>
      </c>
      <c r="L176" s="45" t="inlineStr">
        <is>
          <t>25/01/2028</t>
        </is>
      </c>
      <c r="M176" s="45" t="inlineStr">
        <is>
          <t>13017 (Action humanitaire) ; 32154 (Encadrement management) ; 32005 (Stratégie internationale)</t>
        </is>
      </c>
      <c r="N176" s="50" t="inlineStr">
        <is>
          <t>NON</t>
        </is>
      </c>
      <c r="O176" s="45" t="inlineStr"/>
    </row>
    <row r="177" customFormat="1" s="4">
      <c r="A177" s="45" t="n"/>
      <c r="B177" s="46" t="inlineStr">
        <is>
          <t>13036</t>
        </is>
      </c>
      <c r="C177" s="46">
        <f>LEFT(Tableau1[[#This Row],[Formacode]],3)</f>
        <v/>
      </c>
      <c r="D177" s="47" t="n">
        <v>39136</v>
      </c>
      <c r="E177" s="48">
        <f>"RNCP"&amp;D177</f>
        <v/>
      </c>
      <c r="F177" s="48" t="inlineStr">
        <is>
          <t>Grade_Master - Diplôme des Instituts d’Études Politiques – Sciences Po</t>
        </is>
      </c>
      <c r="G177" s="49">
        <f>E177&amp;" - "&amp;F177</f>
        <v/>
      </c>
      <c r="H177" s="36" t="inlineStr">
        <is>
          <t>RAS</t>
        </is>
      </c>
      <c r="I177" s="45" t="inlineStr"/>
      <c r="J177" s="45" t="inlineStr">
        <is>
          <t>RNCP39136</t>
        </is>
      </c>
      <c r="K177" s="45" t="inlineStr">
        <is>
          <t>Diplôme des Instituts d’Études Politiques – Sciences Po</t>
        </is>
      </c>
      <c r="L177" s="45" t="inlineStr">
        <is>
          <t>14/04/2029</t>
        </is>
      </c>
      <c r="M177" s="45" t="inlineStr">
        <is>
          <t>13154 (Économie) ; 13054 (Science politique) ; 46354 (Information - Communication numérique) ; 32154 (Encadrement management) ; 13254 (Droit)</t>
        </is>
      </c>
      <c r="N177" s="50" t="inlineStr">
        <is>
          <t>NON</t>
        </is>
      </c>
      <c r="O177" s="45" t="inlineStr"/>
    </row>
    <row r="178" customFormat="1" s="4">
      <c r="A178" s="45" t="n"/>
      <c r="B178" s="46" t="inlineStr">
        <is>
          <t>13036</t>
        </is>
      </c>
      <c r="C178" s="46">
        <f>LEFT(Tableau1[[#This Row],[Formacode]],3)</f>
        <v/>
      </c>
      <c r="D178" s="47" t="n">
        <v>39386</v>
      </c>
      <c r="E178" s="48">
        <f>"RNCP"&amp;D178</f>
        <v/>
      </c>
      <c r="F178" s="48" t="inlineStr">
        <is>
          <t>Manager de projets nationaux et internationaux des organisations</t>
        </is>
      </c>
      <c r="G178" s="49">
        <f>E178&amp;" - "&amp;F178</f>
        <v/>
      </c>
      <c r="H178" s="36" t="inlineStr">
        <is>
          <t>RAS</t>
        </is>
      </c>
      <c r="I178" s="45" t="inlineStr"/>
      <c r="J178" s="45" t="inlineStr">
        <is>
          <t>RNCP39386</t>
        </is>
      </c>
      <c r="K178" s="45" t="inlineStr">
        <is>
          <t>Manager de projets nationaux et internationaux des organisations</t>
        </is>
      </c>
      <c r="L178" s="45" t="inlineStr">
        <is>
          <t>19/07/2028</t>
        </is>
      </c>
      <c r="M178" s="45" t="inlineStr">
        <is>
          <t>32136 (Conduite projet international) ; 13175 (Économie sociale) ; 13017 (Action humanitaire)</t>
        </is>
      </c>
      <c r="N178" s="50" t="inlineStr">
        <is>
          <t>NON</t>
        </is>
      </c>
      <c r="O178" s="45" t="inlineStr"/>
    </row>
    <row r="179" customFormat="1" s="4">
      <c r="A179" s="45" t="n"/>
      <c r="B179" s="46" t="inlineStr">
        <is>
          <t>13036</t>
        </is>
      </c>
      <c r="C179" s="46">
        <f>LEFT(Tableau1[[#This Row],[Formacode]],3)</f>
        <v/>
      </c>
      <c r="D179" s="47" t="n">
        <v>39570</v>
      </c>
      <c r="E179" s="48">
        <f>"RNCP"&amp;D179</f>
        <v/>
      </c>
      <c r="F179" s="48" t="inlineStr">
        <is>
          <t>DIPLOVIS - Coordinateur de projets de développement international et sociétal</t>
        </is>
      </c>
      <c r="G179" s="49">
        <f>E179&amp;" - "&amp;F179</f>
        <v/>
      </c>
      <c r="H179" s="36" t="inlineStr">
        <is>
          <t>RAS</t>
        </is>
      </c>
      <c r="I179" s="45" t="inlineStr"/>
      <c r="J179" s="45" t="inlineStr">
        <is>
          <t>RNCP39570</t>
        </is>
      </c>
      <c r="K179" s="45" t="inlineStr">
        <is>
          <t>Coordinateur de projets de développement international et sociétal</t>
        </is>
      </c>
      <c r="L179" s="45" t="inlineStr">
        <is>
          <t>31/08/2027</t>
        </is>
      </c>
      <c r="M179" s="45" t="inlineStr">
        <is>
          <t>13017 (Action humanitaire) ; 13175 (Économie sociale) ; 12522 (Développement durable) ; 32094 (Gestion PME PMI) ; 32006 (Gestion entreprise internationale)</t>
        </is>
      </c>
      <c r="N179" s="50" t="inlineStr">
        <is>
          <t>NON</t>
        </is>
      </c>
      <c r="O179" s="45" t="inlineStr"/>
    </row>
    <row r="180" customFormat="1" s="4">
      <c r="A180" s="45" t="n"/>
      <c r="B180" s="46" t="inlineStr">
        <is>
          <t>13036</t>
        </is>
      </c>
      <c r="C180" s="46">
        <f>LEFT(Tableau1[[#This Row],[Formacode]],3)</f>
        <v/>
      </c>
      <c r="D180" s="47" t="n">
        <v>39684</v>
      </c>
      <c r="E180" s="48">
        <f>"RNCP"&amp;D180</f>
        <v/>
      </c>
      <c r="F180" s="48" t="inlineStr">
        <is>
          <t>BTSA - Développement et animation de projets territoriaux</t>
        </is>
      </c>
      <c r="G180" s="49">
        <f>E180&amp;" - "&amp;F180</f>
        <v/>
      </c>
      <c r="H180" s="36" t="inlineStr">
        <is>
          <t>RAS</t>
        </is>
      </c>
      <c r="I180" s="45" t="inlineStr"/>
      <c r="J180" s="45" t="inlineStr">
        <is>
          <t>RNCP39684</t>
        </is>
      </c>
      <c r="K180" s="45" t="inlineStr">
        <is>
          <t>Développement et animation de projets territoriaux</t>
        </is>
      </c>
      <c r="L180" s="45" t="inlineStr">
        <is>
          <t>31/08/2030</t>
        </is>
      </c>
      <c r="M180" s="45" t="inlineStr">
        <is>
          <t>12514 (Développement rural) ; 12522 (Développement durable) ; 13016 (Aide développement)</t>
        </is>
      </c>
      <c r="N180" s="50" t="inlineStr">
        <is>
          <t>NON</t>
        </is>
      </c>
      <c r="O180" s="45" t="inlineStr"/>
    </row>
    <row r="181" customFormat="1" s="4">
      <c r="A181" s="45" t="n"/>
      <c r="B181" s="46" t="inlineStr">
        <is>
          <t>13036</t>
        </is>
      </c>
      <c r="C181" s="46">
        <f>LEFT(Tableau1[[#This Row],[Formacode]],3)</f>
        <v/>
      </c>
      <c r="D181" s="47" t="n">
        <v>39867</v>
      </c>
      <c r="E181" s="48">
        <f>"RNCP"&amp;D181</f>
        <v/>
      </c>
      <c r="F181" s="48" t="inlineStr">
        <is>
          <t>Expert analyste en relations internationales, intelligence stratégique et diplomatique</t>
        </is>
      </c>
      <c r="G181" s="49">
        <f>E181&amp;" - "&amp;F181</f>
        <v/>
      </c>
      <c r="H181" s="36" t="inlineStr">
        <is>
          <t>RAS</t>
        </is>
      </c>
      <c r="I181" s="45" t="inlineStr"/>
      <c r="J181" s="45" t="inlineStr">
        <is>
          <t>RNCP39867</t>
        </is>
      </c>
      <c r="K181" s="45" t="inlineStr">
        <is>
          <t>Expert analyste en relations internationales, intelligence stratégique et diplomatique</t>
        </is>
      </c>
      <c r="L181" s="45" t="inlineStr">
        <is>
          <t>28/11/2029</t>
        </is>
      </c>
      <c r="M181" s="45" t="inlineStr">
        <is>
          <t>13183 (Économie internationale) ; 13138 (Analyse économique) ; 13036 (Politique internationale) ; 32136 (Conduite projet international) ; 14297 (Criminologie)</t>
        </is>
      </c>
      <c r="N181" s="50" t="inlineStr">
        <is>
          <t>NON</t>
        </is>
      </c>
      <c r="O181" s="45" t="inlineStr"/>
    </row>
    <row r="182" customFormat="1" s="4">
      <c r="A182" s="45" t="n"/>
      <c r="B182" s="46" t="inlineStr">
        <is>
          <t>13036</t>
        </is>
      </c>
      <c r="C182" s="46">
        <f>LEFT(Tableau1[[#This Row],[Formacode]],3)</f>
        <v/>
      </c>
      <c r="D182" s="47" t="n">
        <v>41124</v>
      </c>
      <c r="E182" s="48">
        <f>"RNCP"&amp;D182</f>
        <v/>
      </c>
      <c r="F182" s="48" t="inlineStr">
        <is>
          <t>Coordonnateur de projet de solidarités</t>
        </is>
      </c>
      <c r="G182" s="49">
        <f>E182&amp;" - "&amp;F182</f>
        <v/>
      </c>
      <c r="H182" s="36" t="inlineStr">
        <is>
          <t>RAS</t>
        </is>
      </c>
      <c r="I182" s="45" t="inlineStr"/>
      <c r="J182" s="45" t="inlineStr">
        <is>
          <t>RNCP41124</t>
        </is>
      </c>
      <c r="K182" s="45" t="inlineStr">
        <is>
          <t>Coordonnateur de projet de solidarités</t>
        </is>
      </c>
      <c r="L182" s="45" t="inlineStr">
        <is>
          <t>18/07/2030</t>
        </is>
      </c>
      <c r="M182" s="45" t="inlineStr">
        <is>
          <t>13175 (Économie sociale) ; 12523 (Développement local) ; 13016 (Aide développement) ; 32135 (Conduite projet)</t>
        </is>
      </c>
      <c r="N182" s="50" t="inlineStr">
        <is>
          <t>NON</t>
        </is>
      </c>
      <c r="O182" s="45" t="inlineStr"/>
    </row>
    <row r="183" customFormat="1" s="4">
      <c r="A183" s="45" t="n"/>
      <c r="B183" s="46" t="inlineStr">
        <is>
          <t>13041</t>
        </is>
      </c>
      <c r="C183" s="46">
        <f>LEFT(Tableau1[[#This Row],[Formacode]],3)</f>
        <v/>
      </c>
      <c r="D183" s="47" t="n">
        <v>39136</v>
      </c>
      <c r="E183" s="48">
        <f>"RNCP"&amp;D183</f>
        <v/>
      </c>
      <c r="F183" s="48" t="inlineStr">
        <is>
          <t>Grade_Master - Diplôme des Instituts d’Études Politiques – Sciences Po</t>
        </is>
      </c>
      <c r="G183" s="49">
        <f>E183&amp;" - "&amp;F183</f>
        <v/>
      </c>
      <c r="H183" s="36" t="inlineStr">
        <is>
          <t>RAS</t>
        </is>
      </c>
      <c r="I183" s="45" t="inlineStr"/>
      <c r="J183" s="45" t="inlineStr">
        <is>
          <t>RNCP39136</t>
        </is>
      </c>
      <c r="K183" s="45" t="inlineStr">
        <is>
          <t>Diplôme des Instituts d’Études Politiques – Sciences Po</t>
        </is>
      </c>
      <c r="L183" s="45" t="inlineStr">
        <is>
          <t>14/04/2029</t>
        </is>
      </c>
      <c r="M183" s="45" t="inlineStr">
        <is>
          <t>13154 (Économie) ; 13054 (Science politique) ; 46354 (Information - Communication numérique) ; 32154 (Encadrement management) ; 13254 (Droit)</t>
        </is>
      </c>
      <c r="N183" s="50" t="inlineStr">
        <is>
          <t>NON</t>
        </is>
      </c>
      <c r="O183" s="45" t="inlineStr"/>
    </row>
    <row r="184" customFormat="1" s="4">
      <c r="A184" s="45" t="n"/>
      <c r="B184" s="46" t="inlineStr">
        <is>
          <t>13082</t>
        </is>
      </c>
      <c r="C184" s="46">
        <f>LEFT(Tableau1[[#This Row],[Formacode]],3)</f>
        <v/>
      </c>
      <c r="D184" s="47" t="n">
        <v>39136</v>
      </c>
      <c r="E184" s="48">
        <f>"RNCP"&amp;D184</f>
        <v/>
      </c>
      <c r="F184" s="48" t="inlineStr">
        <is>
          <t>Grade_Master - Diplôme des Instituts d’Études Politiques – Sciences Po</t>
        </is>
      </c>
      <c r="G184" s="49">
        <f>E184&amp;" - "&amp;F184</f>
        <v/>
      </c>
      <c r="H184" s="36" t="inlineStr">
        <is>
          <t>RAS</t>
        </is>
      </c>
      <c r="I184" s="45" t="inlineStr"/>
      <c r="J184" s="45" t="inlineStr">
        <is>
          <t>RNCP39136</t>
        </is>
      </c>
      <c r="K184" s="45" t="inlineStr">
        <is>
          <t>Diplôme des Instituts d’Études Politiques – Sciences Po</t>
        </is>
      </c>
      <c r="L184" s="45" t="inlineStr">
        <is>
          <t>14/04/2029</t>
        </is>
      </c>
      <c r="M184" s="45" t="inlineStr">
        <is>
          <t>13154 (Économie) ; 13054 (Science politique) ; 46354 (Information - Communication numérique) ; 32154 (Encadrement management) ; 13254 (Droit)</t>
        </is>
      </c>
      <c r="N184" s="50" t="inlineStr">
        <is>
          <t>NON</t>
        </is>
      </c>
      <c r="O184" s="45" t="inlineStr"/>
    </row>
    <row r="185" customFormat="1" s="4">
      <c r="A185" s="45" t="n"/>
      <c r="B185" s="46" t="inlineStr">
        <is>
          <t>13087</t>
        </is>
      </c>
      <c r="C185" s="46">
        <f>LEFT(Tableau1[[#This Row],[Formacode]],3)</f>
        <v/>
      </c>
      <c r="D185" s="47" t="n">
        <v>39136</v>
      </c>
      <c r="E185" s="48">
        <f>"RNCP"&amp;D185</f>
        <v/>
      </c>
      <c r="F185" s="48" t="inlineStr">
        <is>
          <t>Grade_Master - Diplôme des Instituts d’Études Politiques – Sciences Po</t>
        </is>
      </c>
      <c r="G185" s="49">
        <f>E185&amp;" - "&amp;F185</f>
        <v/>
      </c>
      <c r="H185" s="36" t="inlineStr">
        <is>
          <t>RAS</t>
        </is>
      </c>
      <c r="I185" s="45" t="inlineStr"/>
      <c r="J185" s="45" t="inlineStr">
        <is>
          <t>RNCP39136</t>
        </is>
      </c>
      <c r="K185" s="45" t="inlineStr">
        <is>
          <t>Diplôme des Instituts d’Études Politiques – Sciences Po</t>
        </is>
      </c>
      <c r="L185" s="45" t="inlineStr">
        <is>
          <t>14/04/2029</t>
        </is>
      </c>
      <c r="M185" s="45" t="inlineStr">
        <is>
          <t>13154 (Économie) ; 13054 (Science politique) ; 46354 (Information - Communication numérique) ; 32154 (Encadrement management) ; 13254 (Droit)</t>
        </is>
      </c>
      <c r="N185" s="50" t="inlineStr">
        <is>
          <t>NON</t>
        </is>
      </c>
      <c r="O185" s="45" t="inlineStr"/>
    </row>
    <row r="186" customFormat="1" s="4">
      <c r="A186" s="45" t="n"/>
      <c r="B186" s="46" t="inlineStr">
        <is>
          <t>13115</t>
        </is>
      </c>
      <c r="C186" s="46">
        <f>LEFT(Tableau1[[#This Row],[Formacode]],3)</f>
        <v/>
      </c>
      <c r="D186" s="47" t="n">
        <v>39136</v>
      </c>
      <c r="E186" s="48">
        <f>"RNCP"&amp;D186</f>
        <v/>
      </c>
      <c r="F186" s="48" t="inlineStr">
        <is>
          <t>Grade_Master - Diplôme des Instituts d’Études Politiques – Sciences Po</t>
        </is>
      </c>
      <c r="G186" s="49">
        <f>E186&amp;" - "&amp;F186</f>
        <v/>
      </c>
      <c r="H186" s="36" t="inlineStr">
        <is>
          <t>RAS</t>
        </is>
      </c>
      <c r="I186" s="45" t="inlineStr"/>
      <c r="J186" s="45" t="inlineStr">
        <is>
          <t>RNCP39136</t>
        </is>
      </c>
      <c r="K186" s="45" t="inlineStr">
        <is>
          <t>Diplôme des Instituts d’Études Politiques – Sciences Po</t>
        </is>
      </c>
      <c r="L186" s="45" t="inlineStr">
        <is>
          <t>14/04/2029</t>
        </is>
      </c>
      <c r="M186" s="45" t="inlineStr">
        <is>
          <t>13154 (Économie) ; 13054 (Science politique) ; 46354 (Information - Communication numérique) ; 32154 (Encadrement management) ; 13254 (Droit)</t>
        </is>
      </c>
      <c r="N186" s="50" t="inlineStr">
        <is>
          <t>NON</t>
        </is>
      </c>
      <c r="O186" s="45" t="inlineStr"/>
    </row>
    <row r="187" customFormat="1" s="4">
      <c r="A187" s="45" t="n"/>
      <c r="B187" s="46" t="inlineStr">
        <is>
          <t>13121</t>
        </is>
      </c>
      <c r="C187" s="46">
        <f>LEFT(Tableau1[[#This Row],[Formacode]],3)</f>
        <v/>
      </c>
      <c r="D187" s="47" t="n">
        <v>39136</v>
      </c>
      <c r="E187" s="48">
        <f>"RNCP"&amp;D187</f>
        <v/>
      </c>
      <c r="F187" s="48" t="inlineStr">
        <is>
          <t>Grade_Master - Diplôme des Instituts d’Études Politiques – Sciences Po</t>
        </is>
      </c>
      <c r="G187" s="49">
        <f>E187&amp;" - "&amp;F187</f>
        <v/>
      </c>
      <c r="H187" s="36" t="inlineStr">
        <is>
          <t>RAS</t>
        </is>
      </c>
      <c r="I187" s="45" t="inlineStr"/>
      <c r="J187" s="45" t="inlineStr">
        <is>
          <t>RNCP39136</t>
        </is>
      </c>
      <c r="K187" s="45" t="inlineStr">
        <is>
          <t>Diplôme des Instituts d’Études Politiques – Sciences Po</t>
        </is>
      </c>
      <c r="L187" s="45" t="inlineStr">
        <is>
          <t>14/04/2029</t>
        </is>
      </c>
      <c r="M187" s="45" t="inlineStr">
        <is>
          <t>13154 (Économie) ; 13054 (Science politique) ; 46354 (Information - Communication numérique) ; 32154 (Encadrement management) ; 13254 (Droit)</t>
        </is>
      </c>
      <c r="N187" s="50" t="inlineStr">
        <is>
          <t>NON</t>
        </is>
      </c>
      <c r="O187" s="45" t="inlineStr"/>
    </row>
    <row r="188" customFormat="1" s="4">
      <c r="A188" s="45" t="n"/>
      <c r="B188" s="46" t="inlineStr">
        <is>
          <t>13121</t>
        </is>
      </c>
      <c r="C188" s="46">
        <f>LEFT(Tableau1[[#This Row],[Formacode]],3)</f>
        <v/>
      </c>
      <c r="D188" s="47" t="n">
        <v>39853</v>
      </c>
      <c r="E188" s="48">
        <f>"RNCP"&amp;D188</f>
        <v/>
      </c>
      <c r="F188" s="48" t="inlineStr">
        <is>
          <t>Expert en relations et coopérations internationales</t>
        </is>
      </c>
      <c r="G188" s="49">
        <f>E188&amp;" - "&amp;F188</f>
        <v/>
      </c>
      <c r="H188" s="36" t="inlineStr">
        <is>
          <t>RAS</t>
        </is>
      </c>
      <c r="I188" s="45" t="inlineStr"/>
      <c r="J188" s="45" t="inlineStr">
        <is>
          <t>RNCP39853</t>
        </is>
      </c>
      <c r="K188" s="45" t="inlineStr">
        <is>
          <t>Expert en relations et coopérations internationales</t>
        </is>
      </c>
      <c r="L188" s="45" t="inlineStr">
        <is>
          <t>28/11/2029</t>
        </is>
      </c>
      <c r="M188" s="45" t="inlineStr">
        <is>
          <t>13027 (Politique publique) ; 32136 (Conduite projet international) ; 13121 (Gestion publique) ; 42803 (Sécurité publique)</t>
        </is>
      </c>
      <c r="N188" s="50" t="inlineStr">
        <is>
          <t>NON</t>
        </is>
      </c>
      <c r="O188" s="45" t="inlineStr"/>
    </row>
    <row r="189" customFormat="1" s="4">
      <c r="A189" s="45" t="n"/>
      <c r="B189" s="46" t="inlineStr">
        <is>
          <t>13121</t>
        </is>
      </c>
      <c r="C189" s="46">
        <f>LEFT(Tableau1[[#This Row],[Formacode]],3)</f>
        <v/>
      </c>
      <c r="D189" s="47" t="n">
        <v>39879</v>
      </c>
      <c r="E189" s="48">
        <f>"RNCP"&amp;D189</f>
        <v/>
      </c>
      <c r="F189" s="48" t="inlineStr">
        <is>
          <t>Manager des institutions et des affaires publiques</t>
        </is>
      </c>
      <c r="G189" s="49">
        <f>E189&amp;" - "&amp;F189</f>
        <v/>
      </c>
      <c r="H189" s="36" t="inlineStr">
        <is>
          <t>RAS</t>
        </is>
      </c>
      <c r="I189" s="45" t="inlineStr"/>
      <c r="J189" s="45" t="inlineStr">
        <is>
          <t>RNCP39879</t>
        </is>
      </c>
      <c r="K189" s="45" t="inlineStr">
        <is>
          <t>Manager des institutions et des affaires publiques</t>
        </is>
      </c>
      <c r="L189" s="45" t="inlineStr">
        <is>
          <t>28/11/2029</t>
        </is>
      </c>
      <c r="M189" s="45" t="inlineStr">
        <is>
          <t>13121 (Gestion publique) ; 13027 (Politique publique) ; 46355 (Relations publiques) ; 32136 (Conduite projet international)</t>
        </is>
      </c>
      <c r="N189" s="50" t="inlineStr">
        <is>
          <t>NON</t>
        </is>
      </c>
      <c r="O189" s="45" t="inlineStr"/>
    </row>
    <row r="190" customFormat="1" s="4">
      <c r="A190" s="45" t="n"/>
      <c r="B190" s="46" t="inlineStr">
        <is>
          <t>13127</t>
        </is>
      </c>
      <c r="C190" s="46">
        <f>LEFT(Tableau1[[#This Row],[Formacode]],3)</f>
        <v/>
      </c>
      <c r="D190" s="47" t="n">
        <v>39136</v>
      </c>
      <c r="E190" s="48">
        <f>"RNCP"&amp;D190</f>
        <v/>
      </c>
      <c r="F190" s="48" t="inlineStr">
        <is>
          <t>Grade_Master - Diplôme des Instituts d’Études Politiques – Sciences Po</t>
        </is>
      </c>
      <c r="G190" s="49">
        <f>E190&amp;" - "&amp;F190</f>
        <v/>
      </c>
      <c r="H190" s="36" t="inlineStr">
        <is>
          <t>RAS</t>
        </is>
      </c>
      <c r="I190" s="45" t="inlineStr"/>
      <c r="J190" s="45" t="inlineStr">
        <is>
          <t>RNCP39136</t>
        </is>
      </c>
      <c r="K190" s="45" t="inlineStr">
        <is>
          <t>Diplôme des Instituts d’Études Politiques – Sciences Po</t>
        </is>
      </c>
      <c r="L190" s="45" t="inlineStr">
        <is>
          <t>14/04/2029</t>
        </is>
      </c>
      <c r="M190" s="45" t="inlineStr">
        <is>
          <t>13154 (Économie) ; 13054 (Science politique) ; 46354 (Information - Communication numérique) ; 32154 (Encadrement management) ; 13254 (Droit)</t>
        </is>
      </c>
      <c r="N190" s="50" t="inlineStr">
        <is>
          <t>NON</t>
        </is>
      </c>
      <c r="O190" s="45" t="inlineStr"/>
    </row>
    <row r="191" customFormat="1" s="4">
      <c r="A191" s="45" t="n"/>
      <c r="B191" s="46" t="inlineStr">
        <is>
          <t>13133</t>
        </is>
      </c>
      <c r="C191" s="46">
        <f>LEFT(Tableau1[[#This Row],[Formacode]],3)</f>
        <v/>
      </c>
      <c r="D191" s="47" t="n">
        <v>39136</v>
      </c>
      <c r="E191" s="48">
        <f>"RNCP"&amp;D191</f>
        <v/>
      </c>
      <c r="F191" s="48" t="inlineStr">
        <is>
          <t>Grade_Master - Diplôme des Instituts d’Études Politiques – Sciences Po</t>
        </is>
      </c>
      <c r="G191" s="49">
        <f>E191&amp;" - "&amp;F191</f>
        <v/>
      </c>
      <c r="H191" s="36" t="inlineStr">
        <is>
          <t>RAS</t>
        </is>
      </c>
      <c r="I191" s="45" t="inlineStr"/>
      <c r="J191" s="45" t="inlineStr">
        <is>
          <t>RNCP39136</t>
        </is>
      </c>
      <c r="K191" s="45" t="inlineStr">
        <is>
          <t>Diplôme des Instituts d’Études Politiques – Sciences Po</t>
        </is>
      </c>
      <c r="L191" s="45" t="inlineStr">
        <is>
          <t>14/04/2029</t>
        </is>
      </c>
      <c r="M191" s="45" t="inlineStr">
        <is>
          <t>13154 (Économie) ; 13054 (Science politique) ; 46354 (Information - Communication numérique) ; 32154 (Encadrement management) ; 13254 (Droit)</t>
        </is>
      </c>
      <c r="N191" s="50" t="inlineStr">
        <is>
          <t>NON</t>
        </is>
      </c>
      <c r="O191" s="45" t="inlineStr"/>
    </row>
    <row r="192" customFormat="1" s="4">
      <c r="A192" s="45" t="n"/>
      <c r="B192" s="46" t="inlineStr">
        <is>
          <t>13138</t>
        </is>
      </c>
      <c r="C192" s="46">
        <f>LEFT(Tableau1[[#This Row],[Formacode]],3)</f>
        <v/>
      </c>
      <c r="D192" s="47" t="n">
        <v>39136</v>
      </c>
      <c r="E192" s="48">
        <f>"RNCP"&amp;D192</f>
        <v/>
      </c>
      <c r="F192" s="48" t="inlineStr">
        <is>
          <t>Grade_Master - Diplôme des Instituts d’Études Politiques – Sciences Po</t>
        </is>
      </c>
      <c r="G192" s="49">
        <f>E192&amp;" - "&amp;F192</f>
        <v/>
      </c>
      <c r="H192" s="36" t="inlineStr">
        <is>
          <t>RAS</t>
        </is>
      </c>
      <c r="I192" s="45" t="inlineStr"/>
      <c r="J192" s="45" t="inlineStr">
        <is>
          <t>RNCP39136</t>
        </is>
      </c>
      <c r="K192" s="45" t="inlineStr">
        <is>
          <t>Diplôme des Instituts d’Études Politiques – Sciences Po</t>
        </is>
      </c>
      <c r="L192" s="45" t="inlineStr">
        <is>
          <t>14/04/2029</t>
        </is>
      </c>
      <c r="M192" s="45" t="inlineStr">
        <is>
          <t>13154 (Économie) ; 13054 (Science politique) ; 46354 (Information - Communication numérique) ; 32154 (Encadrement management) ; 13254 (Droit)</t>
        </is>
      </c>
      <c r="N192" s="50" t="inlineStr">
        <is>
          <t>NON</t>
        </is>
      </c>
      <c r="O192" s="45" t="inlineStr"/>
    </row>
    <row r="193" customFormat="1" s="4">
      <c r="A193" s="45" t="n"/>
      <c r="B193" s="46" t="inlineStr">
        <is>
          <t>13138</t>
        </is>
      </c>
      <c r="C193" s="46">
        <f>LEFT(Tableau1[[#This Row],[Formacode]],3)</f>
        <v/>
      </c>
      <c r="D193" s="47" t="n">
        <v>39867</v>
      </c>
      <c r="E193" s="48">
        <f>"RNCP"&amp;D193</f>
        <v/>
      </c>
      <c r="F193" s="48" t="inlineStr">
        <is>
          <t>Expert analyste en relations internationales, intelligence stratégique et diplomatique</t>
        </is>
      </c>
      <c r="G193" s="49">
        <f>E193&amp;" - "&amp;F193</f>
        <v/>
      </c>
      <c r="H193" s="36" t="inlineStr">
        <is>
          <t>RAS</t>
        </is>
      </c>
      <c r="I193" s="45" t="inlineStr"/>
      <c r="J193" s="45" t="inlineStr">
        <is>
          <t>RNCP39867</t>
        </is>
      </c>
      <c r="K193" s="45" t="inlineStr">
        <is>
          <t>Expert analyste en relations internationales, intelligence stratégique et diplomatique</t>
        </is>
      </c>
      <c r="L193" s="45" t="inlineStr">
        <is>
          <t>28/11/2029</t>
        </is>
      </c>
      <c r="M193" s="45" t="inlineStr">
        <is>
          <t>13183 (Économie internationale) ; 13138 (Analyse économique) ; 13036 (Politique internationale) ; 32136 (Conduite projet international) ; 14297 (Criminologie)</t>
        </is>
      </c>
      <c r="N193" s="50" t="inlineStr">
        <is>
          <t>NON</t>
        </is>
      </c>
      <c r="O193" s="45" t="inlineStr"/>
    </row>
    <row r="194" customFormat="1" s="4">
      <c r="A194" s="45" t="n"/>
      <c r="B194" s="46" t="inlineStr">
        <is>
          <t>13141</t>
        </is>
      </c>
      <c r="C194" s="46">
        <f>LEFT(Tableau1[[#This Row],[Formacode]],3)</f>
        <v/>
      </c>
      <c r="D194" s="47" t="n">
        <v>39136</v>
      </c>
      <c r="E194" s="48">
        <f>"RNCP"&amp;D194</f>
        <v/>
      </c>
      <c r="F194" s="48" t="inlineStr">
        <is>
          <t>Grade_Master - Diplôme des Instituts d’Études Politiques – Sciences Po</t>
        </is>
      </c>
      <c r="G194" s="49">
        <f>E194&amp;" - "&amp;F194</f>
        <v/>
      </c>
      <c r="H194" s="36" t="inlineStr">
        <is>
          <t>RAS</t>
        </is>
      </c>
      <c r="I194" s="45" t="inlineStr"/>
      <c r="J194" s="45" t="inlineStr">
        <is>
          <t>RNCP39136</t>
        </is>
      </c>
      <c r="K194" s="45" t="inlineStr">
        <is>
          <t>Diplôme des Instituts d’Études Politiques – Sciences Po</t>
        </is>
      </c>
      <c r="L194" s="45" t="inlineStr">
        <is>
          <t>14/04/2029</t>
        </is>
      </c>
      <c r="M194" s="45" t="inlineStr">
        <is>
          <t>13154 (Économie) ; 13054 (Science politique) ; 46354 (Information - Communication numérique) ; 32154 (Encadrement management) ; 13254 (Droit)</t>
        </is>
      </c>
      <c r="N194" s="50" t="inlineStr">
        <is>
          <t>NON</t>
        </is>
      </c>
      <c r="O194" s="45" t="inlineStr"/>
    </row>
    <row r="195" customFormat="1" s="4">
      <c r="A195" s="45" t="n"/>
      <c r="B195" s="46" t="inlineStr">
        <is>
          <t>13162</t>
        </is>
      </c>
      <c r="C195" s="46">
        <f>LEFT(Tableau1[[#This Row],[Formacode]],3)</f>
        <v/>
      </c>
      <c r="D195" s="47" t="n">
        <v>39136</v>
      </c>
      <c r="E195" s="48">
        <f>"RNCP"&amp;D195</f>
        <v/>
      </c>
      <c r="F195" s="48" t="inlineStr">
        <is>
          <t>Grade_Master - Diplôme des Instituts d’Études Politiques – Sciences Po</t>
        </is>
      </c>
      <c r="G195" s="49">
        <f>E195&amp;" - "&amp;F195</f>
        <v/>
      </c>
      <c r="H195" s="36" t="inlineStr">
        <is>
          <t>RAS</t>
        </is>
      </c>
      <c r="I195" s="45" t="inlineStr"/>
      <c r="J195" s="45" t="inlineStr">
        <is>
          <t>RNCP39136</t>
        </is>
      </c>
      <c r="K195" s="45" t="inlineStr">
        <is>
          <t>Diplôme des Instituts d’Études Politiques – Sciences Po</t>
        </is>
      </c>
      <c r="L195" s="45" t="inlineStr">
        <is>
          <t>14/04/2029</t>
        </is>
      </c>
      <c r="M195" s="45" t="inlineStr">
        <is>
          <t>13154 (Économie) ; 13054 (Science politique) ; 46354 (Information - Communication numérique) ; 32154 (Encadrement management) ; 13254 (Droit)</t>
        </is>
      </c>
      <c r="N195" s="50" t="inlineStr">
        <is>
          <t>NON</t>
        </is>
      </c>
      <c r="O195" s="45" t="inlineStr"/>
    </row>
    <row r="196" customFormat="1" s="4">
      <c r="A196" s="51" t="n"/>
      <c r="B196" s="52" t="inlineStr">
        <is>
          <t>13166</t>
        </is>
      </c>
      <c r="C196" s="52">
        <f>LEFT(Tableau1[[#This Row],[Formacode]],3)</f>
        <v/>
      </c>
      <c r="D196" s="53" t="n">
        <v>37824</v>
      </c>
      <c r="E196" s="54">
        <f>"RNCP"&amp;D196</f>
        <v/>
      </c>
      <c r="F196" s="54" t="inlineStr">
        <is>
          <t>Expert-conseil en stratégie des filières agricoles et agroalimentaires</t>
        </is>
      </c>
      <c r="G196" s="55">
        <f>E196&amp;" - "&amp;F196</f>
        <v/>
      </c>
      <c r="H196" s="37" t="inlineStr">
        <is>
          <t>À vérifier</t>
        </is>
      </c>
      <c r="I196" s="51" t="inlineStr">
        <is>
          <t>Successeur déjà publié : RNCP42476 (Expert-conseil en stratégie des filières agricoles et agroalimentaires) — préparer la bascule de l'offre CPF | Échéance le 19/07/2026 (dans 1 j)</t>
        </is>
      </c>
      <c r="J196" s="51" t="inlineStr">
        <is>
          <t>RNCP42476</t>
        </is>
      </c>
      <c r="K196" s="51" t="inlineStr">
        <is>
          <t>Expert-conseil en stratégie des filières agricoles et agroalimentaires</t>
        </is>
      </c>
      <c r="L196" s="51" t="inlineStr">
        <is>
          <t>19/07/2026</t>
        </is>
      </c>
      <c r="M196" s="51" t="inlineStr">
        <is>
          <t>13158 (Économie agricole) ; 21052 (Gestion exploitation agricole) ; 21084 (Commercialisation agricole) ; 21554 (Agroalimentaire)</t>
        </is>
      </c>
      <c r="N196" s="62" t="inlineStr">
        <is>
          <t>NON</t>
        </is>
      </c>
      <c r="O196" s="51" t="inlineStr"/>
    </row>
    <row r="197" customFormat="1" s="4">
      <c r="A197" s="45" t="n"/>
      <c r="B197" s="46" t="inlineStr">
        <is>
          <t>13166</t>
        </is>
      </c>
      <c r="C197" s="46">
        <f>LEFT(Tableau1[[#This Row],[Formacode]],3)</f>
        <v/>
      </c>
      <c r="D197" s="47" t="n">
        <v>38609</v>
      </c>
      <c r="E197" s="48">
        <f>"RNCP"&amp;D197</f>
        <v/>
      </c>
      <c r="F197" s="48" t="inlineStr">
        <is>
          <t>Conseiller en droit rural et économie agricole</t>
        </is>
      </c>
      <c r="G197" s="49">
        <f>E197&amp;" - "&amp;F197</f>
        <v/>
      </c>
      <c r="H197" s="36" t="inlineStr">
        <is>
          <t>RAS</t>
        </is>
      </c>
      <c r="I197" s="45" t="inlineStr"/>
      <c r="J197" s="45" t="inlineStr">
        <is>
          <t>RNCP38609</t>
        </is>
      </c>
      <c r="K197" s="45" t="inlineStr">
        <is>
          <t>Conseiller en droit rural et économie agricole</t>
        </is>
      </c>
      <c r="L197" s="45" t="inlineStr">
        <is>
          <t>09/02/2027</t>
        </is>
      </c>
      <c r="M197" s="45" t="inlineStr">
        <is>
          <t>13158 (Économie agricole) ; 21081 (Droit rural) ; 21060 (Installation agriculteur) ; 32043 (Conseil entreprise)</t>
        </is>
      </c>
      <c r="N197" s="50" t="inlineStr">
        <is>
          <t>NON</t>
        </is>
      </c>
      <c r="O197" s="45" t="inlineStr"/>
    </row>
    <row r="198" customFormat="1" s="4">
      <c r="A198" s="45" t="n"/>
      <c r="B198" s="46" t="inlineStr">
        <is>
          <t>13166</t>
        </is>
      </c>
      <c r="C198" s="46">
        <f>LEFT(Tableau1[[#This Row],[Formacode]],3)</f>
        <v/>
      </c>
      <c r="D198" s="47" t="n">
        <v>39136</v>
      </c>
      <c r="E198" s="48">
        <f>"RNCP"&amp;D198</f>
        <v/>
      </c>
      <c r="F198" s="48" t="inlineStr">
        <is>
          <t>Grade_Master - Diplôme des Instituts d’Études Politiques – Sciences Po</t>
        </is>
      </c>
      <c r="G198" s="49">
        <f>E198&amp;" - "&amp;F198</f>
        <v/>
      </c>
      <c r="H198" s="36" t="inlineStr">
        <is>
          <t>RAS</t>
        </is>
      </c>
      <c r="I198" s="45" t="inlineStr"/>
      <c r="J198" s="45" t="inlineStr">
        <is>
          <t>RNCP39136</t>
        </is>
      </c>
      <c r="K198" s="45" t="inlineStr">
        <is>
          <t>Diplôme des Instituts d’Études Politiques – Sciences Po</t>
        </is>
      </c>
      <c r="L198" s="45" t="inlineStr">
        <is>
          <t>14/04/2029</t>
        </is>
      </c>
      <c r="M198" s="45" t="inlineStr">
        <is>
          <t>13154 (Économie) ; 13054 (Science politique) ; 46354 (Information - Communication numérique) ; 32154 (Encadrement management) ; 13254 (Droit)</t>
        </is>
      </c>
      <c r="N198" s="50" t="inlineStr">
        <is>
          <t>NON</t>
        </is>
      </c>
      <c r="O198" s="45" t="inlineStr"/>
    </row>
    <row r="199" customFormat="1" s="4">
      <c r="A199" s="63" t="n"/>
      <c r="B199" s="64" t="inlineStr">
        <is>
          <t>13175</t>
        </is>
      </c>
      <c r="C199" s="64">
        <f>LEFT(Tableau1[[#This Row],[Formacode]],3)</f>
        <v/>
      </c>
      <c r="D199" s="65" t="n">
        <v>37519</v>
      </c>
      <c r="E199" s="66">
        <f>"RNCP"&amp;D199</f>
        <v/>
      </c>
      <c r="F199" s="66" t="inlineStr">
        <is>
          <t>Directeur d''organisation ou d'entreprise d'innovation sociale</t>
        </is>
      </c>
      <c r="G199" s="67">
        <f>E199&amp;" - "&amp;F199</f>
        <v/>
      </c>
      <c r="H199" s="38" t="inlineStr">
        <is>
          <t>Expiré / remplacé</t>
        </is>
      </c>
      <c r="I199" s="63" t="inlineStr">
        <is>
          <t>Fiche inactive — remplacée par RNCP41739 (Directeur d'organisation ou d'entreprise d'innovation sociale)</t>
        </is>
      </c>
      <c r="J199" s="63" t="inlineStr">
        <is>
          <t>RNCP41739</t>
        </is>
      </c>
      <c r="K199" s="63" t="inlineStr">
        <is>
          <t>Directeur d'organisation ou d'entreprise d'innovation sociale</t>
        </is>
      </c>
      <c r="L199" s="63" t="inlineStr">
        <is>
          <t>24/04/2026</t>
        </is>
      </c>
      <c r="M199" s="63" t="inlineStr">
        <is>
          <t>44039 (Établissement hébergement personnes âgées) ; 13175 (Économie sociale) ; 44072 (Travail social) ; 44056 (Travail social en réseau)</t>
        </is>
      </c>
      <c r="N199" s="68" t="inlineStr">
        <is>
          <t>NON</t>
        </is>
      </c>
      <c r="O199" s="63" t="inlineStr"/>
    </row>
    <row r="200" customFormat="1" s="4">
      <c r="A200" s="63" t="n"/>
      <c r="B200" s="64" t="inlineStr">
        <is>
          <t>13175</t>
        </is>
      </c>
      <c r="C200" s="64">
        <f>LEFT(Tableau1[[#This Row],[Formacode]],3)</f>
        <v/>
      </c>
      <c r="D200" s="65" t="n">
        <v>37523</v>
      </c>
      <c r="E200" s="66">
        <f>"RNCP"&amp;D200</f>
        <v/>
      </c>
      <c r="F200" s="66" t="inlineStr">
        <is>
          <t>Responsable de service ou d'entité dans le secteur de l'économie sociale et solidaire</t>
        </is>
      </c>
      <c r="G200" s="67">
        <f>E200&amp;" - "&amp;F200</f>
        <v/>
      </c>
      <c r="H200" s="38" t="inlineStr">
        <is>
          <t>Expiré / remplacé</t>
        </is>
      </c>
      <c r="I200" s="63" t="inlineStr">
        <is>
          <t>Fiche inactive (échéance 24/04/2026) — aucun successeur publié</t>
        </is>
      </c>
      <c r="J200" s="63" t="inlineStr">
        <is>
          <t>RNCP37523</t>
        </is>
      </c>
      <c r="K200" s="63" t="inlineStr">
        <is>
          <t>Responsable de service ou d'entité dans le secteur de l'économie sociale et solidaire</t>
        </is>
      </c>
      <c r="L200" s="63" t="inlineStr">
        <is>
          <t>24/04/2026</t>
        </is>
      </c>
      <c r="M200" s="63" t="inlineStr">
        <is>
          <t>13175 (Économie sociale) ; 32008 (Responsabilité sociétale entreprise)</t>
        </is>
      </c>
      <c r="N200" s="68" t="inlineStr">
        <is>
          <t>NON</t>
        </is>
      </c>
      <c r="O200" s="63" t="inlineStr"/>
    </row>
    <row r="201" customFormat="1" s="4">
      <c r="A201" s="45" t="n"/>
      <c r="B201" s="46" t="inlineStr">
        <is>
          <t>13175</t>
        </is>
      </c>
      <c r="C201" s="46">
        <f>LEFT(Tableau1[[#This Row],[Formacode]],3)</f>
        <v/>
      </c>
      <c r="D201" s="47" t="n">
        <v>38575</v>
      </c>
      <c r="E201" s="48">
        <f>"RNCP"&amp;D201</f>
        <v/>
      </c>
      <c r="F201" s="48" t="inlineStr">
        <is>
          <t>TP - Responsable de petite ou moyenne structure</t>
        </is>
      </c>
      <c r="G201" s="49">
        <f>E201&amp;" - "&amp;F201</f>
        <v/>
      </c>
      <c r="H201" s="36" t="inlineStr">
        <is>
          <t>RAS</t>
        </is>
      </c>
      <c r="I201" s="45" t="inlineStr"/>
      <c r="J201" s="45" t="inlineStr">
        <is>
          <t>RNCP38575</t>
        </is>
      </c>
      <c r="K201" s="45" t="inlineStr">
        <is>
          <t>Responsable de petite ou moyenne structure</t>
        </is>
      </c>
      <c r="L201" s="45" t="inlineStr">
        <is>
          <t>08/02/2029</t>
        </is>
      </c>
      <c r="M201" s="45" t="inlineStr">
        <is>
          <t>32094 (Gestion PME PMI) ; 13175 (Économie sociale) ; 32008 (Responsabilité sociétale entreprise) ; 32047 (Création entreprise) ; 32048 (Reprise entreprise)</t>
        </is>
      </c>
      <c r="N201" s="50" t="inlineStr">
        <is>
          <t>NON</t>
        </is>
      </c>
      <c r="O201" s="45" t="inlineStr"/>
    </row>
    <row r="202" customFormat="1" s="4">
      <c r="A202" s="45" t="n"/>
      <c r="B202" s="46" t="inlineStr">
        <is>
          <t>13175</t>
        </is>
      </c>
      <c r="C202" s="46">
        <f>LEFT(Tableau1[[#This Row],[Formacode]],3)</f>
        <v/>
      </c>
      <c r="D202" s="47" t="n">
        <v>39136</v>
      </c>
      <c r="E202" s="48">
        <f>"RNCP"&amp;D202</f>
        <v/>
      </c>
      <c r="F202" s="48" t="inlineStr">
        <is>
          <t>Grade_Master - Diplôme des Instituts d’Études Politiques – Sciences Po</t>
        </is>
      </c>
      <c r="G202" s="49">
        <f>E202&amp;" - "&amp;F202</f>
        <v/>
      </c>
      <c r="H202" s="36" t="inlineStr">
        <is>
          <t>RAS</t>
        </is>
      </c>
      <c r="I202" s="45" t="inlineStr"/>
      <c r="J202" s="45" t="inlineStr">
        <is>
          <t>RNCP39136</t>
        </is>
      </c>
      <c r="K202" s="45" t="inlineStr">
        <is>
          <t>Diplôme des Instituts d’Études Politiques – Sciences Po</t>
        </is>
      </c>
      <c r="L202" s="45" t="inlineStr">
        <is>
          <t>14/04/2029</t>
        </is>
      </c>
      <c r="M202" s="45" t="inlineStr">
        <is>
          <t>13154 (Économie) ; 13054 (Science politique) ; 46354 (Information - Communication numérique) ; 32154 (Encadrement management) ; 13254 (Droit)</t>
        </is>
      </c>
      <c r="N202" s="50" t="inlineStr">
        <is>
          <t>NON</t>
        </is>
      </c>
      <c r="O202" s="45" t="inlineStr"/>
    </row>
    <row r="203" customFormat="1" s="4">
      <c r="A203" s="45" t="n"/>
      <c r="B203" s="46" t="inlineStr">
        <is>
          <t>13175</t>
        </is>
      </c>
      <c r="C203" s="46">
        <f>LEFT(Tableau1[[#This Row],[Formacode]],3)</f>
        <v/>
      </c>
      <c r="D203" s="47" t="n">
        <v>39386</v>
      </c>
      <c r="E203" s="48">
        <f>"RNCP"&amp;D203</f>
        <v/>
      </c>
      <c r="F203" s="48" t="inlineStr">
        <is>
          <t>Manager de projets nationaux et internationaux des organisations</t>
        </is>
      </c>
      <c r="G203" s="49">
        <f>E203&amp;" - "&amp;F203</f>
        <v/>
      </c>
      <c r="H203" s="36" t="inlineStr">
        <is>
          <t>RAS</t>
        </is>
      </c>
      <c r="I203" s="45" t="inlineStr"/>
      <c r="J203" s="45" t="inlineStr">
        <is>
          <t>RNCP39386</t>
        </is>
      </c>
      <c r="K203" s="45" t="inlineStr">
        <is>
          <t>Manager de projets nationaux et internationaux des organisations</t>
        </is>
      </c>
      <c r="L203" s="45" t="inlineStr">
        <is>
          <t>19/07/2028</t>
        </is>
      </c>
      <c r="M203" s="45" t="inlineStr">
        <is>
          <t>32136 (Conduite projet international) ; 13175 (Économie sociale) ; 13017 (Action humanitaire)</t>
        </is>
      </c>
      <c r="N203" s="50" t="inlineStr">
        <is>
          <t>NON</t>
        </is>
      </c>
      <c r="O203" s="45" t="inlineStr"/>
    </row>
    <row r="204" customFormat="1" s="4">
      <c r="A204" s="45" t="n"/>
      <c r="B204" s="46" t="inlineStr">
        <is>
          <t>13175</t>
        </is>
      </c>
      <c r="C204" s="46">
        <f>LEFT(Tableau1[[#This Row],[Formacode]],3)</f>
        <v/>
      </c>
      <c r="D204" s="47" t="n">
        <v>39570</v>
      </c>
      <c r="E204" s="48">
        <f>"RNCP"&amp;D204</f>
        <v/>
      </c>
      <c r="F204" s="48" t="inlineStr">
        <is>
          <t>DIPLOVIS - Coordinateur de projets de développement international et sociétal</t>
        </is>
      </c>
      <c r="G204" s="49">
        <f>E204&amp;" - "&amp;F204</f>
        <v/>
      </c>
      <c r="H204" s="36" t="inlineStr">
        <is>
          <t>RAS</t>
        </is>
      </c>
      <c r="I204" s="45" t="inlineStr"/>
      <c r="J204" s="45" t="inlineStr">
        <is>
          <t>RNCP39570</t>
        </is>
      </c>
      <c r="K204" s="45" t="inlineStr">
        <is>
          <t>Coordinateur de projets de développement international et sociétal</t>
        </is>
      </c>
      <c r="L204" s="45" t="inlineStr">
        <is>
          <t>31/08/2027</t>
        </is>
      </c>
      <c r="M204" s="45" t="inlineStr">
        <is>
          <t>13017 (Action humanitaire) ; 13175 (Économie sociale) ; 12522 (Développement durable) ; 32094 (Gestion PME PMI) ; 32006 (Gestion entreprise internationale)</t>
        </is>
      </c>
      <c r="N204" s="50" t="inlineStr">
        <is>
          <t>NON</t>
        </is>
      </c>
      <c r="O204" s="45" t="inlineStr"/>
    </row>
    <row r="205" customFormat="1" s="4">
      <c r="A205" s="45" t="n"/>
      <c r="B205" s="46" t="inlineStr">
        <is>
          <t>13175</t>
        </is>
      </c>
      <c r="C205" s="46">
        <f>LEFT(Tableau1[[#This Row],[Formacode]],3)</f>
        <v/>
      </c>
      <c r="D205" s="47" t="n">
        <v>41124</v>
      </c>
      <c r="E205" s="48">
        <f>"RNCP"&amp;D205</f>
        <v/>
      </c>
      <c r="F205" s="48" t="inlineStr">
        <is>
          <t>Coordonnateur de projet de solidarités</t>
        </is>
      </c>
      <c r="G205" s="49">
        <f>E205&amp;" - "&amp;F205</f>
        <v/>
      </c>
      <c r="H205" s="36" t="inlineStr">
        <is>
          <t>RAS</t>
        </is>
      </c>
      <c r="I205" s="45" t="inlineStr"/>
      <c r="J205" s="45" t="inlineStr">
        <is>
          <t>RNCP41124</t>
        </is>
      </c>
      <c r="K205" s="45" t="inlineStr">
        <is>
          <t>Coordonnateur de projet de solidarités</t>
        </is>
      </c>
      <c r="L205" s="45" t="inlineStr">
        <is>
          <t>18/07/2030</t>
        </is>
      </c>
      <c r="M205" s="45" t="inlineStr">
        <is>
          <t>13175 (Économie sociale) ; 12523 (Développement local) ; 13016 (Aide développement) ; 32135 (Conduite projet)</t>
        </is>
      </c>
      <c r="N205" s="50" t="inlineStr">
        <is>
          <t>NON</t>
        </is>
      </c>
      <c r="O205" s="45" t="inlineStr"/>
    </row>
    <row r="206" customFormat="1" s="4">
      <c r="A206" s="45" t="n"/>
      <c r="B206" s="46" t="inlineStr">
        <is>
          <t>13175</t>
        </is>
      </c>
      <c r="C206" s="46">
        <f>LEFT(Tableau1[[#This Row],[Formacode]],3)</f>
        <v/>
      </c>
      <c r="D206" s="47" t="n">
        <v>41386</v>
      </c>
      <c r="E206" s="48">
        <f>"RNCP"&amp;D206</f>
        <v/>
      </c>
      <c r="F206" s="48" t="inlineStr">
        <is>
          <t>Grade_Master - Créateur industriel</t>
        </is>
      </c>
      <c r="G206" s="49">
        <f>E206&amp;" - "&amp;F206</f>
        <v/>
      </c>
      <c r="H206" s="36" t="inlineStr">
        <is>
          <t>RAS</t>
        </is>
      </c>
      <c r="I206" s="45" t="inlineStr"/>
      <c r="J206" s="45" t="inlineStr">
        <is>
          <t>RNCP41386</t>
        </is>
      </c>
      <c r="K206" s="45" t="inlineStr">
        <is>
          <t>Créateur industriel</t>
        </is>
      </c>
      <c r="L206" s="45" t="inlineStr">
        <is>
          <t>28/08/2030</t>
        </is>
      </c>
      <c r="M206" s="45" t="inlineStr">
        <is>
          <t>45006 (Esthétique industrielle) ; 32135 (Conduite projet) ; 32070 (Innovation entreprise) ; 13027 (Politique publique) ; 13175 (Économie sociale)</t>
        </is>
      </c>
      <c r="N206" s="50" t="inlineStr">
        <is>
          <t>NON</t>
        </is>
      </c>
      <c r="O206" s="45" t="inlineStr"/>
    </row>
    <row r="207" customFormat="1" s="4">
      <c r="A207" s="45" t="n"/>
      <c r="B207" s="46" t="inlineStr">
        <is>
          <t>13175</t>
        </is>
      </c>
      <c r="C207" s="46">
        <f>LEFT(Tableau1[[#This Row],[Formacode]],3)</f>
        <v/>
      </c>
      <c r="D207" s="47" t="n">
        <v>41728</v>
      </c>
      <c r="E207" s="48">
        <f>"RNCP"&amp;D207</f>
        <v/>
      </c>
      <c r="F207" s="48" t="inlineStr">
        <is>
          <t>Coordinateur de projets à impact social et environnemental</t>
        </is>
      </c>
      <c r="G207" s="49">
        <f>E207&amp;" - "&amp;F207</f>
        <v/>
      </c>
      <c r="H207" s="36" t="inlineStr">
        <is>
          <t>RAS</t>
        </is>
      </c>
      <c r="I207" s="45" t="inlineStr"/>
      <c r="J207" s="45" t="inlineStr">
        <is>
          <t>RNCP41728</t>
        </is>
      </c>
      <c r="K207" s="45" t="inlineStr">
        <is>
          <t>Coordinateur de projets à impact social et environnemental</t>
        </is>
      </c>
      <c r="L207" s="45" t="inlineStr">
        <is>
          <t>27/11/2028</t>
        </is>
      </c>
      <c r="M207" s="45" t="inlineStr">
        <is>
          <t>32135 (Conduite projet) ; 12523 (Développement local) ; 13175 (Économie sociale) ; 12578 (Animation environnement)</t>
        </is>
      </c>
      <c r="N207" s="50" t="inlineStr">
        <is>
          <t>NON</t>
        </is>
      </c>
      <c r="O207" s="45" t="inlineStr"/>
    </row>
    <row r="208" customFormat="1" s="4">
      <c r="A208" s="45" t="n"/>
      <c r="B208" s="46" t="inlineStr">
        <is>
          <t>13183</t>
        </is>
      </c>
      <c r="C208" s="46">
        <f>LEFT(Tableau1[[#This Row],[Formacode]],3)</f>
        <v/>
      </c>
      <c r="D208" s="47" t="n">
        <v>39136</v>
      </c>
      <c r="E208" s="48">
        <f>"RNCP"&amp;D208</f>
        <v/>
      </c>
      <c r="F208" s="48" t="inlineStr">
        <is>
          <t>Grade_Master - Diplôme des Instituts d’Études Politiques – Sciences Po</t>
        </is>
      </c>
      <c r="G208" s="49">
        <f>E208&amp;" - "&amp;F208</f>
        <v/>
      </c>
      <c r="H208" s="36" t="inlineStr">
        <is>
          <t>RAS</t>
        </is>
      </c>
      <c r="I208" s="45" t="inlineStr"/>
      <c r="J208" s="45" t="inlineStr">
        <is>
          <t>RNCP39136</t>
        </is>
      </c>
      <c r="K208" s="45" t="inlineStr">
        <is>
          <t>Diplôme des Instituts d’Études Politiques – Sciences Po</t>
        </is>
      </c>
      <c r="L208" s="45" t="inlineStr">
        <is>
          <t>14/04/2029</t>
        </is>
      </c>
      <c r="M208" s="45" t="inlineStr">
        <is>
          <t>13154 (Économie) ; 13054 (Science politique) ; 46354 (Information - Communication numérique) ; 32154 (Encadrement management) ; 13254 (Droit)</t>
        </is>
      </c>
      <c r="N208" s="50" t="inlineStr">
        <is>
          <t>NON</t>
        </is>
      </c>
      <c r="O208" s="45" t="inlineStr"/>
    </row>
    <row r="209" customFormat="1" s="4">
      <c r="A209" s="45" t="n"/>
      <c r="B209" s="46" t="inlineStr">
        <is>
          <t>13183</t>
        </is>
      </c>
      <c r="C209" s="46">
        <f>LEFT(Tableau1[[#This Row],[Formacode]],3)</f>
        <v/>
      </c>
      <c r="D209" s="47" t="n">
        <v>39867</v>
      </c>
      <c r="E209" s="48">
        <f>"RNCP"&amp;D209</f>
        <v/>
      </c>
      <c r="F209" s="48" t="inlineStr">
        <is>
          <t>Expert analyste en relations internationales, intelligence stratégique et diplomatique</t>
        </is>
      </c>
      <c r="G209" s="49">
        <f>E209&amp;" - "&amp;F209</f>
        <v/>
      </c>
      <c r="H209" s="36" t="inlineStr">
        <is>
          <t>RAS</t>
        </is>
      </c>
      <c r="I209" s="45" t="inlineStr"/>
      <c r="J209" s="45" t="inlineStr">
        <is>
          <t>RNCP39867</t>
        </is>
      </c>
      <c r="K209" s="45" t="inlineStr">
        <is>
          <t>Expert analyste en relations internationales, intelligence stratégique et diplomatique</t>
        </is>
      </c>
      <c r="L209" s="45" t="inlineStr">
        <is>
          <t>28/11/2029</t>
        </is>
      </c>
      <c r="M209" s="45" t="inlineStr">
        <is>
          <t>13183 (Économie internationale) ; 13138 (Analyse économique) ; 13036 (Politique internationale) ; 32136 (Conduite projet international) ; 14297 (Criminologie)</t>
        </is>
      </c>
      <c r="N209" s="50" t="inlineStr">
        <is>
          <t>NON</t>
        </is>
      </c>
      <c r="O209" s="45" t="inlineStr"/>
    </row>
    <row r="210" customFormat="1" s="3">
      <c r="A210" s="45" t="n"/>
      <c r="B210" s="46" t="inlineStr">
        <is>
          <t>13207</t>
        </is>
      </c>
      <c r="C210" s="46">
        <f>LEFT(Tableau1[[#This Row],[Formacode]],3)</f>
        <v/>
      </c>
      <c r="D210" s="47" t="n">
        <v>39136</v>
      </c>
      <c r="E210" s="48">
        <f>"RNCP"&amp;D210</f>
        <v/>
      </c>
      <c r="F210" s="48" t="inlineStr">
        <is>
          <t>Grade_Master - Diplôme des Instituts d’Études Politiques – Sciences Po</t>
        </is>
      </c>
      <c r="G210" s="49">
        <f>E210&amp;" - "&amp;F210</f>
        <v/>
      </c>
      <c r="H210" s="36" t="inlineStr">
        <is>
          <t>RAS</t>
        </is>
      </c>
      <c r="I210" s="45" t="inlineStr"/>
      <c r="J210" s="45" t="inlineStr">
        <is>
          <t>RNCP39136</t>
        </is>
      </c>
      <c r="K210" s="45" t="inlineStr">
        <is>
          <t>Diplôme des Instituts d’Études Politiques – Sciences Po</t>
        </is>
      </c>
      <c r="L210" s="45" t="inlineStr">
        <is>
          <t>14/04/2029</t>
        </is>
      </c>
      <c r="M210" s="45" t="inlineStr">
        <is>
          <t>13154 (Économie) ; 13054 (Science politique) ; 46354 (Information - Communication numérique) ; 32154 (Encadrement management) ; 13254 (Droit)</t>
        </is>
      </c>
      <c r="N210" s="50" t="inlineStr">
        <is>
          <t>NON</t>
        </is>
      </c>
      <c r="O210" s="45" t="inlineStr"/>
    </row>
    <row r="211" customFormat="1" s="3">
      <c r="A211" s="45" t="n"/>
      <c r="B211" s="46" t="inlineStr">
        <is>
          <t>13215</t>
        </is>
      </c>
      <c r="C211" s="46">
        <f>LEFT(Tableau1[[#This Row],[Formacode]],3)</f>
        <v/>
      </c>
      <c r="D211" s="47" t="n">
        <v>39136</v>
      </c>
      <c r="E211" s="48">
        <f>"RNCP"&amp;D211</f>
        <v/>
      </c>
      <c r="F211" s="48" t="inlineStr">
        <is>
          <t>Grade_Master - Diplôme des Instituts d’Études Politiques – Sciences Po</t>
        </is>
      </c>
      <c r="G211" s="49">
        <f>E211&amp;" - "&amp;F211</f>
        <v/>
      </c>
      <c r="H211" s="36" t="inlineStr">
        <is>
          <t>RAS</t>
        </is>
      </c>
      <c r="I211" s="45" t="inlineStr"/>
      <c r="J211" s="45" t="inlineStr">
        <is>
          <t>RNCP39136</t>
        </is>
      </c>
      <c r="K211" s="45" t="inlineStr">
        <is>
          <t>Diplôme des Instituts d’Études Politiques – Sciences Po</t>
        </is>
      </c>
      <c r="L211" s="45" t="inlineStr">
        <is>
          <t>14/04/2029</t>
        </is>
      </c>
      <c r="M211" s="45" t="inlineStr">
        <is>
          <t>13154 (Économie) ; 13054 (Science politique) ; 46354 (Information - Communication numérique) ; 32154 (Encadrement management) ; 13254 (Droit)</t>
        </is>
      </c>
      <c r="N211" s="50" t="inlineStr">
        <is>
          <t>NON</t>
        </is>
      </c>
      <c r="O211" s="45" t="inlineStr"/>
    </row>
    <row r="212" customFormat="1" s="3">
      <c r="A212" s="45" t="n"/>
      <c r="B212" s="46" t="inlineStr">
        <is>
          <t>13231</t>
        </is>
      </c>
      <c r="C212" s="46">
        <f>LEFT(Tableau1[[#This Row],[Formacode]],3)</f>
        <v/>
      </c>
      <c r="D212" s="47" t="n">
        <v>39136</v>
      </c>
      <c r="E212" s="48">
        <f>"RNCP"&amp;D212</f>
        <v/>
      </c>
      <c r="F212" s="48" t="inlineStr">
        <is>
          <t>Grade_Master - Diplôme des Instituts d’Études Politiques – Sciences Po</t>
        </is>
      </c>
      <c r="G212" s="49">
        <f>E212&amp;" - "&amp;F212</f>
        <v/>
      </c>
      <c r="H212" s="36" t="inlineStr">
        <is>
          <t>RAS</t>
        </is>
      </c>
      <c r="I212" s="45" t="inlineStr"/>
      <c r="J212" s="45" t="inlineStr">
        <is>
          <t>RNCP39136</t>
        </is>
      </c>
      <c r="K212" s="45" t="inlineStr">
        <is>
          <t>Diplôme des Instituts d’Études Politiques – Sciences Po</t>
        </is>
      </c>
      <c r="L212" s="45" t="inlineStr">
        <is>
          <t>14/04/2029</t>
        </is>
      </c>
      <c r="M212" s="45" t="inlineStr">
        <is>
          <t>13154 (Économie) ; 13054 (Science politique) ; 46354 (Information - Communication numérique) ; 32154 (Encadrement management) ; 13254 (Droit)</t>
        </is>
      </c>
      <c r="N212" s="50" t="inlineStr">
        <is>
          <t>NON</t>
        </is>
      </c>
      <c r="O212" s="45" t="inlineStr"/>
    </row>
    <row r="213" customFormat="1" s="3">
      <c r="A213" s="45" t="n"/>
      <c r="B213" s="46" t="inlineStr">
        <is>
          <t>13237</t>
        </is>
      </c>
      <c r="C213" s="46">
        <f>LEFT(Tableau1[[#This Row],[Formacode]],3)</f>
        <v/>
      </c>
      <c r="D213" s="47" t="n">
        <v>39136</v>
      </c>
      <c r="E213" s="48">
        <f>"RNCP"&amp;D213</f>
        <v/>
      </c>
      <c r="F213" s="48" t="inlineStr">
        <is>
          <t>Grade_Master - Diplôme des Instituts d’Études Politiques – Sciences Po</t>
        </is>
      </c>
      <c r="G213" s="49">
        <f>E213&amp;" - "&amp;F213</f>
        <v/>
      </c>
      <c r="H213" s="36" t="inlineStr">
        <is>
          <t>RAS</t>
        </is>
      </c>
      <c r="I213" s="45" t="inlineStr"/>
      <c r="J213" s="45" t="inlineStr">
        <is>
          <t>RNCP39136</t>
        </is>
      </c>
      <c r="K213" s="45" t="inlineStr">
        <is>
          <t>Diplôme des Instituts d’Études Politiques – Sciences Po</t>
        </is>
      </c>
      <c r="L213" s="45" t="inlineStr">
        <is>
          <t>14/04/2029</t>
        </is>
      </c>
      <c r="M213" s="45" t="inlineStr">
        <is>
          <t>13154 (Économie) ; 13054 (Science politique) ; 46354 (Information - Communication numérique) ; 32154 (Encadrement management) ; 13254 (Droit)</t>
        </is>
      </c>
      <c r="N213" s="50" t="inlineStr">
        <is>
          <t>NON</t>
        </is>
      </c>
      <c r="O213" s="45" t="inlineStr"/>
    </row>
    <row r="214" customFormat="1" s="3">
      <c r="A214" s="45" t="n"/>
      <c r="B214" s="46" t="inlineStr">
        <is>
          <t>13267</t>
        </is>
      </c>
      <c r="C214" s="46">
        <f>LEFT(Tableau1[[#This Row],[Formacode]],3)</f>
        <v/>
      </c>
      <c r="D214" s="47" t="n">
        <v>39136</v>
      </c>
      <c r="E214" s="48">
        <f>"RNCP"&amp;D214</f>
        <v/>
      </c>
      <c r="F214" s="48" t="inlineStr">
        <is>
          <t>Grade_Master - Diplôme des Instituts d’Études Politiques – Sciences Po</t>
        </is>
      </c>
      <c r="G214" s="49">
        <f>E214&amp;" - "&amp;F214</f>
        <v/>
      </c>
      <c r="H214" s="36" t="inlineStr">
        <is>
          <t>RAS</t>
        </is>
      </c>
      <c r="I214" s="45" t="inlineStr"/>
      <c r="J214" s="45" t="inlineStr">
        <is>
          <t>RNCP39136</t>
        </is>
      </c>
      <c r="K214" s="45" t="inlineStr">
        <is>
          <t>Diplôme des Instituts d’Études Politiques – Sciences Po</t>
        </is>
      </c>
      <c r="L214" s="45" t="inlineStr">
        <is>
          <t>14/04/2029</t>
        </is>
      </c>
      <c r="M214" s="45" t="inlineStr">
        <is>
          <t>13154 (Économie) ; 13054 (Science politique) ; 46354 (Information - Communication numérique) ; 32154 (Encadrement management) ; 13254 (Droit)</t>
        </is>
      </c>
      <c r="N214" s="50" t="inlineStr">
        <is>
          <t>NON</t>
        </is>
      </c>
      <c r="O214" s="45" t="inlineStr"/>
    </row>
    <row r="215" customFormat="1" s="3">
      <c r="A215" s="45" t="n"/>
      <c r="B215" s="46" t="inlineStr">
        <is>
          <t>13274</t>
        </is>
      </c>
      <c r="C215" s="46">
        <f>LEFT(Tableau1[[#This Row],[Formacode]],3)</f>
        <v/>
      </c>
      <c r="D215" s="47" t="n">
        <v>36685</v>
      </c>
      <c r="E215" s="48">
        <f>"RNCP"&amp;D215</f>
        <v/>
      </c>
      <c r="F215" s="48" t="inlineStr">
        <is>
          <t>BTS - Collaborateur juriste notarial</t>
        </is>
      </c>
      <c r="G215" s="49">
        <f>E215&amp;" - "&amp;F215</f>
        <v/>
      </c>
      <c r="H215" s="36" t="inlineStr">
        <is>
          <t>RAS</t>
        </is>
      </c>
      <c r="I215" s="45" t="inlineStr"/>
      <c r="J215" s="45" t="inlineStr">
        <is>
          <t>RNCP36685</t>
        </is>
      </c>
      <c r="K215" s="45" t="inlineStr">
        <is>
          <t>Collaborateur juriste notarial</t>
        </is>
      </c>
      <c r="L215" s="45" t="inlineStr">
        <is>
          <t>31/08/2027</t>
        </is>
      </c>
      <c r="M215" s="45" t="inlineStr">
        <is>
          <t>13275 (Notariat)</t>
        </is>
      </c>
      <c r="N215" s="50" t="inlineStr">
        <is>
          <t>NON</t>
        </is>
      </c>
      <c r="O215" s="45" t="inlineStr"/>
    </row>
    <row r="216" customFormat="1" s="3">
      <c r="A216" s="45" t="n"/>
      <c r="B216" s="46" t="inlineStr">
        <is>
          <t>13274</t>
        </is>
      </c>
      <c r="C216" s="46">
        <f>LEFT(Tableau1[[#This Row],[Formacode]],3)</f>
        <v/>
      </c>
      <c r="D216" s="47" t="n">
        <v>37154</v>
      </c>
      <c r="E216" s="48">
        <f>"RNCP"&amp;D216</f>
        <v/>
      </c>
      <c r="F216" s="48" t="inlineStr">
        <is>
          <t>Manager des affaires juridiques Internationales (MS)</t>
        </is>
      </c>
      <c r="G216" s="49">
        <f>E216&amp;" - "&amp;F216</f>
        <v/>
      </c>
      <c r="H216" s="36" t="inlineStr">
        <is>
          <t>RAS</t>
        </is>
      </c>
      <c r="I216" s="45" t="inlineStr"/>
      <c r="J216" s="45" t="inlineStr">
        <is>
          <t>RNCP37154</t>
        </is>
      </c>
      <c r="K216" s="45" t="inlineStr">
        <is>
          <t>Manager des affaires juridiques Internationales (MS)</t>
        </is>
      </c>
      <c r="L216" s="45" t="inlineStr">
        <is>
          <t>14/12/2027</t>
        </is>
      </c>
      <c r="M216" s="45" t="inlineStr">
        <is>
          <t>13261 (Droit affaires) ; 13256 (Droit contrat) ; 13354 (Droit fiscal)</t>
        </is>
      </c>
      <c r="N216" s="50" t="inlineStr">
        <is>
          <t>NON</t>
        </is>
      </c>
      <c r="O216" s="45" t="inlineStr"/>
    </row>
    <row r="217" customFormat="1" s="3">
      <c r="A217" s="63" t="n"/>
      <c r="B217" s="64" t="inlineStr">
        <is>
          <t>13274</t>
        </is>
      </c>
      <c r="C217" s="64">
        <f>LEFT(Tableau1[[#This Row],[Formacode]],3)</f>
        <v/>
      </c>
      <c r="D217" s="65" t="n">
        <v>37435</v>
      </c>
      <c r="E217" s="66">
        <f>"RNCP"&amp;D217</f>
        <v/>
      </c>
      <c r="F217" s="66" t="inlineStr">
        <is>
          <t>Gestionnaire d'affaires immobilières</t>
        </is>
      </c>
      <c r="G217" s="67">
        <f>E217&amp;" - "&amp;F217</f>
        <v/>
      </c>
      <c r="H217" s="38" t="inlineStr">
        <is>
          <t>Expiré / remplacé</t>
        </is>
      </c>
      <c r="I217" s="63" t="inlineStr">
        <is>
          <t>Fiche inactive — remplacée par RNCP41800 (Gestionnaire d'affaires immobilières)</t>
        </is>
      </c>
      <c r="J217" s="63" t="inlineStr">
        <is>
          <t>RNCP41800</t>
        </is>
      </c>
      <c r="K217" s="63" t="inlineStr">
        <is>
          <t>Gestionnaire d'affaires immobilières</t>
        </is>
      </c>
      <c r="L217" s="63" t="inlineStr">
        <is>
          <t>27/03/2026</t>
        </is>
      </c>
      <c r="M217" s="63" t="inlineStr">
        <is>
          <t>13297 (Bail immobilier) ; 42184 (Agence immobilière) ; 42133 (Gestion immobilière)</t>
        </is>
      </c>
      <c r="N217" s="68" t="inlineStr">
        <is>
          <t>NON</t>
        </is>
      </c>
      <c r="O217" s="63" t="inlineStr"/>
    </row>
    <row r="218" customFormat="1" s="3">
      <c r="A218" s="45" t="n"/>
      <c r="B218" s="46" t="inlineStr">
        <is>
          <t>13274</t>
        </is>
      </c>
      <c r="C218" s="46">
        <f>LEFT(Tableau1[[#This Row],[Formacode]],3)</f>
        <v/>
      </c>
      <c r="D218" s="47" t="n">
        <v>38585</v>
      </c>
      <c r="E218" s="48">
        <f>"RNCP"&amp;D218</f>
        <v/>
      </c>
      <c r="F218" s="48" t="inlineStr">
        <is>
          <t>Délégué à la protection des données (MS)</t>
        </is>
      </c>
      <c r="G218" s="49">
        <f>E218&amp;" - "&amp;F218</f>
        <v/>
      </c>
      <c r="H218" s="36" t="inlineStr">
        <is>
          <t>RAS</t>
        </is>
      </c>
      <c r="I218" s="45" t="inlineStr"/>
      <c r="J218" s="45" t="inlineStr">
        <is>
          <t>RNCP38585</t>
        </is>
      </c>
      <c r="K218" s="45" t="inlineStr">
        <is>
          <t>Délégué à la protection des données (MS)</t>
        </is>
      </c>
      <c r="L218" s="45" t="inlineStr">
        <is>
          <t>09/02/2027</t>
        </is>
      </c>
      <c r="M218" s="45" t="inlineStr">
        <is>
          <t>13238 (Règlement général protection données) ; 31006 (Sécurité informatique)</t>
        </is>
      </c>
      <c r="N218" s="50" t="inlineStr">
        <is>
          <t>NON</t>
        </is>
      </c>
      <c r="O218" s="45" t="inlineStr"/>
    </row>
    <row r="219" customFormat="1" s="3">
      <c r="A219" s="45" t="n"/>
      <c r="B219" s="46" t="inlineStr">
        <is>
          <t>13274</t>
        </is>
      </c>
      <c r="C219" s="46">
        <f>LEFT(Tableau1[[#This Row],[Formacode]],3)</f>
        <v/>
      </c>
      <c r="D219" s="47" t="n">
        <v>38825</v>
      </c>
      <c r="E219" s="48">
        <f>"RNCP"&amp;D219</f>
        <v/>
      </c>
      <c r="F219" s="48" t="inlineStr">
        <is>
          <t>Manager des organisations</t>
        </is>
      </c>
      <c r="G219" s="49">
        <f>E219&amp;" - "&amp;F219</f>
        <v/>
      </c>
      <c r="H219" s="36" t="inlineStr">
        <is>
          <t>RAS</t>
        </is>
      </c>
      <c r="I219" s="45" t="inlineStr"/>
      <c r="J219" s="45" t="inlineStr">
        <is>
          <t>RNCP38825</t>
        </is>
      </c>
      <c r="K219" s="45" t="inlineStr">
        <is>
          <t>Manager des organisations</t>
        </is>
      </c>
      <c r="L219" s="45" t="inlineStr">
        <is>
          <t>27/03/2029</t>
        </is>
      </c>
      <c r="M219" s="45" t="inlineStr">
        <is>
          <t>32047 (Création entreprise) ; 32024 (Gestion centre profit) ; 32014 (Conseil administration) ; 13263 (Responsabilité dirigeant)</t>
        </is>
      </c>
      <c r="N219" s="50" t="inlineStr">
        <is>
          <t>NON</t>
        </is>
      </c>
      <c r="O219" s="45" t="inlineStr"/>
    </row>
    <row r="220" customFormat="1" s="3">
      <c r="A220" s="45" t="n"/>
      <c r="B220" s="46" t="inlineStr">
        <is>
          <t>13274</t>
        </is>
      </c>
      <c r="C220" s="46">
        <f>LEFT(Tableau1[[#This Row],[Formacode]],3)</f>
        <v/>
      </c>
      <c r="D220" s="47" t="n">
        <v>39136</v>
      </c>
      <c r="E220" s="48">
        <f>"RNCP"&amp;D220</f>
        <v/>
      </c>
      <c r="F220" s="48" t="inlineStr">
        <is>
          <t>Grade_Master - Diplôme des Instituts d’Études Politiques – Sciences Po</t>
        </is>
      </c>
      <c r="G220" s="49">
        <f>E220&amp;" - "&amp;F220</f>
        <v/>
      </c>
      <c r="H220" s="36" t="inlineStr">
        <is>
          <t>RAS</t>
        </is>
      </c>
      <c r="I220" s="45" t="inlineStr"/>
      <c r="J220" s="45" t="inlineStr">
        <is>
          <t>RNCP39136</t>
        </is>
      </c>
      <c r="K220" s="45" t="inlineStr">
        <is>
          <t>Diplôme des Instituts d’Études Politiques – Sciences Po</t>
        </is>
      </c>
      <c r="L220" s="45" t="inlineStr">
        <is>
          <t>14/04/2029</t>
        </is>
      </c>
      <c r="M220" s="45" t="inlineStr">
        <is>
          <t>13154 (Économie) ; 13054 (Science politique) ; 46354 (Information - Communication numérique) ; 32154 (Encadrement management) ; 13254 (Droit)</t>
        </is>
      </c>
      <c r="N220" s="50" t="inlineStr">
        <is>
          <t>NON</t>
        </is>
      </c>
      <c r="O220" s="45" t="inlineStr"/>
    </row>
    <row r="221" customFormat="1" s="3">
      <c r="A221" s="51" t="n"/>
      <c r="B221" s="52" t="inlineStr">
        <is>
          <t>13274</t>
        </is>
      </c>
      <c r="C221" s="52">
        <f>LEFT(Tableau1[[#This Row],[Formacode]],3)</f>
        <v/>
      </c>
      <c r="D221" s="53" t="n">
        <v>39587</v>
      </c>
      <c r="E221" s="54">
        <f>"RNCP"&amp;D221</f>
        <v/>
      </c>
      <c r="F221" s="54" t="inlineStr">
        <is>
          <t>Juriste d'affaires</t>
        </is>
      </c>
      <c r="G221" s="55">
        <f>E221&amp;" - "&amp;F221</f>
        <v/>
      </c>
      <c r="H221" s="37" t="inlineStr">
        <is>
          <t>À vérifier</t>
        </is>
      </c>
      <c r="I221" s="51" t="inlineStr">
        <is>
          <t>Successeur déjà publié : RNCP42328 (Juriste d'affaires) — préparer la bascule de l'offre CPF | Échéance le 01/10/2026 (dans 75 j)</t>
        </is>
      </c>
      <c r="J221" s="51" t="inlineStr">
        <is>
          <t>RNCP42328</t>
        </is>
      </c>
      <c r="K221" s="51" t="inlineStr">
        <is>
          <t>Juriste d'affaires</t>
        </is>
      </c>
      <c r="L221" s="51" t="inlineStr">
        <is>
          <t>01/10/2026</t>
        </is>
      </c>
      <c r="M221" s="51" t="inlineStr">
        <is>
          <t>13261 (Droit affaires) ; 13256 (Droit contrat)</t>
        </is>
      </c>
      <c r="N221" s="62" t="inlineStr">
        <is>
          <t>NON</t>
        </is>
      </c>
      <c r="O221" s="51" t="inlineStr"/>
    </row>
    <row r="222" customFormat="1" s="3">
      <c r="A222" s="45" t="n"/>
      <c r="B222" s="46" t="inlineStr">
        <is>
          <t>13274</t>
        </is>
      </c>
      <c r="C222" s="46">
        <f>LEFT(Tableau1[[#This Row],[Formacode]],3)</f>
        <v/>
      </c>
      <c r="D222" s="47" t="n">
        <v>40361</v>
      </c>
      <c r="E222" s="48">
        <f>"RNCP"&amp;D222</f>
        <v/>
      </c>
      <c r="F222" s="48" t="inlineStr">
        <is>
          <t>Expert en conseil patrimonial</t>
        </is>
      </c>
      <c r="G222" s="49">
        <f>E222&amp;" - "&amp;F222</f>
        <v/>
      </c>
      <c r="H222" s="36" t="inlineStr">
        <is>
          <t>RAS</t>
        </is>
      </c>
      <c r="I222" s="45" t="inlineStr"/>
      <c r="J222" s="45" t="inlineStr">
        <is>
          <t>RNCP40361</t>
        </is>
      </c>
      <c r="K222" s="45" t="inlineStr">
        <is>
          <t>Expert en conseil patrimonial</t>
        </is>
      </c>
      <c r="L222" s="45" t="inlineStr">
        <is>
          <t>28/03/2028</t>
        </is>
      </c>
      <c r="M222" s="45" t="inlineStr">
        <is>
          <t>41014 (Gestion patrimoine) ; 42178 (Financement immobilier) ; 41023 (Marché financier) ; 13260 (Transmission entreprise)</t>
        </is>
      </c>
      <c r="N222" s="50" t="inlineStr">
        <is>
          <t>NON</t>
        </is>
      </c>
      <c r="O222" s="45" t="inlineStr"/>
    </row>
    <row r="223" customFormat="1" s="3">
      <c r="A223" s="45" t="n"/>
      <c r="B223" s="46" t="inlineStr">
        <is>
          <t>13274</t>
        </is>
      </c>
      <c r="C223" s="46">
        <f>LEFT(Tableau1[[#This Row],[Formacode]],3)</f>
        <v/>
      </c>
      <c r="D223" s="47" t="n">
        <v>40682</v>
      </c>
      <c r="E223" s="48">
        <f>"RNCP"&amp;D223</f>
        <v/>
      </c>
      <c r="F223" s="48" t="inlineStr">
        <is>
          <t>Juriste d'affaires</t>
        </is>
      </c>
      <c r="G223" s="49">
        <f>E223&amp;" - "&amp;F223</f>
        <v/>
      </c>
      <c r="H223" s="36" t="inlineStr">
        <is>
          <t>RAS</t>
        </is>
      </c>
      <c r="I223" s="45" t="inlineStr"/>
      <c r="J223" s="45" t="inlineStr">
        <is>
          <t>RNCP40682</t>
        </is>
      </c>
      <c r="K223" s="45" t="inlineStr">
        <is>
          <t>Juriste d'affaires</t>
        </is>
      </c>
      <c r="L223" s="45" t="inlineStr">
        <is>
          <t>23/05/2030</t>
        </is>
      </c>
      <c r="M223" s="45" t="inlineStr">
        <is>
          <t>13262 (Droit société) ; 13256 (Droit contrat) ; 13263 (Responsabilité dirigeant)</t>
        </is>
      </c>
      <c r="N223" s="50" t="inlineStr">
        <is>
          <t>NON</t>
        </is>
      </c>
      <c r="O223" s="45" t="inlineStr"/>
    </row>
    <row r="224" customFormat="1" s="3">
      <c r="A224" s="45" t="n"/>
      <c r="B224" s="46" t="inlineStr">
        <is>
          <t>13274</t>
        </is>
      </c>
      <c r="C224" s="46">
        <f>LEFT(Tableau1[[#This Row],[Formacode]],3)</f>
        <v/>
      </c>
      <c r="D224" s="47" t="n">
        <v>41409</v>
      </c>
      <c r="E224" s="48">
        <f>"RNCP"&amp;D224</f>
        <v/>
      </c>
      <c r="F224" s="48" t="inlineStr">
        <is>
          <t>Délégué à la protection des données (DPO)</t>
        </is>
      </c>
      <c r="G224" s="49">
        <f>E224&amp;" - "&amp;F224</f>
        <v/>
      </c>
      <c r="H224" s="36" t="inlineStr">
        <is>
          <t>RAS</t>
        </is>
      </c>
      <c r="I224" s="45" t="inlineStr"/>
      <c r="J224" s="45" t="inlineStr">
        <is>
          <t>RNCP41409</t>
        </is>
      </c>
      <c r="K224" s="45" t="inlineStr">
        <is>
          <t>Délégué à la protection des données (DPO)</t>
        </is>
      </c>
      <c r="L224" s="45" t="inlineStr">
        <is>
          <t>27/10/2028</t>
        </is>
      </c>
      <c r="M224" s="45" t="inlineStr">
        <is>
          <t>13238 (Règlement général protection données) ; 71654 (Logiciel système gestion bases données)</t>
        </is>
      </c>
      <c r="N224" s="50" t="inlineStr">
        <is>
          <t>NON</t>
        </is>
      </c>
      <c r="O224" s="45" t="inlineStr"/>
    </row>
    <row r="225" customFormat="1" s="3">
      <c r="A225" s="45" t="n"/>
      <c r="B225" s="46" t="inlineStr">
        <is>
          <t>13274</t>
        </is>
      </c>
      <c r="C225" s="46">
        <f>LEFT(Tableau1[[#This Row],[Formacode]],3)</f>
        <v/>
      </c>
      <c r="D225" s="47" t="n">
        <v>41459</v>
      </c>
      <c r="E225" s="48">
        <f>"RNCP"&amp;D225</f>
        <v/>
      </c>
      <c r="F225" s="48" t="inlineStr">
        <is>
          <t>Product builder no-code</t>
        </is>
      </c>
      <c r="G225" s="49">
        <f>E225&amp;" - "&amp;F225</f>
        <v/>
      </c>
      <c r="H225" s="36" t="inlineStr">
        <is>
          <t>RAS</t>
        </is>
      </c>
      <c r="I225" s="45" t="inlineStr"/>
      <c r="J225" s="45" t="inlineStr">
        <is>
          <t>RNCP41459</t>
        </is>
      </c>
      <c r="K225" s="45" t="inlineStr">
        <is>
          <t>Product builder no-code</t>
        </is>
      </c>
      <c r="L225" s="45" t="inlineStr">
        <is>
          <t>27/10/2028</t>
        </is>
      </c>
      <c r="M225" s="45" t="inlineStr">
        <is>
          <t>31086 (Développement Low Code - No Code) ; 46334 (Maquettage site web) ; 31094 (Gestion projet informatique) ; 72454 (Application) ; 13238 (Règlement général protection données)</t>
        </is>
      </c>
      <c r="N225" s="50" t="inlineStr">
        <is>
          <t>NON</t>
        </is>
      </c>
      <c r="O225" s="45" t="inlineStr"/>
    </row>
    <row r="226" customFormat="1" s="3">
      <c r="A226" s="45" t="n"/>
      <c r="B226" s="46" t="inlineStr">
        <is>
          <t>13279</t>
        </is>
      </c>
      <c r="C226" s="46">
        <f>LEFT(Tableau1[[#This Row],[Formacode]],3)</f>
        <v/>
      </c>
      <c r="D226" s="47" t="n">
        <v>39136</v>
      </c>
      <c r="E226" s="48">
        <f>"RNCP"&amp;D226</f>
        <v/>
      </c>
      <c r="F226" s="48" t="inlineStr">
        <is>
          <t>Grade_Master - Diplôme des Instituts d’Études Politiques – Sciences Po</t>
        </is>
      </c>
      <c r="G226" s="49">
        <f>E226&amp;" - "&amp;F226</f>
        <v/>
      </c>
      <c r="H226" s="36" t="inlineStr">
        <is>
          <t>RAS</t>
        </is>
      </c>
      <c r="I226" s="45" t="inlineStr"/>
      <c r="J226" s="45" t="inlineStr">
        <is>
          <t>RNCP39136</t>
        </is>
      </c>
      <c r="K226" s="45" t="inlineStr">
        <is>
          <t>Diplôme des Instituts d’Études Politiques – Sciences Po</t>
        </is>
      </c>
      <c r="L226" s="45" t="inlineStr">
        <is>
          <t>14/04/2029</t>
        </is>
      </c>
      <c r="M226" s="45" t="inlineStr">
        <is>
          <t>13154 (Économie) ; 13054 (Science politique) ; 46354 (Information - Communication numérique) ; 32154 (Encadrement management) ; 13254 (Droit)</t>
        </is>
      </c>
      <c r="N226" s="50" t="inlineStr">
        <is>
          <t>NON</t>
        </is>
      </c>
      <c r="O226" s="45" t="inlineStr"/>
    </row>
    <row r="227" customFormat="1" s="4">
      <c r="A227" s="45" t="n"/>
      <c r="B227" s="46" t="inlineStr">
        <is>
          <t>13312</t>
        </is>
      </c>
      <c r="C227" s="46">
        <f>LEFT(Tableau1[[#This Row],[Formacode]],3)</f>
        <v/>
      </c>
      <c r="D227" s="47" t="n">
        <v>37154</v>
      </c>
      <c r="E227" s="48">
        <f>"RNCP"&amp;D227</f>
        <v/>
      </c>
      <c r="F227" s="48" t="inlineStr">
        <is>
          <t>Manager des affaires juridiques Internationales (MS)</t>
        </is>
      </c>
      <c r="G227" s="49">
        <f>E227&amp;" - "&amp;F227</f>
        <v/>
      </c>
      <c r="H227" s="36" t="inlineStr">
        <is>
          <t>RAS</t>
        </is>
      </c>
      <c r="I227" s="45" t="inlineStr"/>
      <c r="J227" s="45" t="inlineStr">
        <is>
          <t>RNCP37154</t>
        </is>
      </c>
      <c r="K227" s="45" t="inlineStr">
        <is>
          <t>Manager des affaires juridiques Internationales (MS)</t>
        </is>
      </c>
      <c r="L227" s="45" t="inlineStr">
        <is>
          <t>14/12/2027</t>
        </is>
      </c>
      <c r="M227" s="45" t="inlineStr">
        <is>
          <t>13261 (Droit affaires) ; 13256 (Droit contrat) ; 13354 (Droit fiscal)</t>
        </is>
      </c>
      <c r="N227" s="50" t="inlineStr">
        <is>
          <t>NON</t>
        </is>
      </c>
      <c r="O227" s="45" t="inlineStr"/>
    </row>
    <row r="228" customFormat="1" s="4">
      <c r="A228" s="45" t="n"/>
      <c r="B228" s="46" t="inlineStr">
        <is>
          <t>13313</t>
        </is>
      </c>
      <c r="C228" s="46">
        <f>LEFT(Tableau1[[#This Row],[Formacode]],3)</f>
        <v/>
      </c>
      <c r="D228" s="47" t="n">
        <v>37154</v>
      </c>
      <c r="E228" s="48">
        <f>"RNCP"&amp;D228</f>
        <v/>
      </c>
      <c r="F228" s="48" t="inlineStr">
        <is>
          <t>Manager des affaires juridiques Internationales (MS)</t>
        </is>
      </c>
      <c r="G228" s="49">
        <f>E228&amp;" - "&amp;F228</f>
        <v/>
      </c>
      <c r="H228" s="36" t="inlineStr">
        <is>
          <t>RAS</t>
        </is>
      </c>
      <c r="I228" s="45" t="inlineStr"/>
      <c r="J228" s="45" t="inlineStr">
        <is>
          <t>RNCP37154</t>
        </is>
      </c>
      <c r="K228" s="45" t="inlineStr">
        <is>
          <t>Manager des affaires juridiques Internationales (MS)</t>
        </is>
      </c>
      <c r="L228" s="45" t="inlineStr">
        <is>
          <t>14/12/2027</t>
        </is>
      </c>
      <c r="M228" s="45" t="inlineStr">
        <is>
          <t>13261 (Droit affaires) ; 13256 (Droit contrat) ; 13354 (Droit fiscal)</t>
        </is>
      </c>
      <c r="N228" s="50" t="inlineStr">
        <is>
          <t>NON</t>
        </is>
      </c>
      <c r="O228" s="45" t="inlineStr"/>
    </row>
    <row r="229" customFormat="1" s="4">
      <c r="A229" s="45" t="n"/>
      <c r="B229" s="46" t="inlineStr">
        <is>
          <t>13315</t>
        </is>
      </c>
      <c r="C229" s="46">
        <f>LEFT(Tableau1[[#This Row],[Formacode]],3)</f>
        <v/>
      </c>
      <c r="D229" s="47" t="n">
        <v>37154</v>
      </c>
      <c r="E229" s="48">
        <f>"RNCP"&amp;D229</f>
        <v/>
      </c>
      <c r="F229" s="48" t="inlineStr">
        <is>
          <t>Manager des affaires juridiques Internationales (MS)</t>
        </is>
      </c>
      <c r="G229" s="49">
        <f>E229&amp;" - "&amp;F229</f>
        <v/>
      </c>
      <c r="H229" s="36" t="inlineStr">
        <is>
          <t>RAS</t>
        </is>
      </c>
      <c r="I229" s="45" t="inlineStr"/>
      <c r="J229" s="45" t="inlineStr">
        <is>
          <t>RNCP37154</t>
        </is>
      </c>
      <c r="K229" s="45" t="inlineStr">
        <is>
          <t>Manager des affaires juridiques Internationales (MS)</t>
        </is>
      </c>
      <c r="L229" s="45" t="inlineStr">
        <is>
          <t>14/12/2027</t>
        </is>
      </c>
      <c r="M229" s="45" t="inlineStr">
        <is>
          <t>13261 (Droit affaires) ; 13256 (Droit contrat) ; 13354 (Droit fiscal)</t>
        </is>
      </c>
      <c r="N229" s="50" t="inlineStr">
        <is>
          <t>NON</t>
        </is>
      </c>
      <c r="O229" s="45" t="inlineStr"/>
    </row>
    <row r="230" customFormat="1" s="4">
      <c r="A230" s="45" t="n"/>
      <c r="B230" s="46" t="inlineStr">
        <is>
          <t>13321</t>
        </is>
      </c>
      <c r="C230" s="46">
        <f>LEFT(Tableau1[[#This Row],[Formacode]],3)</f>
        <v/>
      </c>
      <c r="D230" s="47" t="n">
        <v>37154</v>
      </c>
      <c r="E230" s="48">
        <f>"RNCP"&amp;D230</f>
        <v/>
      </c>
      <c r="F230" s="48" t="inlineStr">
        <is>
          <t>Manager des affaires juridiques Internationales (MS)</t>
        </is>
      </c>
      <c r="G230" s="49">
        <f>E230&amp;" - "&amp;F230</f>
        <v/>
      </c>
      <c r="H230" s="36" t="inlineStr">
        <is>
          <t>RAS</t>
        </is>
      </c>
      <c r="I230" s="45" t="inlineStr"/>
      <c r="J230" s="45" t="inlineStr">
        <is>
          <t>RNCP37154</t>
        </is>
      </c>
      <c r="K230" s="45" t="inlineStr">
        <is>
          <t>Manager des affaires juridiques Internationales (MS)</t>
        </is>
      </c>
      <c r="L230" s="45" t="inlineStr">
        <is>
          <t>14/12/2027</t>
        </is>
      </c>
      <c r="M230" s="45" t="inlineStr">
        <is>
          <t>13261 (Droit affaires) ; 13256 (Droit contrat) ; 13354 (Droit fiscal)</t>
        </is>
      </c>
      <c r="N230" s="50" t="inlineStr">
        <is>
          <t>NON</t>
        </is>
      </c>
      <c r="O230" s="45" t="inlineStr"/>
    </row>
    <row r="231" customFormat="1" s="4">
      <c r="A231" s="45" t="n"/>
      <c r="B231" s="46" t="inlineStr">
        <is>
          <t>13321</t>
        </is>
      </c>
      <c r="C231" s="46">
        <f>LEFT(Tableau1[[#This Row],[Formacode]],3)</f>
        <v/>
      </c>
      <c r="D231" s="47" t="n">
        <v>41117</v>
      </c>
      <c r="E231" s="48">
        <f>"RNCP"&amp;D231</f>
        <v/>
      </c>
      <c r="F231" s="48" t="inlineStr">
        <is>
          <t>Expert en management immobilier</t>
        </is>
      </c>
      <c r="G231" s="49">
        <f>E231&amp;" - "&amp;F231</f>
        <v/>
      </c>
      <c r="H231" s="36" t="inlineStr">
        <is>
          <t>RAS</t>
        </is>
      </c>
      <c r="I231" s="45" t="inlineStr"/>
      <c r="J231" s="45" t="inlineStr">
        <is>
          <t>RNCP41117</t>
        </is>
      </c>
      <c r="K231" s="45" t="inlineStr">
        <is>
          <t>Expert en management immobilier</t>
        </is>
      </c>
      <c r="L231" s="45" t="inlineStr">
        <is>
          <t>18/07/2028</t>
        </is>
      </c>
      <c r="M231" s="45" t="inlineStr">
        <is>
          <t>13321 (Fiscalité immobilière) ; 41014 (Gestion patrimoine) ; 42137 (Expertise immobilière) ; 42178 (Financement immobilier) ; 42133 (Gestion immobilière)</t>
        </is>
      </c>
      <c r="N231" s="50" t="inlineStr">
        <is>
          <t>NON</t>
        </is>
      </c>
      <c r="O231" s="45" t="inlineStr"/>
    </row>
    <row r="232" customFormat="1" s="4">
      <c r="A232" s="45" t="n"/>
      <c r="B232" s="46" t="inlineStr">
        <is>
          <t>13321</t>
        </is>
      </c>
      <c r="C232" s="46">
        <f>LEFT(Tableau1[[#This Row],[Formacode]],3)</f>
        <v/>
      </c>
      <c r="D232" s="47" t="n">
        <v>41121</v>
      </c>
      <c r="E232" s="48">
        <f>"RNCP"&amp;D232</f>
        <v/>
      </c>
      <c r="F232" s="48" t="inlineStr">
        <is>
          <t>Gestionnaire de patrimoine</t>
        </is>
      </c>
      <c r="G232" s="49">
        <f>E232&amp;" - "&amp;F232</f>
        <v/>
      </c>
      <c r="H232" s="36" t="inlineStr">
        <is>
          <t>RAS</t>
        </is>
      </c>
      <c r="I232" s="45" t="inlineStr"/>
      <c r="J232" s="45" t="inlineStr">
        <is>
          <t>RNCP41121</t>
        </is>
      </c>
      <c r="K232" s="45" t="inlineStr">
        <is>
          <t>Gestionnaire de patrimoine</t>
        </is>
      </c>
      <c r="L232" s="45" t="inlineStr">
        <is>
          <t>18/07/2028</t>
        </is>
      </c>
      <c r="M232" s="45" t="inlineStr">
        <is>
          <t>41014 (Gestion patrimoine) ; 42178 (Financement immobilier) ; 13321 (Fiscalité immobilière) ; 42137 (Expertise immobilière) ; 42133 (Gestion immobilière)</t>
        </is>
      </c>
      <c r="N232" s="50" t="inlineStr">
        <is>
          <t>NON</t>
        </is>
      </c>
      <c r="O232" s="45" t="inlineStr"/>
    </row>
    <row r="233" customFormat="1" s="4">
      <c r="A233" s="45" t="n"/>
      <c r="B233" s="46" t="inlineStr">
        <is>
          <t>13324</t>
        </is>
      </c>
      <c r="C233" s="46">
        <f>LEFT(Tableau1[[#This Row],[Formacode]],3)</f>
        <v/>
      </c>
      <c r="D233" s="47" t="n">
        <v>37154</v>
      </c>
      <c r="E233" s="48">
        <f>"RNCP"&amp;D233</f>
        <v/>
      </c>
      <c r="F233" s="48" t="inlineStr">
        <is>
          <t>Manager des affaires juridiques Internationales (MS)</t>
        </is>
      </c>
      <c r="G233" s="49">
        <f>E233&amp;" - "&amp;F233</f>
        <v/>
      </c>
      <c r="H233" s="36" t="inlineStr">
        <is>
          <t>RAS</t>
        </is>
      </c>
      <c r="I233" s="45" t="inlineStr"/>
      <c r="J233" s="45" t="inlineStr">
        <is>
          <t>RNCP37154</t>
        </is>
      </c>
      <c r="K233" s="45" t="inlineStr">
        <is>
          <t>Manager des affaires juridiques Internationales (MS)</t>
        </is>
      </c>
      <c r="L233" s="45" t="inlineStr">
        <is>
          <t>14/12/2027</t>
        </is>
      </c>
      <c r="M233" s="45" t="inlineStr">
        <is>
          <t>13261 (Droit affaires) ; 13256 (Droit contrat) ; 13354 (Droit fiscal)</t>
        </is>
      </c>
      <c r="N233" s="50" t="inlineStr">
        <is>
          <t>NON</t>
        </is>
      </c>
      <c r="O233" s="45" t="inlineStr"/>
    </row>
    <row r="234" customFormat="1" s="4">
      <c r="A234" s="45" t="n"/>
      <c r="B234" s="46" t="inlineStr">
        <is>
          <t>13324</t>
        </is>
      </c>
      <c r="C234" s="46">
        <f>LEFT(Tableau1[[#This Row],[Formacode]],3)</f>
        <v/>
      </c>
      <c r="D234" s="47" t="n">
        <v>40908</v>
      </c>
      <c r="E234" s="48">
        <f>"RNCP"&amp;D234</f>
        <v/>
      </c>
      <c r="F234" s="48" t="inlineStr">
        <is>
          <t>Chargé de développement ressources humaines</t>
        </is>
      </c>
      <c r="G234" s="49">
        <f>E234&amp;" - "&amp;F234</f>
        <v/>
      </c>
      <c r="H234" s="36" t="inlineStr">
        <is>
          <t>RAS</t>
        </is>
      </c>
      <c r="I234" s="45" t="inlineStr"/>
      <c r="J234" s="45" t="inlineStr">
        <is>
          <t>RNCP40908</t>
        </is>
      </c>
      <c r="K234" s="45" t="inlineStr">
        <is>
          <t>Chargé de développement ressources humaines</t>
        </is>
      </c>
      <c r="L234" s="45" t="inlineStr">
        <is>
          <t>25/06/2028</t>
        </is>
      </c>
      <c r="M234" s="45" t="inlineStr">
        <is>
          <t>33091 (GEPP) ; 13303 (Contrôle urssaf) ; 44528 (Responsable formation) ; 15091 (Gestion carrière personnelle)</t>
        </is>
      </c>
      <c r="N234" s="50" t="inlineStr">
        <is>
          <t>NON</t>
        </is>
      </c>
      <c r="O234" s="45" t="inlineStr"/>
    </row>
    <row r="235" customFormat="1" s="4">
      <c r="A235" s="45" t="n"/>
      <c r="B235" s="46" t="inlineStr">
        <is>
          <t>13326</t>
        </is>
      </c>
      <c r="C235" s="46">
        <f>LEFT(Tableau1[[#This Row],[Formacode]],3)</f>
        <v/>
      </c>
      <c r="D235" s="47" t="n">
        <v>37154</v>
      </c>
      <c r="E235" s="48">
        <f>"RNCP"&amp;D235</f>
        <v/>
      </c>
      <c r="F235" s="48" t="inlineStr">
        <is>
          <t>Manager des affaires juridiques Internationales (MS)</t>
        </is>
      </c>
      <c r="G235" s="49">
        <f>E235&amp;" - "&amp;F235</f>
        <v/>
      </c>
      <c r="H235" s="36" t="inlineStr">
        <is>
          <t>RAS</t>
        </is>
      </c>
      <c r="I235" s="45" t="inlineStr"/>
      <c r="J235" s="45" t="inlineStr">
        <is>
          <t>RNCP37154</t>
        </is>
      </c>
      <c r="K235" s="45" t="inlineStr">
        <is>
          <t>Manager des affaires juridiques Internationales (MS)</t>
        </is>
      </c>
      <c r="L235" s="45" t="inlineStr">
        <is>
          <t>14/12/2027</t>
        </is>
      </c>
      <c r="M235" s="45" t="inlineStr">
        <is>
          <t>13261 (Droit affaires) ; 13256 (Droit contrat) ; 13354 (Droit fiscal)</t>
        </is>
      </c>
      <c r="N235" s="50" t="inlineStr">
        <is>
          <t>NON</t>
        </is>
      </c>
      <c r="O235" s="45" t="inlineStr"/>
    </row>
    <row r="236" customFormat="1" s="4">
      <c r="A236" s="45" t="n"/>
      <c r="B236" s="46" t="inlineStr">
        <is>
          <t>13327</t>
        </is>
      </c>
      <c r="C236" s="46">
        <f>LEFT(Tableau1[[#This Row],[Formacode]],3)</f>
        <v/>
      </c>
      <c r="D236" s="47" t="n">
        <v>37154</v>
      </c>
      <c r="E236" s="48">
        <f>"RNCP"&amp;D236</f>
        <v/>
      </c>
      <c r="F236" s="48" t="inlineStr">
        <is>
          <t>Manager des affaires juridiques Internationales (MS)</t>
        </is>
      </c>
      <c r="G236" s="49">
        <f>E236&amp;" - "&amp;F236</f>
        <v/>
      </c>
      <c r="H236" s="36" t="inlineStr">
        <is>
          <t>RAS</t>
        </is>
      </c>
      <c r="I236" s="45" t="inlineStr"/>
      <c r="J236" s="45" t="inlineStr">
        <is>
          <t>RNCP37154</t>
        </is>
      </c>
      <c r="K236" s="45" t="inlineStr">
        <is>
          <t>Manager des affaires juridiques Internationales (MS)</t>
        </is>
      </c>
      <c r="L236" s="45" t="inlineStr">
        <is>
          <t>14/12/2027</t>
        </is>
      </c>
      <c r="M236" s="45" t="inlineStr">
        <is>
          <t>13261 (Droit affaires) ; 13256 (Droit contrat) ; 13354 (Droit fiscal)</t>
        </is>
      </c>
      <c r="N236" s="50" t="inlineStr">
        <is>
          <t>NON</t>
        </is>
      </c>
      <c r="O236" s="45" t="inlineStr"/>
    </row>
    <row r="237" customFormat="1" s="4">
      <c r="A237" s="45" t="n"/>
      <c r="B237" s="46" t="inlineStr">
        <is>
          <t>13331</t>
        </is>
      </c>
      <c r="C237" s="46">
        <f>LEFT(Tableau1[[#This Row],[Formacode]],3)</f>
        <v/>
      </c>
      <c r="D237" s="47" t="n">
        <v>37154</v>
      </c>
      <c r="E237" s="48">
        <f>"RNCP"&amp;D237</f>
        <v/>
      </c>
      <c r="F237" s="48" t="inlineStr">
        <is>
          <t>Manager des affaires juridiques Internationales (MS)</t>
        </is>
      </c>
      <c r="G237" s="49">
        <f>E237&amp;" - "&amp;F237</f>
        <v/>
      </c>
      <c r="H237" s="36" t="inlineStr">
        <is>
          <t>RAS</t>
        </is>
      </c>
      <c r="I237" s="45" t="inlineStr"/>
      <c r="J237" s="45" t="inlineStr">
        <is>
          <t>RNCP37154</t>
        </is>
      </c>
      <c r="K237" s="45" t="inlineStr">
        <is>
          <t>Manager des affaires juridiques Internationales (MS)</t>
        </is>
      </c>
      <c r="L237" s="45" t="inlineStr">
        <is>
          <t>14/12/2027</t>
        </is>
      </c>
      <c r="M237" s="45" t="inlineStr">
        <is>
          <t>13261 (Droit affaires) ; 13256 (Droit contrat) ; 13354 (Droit fiscal)</t>
        </is>
      </c>
      <c r="N237" s="50" t="inlineStr">
        <is>
          <t>NON</t>
        </is>
      </c>
      <c r="O237" s="45" t="inlineStr"/>
    </row>
    <row r="238" customFormat="1" s="4">
      <c r="A238" s="45" t="n"/>
      <c r="B238" s="46" t="inlineStr">
        <is>
          <t>13346</t>
        </is>
      </c>
      <c r="C238" s="46">
        <f>LEFT(Tableau1[[#This Row],[Formacode]],3)</f>
        <v/>
      </c>
      <c r="D238" s="47" t="n">
        <v>37154</v>
      </c>
      <c r="E238" s="48">
        <f>"RNCP"&amp;D238</f>
        <v/>
      </c>
      <c r="F238" s="48" t="inlineStr">
        <is>
          <t>Manager des affaires juridiques Internationales (MS)</t>
        </is>
      </c>
      <c r="G238" s="49">
        <f>E238&amp;" - "&amp;F238</f>
        <v/>
      </c>
      <c r="H238" s="36" t="inlineStr">
        <is>
          <t>RAS</t>
        </is>
      </c>
      <c r="I238" s="45" t="inlineStr"/>
      <c r="J238" s="45" t="inlineStr">
        <is>
          <t>RNCP37154</t>
        </is>
      </c>
      <c r="K238" s="45" t="inlineStr">
        <is>
          <t>Manager des affaires juridiques Internationales (MS)</t>
        </is>
      </c>
      <c r="L238" s="45" t="inlineStr">
        <is>
          <t>14/12/2027</t>
        </is>
      </c>
      <c r="M238" s="45" t="inlineStr">
        <is>
          <t>13261 (Droit affaires) ; 13256 (Droit contrat) ; 13354 (Droit fiscal)</t>
        </is>
      </c>
      <c r="N238" s="50" t="inlineStr">
        <is>
          <t>NON</t>
        </is>
      </c>
      <c r="O238" s="45" t="inlineStr"/>
    </row>
    <row r="239" customFormat="1" s="4">
      <c r="A239" s="45" t="n"/>
      <c r="B239" s="46" t="inlineStr">
        <is>
          <t>13351</t>
        </is>
      </c>
      <c r="C239" s="46">
        <f>LEFT(Tableau1[[#This Row],[Formacode]],3)</f>
        <v/>
      </c>
      <c r="D239" s="47" t="n">
        <v>37154</v>
      </c>
      <c r="E239" s="48">
        <f>"RNCP"&amp;D239</f>
        <v/>
      </c>
      <c r="F239" s="48" t="inlineStr">
        <is>
          <t>Manager des affaires juridiques Internationales (MS)</t>
        </is>
      </c>
      <c r="G239" s="49">
        <f>E239&amp;" - "&amp;F239</f>
        <v/>
      </c>
      <c r="H239" s="36" t="inlineStr">
        <is>
          <t>RAS</t>
        </is>
      </c>
      <c r="I239" s="45" t="inlineStr"/>
      <c r="J239" s="45" t="inlineStr">
        <is>
          <t>RNCP37154</t>
        </is>
      </c>
      <c r="K239" s="45" t="inlineStr">
        <is>
          <t>Manager des affaires juridiques Internationales (MS)</t>
        </is>
      </c>
      <c r="L239" s="45" t="inlineStr">
        <is>
          <t>14/12/2027</t>
        </is>
      </c>
      <c r="M239" s="45" t="inlineStr">
        <is>
          <t>13261 (Droit affaires) ; 13256 (Droit contrat) ; 13354 (Droit fiscal)</t>
        </is>
      </c>
      <c r="N239" s="50" t="inlineStr">
        <is>
          <t>NON</t>
        </is>
      </c>
      <c r="O239" s="45" t="inlineStr"/>
    </row>
    <row r="240" customFormat="1" s="4">
      <c r="A240" s="45" t="n"/>
      <c r="B240" s="46" t="inlineStr">
        <is>
          <t>13361</t>
        </is>
      </c>
      <c r="C240" s="46">
        <f>LEFT(Tableau1[[#This Row],[Formacode]],3)</f>
        <v/>
      </c>
      <c r="D240" s="47" t="n">
        <v>37154</v>
      </c>
      <c r="E240" s="48">
        <f>"RNCP"&amp;D240</f>
        <v/>
      </c>
      <c r="F240" s="48" t="inlineStr">
        <is>
          <t>Manager des affaires juridiques Internationales (MS)</t>
        </is>
      </c>
      <c r="G240" s="49">
        <f>E240&amp;" - "&amp;F240</f>
        <v/>
      </c>
      <c r="H240" s="36" t="inlineStr">
        <is>
          <t>RAS</t>
        </is>
      </c>
      <c r="I240" s="45" t="inlineStr"/>
      <c r="J240" s="45" t="inlineStr">
        <is>
          <t>RNCP37154</t>
        </is>
      </c>
      <c r="K240" s="45" t="inlineStr">
        <is>
          <t>Manager des affaires juridiques Internationales (MS)</t>
        </is>
      </c>
      <c r="L240" s="45" t="inlineStr">
        <is>
          <t>14/12/2027</t>
        </is>
      </c>
      <c r="M240" s="45" t="inlineStr">
        <is>
          <t>13261 (Droit affaires) ; 13256 (Droit contrat) ; 13354 (Droit fiscal)</t>
        </is>
      </c>
      <c r="N240" s="50" t="inlineStr">
        <is>
          <t>NON</t>
        </is>
      </c>
      <c r="O240" s="45" t="inlineStr"/>
    </row>
    <row r="241" customFormat="1" s="4">
      <c r="A241" s="45" t="n"/>
      <c r="B241" s="46" t="inlineStr">
        <is>
          <t>13362</t>
        </is>
      </c>
      <c r="C241" s="46">
        <f>LEFT(Tableau1[[#This Row],[Formacode]],3)</f>
        <v/>
      </c>
      <c r="D241" s="47" t="n">
        <v>37154</v>
      </c>
      <c r="E241" s="48">
        <f>"RNCP"&amp;D241</f>
        <v/>
      </c>
      <c r="F241" s="48" t="inlineStr">
        <is>
          <t>Manager des affaires juridiques Internationales (MS)</t>
        </is>
      </c>
      <c r="G241" s="49">
        <f>E241&amp;" - "&amp;F241</f>
        <v/>
      </c>
      <c r="H241" s="36" t="inlineStr">
        <is>
          <t>RAS</t>
        </is>
      </c>
      <c r="I241" s="45" t="inlineStr"/>
      <c r="J241" s="45" t="inlineStr">
        <is>
          <t>RNCP37154</t>
        </is>
      </c>
      <c r="K241" s="45" t="inlineStr">
        <is>
          <t>Manager des affaires juridiques Internationales (MS)</t>
        </is>
      </c>
      <c r="L241" s="45" t="inlineStr">
        <is>
          <t>14/12/2027</t>
        </is>
      </c>
      <c r="M241" s="45" t="inlineStr">
        <is>
          <t>13261 (Droit affaires) ; 13256 (Droit contrat) ; 13354 (Droit fiscal)</t>
        </is>
      </c>
      <c r="N241" s="50" t="inlineStr">
        <is>
          <t>NON</t>
        </is>
      </c>
      <c r="O241" s="45" t="inlineStr"/>
    </row>
    <row r="242" customFormat="1" s="4">
      <c r="A242" s="45" t="n"/>
      <c r="B242" s="46" t="inlineStr">
        <is>
          <t>13366</t>
        </is>
      </c>
      <c r="C242" s="46">
        <f>LEFT(Tableau1[[#This Row],[Formacode]],3)</f>
        <v/>
      </c>
      <c r="D242" s="47" t="n">
        <v>37154</v>
      </c>
      <c r="E242" s="48">
        <f>"RNCP"&amp;D242</f>
        <v/>
      </c>
      <c r="F242" s="48" t="inlineStr">
        <is>
          <t>Manager des affaires juridiques Internationales (MS)</t>
        </is>
      </c>
      <c r="G242" s="49">
        <f>E242&amp;" - "&amp;F242</f>
        <v/>
      </c>
      <c r="H242" s="36" t="inlineStr">
        <is>
          <t>RAS</t>
        </is>
      </c>
      <c r="I242" s="45" t="inlineStr"/>
      <c r="J242" s="45" t="inlineStr">
        <is>
          <t>RNCP37154</t>
        </is>
      </c>
      <c r="K242" s="45" t="inlineStr">
        <is>
          <t>Manager des affaires juridiques Internationales (MS)</t>
        </is>
      </c>
      <c r="L242" s="45" t="inlineStr">
        <is>
          <t>14/12/2027</t>
        </is>
      </c>
      <c r="M242" s="45" t="inlineStr">
        <is>
          <t>13261 (Droit affaires) ; 13256 (Droit contrat) ; 13354 (Droit fiscal)</t>
        </is>
      </c>
      <c r="N242" s="50" t="inlineStr">
        <is>
          <t>NON</t>
        </is>
      </c>
      <c r="O242" s="45" t="inlineStr"/>
    </row>
    <row r="243" customFormat="1" s="4">
      <c r="A243" s="45" t="n"/>
      <c r="B243" s="46" t="inlineStr">
        <is>
          <t>13379</t>
        </is>
      </c>
      <c r="C243" s="46">
        <f>LEFT(Tableau1[[#This Row],[Formacode]],3)</f>
        <v/>
      </c>
      <c r="D243" s="47" t="n">
        <v>37154</v>
      </c>
      <c r="E243" s="48">
        <f>"RNCP"&amp;D243</f>
        <v/>
      </c>
      <c r="F243" s="48" t="inlineStr">
        <is>
          <t>Manager des affaires juridiques Internationales (MS)</t>
        </is>
      </c>
      <c r="G243" s="49">
        <f>E243&amp;" - "&amp;F243</f>
        <v/>
      </c>
      <c r="H243" s="36" t="inlineStr">
        <is>
          <t>RAS</t>
        </is>
      </c>
      <c r="I243" s="45" t="inlineStr"/>
      <c r="J243" s="45" t="inlineStr">
        <is>
          <t>RNCP37154</t>
        </is>
      </c>
      <c r="K243" s="45" t="inlineStr">
        <is>
          <t>Manager des affaires juridiques Internationales (MS)</t>
        </is>
      </c>
      <c r="L243" s="45" t="inlineStr">
        <is>
          <t>14/12/2027</t>
        </is>
      </c>
      <c r="M243" s="45" t="inlineStr">
        <is>
          <t>13261 (Droit affaires) ; 13256 (Droit contrat) ; 13354 (Droit fiscal)</t>
        </is>
      </c>
      <c r="N243" s="50" t="inlineStr">
        <is>
          <t>NON</t>
        </is>
      </c>
      <c r="O243" s="45" t="inlineStr"/>
    </row>
    <row r="244" customFormat="1" s="4">
      <c r="A244" s="45" t="n"/>
      <c r="B244" s="46" t="inlineStr">
        <is>
          <t>13380</t>
        </is>
      </c>
      <c r="C244" s="46">
        <f>LEFT(Tableau1[[#This Row],[Formacode]],3)</f>
        <v/>
      </c>
      <c r="D244" s="47" t="n">
        <v>37154</v>
      </c>
      <c r="E244" s="48">
        <f>"RNCP"&amp;D244</f>
        <v/>
      </c>
      <c r="F244" s="48" t="inlineStr">
        <is>
          <t>Manager des affaires juridiques Internationales (MS)</t>
        </is>
      </c>
      <c r="G244" s="49">
        <f>E244&amp;" - "&amp;F244</f>
        <v/>
      </c>
      <c r="H244" s="36" t="inlineStr">
        <is>
          <t>RAS</t>
        </is>
      </c>
      <c r="I244" s="45" t="inlineStr"/>
      <c r="J244" s="45" t="inlineStr">
        <is>
          <t>RNCP37154</t>
        </is>
      </c>
      <c r="K244" s="45" t="inlineStr">
        <is>
          <t>Manager des affaires juridiques Internationales (MS)</t>
        </is>
      </c>
      <c r="L244" s="45" t="inlineStr">
        <is>
          <t>14/12/2027</t>
        </is>
      </c>
      <c r="M244" s="45" t="inlineStr">
        <is>
          <t>13261 (Droit affaires) ; 13256 (Droit contrat) ; 13354 (Droit fiscal)</t>
        </is>
      </c>
      <c r="N244" s="50" t="inlineStr">
        <is>
          <t>NON</t>
        </is>
      </c>
      <c r="O244" s="45" t="inlineStr"/>
    </row>
    <row r="245" customFormat="1" s="4">
      <c r="A245" s="45" t="n"/>
      <c r="B245" s="46" t="inlineStr">
        <is>
          <t>13386</t>
        </is>
      </c>
      <c r="C245" s="46">
        <f>LEFT(Tableau1[[#This Row],[Formacode]],3)</f>
        <v/>
      </c>
      <c r="D245" s="47" t="n">
        <v>37154</v>
      </c>
      <c r="E245" s="48">
        <f>"RNCP"&amp;D245</f>
        <v/>
      </c>
      <c r="F245" s="48" t="inlineStr">
        <is>
          <t>Manager des affaires juridiques Internationales (MS)</t>
        </is>
      </c>
      <c r="G245" s="49">
        <f>E245&amp;" - "&amp;F245</f>
        <v/>
      </c>
      <c r="H245" s="36" t="inlineStr">
        <is>
          <t>RAS</t>
        </is>
      </c>
      <c r="I245" s="45" t="inlineStr"/>
      <c r="J245" s="45" t="inlineStr">
        <is>
          <t>RNCP37154</t>
        </is>
      </c>
      <c r="K245" s="45" t="inlineStr">
        <is>
          <t>Manager des affaires juridiques Internationales (MS)</t>
        </is>
      </c>
      <c r="L245" s="45" t="inlineStr">
        <is>
          <t>14/12/2027</t>
        </is>
      </c>
      <c r="M245" s="45" t="inlineStr">
        <is>
          <t>13261 (Droit affaires) ; 13256 (Droit contrat) ; 13354 (Droit fiscal)</t>
        </is>
      </c>
      <c r="N245" s="50" t="inlineStr">
        <is>
          <t>NON</t>
        </is>
      </c>
      <c r="O245" s="45" t="inlineStr"/>
    </row>
    <row r="246" customFormat="1" s="4">
      <c r="A246" s="45" t="n"/>
      <c r="B246" s="46" t="inlineStr">
        <is>
          <t>13389</t>
        </is>
      </c>
      <c r="C246" s="46">
        <f>LEFT(Tableau1[[#This Row],[Formacode]],3)</f>
        <v/>
      </c>
      <c r="D246" s="47" t="n">
        <v>37154</v>
      </c>
      <c r="E246" s="48">
        <f>"RNCP"&amp;D246</f>
        <v/>
      </c>
      <c r="F246" s="48" t="inlineStr">
        <is>
          <t>Manager des affaires juridiques Internationales (MS)</t>
        </is>
      </c>
      <c r="G246" s="49">
        <f>E246&amp;" - "&amp;F246</f>
        <v/>
      </c>
      <c r="H246" s="36" t="inlineStr">
        <is>
          <t>RAS</t>
        </is>
      </c>
      <c r="I246" s="45" t="inlineStr"/>
      <c r="J246" s="45" t="inlineStr">
        <is>
          <t>RNCP37154</t>
        </is>
      </c>
      <c r="K246" s="45" t="inlineStr">
        <is>
          <t>Manager des affaires juridiques Internationales (MS)</t>
        </is>
      </c>
      <c r="L246" s="45" t="inlineStr">
        <is>
          <t>14/12/2027</t>
        </is>
      </c>
      <c r="M246" s="45" t="inlineStr">
        <is>
          <t>13261 (Droit affaires) ; 13256 (Droit contrat) ; 13354 (Droit fiscal)</t>
        </is>
      </c>
      <c r="N246" s="50" t="inlineStr">
        <is>
          <t>NON</t>
        </is>
      </c>
      <c r="O246" s="45" t="inlineStr"/>
    </row>
    <row r="247" customFormat="1" s="4">
      <c r="A247" s="45" t="n"/>
      <c r="B247" s="46" t="inlineStr">
        <is>
          <t>14227</t>
        </is>
      </c>
      <c r="C247" s="46">
        <f>LEFT(Tableau1[[#This Row],[Formacode]],3)</f>
        <v/>
      </c>
      <c r="D247" s="47" t="n">
        <v>37314</v>
      </c>
      <c r="E247" s="48">
        <f>"RNCP"&amp;D247</f>
        <v/>
      </c>
      <c r="F247" s="48" t="inlineStr">
        <is>
          <t>CS - Entretien des collections du patrimoine</t>
        </is>
      </c>
      <c r="G247" s="49">
        <f>E247&amp;" - "&amp;F247</f>
        <v/>
      </c>
      <c r="H247" s="36" t="inlineStr">
        <is>
          <t>RAS</t>
        </is>
      </c>
      <c r="I247" s="45" t="inlineStr"/>
      <c r="J247" s="45" t="inlineStr">
        <is>
          <t>RNCP37314</t>
        </is>
      </c>
      <c r="K247" s="45" t="inlineStr">
        <is>
          <t>Entretien des collections du patrimoine</t>
        </is>
      </c>
      <c r="L247" s="45" t="inlineStr">
        <is>
          <t>31/08/2028</t>
        </is>
      </c>
      <c r="M247" s="45" t="inlineStr">
        <is>
          <t>14215 (Sciences et techniques patrimoine)</t>
        </is>
      </c>
      <c r="N247" s="50" t="inlineStr">
        <is>
          <t>NON</t>
        </is>
      </c>
      <c r="O247" s="45" t="inlineStr"/>
    </row>
    <row r="248" customFormat="1" s="4">
      <c r="A248" s="45" t="n"/>
      <c r="B248" s="46" t="inlineStr">
        <is>
          <t>14256</t>
        </is>
      </c>
      <c r="C248" s="46">
        <f>LEFT(Tableau1[[#This Row],[Formacode]],3)</f>
        <v/>
      </c>
      <c r="D248" s="47" t="n">
        <v>39867</v>
      </c>
      <c r="E248" s="48">
        <f>"RNCP"&amp;D248</f>
        <v/>
      </c>
      <c r="F248" s="48" t="inlineStr">
        <is>
          <t>Expert analyste en relations internationales, intelligence stratégique et diplomatique</t>
        </is>
      </c>
      <c r="G248" s="49">
        <f>E248&amp;" - "&amp;F248</f>
        <v/>
      </c>
      <c r="H248" s="36" t="inlineStr">
        <is>
          <t>RAS</t>
        </is>
      </c>
      <c r="I248" s="45" t="inlineStr"/>
      <c r="J248" s="45" t="inlineStr">
        <is>
          <t>RNCP39867</t>
        </is>
      </c>
      <c r="K248" s="45" t="inlineStr">
        <is>
          <t>Expert analyste en relations internationales, intelligence stratégique et diplomatique</t>
        </is>
      </c>
      <c r="L248" s="45" t="inlineStr">
        <is>
          <t>28/11/2029</t>
        </is>
      </c>
      <c r="M248" s="45" t="inlineStr">
        <is>
          <t>13183 (Économie internationale) ; 13138 (Analyse économique) ; 13036 (Politique internationale) ; 32136 (Conduite projet international) ; 14297 (Criminologie)</t>
        </is>
      </c>
      <c r="N248" s="50" t="inlineStr">
        <is>
          <t>NON</t>
        </is>
      </c>
      <c r="O248" s="45" t="inlineStr"/>
    </row>
    <row r="249" customFormat="1" s="4">
      <c r="A249" s="45" t="n"/>
      <c r="B249" s="46" t="inlineStr">
        <is>
          <t>14420</t>
        </is>
      </c>
      <c r="C249" s="46">
        <f>LEFT(Tableau1[[#This Row],[Formacode]],3)</f>
        <v/>
      </c>
      <c r="D249" s="47" t="n">
        <v>38797</v>
      </c>
      <c r="E249" s="48">
        <f>"RNCP"&amp;D249</f>
        <v/>
      </c>
      <c r="F249" s="48" t="inlineStr">
        <is>
          <t>CQP Coordinateur de vie scolaire</t>
        </is>
      </c>
      <c r="G249" s="49">
        <f>E249&amp;" - "&amp;F249</f>
        <v/>
      </c>
      <c r="H249" s="36" t="inlineStr">
        <is>
          <t>RAS</t>
        </is>
      </c>
      <c r="I249" s="45" t="inlineStr"/>
      <c r="J249" s="45" t="inlineStr">
        <is>
          <t>RNCP38797</t>
        </is>
      </c>
      <c r="K249" s="45" t="inlineStr">
        <is>
          <t>CQP Coordinateur de vie scolaire</t>
        </is>
      </c>
      <c r="L249" s="45" t="inlineStr">
        <is>
          <t>27/03/2029</t>
        </is>
      </c>
      <c r="M249" s="45" t="inlineStr">
        <is>
          <t>14420 (Psychologie enfant adolescent) ; 44540 (Relation pédagogique) ; 44057 (Atelier éducatif) ; 32068 (Coordination travail)</t>
        </is>
      </c>
      <c r="N249" s="50" t="inlineStr">
        <is>
          <t>NON</t>
        </is>
      </c>
      <c r="O249" s="45" t="inlineStr"/>
    </row>
    <row r="250" customFormat="1" s="4">
      <c r="A250" s="45" t="n"/>
      <c r="B250" s="46" t="inlineStr">
        <is>
          <t>14420</t>
        </is>
      </c>
      <c r="C250" s="46">
        <f>LEFT(Tableau1[[#This Row],[Formacode]],3)</f>
        <v/>
      </c>
      <c r="D250" s="47" t="n">
        <v>41456</v>
      </c>
      <c r="E250" s="48">
        <f>"RNCP"&amp;D250</f>
        <v/>
      </c>
      <c r="F250" s="48" t="inlineStr">
        <is>
          <t>CQP Educateur de vie scolaire</t>
        </is>
      </c>
      <c r="G250" s="49">
        <f>E250&amp;" - "&amp;F250</f>
        <v/>
      </c>
      <c r="H250" s="36" t="inlineStr">
        <is>
          <t>RAS</t>
        </is>
      </c>
      <c r="I250" s="45" t="inlineStr"/>
      <c r="J250" s="45" t="inlineStr">
        <is>
          <t>RNCP41456</t>
        </is>
      </c>
      <c r="K250" s="45" t="inlineStr">
        <is>
          <t>CQP Educateur de vie scolaire</t>
        </is>
      </c>
      <c r="L250" s="45" t="inlineStr">
        <is>
          <t>27/10/2030</t>
        </is>
      </c>
      <c r="M250" s="45" t="inlineStr">
        <is>
          <t>15004 (Communication professionnelle) ; 14420 (Psychologie enfant adolescent) ; 35071 (Technique administrative) ; 44540 (Relation pédagogique)</t>
        </is>
      </c>
      <c r="N250" s="50" t="inlineStr">
        <is>
          <t>NON</t>
        </is>
      </c>
      <c r="O250" s="45" t="inlineStr"/>
    </row>
    <row r="251" customFormat="1" s="4">
      <c r="A251" s="51" t="n"/>
      <c r="B251" s="52" t="inlineStr">
        <is>
          <t>14456</t>
        </is>
      </c>
      <c r="C251" s="52">
        <f>LEFT(Tableau1[[#This Row],[Formacode]],3)</f>
        <v/>
      </c>
      <c r="D251" s="53" t="n">
        <v>38497</v>
      </c>
      <c r="E251" s="54">
        <f>"RNCP"&amp;D251</f>
        <v/>
      </c>
      <c r="F251" s="54" t="inlineStr">
        <is>
          <t>Art-thérapeute</t>
        </is>
      </c>
      <c r="G251" s="55">
        <f>E251&amp;" - "&amp;F251</f>
        <v/>
      </c>
      <c r="H251" s="37" t="inlineStr">
        <is>
          <t>À vérifier</t>
        </is>
      </c>
      <c r="I251" s="51" t="inlineStr">
        <is>
          <t>Échéance le 21/12/2026 (dans 156 j)</t>
        </is>
      </c>
      <c r="J251" s="51" t="inlineStr">
        <is>
          <t>RNCP38497</t>
        </is>
      </c>
      <c r="K251" s="51" t="inlineStr">
        <is>
          <t>Art-thérapeute</t>
        </is>
      </c>
      <c r="L251" s="51" t="inlineStr">
        <is>
          <t>21/12/2026</t>
        </is>
      </c>
      <c r="M251" s="51" t="inlineStr">
        <is>
          <t>14426 (Art thérapie)</t>
        </is>
      </c>
      <c r="N251" s="62" t="inlineStr">
        <is>
          <t>NON</t>
        </is>
      </c>
      <c r="O251" s="51" t="inlineStr"/>
    </row>
    <row r="252" customFormat="1" s="3">
      <c r="A252" s="51" t="n"/>
      <c r="B252" s="52" t="inlineStr">
        <is>
          <t>15031</t>
        </is>
      </c>
      <c r="C252" s="52">
        <f>LEFT(Tableau1[[#This Row],[Formacode]],3)</f>
        <v/>
      </c>
      <c r="D252" s="53" t="n">
        <v>37779</v>
      </c>
      <c r="E252" s="54">
        <f>"RNCP"&amp;D252</f>
        <v/>
      </c>
      <c r="F252" s="54" t="inlineStr">
        <is>
          <t>Conseiller en emploi accompagné</t>
        </is>
      </c>
      <c r="G252" s="55">
        <f>E252&amp;" - "&amp;F252</f>
        <v/>
      </c>
      <c r="H252" s="37" t="inlineStr">
        <is>
          <t>À vérifier</t>
        </is>
      </c>
      <c r="I252" s="51" t="inlineStr">
        <is>
          <t>Échéance le 19/07/2026 (dans 1 j)</t>
        </is>
      </c>
      <c r="J252" s="51" t="inlineStr">
        <is>
          <t>RNCP37779</t>
        </is>
      </c>
      <c r="K252" s="51" t="inlineStr">
        <is>
          <t>Conseiller en emploi accompagné</t>
        </is>
      </c>
      <c r="L252" s="51" t="inlineStr">
        <is>
          <t>19/07/2026</t>
        </is>
      </c>
      <c r="M252" s="51" t="inlineStr">
        <is>
          <t>15061 (Accompagnement vers emploi) ; 15031 (Adaptation sociale)</t>
        </is>
      </c>
      <c r="N252" s="62" t="inlineStr">
        <is>
          <t>NON</t>
        </is>
      </c>
      <c r="O252" s="51" t="inlineStr"/>
    </row>
    <row r="253" customFormat="1" s="3">
      <c r="A253" s="45" t="n"/>
      <c r="B253" s="46" t="inlineStr">
        <is>
          <t>15034</t>
        </is>
      </c>
      <c r="C253" s="46">
        <f>LEFT(Tableau1[[#This Row],[Formacode]],3)</f>
        <v/>
      </c>
      <c r="D253" s="47" t="n">
        <v>36241</v>
      </c>
      <c r="E253" s="48">
        <f>"RNCP"&amp;D253</f>
        <v/>
      </c>
      <c r="F253" s="48" t="inlineStr">
        <is>
          <t>TP - Médiateur social accès aux droits et services</t>
        </is>
      </c>
      <c r="G253" s="49">
        <f>E253&amp;" - "&amp;F253</f>
        <v/>
      </c>
      <c r="H253" s="36" t="inlineStr">
        <is>
          <t>RAS</t>
        </is>
      </c>
      <c r="I253" s="45" t="inlineStr"/>
      <c r="J253" s="45" t="inlineStr">
        <is>
          <t>RNCP36241</t>
        </is>
      </c>
      <c r="K253" s="45" t="inlineStr">
        <is>
          <t>Médiateur social accès aux droits et services</t>
        </is>
      </c>
      <c r="L253" s="45" t="inlineStr">
        <is>
          <t>16/05/2027</t>
        </is>
      </c>
      <c r="M253" s="45" t="inlineStr">
        <is>
          <t>44035 (Médiation socioculturelle) ; 15099 (Résolution problème) ; 15006 (Relation interculturelle) ; 44056 (Travail social en réseau)</t>
        </is>
      </c>
      <c r="N253" s="50" t="inlineStr">
        <is>
          <t>NON</t>
        </is>
      </c>
      <c r="O253" s="45" t="inlineStr"/>
    </row>
    <row r="254" customFormat="1" s="3">
      <c r="A254" s="45" t="n"/>
      <c r="B254" s="46" t="inlineStr">
        <is>
          <t>15034</t>
        </is>
      </c>
      <c r="C254" s="46">
        <f>LEFT(Tableau1[[#This Row],[Formacode]],3)</f>
        <v/>
      </c>
      <c r="D254" s="47" t="n">
        <v>36650</v>
      </c>
      <c r="E254" s="48">
        <f>"RNCP"&amp;D254</f>
        <v/>
      </c>
      <c r="F254" s="48" t="inlineStr">
        <is>
          <t>Responsable de communication</t>
        </is>
      </c>
      <c r="G254" s="49">
        <f>E254&amp;" - "&amp;F254</f>
        <v/>
      </c>
      <c r="H254" s="36" t="inlineStr">
        <is>
          <t>RAS</t>
        </is>
      </c>
      <c r="I254" s="45" t="inlineStr"/>
      <c r="J254" s="45" t="inlineStr">
        <is>
          <t>RNCP36650</t>
        </is>
      </c>
      <c r="K254" s="45" t="inlineStr">
        <is>
          <t>Responsable de communication</t>
        </is>
      </c>
      <c r="L254" s="45" t="inlineStr">
        <is>
          <t>01/07/2027</t>
        </is>
      </c>
      <c r="M254" s="45" t="inlineStr">
        <is>
          <t>15004 (Communication professionnelle) ; 46340 (Communication événementielle) ; 46341 (Communication externe) ; 46347 (Stratégie communication numérique)</t>
        </is>
      </c>
      <c r="N254" s="50" t="inlineStr">
        <is>
          <t>NON</t>
        </is>
      </c>
      <c r="O254" s="45" t="inlineStr"/>
    </row>
    <row r="255" customFormat="1" s="3">
      <c r="A255" s="45" t="n"/>
      <c r="B255" s="46" t="inlineStr">
        <is>
          <t>15034</t>
        </is>
      </c>
      <c r="C255" s="46">
        <f>LEFT(Tableau1[[#This Row],[Formacode]],3)</f>
        <v/>
      </c>
      <c r="D255" s="47" t="n">
        <v>41456</v>
      </c>
      <c r="E255" s="48">
        <f>"RNCP"&amp;D255</f>
        <v/>
      </c>
      <c r="F255" s="48" t="inlineStr">
        <is>
          <t>CQP Educateur de vie scolaire</t>
        </is>
      </c>
      <c r="G255" s="49">
        <f>E255&amp;" - "&amp;F255</f>
        <v/>
      </c>
      <c r="H255" s="36" t="inlineStr">
        <is>
          <t>RAS</t>
        </is>
      </c>
      <c r="I255" s="45" t="inlineStr"/>
      <c r="J255" s="45" t="inlineStr">
        <is>
          <t>RNCP41456</t>
        </is>
      </c>
      <c r="K255" s="45" t="inlineStr">
        <is>
          <t>CQP Educateur de vie scolaire</t>
        </is>
      </c>
      <c r="L255" s="45" t="inlineStr">
        <is>
          <t>27/10/2030</t>
        </is>
      </c>
      <c r="M255" s="45" t="inlineStr">
        <is>
          <t>15004 (Communication professionnelle) ; 14420 (Psychologie enfant adolescent) ; 35071 (Technique administrative) ; 44540 (Relation pédagogique)</t>
        </is>
      </c>
      <c r="N255" s="50" t="inlineStr">
        <is>
          <t>NON</t>
        </is>
      </c>
      <c r="O255" s="45" t="inlineStr"/>
    </row>
    <row r="256" customFormat="1" s="3">
      <c r="A256" s="45" t="n"/>
      <c r="B256" s="46" t="inlineStr">
        <is>
          <t>15034</t>
        </is>
      </c>
      <c r="C256" s="46">
        <f>LEFT(Tableau1[[#This Row],[Formacode]],3)</f>
        <v/>
      </c>
      <c r="D256" s="47" t="n">
        <v>41809</v>
      </c>
      <c r="E256" s="48">
        <f>"RNCP"&amp;D256</f>
        <v/>
      </c>
      <c r="F256" s="48" t="inlineStr">
        <is>
          <t>Manager de la stratégie marketing digital</t>
        </is>
      </c>
      <c r="G256" s="49">
        <f>E256&amp;" - "&amp;F256</f>
        <v/>
      </c>
      <c r="H256" s="36" t="inlineStr">
        <is>
          <t>RAS</t>
        </is>
      </c>
      <c r="I256" s="45" t="inlineStr"/>
      <c r="J256" s="45" t="inlineStr">
        <is>
          <t>RNCP41809</t>
        </is>
      </c>
      <c r="K256" s="45" t="inlineStr">
        <is>
          <t>Manager de la stratégie marketing digital</t>
        </is>
      </c>
      <c r="L256" s="45" t="inlineStr">
        <is>
          <t>18/12/2028</t>
        </is>
      </c>
      <c r="M256" s="45" t="inlineStr">
        <is>
          <t>46301 (Communication entreprise) ; 15004 (Communication professionnelle) ; 32154 (Encadrement management) ; 34052 (Marketing)</t>
        </is>
      </c>
      <c r="N256" s="50" t="inlineStr">
        <is>
          <t>NON</t>
        </is>
      </c>
      <c r="O256" s="45" t="inlineStr"/>
    </row>
    <row r="257" customFormat="1" s="3">
      <c r="A257" s="51" t="n"/>
      <c r="B257" s="52" t="inlineStr">
        <is>
          <t>15041</t>
        </is>
      </c>
      <c r="C257" s="52">
        <f>LEFT(Tableau1[[#This Row],[Formacode]],3)</f>
        <v/>
      </c>
      <c r="D257" s="53" t="n">
        <v>35517</v>
      </c>
      <c r="E257" s="54">
        <f>"RNCP"&amp;D257</f>
        <v/>
      </c>
      <c r="F257" s="54" t="inlineStr">
        <is>
          <t>CS - Services numériques aux organisations</t>
        </is>
      </c>
      <c r="G257" s="55">
        <f>E257&amp;" - "&amp;F257</f>
        <v/>
      </c>
      <c r="H257" s="37" t="inlineStr">
        <is>
          <t>À vérifier</t>
        </is>
      </c>
      <c r="I257" s="51" t="inlineStr">
        <is>
          <t>Successeur déjà publié : RNCP41844 (Services numériques aux organisations) — préparer la bascule de l'offre CPF | Échéance le 31/08/2026 (dans 44 j)</t>
        </is>
      </c>
      <c r="J257" s="51" t="inlineStr">
        <is>
          <t>RNCP41844</t>
        </is>
      </c>
      <c r="K257" s="51" t="inlineStr">
        <is>
          <t>Services numériques aux organisations</t>
        </is>
      </c>
      <c r="L257" s="51" t="inlineStr">
        <is>
          <t>31/08/2026</t>
        </is>
      </c>
      <c r="M257" s="51" t="inlineStr">
        <is>
          <t>44527 (Médiation numérique) ; 31006 (Sécurité informatique) ; 15052 (Bureautique)</t>
        </is>
      </c>
      <c r="N257" s="62" t="inlineStr">
        <is>
          <t>NON</t>
        </is>
      </c>
      <c r="O257" s="51" t="inlineStr"/>
    </row>
    <row r="258" customFormat="1" s="3">
      <c r="A258" s="45" t="n"/>
      <c r="B258" s="46" t="inlineStr">
        <is>
          <t>15041</t>
        </is>
      </c>
      <c r="C258" s="46">
        <f>LEFT(Tableau1[[#This Row],[Formacode]],3)</f>
        <v/>
      </c>
      <c r="D258" s="47" t="n">
        <v>37275</v>
      </c>
      <c r="E258" s="48">
        <f>"RNCP"&amp;D258</f>
        <v/>
      </c>
      <c r="F258" s="48" t="inlineStr">
        <is>
          <t>TP - Formateur professionnel d'adultes</t>
        </is>
      </c>
      <c r="G258" s="49">
        <f>E258&amp;" - "&amp;F258</f>
        <v/>
      </c>
      <c r="H258" s="36" t="inlineStr">
        <is>
          <t>RAS</t>
        </is>
      </c>
      <c r="I258" s="45" t="inlineStr"/>
      <c r="J258" s="45" t="inlineStr">
        <is>
          <t>RNCP37275</t>
        </is>
      </c>
      <c r="K258" s="45" t="inlineStr">
        <is>
          <t>Formateur professionnel d'adultes</t>
        </is>
      </c>
      <c r="L258" s="45" t="inlineStr">
        <is>
          <t>29/04/2028</t>
        </is>
      </c>
      <c r="M258" s="45" t="inlineStr">
        <is>
          <t>44586 (Formation formateur) ; 44542 (Pédagogie) ; 44517 (Conception action formation) ; 15084 (Préparation entrée formation) ; 15041 (Mise à niveau)</t>
        </is>
      </c>
      <c r="N258" s="50" t="inlineStr">
        <is>
          <t>NON</t>
        </is>
      </c>
      <c r="O258" s="45" t="inlineStr"/>
    </row>
    <row r="259" customFormat="1" s="3">
      <c r="A259" s="45" t="n"/>
      <c r="B259" s="46" t="inlineStr">
        <is>
          <t>15041</t>
        </is>
      </c>
      <c r="C259" s="46">
        <f>LEFT(Tableau1[[#This Row],[Formacode]],3)</f>
        <v/>
      </c>
      <c r="D259" s="47" t="n">
        <v>40695</v>
      </c>
      <c r="E259" s="48">
        <f>"RNCP"&amp;D259</f>
        <v/>
      </c>
      <c r="F259" s="48" t="inlineStr">
        <is>
          <t>TP - Médiateur numérique</t>
        </is>
      </c>
      <c r="G259" s="49">
        <f>E259&amp;" - "&amp;F259</f>
        <v/>
      </c>
      <c r="H259" s="36" t="inlineStr">
        <is>
          <t>RAS</t>
        </is>
      </c>
      <c r="I259" s="45" t="inlineStr"/>
      <c r="J259" s="45" t="inlineStr">
        <is>
          <t>RNCP40695</t>
        </is>
      </c>
      <c r="K259" s="45" t="inlineStr">
        <is>
          <t>Médiateur numérique</t>
        </is>
      </c>
      <c r="L259" s="45" t="inlineStr">
        <is>
          <t>12/07/2030</t>
        </is>
      </c>
      <c r="M259" s="45" t="inlineStr">
        <is>
          <t>44527 (Médiation numérique) ; 15050 (Mise à niveau numérique) ; 44067 (Animation socioculturelle) ; 44521 (Pédagogie public spécifique) ; 46305 (Sensibilisation médias)</t>
        </is>
      </c>
      <c r="N259" s="50" t="inlineStr">
        <is>
          <t>NON</t>
        </is>
      </c>
      <c r="O259" s="45" t="inlineStr"/>
    </row>
    <row r="260" customFormat="1" s="3">
      <c r="A260" s="51" t="n"/>
      <c r="B260" s="52" t="inlineStr">
        <is>
          <t>15061</t>
        </is>
      </c>
      <c r="C260" s="52">
        <f>LEFT(Tableau1[[#This Row],[Formacode]],3)</f>
        <v/>
      </c>
      <c r="D260" s="53" t="n">
        <v>37779</v>
      </c>
      <c r="E260" s="54">
        <f>"RNCP"&amp;D260</f>
        <v/>
      </c>
      <c r="F260" s="54" t="inlineStr">
        <is>
          <t>Conseiller en emploi accompagné</t>
        </is>
      </c>
      <c r="G260" s="55">
        <f>E260&amp;" - "&amp;F260</f>
        <v/>
      </c>
      <c r="H260" s="37" t="inlineStr">
        <is>
          <t>À vérifier</t>
        </is>
      </c>
      <c r="I260" s="51" t="inlineStr">
        <is>
          <t>Échéance le 19/07/2026 (dans 1 j)</t>
        </is>
      </c>
      <c r="J260" s="51" t="inlineStr">
        <is>
          <t>RNCP37779</t>
        </is>
      </c>
      <c r="K260" s="51" t="inlineStr">
        <is>
          <t>Conseiller en emploi accompagné</t>
        </is>
      </c>
      <c r="L260" s="51" t="inlineStr">
        <is>
          <t>19/07/2026</t>
        </is>
      </c>
      <c r="M260" s="51" t="inlineStr">
        <is>
          <t>15061 (Accompagnement vers emploi) ; 15031 (Adaptation sociale)</t>
        </is>
      </c>
      <c r="N260" s="62" t="inlineStr">
        <is>
          <t>NON</t>
        </is>
      </c>
      <c r="O260" s="51" t="inlineStr"/>
    </row>
    <row r="261" customFormat="1" s="3">
      <c r="A261" s="45" t="n"/>
      <c r="B261" s="46" t="inlineStr">
        <is>
          <t>15061</t>
        </is>
      </c>
      <c r="C261" s="46">
        <f>LEFT(Tableau1[[#This Row],[Formacode]],3)</f>
        <v/>
      </c>
      <c r="D261" s="47" t="n">
        <v>39391</v>
      </c>
      <c r="E261" s="48">
        <f>"RNCP"&amp;D261</f>
        <v/>
      </c>
      <c r="F261" s="48" t="inlineStr">
        <is>
          <t>Conseiller emploi et accompagnement professionnel</t>
        </is>
      </c>
      <c r="G261" s="49">
        <f>E261&amp;" - "&amp;F261</f>
        <v/>
      </c>
      <c r="H261" s="36" t="inlineStr">
        <is>
          <t>RAS</t>
        </is>
      </c>
      <c r="I261" s="45" t="inlineStr"/>
      <c r="J261" s="45" t="inlineStr">
        <is>
          <t>RNCP39391</t>
        </is>
      </c>
      <c r="K261" s="45" t="inlineStr">
        <is>
          <t>Conseiller emploi et accompagnement professionnel</t>
        </is>
      </c>
      <c r="L261" s="45" t="inlineStr">
        <is>
          <t>19/07/2027</t>
        </is>
      </c>
      <c r="M261" s="45" t="inlineStr">
        <is>
          <t>44569 (Conseil insertion professionnelle) ; 15061 (Accompagnement vers emploi) ; 15081 (Bilan professionnel)</t>
        </is>
      </c>
      <c r="N261" s="50" t="inlineStr">
        <is>
          <t>NON</t>
        </is>
      </c>
      <c r="O261" s="45" t="inlineStr"/>
    </row>
    <row r="262" customFormat="1" s="3">
      <c r="A262" s="45" t="n"/>
      <c r="B262" s="46" t="inlineStr">
        <is>
          <t>15066</t>
        </is>
      </c>
      <c r="C262" s="46">
        <f>LEFT(Tableau1[[#This Row],[Formacode]],3)</f>
        <v/>
      </c>
      <c r="D262" s="47" t="n">
        <v>36241</v>
      </c>
      <c r="E262" s="48">
        <f>"RNCP"&amp;D262</f>
        <v/>
      </c>
      <c r="F262" s="48" t="inlineStr">
        <is>
          <t>TP - Médiateur social accès aux droits et services</t>
        </is>
      </c>
      <c r="G262" s="49">
        <f>E262&amp;" - "&amp;F262</f>
        <v/>
      </c>
      <c r="H262" s="36" t="inlineStr">
        <is>
          <t>RAS</t>
        </is>
      </c>
      <c r="I262" s="45" t="inlineStr"/>
      <c r="J262" s="45" t="inlineStr">
        <is>
          <t>RNCP36241</t>
        </is>
      </c>
      <c r="K262" s="45" t="inlineStr">
        <is>
          <t>Médiateur social accès aux droits et services</t>
        </is>
      </c>
      <c r="L262" s="45" t="inlineStr">
        <is>
          <t>16/05/2027</t>
        </is>
      </c>
      <c r="M262" s="45" t="inlineStr">
        <is>
          <t>44035 (Médiation socioculturelle) ; 15099 (Résolution problème) ; 15006 (Relation interculturelle) ; 44056 (Travail social en réseau)</t>
        </is>
      </c>
      <c r="N262" s="50" t="inlineStr">
        <is>
          <t>NON</t>
        </is>
      </c>
      <c r="O262" s="45" t="inlineStr"/>
    </row>
    <row r="263" customFormat="1" s="3">
      <c r="A263" s="45" t="n"/>
      <c r="B263" s="46" t="inlineStr">
        <is>
          <t>15066</t>
        </is>
      </c>
      <c r="C263" s="46">
        <f>LEFT(Tableau1[[#This Row],[Formacode]],3)</f>
        <v/>
      </c>
      <c r="D263" s="47" t="n">
        <v>37722</v>
      </c>
      <c r="E263" s="48">
        <f>"RNCP"&amp;D263</f>
        <v/>
      </c>
      <c r="F263" s="48" t="inlineStr">
        <is>
          <t>TP - Agent de médiation, information, services</t>
        </is>
      </c>
      <c r="G263" s="49">
        <f>E263&amp;" - "&amp;F263</f>
        <v/>
      </c>
      <c r="H263" s="36" t="inlineStr">
        <is>
          <t>RAS</t>
        </is>
      </c>
      <c r="I263" s="45" t="inlineStr"/>
      <c r="J263" s="45" t="inlineStr">
        <is>
          <t>RNCP37722</t>
        </is>
      </c>
      <c r="K263" s="45" t="inlineStr">
        <is>
          <t>Agent de médiation, information, services</t>
        </is>
      </c>
      <c r="L263" s="45" t="inlineStr">
        <is>
          <t>02/07/2028</t>
        </is>
      </c>
      <c r="M263" s="45" t="inlineStr">
        <is>
          <t>44091 (Prévention sociale) ; 15016 (Gestion conflit)</t>
        </is>
      </c>
      <c r="N263" s="50" t="inlineStr">
        <is>
          <t>NON</t>
        </is>
      </c>
      <c r="O263" s="45" t="inlineStr"/>
    </row>
    <row r="264" customFormat="1" s="3">
      <c r="A264" s="45" t="n"/>
      <c r="B264" s="46" t="inlineStr">
        <is>
          <t>15066</t>
        </is>
      </c>
      <c r="C264" s="46">
        <f>LEFT(Tableau1[[#This Row],[Formacode]],3)</f>
        <v/>
      </c>
      <c r="D264" s="47" t="n">
        <v>39445</v>
      </c>
      <c r="E264" s="48">
        <f>"RNCP"&amp;D264</f>
        <v/>
      </c>
      <c r="F264" s="48" t="inlineStr">
        <is>
          <t>Titre ingénieur - Ingénieur diplômé de l'Institut supérieur d'électronique de Paris</t>
        </is>
      </c>
      <c r="G264" s="49">
        <f>E264&amp;" - "&amp;F264</f>
        <v/>
      </c>
      <c r="H264" s="36" t="inlineStr">
        <is>
          <t>RAS</t>
        </is>
      </c>
      <c r="I264" s="45" t="inlineStr"/>
      <c r="J264" s="45" t="inlineStr">
        <is>
          <t>RNCP39445</t>
        </is>
      </c>
      <c r="K264" s="45" t="inlineStr">
        <is>
          <t>Ingénieur diplômé de l'Institut supérieur d'électronique de Paris</t>
        </is>
      </c>
      <c r="L264" s="45" t="inlineStr">
        <is>
          <t>31/08/2029</t>
        </is>
      </c>
      <c r="M264" s="45" t="inlineStr">
        <is>
          <t>24354 (Électronique) ; 31054 (Informatique - Systèmes d’information et numérique) ; 32062 (Recherche développement) ; 15099 (Résolution problème)</t>
        </is>
      </c>
      <c r="N264" s="50" t="inlineStr">
        <is>
          <t>NON</t>
        </is>
      </c>
      <c r="O264" s="45" t="inlineStr"/>
    </row>
    <row r="265" customFormat="1" s="3">
      <c r="A265" s="45" t="n"/>
      <c r="B265" s="46" t="inlineStr">
        <is>
          <t>15066</t>
        </is>
      </c>
      <c r="C265" s="46">
        <f>LEFT(Tableau1[[#This Row],[Formacode]],3)</f>
        <v/>
      </c>
      <c r="D265" s="47" t="n">
        <v>41137</v>
      </c>
      <c r="E265" s="48">
        <f>"RNCP"&amp;D265</f>
        <v/>
      </c>
      <c r="F265" s="48" t="inlineStr">
        <is>
          <t>CQP Coordonnateur Lean et amélioration continue</t>
        </is>
      </c>
      <c r="G265" s="49">
        <f>E265&amp;" - "&amp;F265</f>
        <v/>
      </c>
      <c r="H265" s="36" t="inlineStr">
        <is>
          <t>RAS</t>
        </is>
      </c>
      <c r="I265" s="45" t="inlineStr"/>
      <c r="J265" s="45" t="inlineStr">
        <is>
          <t>RNCP41137</t>
        </is>
      </c>
      <c r="K265" s="45" t="inlineStr">
        <is>
          <t>CQP Coordonnateur Lean et amélioration continue</t>
        </is>
      </c>
      <c r="L265" s="45" t="inlineStr">
        <is>
          <t>18/07/2030</t>
        </is>
      </c>
      <c r="M265" s="45" t="inlineStr">
        <is>
          <t>31637 (Organisation travail) ; 15099 (Résolution problème) ; 31652 (Gestion production)</t>
        </is>
      </c>
      <c r="N265" s="50" t="inlineStr">
        <is>
          <t>NON</t>
        </is>
      </c>
      <c r="O265" s="45" t="inlineStr"/>
    </row>
    <row r="266" customFormat="1" s="3">
      <c r="A266" s="45" t="n"/>
      <c r="B266" s="46" t="inlineStr">
        <is>
          <t>15066</t>
        </is>
      </c>
      <c r="C266" s="46">
        <f>LEFT(Tableau1[[#This Row],[Formacode]],3)</f>
        <v/>
      </c>
      <c r="D266" s="47" t="n">
        <v>41823</v>
      </c>
      <c r="E266" s="48">
        <f>"RNCP"&amp;D266</f>
        <v/>
      </c>
      <c r="F266" s="48" t="inlineStr">
        <is>
          <t>Titre ingénieur - Ingénieur diplômé de l’ESIEE IT - CCI Paris Ile-de-France Éducation</t>
        </is>
      </c>
      <c r="G266" s="49">
        <f>E266&amp;" - "&amp;F266</f>
        <v/>
      </c>
      <c r="H266" s="36" t="inlineStr">
        <is>
          <t>RAS</t>
        </is>
      </c>
      <c r="I266" s="45" t="inlineStr"/>
      <c r="J266" s="45" t="inlineStr">
        <is>
          <t>RNCP41823</t>
        </is>
      </c>
      <c r="K266" s="45" t="inlineStr">
        <is>
          <t>Ingénieur diplômé de l’ESIEE IT - CCI Paris Ile-de-France Éducation</t>
        </is>
      </c>
      <c r="L266" s="45" t="inlineStr">
        <is>
          <t>31/08/2027</t>
        </is>
      </c>
      <c r="M266" s="45" t="inlineStr">
        <is>
          <t>31054 (Informatique - Systèmes d’information et numérique) ; 32062 (Recherche développement) ; 15099 (Résolution problème)</t>
        </is>
      </c>
      <c r="N266" s="50" t="inlineStr">
        <is>
          <t>NON</t>
        </is>
      </c>
      <c r="O266" s="45" t="inlineStr"/>
    </row>
    <row r="267" customFormat="1" s="3">
      <c r="A267" s="45" t="n"/>
      <c r="B267" s="46" t="inlineStr">
        <is>
          <t>15081</t>
        </is>
      </c>
      <c r="C267" s="46">
        <f>LEFT(Tableau1[[#This Row],[Formacode]],3)</f>
        <v/>
      </c>
      <c r="D267" s="47" t="n">
        <v>39391</v>
      </c>
      <c r="E267" s="48">
        <f>"RNCP"&amp;D267</f>
        <v/>
      </c>
      <c r="F267" s="48" t="inlineStr">
        <is>
          <t>Conseiller emploi et accompagnement professionnel</t>
        </is>
      </c>
      <c r="G267" s="49">
        <f>E267&amp;" - "&amp;F267</f>
        <v/>
      </c>
      <c r="H267" s="36" t="inlineStr">
        <is>
          <t>RAS</t>
        </is>
      </c>
      <c r="I267" s="45" t="inlineStr"/>
      <c r="J267" s="45" t="inlineStr">
        <is>
          <t>RNCP39391</t>
        </is>
      </c>
      <c r="K267" s="45" t="inlineStr">
        <is>
          <t>Conseiller emploi et accompagnement professionnel</t>
        </is>
      </c>
      <c r="L267" s="45" t="inlineStr">
        <is>
          <t>19/07/2027</t>
        </is>
      </c>
      <c r="M267" s="45" t="inlineStr">
        <is>
          <t>44569 (Conseil insertion professionnelle) ; 15061 (Accompagnement vers emploi) ; 15081 (Bilan professionnel)</t>
        </is>
      </c>
      <c r="N267" s="50" t="inlineStr">
        <is>
          <t>NON</t>
        </is>
      </c>
      <c r="O267" s="45" t="inlineStr"/>
    </row>
    <row r="268" customFormat="1" s="3">
      <c r="A268" s="45" t="n"/>
      <c r="B268" s="46" t="inlineStr">
        <is>
          <t>15084</t>
        </is>
      </c>
      <c r="C268" s="46">
        <f>LEFT(Tableau1[[#This Row],[Formacode]],3)</f>
        <v/>
      </c>
      <c r="D268" s="47" t="n">
        <v>37275</v>
      </c>
      <c r="E268" s="48">
        <f>"RNCP"&amp;D268</f>
        <v/>
      </c>
      <c r="F268" s="48" t="inlineStr">
        <is>
          <t>TP - Formateur professionnel d'adultes</t>
        </is>
      </c>
      <c r="G268" s="49">
        <f>E268&amp;" - "&amp;F268</f>
        <v/>
      </c>
      <c r="H268" s="36" t="inlineStr">
        <is>
          <t>RAS</t>
        </is>
      </c>
      <c r="I268" s="45" t="inlineStr"/>
      <c r="J268" s="45" t="inlineStr">
        <is>
          <t>RNCP37275</t>
        </is>
      </c>
      <c r="K268" s="45" t="inlineStr">
        <is>
          <t>Formateur professionnel d'adultes</t>
        </is>
      </c>
      <c r="L268" s="45" t="inlineStr">
        <is>
          <t>29/04/2028</t>
        </is>
      </c>
      <c r="M268" s="45" t="inlineStr">
        <is>
          <t>44586 (Formation formateur) ; 44542 (Pédagogie) ; 44517 (Conception action formation) ; 15084 (Préparation entrée formation) ; 15041 (Mise à niveau)</t>
        </is>
      </c>
      <c r="N268" s="50" t="inlineStr">
        <is>
          <t>NON</t>
        </is>
      </c>
      <c r="O268" s="45" t="inlineStr"/>
    </row>
    <row r="269" customFormat="1" s="3">
      <c r="A269" s="45" t="n"/>
      <c r="B269" s="46" t="inlineStr">
        <is>
          <t>15091</t>
        </is>
      </c>
      <c r="C269" s="46">
        <f>LEFT(Tableau1[[#This Row],[Formacode]],3)</f>
        <v/>
      </c>
      <c r="D269" s="47" t="n">
        <v>40908</v>
      </c>
      <c r="E269" s="48">
        <f>"RNCP"&amp;D269</f>
        <v/>
      </c>
      <c r="F269" s="48" t="inlineStr">
        <is>
          <t>Chargé de développement ressources humaines</t>
        </is>
      </c>
      <c r="G269" s="49">
        <f>E269&amp;" - "&amp;F269</f>
        <v/>
      </c>
      <c r="H269" s="36" t="inlineStr">
        <is>
          <t>RAS</t>
        </is>
      </c>
      <c r="I269" s="45" t="inlineStr"/>
      <c r="J269" s="45" t="inlineStr">
        <is>
          <t>RNCP40908</t>
        </is>
      </c>
      <c r="K269" s="45" t="inlineStr">
        <is>
          <t>Chargé de développement ressources humaines</t>
        </is>
      </c>
      <c r="L269" s="45" t="inlineStr">
        <is>
          <t>25/06/2028</t>
        </is>
      </c>
      <c r="M269" s="45" t="inlineStr">
        <is>
          <t>33091 (GEPP) ; 13303 (Contrôle urssaf) ; 44528 (Responsable formation) ; 15091 (Gestion carrière personnelle)</t>
        </is>
      </c>
      <c r="N269" s="50" t="inlineStr">
        <is>
          <t>NON</t>
        </is>
      </c>
      <c r="O269" s="45" t="inlineStr"/>
    </row>
    <row r="270" customFormat="1" s="3">
      <c r="A270" s="45" t="n"/>
      <c r="B270" s="46" t="inlineStr">
        <is>
          <t>15091</t>
        </is>
      </c>
      <c r="C270" s="46">
        <f>LEFT(Tableau1[[#This Row],[Formacode]],3)</f>
        <v/>
      </c>
      <c r="D270" s="47" t="n">
        <v>41797</v>
      </c>
      <c r="E270" s="48">
        <f>"RNCP"&amp;D270</f>
        <v/>
      </c>
      <c r="F270" s="48" t="inlineStr">
        <is>
          <t>Chargé des ressources humaines</t>
        </is>
      </c>
      <c r="G270" s="49">
        <f>E270&amp;" - "&amp;F270</f>
        <v/>
      </c>
      <c r="H270" s="36" t="inlineStr">
        <is>
          <t>RAS</t>
        </is>
      </c>
      <c r="I270" s="45" t="inlineStr"/>
      <c r="J270" s="45" t="inlineStr">
        <is>
          <t>RNCP41797</t>
        </is>
      </c>
      <c r="K270" s="45" t="inlineStr">
        <is>
          <t>Chargé des ressources humaines</t>
        </is>
      </c>
      <c r="L270" s="45" t="inlineStr">
        <is>
          <t>18/12/2028</t>
        </is>
      </c>
      <c r="M270" s="45" t="inlineStr">
        <is>
          <t>33052 (Administration personnel) ; 15091 (Gestion carrière personnelle) ; 33047 (Relations sociales) ; 33091 (GEPP)</t>
        </is>
      </c>
      <c r="N270" s="50" t="inlineStr">
        <is>
          <t>NON</t>
        </is>
      </c>
      <c r="O270" s="45" t="inlineStr"/>
    </row>
    <row r="271" customFormat="1" s="4">
      <c r="A271" s="45" t="n"/>
      <c r="B271" s="46" t="inlineStr">
        <is>
          <t>15234</t>
        </is>
      </c>
      <c r="C271" s="46">
        <f>LEFT(Tableau1[[#This Row],[Formacode]],3)</f>
        <v/>
      </c>
      <c r="D271" s="47" t="n">
        <v>36964</v>
      </c>
      <c r="E271" s="48">
        <f>"RNCP"&amp;D271</f>
        <v/>
      </c>
      <c r="F271" s="48" t="inlineStr">
        <is>
          <t>TP - Assistant import-export</t>
        </is>
      </c>
      <c r="G271" s="49">
        <f>E271&amp;" - "&amp;F271</f>
        <v/>
      </c>
      <c r="H271" s="36" t="inlineStr">
        <is>
          <t>RAS</t>
        </is>
      </c>
      <c r="I271" s="45" t="inlineStr"/>
      <c r="J271" s="45" t="inlineStr">
        <is>
          <t>RNCP36964</t>
        </is>
      </c>
      <c r="K271" s="45" t="inlineStr">
        <is>
          <t>Assistant import-export</t>
        </is>
      </c>
      <c r="L271" s="45" t="inlineStr">
        <is>
          <t>07/01/2028</t>
        </is>
      </c>
      <c r="M271" s="45" t="inlineStr">
        <is>
          <t>35017 (Secrétariat assistanat import export) ; 34285 (Import export) ; 15206 (Anglais secrétariat) ; 15205 (Anglais commercial)</t>
        </is>
      </c>
      <c r="N271" s="50" t="inlineStr">
        <is>
          <t>NON</t>
        </is>
      </c>
      <c r="O271" s="45" t="inlineStr"/>
    </row>
    <row r="272" customFormat="1" s="3">
      <c r="A272" s="51" t="n"/>
      <c r="B272" s="52" t="inlineStr">
        <is>
          <t>15401</t>
        </is>
      </c>
      <c r="C272" s="52">
        <f>LEFT(Tableau1[[#This Row],[Formacode]],3)</f>
        <v/>
      </c>
      <c r="D272" s="53" t="n">
        <v>37996</v>
      </c>
      <c r="E272" s="54">
        <f>"RNCP"&amp;D272</f>
        <v/>
      </c>
      <c r="F272" s="54" t="inlineStr">
        <is>
          <t>CQP Moniteur de sports à roulettes</t>
        </is>
      </c>
      <c r="G272" s="55">
        <f>E272&amp;" - "&amp;F272</f>
        <v/>
      </c>
      <c r="H272" s="37" t="inlineStr">
        <is>
          <t>À vérifier</t>
        </is>
      </c>
      <c r="I272" s="51" t="inlineStr">
        <is>
          <t>Successeur déjà publié : RNCP41982 (CQP Initiateur en sports à roulettes) — préparer la bascule de l'offre CPF | Échéance le 20/09/2026 (dans 64 j)</t>
        </is>
      </c>
      <c r="J272" s="51" t="inlineStr">
        <is>
          <t>RNCP41982</t>
        </is>
      </c>
      <c r="K272" s="51" t="inlineStr">
        <is>
          <t>CQP Initiateur en sports à roulettes</t>
        </is>
      </c>
      <c r="L272" s="51" t="inlineStr">
        <is>
          <t>20/09/2026</t>
        </is>
      </c>
      <c r="M272" s="51" t="inlineStr">
        <is>
          <t>15436 (Éducation sportive) ; 15401 (Patinage roulettes) ; 15402 (Planche roulettes)</t>
        </is>
      </c>
      <c r="N272" s="62" t="inlineStr">
        <is>
          <t>NON</t>
        </is>
      </c>
      <c r="O272" s="51" t="inlineStr"/>
    </row>
    <row r="273" customFormat="1" s="3">
      <c r="A273" s="45" t="n"/>
      <c r="B273" s="46" t="inlineStr">
        <is>
          <t>15412</t>
        </is>
      </c>
      <c r="C273" s="46">
        <f>LEFT(Tableau1[[#This Row],[Formacode]],3)</f>
        <v/>
      </c>
      <c r="D273" s="47" t="n">
        <v>40397</v>
      </c>
      <c r="E273" s="48">
        <f>"RNCP"&amp;D273</f>
        <v/>
      </c>
      <c r="F273" s="48" t="inlineStr">
        <is>
          <t>CQP Animateur d'escalade sur structure artificielle</t>
        </is>
      </c>
      <c r="G273" s="49">
        <f>E273&amp;" - "&amp;F273</f>
        <v/>
      </c>
      <c r="H273" s="36" t="inlineStr">
        <is>
          <t>RAS</t>
        </is>
      </c>
      <c r="I273" s="45" t="inlineStr"/>
      <c r="J273" s="45" t="inlineStr">
        <is>
          <t>RNCP40397</t>
        </is>
      </c>
      <c r="K273" s="45" t="inlineStr">
        <is>
          <t>CQP Animateur d'escalade sur structure artificielle</t>
        </is>
      </c>
      <c r="L273" s="45" t="inlineStr">
        <is>
          <t>28/03/2028</t>
        </is>
      </c>
      <c r="M273" s="45" t="inlineStr">
        <is>
          <t>15436 (Éducation sportive) ; 15400 (Escalade)</t>
        </is>
      </c>
      <c r="N273" s="50" t="inlineStr">
        <is>
          <t>NON</t>
        </is>
      </c>
      <c r="O273" s="45" t="inlineStr"/>
    </row>
    <row r="274" customFormat="1" s="3">
      <c r="A274" s="45" t="n"/>
      <c r="B274" s="46" t="inlineStr">
        <is>
          <t>15412</t>
        </is>
      </c>
      <c r="C274" s="46">
        <f>LEFT(Tableau1[[#This Row],[Formacode]],3)</f>
        <v/>
      </c>
      <c r="D274" s="47" t="n">
        <v>40409</v>
      </c>
      <c r="E274" s="48">
        <f>"RNCP"&amp;D274</f>
        <v/>
      </c>
      <c r="F274" s="48" t="inlineStr">
        <is>
          <t>Moniteur d'escalade sur structure artificielle</t>
        </is>
      </c>
      <c r="G274" s="49">
        <f>E274&amp;" - "&amp;F274</f>
        <v/>
      </c>
      <c r="H274" s="36" t="inlineStr">
        <is>
          <t>RAS</t>
        </is>
      </c>
      <c r="I274" s="45" t="inlineStr"/>
      <c r="J274" s="45" t="inlineStr">
        <is>
          <t>RNCP40409</t>
        </is>
      </c>
      <c r="K274" s="45" t="inlineStr">
        <is>
          <t>Moniteur d'escalade sur structure artificielle</t>
        </is>
      </c>
      <c r="L274" s="45" t="inlineStr">
        <is>
          <t>28/03/2028</t>
        </is>
      </c>
      <c r="M274" s="45" t="inlineStr">
        <is>
          <t>15436 (Éducation sportive) ; 15400 (Escalade)</t>
        </is>
      </c>
      <c r="N274" s="50" t="inlineStr">
        <is>
          <t>NON</t>
        </is>
      </c>
      <c r="O274" s="45" t="inlineStr"/>
    </row>
    <row r="275" customFormat="1" s="3">
      <c r="A275" s="51" t="n"/>
      <c r="B275" s="52" t="inlineStr">
        <is>
          <t>15418</t>
        </is>
      </c>
      <c r="C275" s="52">
        <f>LEFT(Tableau1[[#This Row],[Formacode]],3)</f>
        <v/>
      </c>
      <c r="D275" s="53" t="n">
        <v>38243</v>
      </c>
      <c r="E275" s="54">
        <f>"RNCP"&amp;D275</f>
        <v/>
      </c>
      <c r="F275" s="54" t="inlineStr">
        <is>
          <t>CQP Animateur de tennis de table</t>
        </is>
      </c>
      <c r="G275" s="55">
        <f>E275&amp;" - "&amp;F275</f>
        <v/>
      </c>
      <c r="H275" s="37" t="inlineStr">
        <is>
          <t>À vérifier</t>
        </is>
      </c>
      <c r="I275" s="51" t="inlineStr">
        <is>
          <t>Échéance le 15/11/2026 (dans 120 j)</t>
        </is>
      </c>
      <c r="J275" s="51" t="inlineStr">
        <is>
          <t>RNCP38243</t>
        </is>
      </c>
      <c r="K275" s="51" t="inlineStr">
        <is>
          <t>CQP Animateur de tennis de table</t>
        </is>
      </c>
      <c r="L275" s="51" t="inlineStr">
        <is>
          <t>15/11/2026</t>
        </is>
      </c>
      <c r="M275" s="51" t="inlineStr">
        <is>
          <t>15436 (Éducation sportive) ; 15408 (Tennis table)</t>
        </is>
      </c>
      <c r="N275" s="62" t="inlineStr">
        <is>
          <t>NON</t>
        </is>
      </c>
      <c r="O275" s="51" t="inlineStr"/>
    </row>
    <row r="276" customFormat="1" s="3">
      <c r="A276" s="51" t="n"/>
      <c r="B276" s="52" t="inlineStr">
        <is>
          <t>15418</t>
        </is>
      </c>
      <c r="C276" s="52">
        <f>LEFT(Tableau1[[#This Row],[Formacode]],3)</f>
        <v/>
      </c>
      <c r="D276" s="53" t="n">
        <v>38275</v>
      </c>
      <c r="E276" s="54">
        <f>"RNCP"&amp;D276</f>
        <v/>
      </c>
      <c r="F276" s="54" t="inlineStr">
        <is>
          <t>CQP Educateur de tennis</t>
        </is>
      </c>
      <c r="G276" s="55">
        <f>E276&amp;" - "&amp;F276</f>
        <v/>
      </c>
      <c r="H276" s="37" t="inlineStr">
        <is>
          <t>À vérifier</t>
        </is>
      </c>
      <c r="I276" s="51" t="inlineStr">
        <is>
          <t>Échéance le 15/11/2026 (dans 120 j)</t>
        </is>
      </c>
      <c r="J276" s="51" t="inlineStr">
        <is>
          <t>RNCP38275</t>
        </is>
      </c>
      <c r="K276" s="51" t="inlineStr">
        <is>
          <t>CQP Educateur de tennis</t>
        </is>
      </c>
      <c r="L276" s="51" t="inlineStr">
        <is>
          <t>15/11/2026</t>
        </is>
      </c>
      <c r="M276" s="51" t="inlineStr">
        <is>
          <t>15436 (Éducation sportive) ; 15407 (Tennis)</t>
        </is>
      </c>
      <c r="N276" s="62" t="inlineStr">
        <is>
          <t>NON</t>
        </is>
      </c>
      <c r="O276" s="51" t="inlineStr"/>
    </row>
    <row r="277" customFormat="1" s="3">
      <c r="A277" s="51" t="n"/>
      <c r="B277" s="52" t="inlineStr">
        <is>
          <t>15418</t>
        </is>
      </c>
      <c r="C277" s="52">
        <f>LEFT(Tableau1[[#This Row],[Formacode]],3)</f>
        <v/>
      </c>
      <c r="D277" s="53" t="n">
        <v>38284</v>
      </c>
      <c r="E277" s="54">
        <f>"RNCP"&amp;D277</f>
        <v/>
      </c>
      <c r="F277" s="54" t="inlineStr">
        <is>
          <t>CQP Moniteur de squash</t>
        </is>
      </c>
      <c r="G277" s="55">
        <f>E277&amp;" - "&amp;F277</f>
        <v/>
      </c>
      <c r="H277" s="37" t="inlineStr">
        <is>
          <t>À vérifier</t>
        </is>
      </c>
      <c r="I277" s="51" t="inlineStr">
        <is>
          <t>Échéance le 15/11/2026 (dans 120 j)</t>
        </is>
      </c>
      <c r="J277" s="51" t="inlineStr">
        <is>
          <t>RNCP38284</t>
        </is>
      </c>
      <c r="K277" s="51" t="inlineStr">
        <is>
          <t>CQP Moniteur de squash</t>
        </is>
      </c>
      <c r="L277" s="51" t="inlineStr">
        <is>
          <t>15/11/2026</t>
        </is>
      </c>
      <c r="M277" s="51" t="inlineStr">
        <is>
          <t>15436 (Éducation sportive) ; 15409 (Squash)</t>
        </is>
      </c>
      <c r="N277" s="62" t="inlineStr">
        <is>
          <t>NON</t>
        </is>
      </c>
      <c r="O277" s="51" t="inlineStr"/>
    </row>
    <row r="278" customFormat="1" s="3">
      <c r="A278" s="45" t="n"/>
      <c r="B278" s="46" t="inlineStr">
        <is>
          <t>15418</t>
        </is>
      </c>
      <c r="C278" s="46">
        <f>LEFT(Tableau1[[#This Row],[Formacode]],3)</f>
        <v/>
      </c>
      <c r="D278" s="47" t="n">
        <v>40260</v>
      </c>
      <c r="E278" s="48">
        <f>"RNCP"&amp;D278</f>
        <v/>
      </c>
      <c r="F278" s="48" t="inlineStr">
        <is>
          <t>Moniteur de padel</t>
        </is>
      </c>
      <c r="G278" s="49">
        <f>E278&amp;" - "&amp;F278</f>
        <v/>
      </c>
      <c r="H278" s="36" t="inlineStr">
        <is>
          <t>RAS</t>
        </is>
      </c>
      <c r="I278" s="45" t="inlineStr"/>
      <c r="J278" s="45" t="inlineStr">
        <is>
          <t>RNCP40260</t>
        </is>
      </c>
      <c r="K278" s="45" t="inlineStr">
        <is>
          <t>Moniteur de padel</t>
        </is>
      </c>
      <c r="L278" s="45" t="inlineStr">
        <is>
          <t>28/02/2028</t>
        </is>
      </c>
      <c r="M278" s="45" t="inlineStr">
        <is>
          <t>15436 (Éducation sportive) ; 15418 (Sport raquette)</t>
        </is>
      </c>
      <c r="N278" s="50" t="inlineStr">
        <is>
          <t>NON</t>
        </is>
      </c>
      <c r="O278" s="45" t="inlineStr"/>
    </row>
    <row r="279" customFormat="1" s="3">
      <c r="A279" s="45" t="n"/>
      <c r="B279" s="46" t="inlineStr">
        <is>
          <t>15418</t>
        </is>
      </c>
      <c r="C279" s="46">
        <f>LEFT(Tableau1[[#This Row],[Formacode]],3)</f>
        <v/>
      </c>
      <c r="D279" s="47" t="n">
        <v>40914</v>
      </c>
      <c r="E279" s="48">
        <f>"RNCP"&amp;D279</f>
        <v/>
      </c>
      <c r="F279" s="48" t="inlineStr">
        <is>
          <t>CQP Animateur de badminton</t>
        </is>
      </c>
      <c r="G279" s="49">
        <f>E279&amp;" - "&amp;F279</f>
        <v/>
      </c>
      <c r="H279" s="36" t="inlineStr">
        <is>
          <t>RAS</t>
        </is>
      </c>
      <c r="I279" s="45" t="inlineStr"/>
      <c r="J279" s="45" t="inlineStr">
        <is>
          <t>RNCP40914</t>
        </is>
      </c>
      <c r="K279" s="45" t="inlineStr">
        <is>
          <t>CQP Animateur de badminton</t>
        </is>
      </c>
      <c r="L279" s="45" t="inlineStr">
        <is>
          <t>25/06/2030</t>
        </is>
      </c>
      <c r="M279" s="45" t="inlineStr">
        <is>
          <t>15436 (Éducation sportive) ; 15438 (Badminton)</t>
        </is>
      </c>
      <c r="N279" s="50" t="inlineStr">
        <is>
          <t>NON</t>
        </is>
      </c>
      <c r="O279" s="45" t="inlineStr"/>
    </row>
    <row r="280" customFormat="1" s="3">
      <c r="A280" s="45" t="n"/>
      <c r="B280" s="46" t="inlineStr">
        <is>
          <t>15422</t>
        </is>
      </c>
      <c r="C280" s="46">
        <f>LEFT(Tableau1[[#This Row],[Formacode]],3)</f>
        <v/>
      </c>
      <c r="D280" s="47" t="n">
        <v>38630</v>
      </c>
      <c r="E280" s="48">
        <f>"RNCP"&amp;D280</f>
        <v/>
      </c>
      <c r="F280" s="48" t="inlineStr">
        <is>
          <t>CQP Initiateur char à voile</t>
        </is>
      </c>
      <c r="G280" s="49">
        <f>E280&amp;" - "&amp;F280</f>
        <v/>
      </c>
      <c r="H280" s="36" t="inlineStr">
        <is>
          <t>RAS</t>
        </is>
      </c>
      <c r="I280" s="45" t="inlineStr"/>
      <c r="J280" s="45" t="inlineStr">
        <is>
          <t>RNCP38630</t>
        </is>
      </c>
      <c r="K280" s="45" t="inlineStr">
        <is>
          <t>CQP Initiateur char à voile</t>
        </is>
      </c>
      <c r="L280" s="45" t="inlineStr">
        <is>
          <t>09/02/2027</t>
        </is>
      </c>
      <c r="M280" s="45" t="inlineStr">
        <is>
          <t>15436 (Éducation sportive) ; 15422 (Char voile)</t>
        </is>
      </c>
      <c r="N280" s="50" t="inlineStr">
        <is>
          <t>NON</t>
        </is>
      </c>
      <c r="O280" s="45" t="inlineStr"/>
    </row>
    <row r="281" customFormat="1" s="3">
      <c r="A281" s="45" t="n"/>
      <c r="B281" s="46" t="inlineStr">
        <is>
          <t>15424</t>
        </is>
      </c>
      <c r="C281" s="46">
        <f>LEFT(Tableau1[[#This Row],[Formacode]],3)</f>
        <v/>
      </c>
      <c r="D281" s="47" t="n">
        <v>39116</v>
      </c>
      <c r="E281" s="48">
        <f>"RNCP"&amp;D281</f>
        <v/>
      </c>
      <c r="F281" s="48" t="inlineStr">
        <is>
          <t>CQP Moniteur d'arts martiaux</t>
        </is>
      </c>
      <c r="G281" s="49">
        <f>E281&amp;" - "&amp;F281</f>
        <v/>
      </c>
      <c r="H281" s="36" t="inlineStr">
        <is>
          <t>RAS</t>
        </is>
      </c>
      <c r="I281" s="45" t="inlineStr"/>
      <c r="J281" s="45" t="inlineStr">
        <is>
          <t>RNCP39116</t>
        </is>
      </c>
      <c r="K281" s="45" t="inlineStr">
        <is>
          <t>CQP Moniteur d'arts martiaux</t>
        </is>
      </c>
      <c r="L281" s="45" t="inlineStr">
        <is>
          <t>31/05/2027</t>
        </is>
      </c>
      <c r="M281" s="45" t="inlineStr">
        <is>
          <t>15436 (Éducation sportive) ; 15424 (Sport combat)</t>
        </is>
      </c>
      <c r="N281" s="50" t="inlineStr">
        <is>
          <t>NON</t>
        </is>
      </c>
      <c r="O281" s="45" t="inlineStr"/>
    </row>
    <row r="282" customFormat="1" s="3">
      <c r="A282" s="45" t="n"/>
      <c r="B282" s="46" t="inlineStr">
        <is>
          <t>15424</t>
        </is>
      </c>
      <c r="C282" s="46">
        <f>LEFT(Tableau1[[#This Row],[Formacode]],3)</f>
        <v/>
      </c>
      <c r="D282" s="47" t="n">
        <v>40209</v>
      </c>
      <c r="E282" s="48">
        <f>"RNCP"&amp;D282</f>
        <v/>
      </c>
      <c r="F282" s="48" t="inlineStr">
        <is>
          <t>BPJEPS - Spécialité Educateur sportif mention Activités des sports de contact</t>
        </is>
      </c>
      <c r="G282" s="49">
        <f>E282&amp;" - "&amp;F282</f>
        <v/>
      </c>
      <c r="H282" s="36" t="inlineStr">
        <is>
          <t>RAS</t>
        </is>
      </c>
      <c r="I282" s="45" t="inlineStr"/>
      <c r="J282" s="45" t="inlineStr">
        <is>
          <t>RNCP40209</t>
        </is>
      </c>
      <c r="K282" s="45" t="inlineStr">
        <is>
          <t>Spécialité Educateur sportif mention Activités des sports de contact</t>
        </is>
      </c>
      <c r="L282" s="45" t="inlineStr">
        <is>
          <t>31/12/2029</t>
        </is>
      </c>
      <c r="M282" s="45" t="inlineStr">
        <is>
          <t>15436 (Éducation sportive) ; 15424 (Sport combat)</t>
        </is>
      </c>
      <c r="N282" s="50" t="inlineStr">
        <is>
          <t>NON</t>
        </is>
      </c>
      <c r="O282" s="45" t="inlineStr"/>
    </row>
    <row r="283" customFormat="1" s="3">
      <c r="A283" s="45" t="n"/>
      <c r="B283" s="46" t="inlineStr">
        <is>
          <t>15424</t>
        </is>
      </c>
      <c r="C283" s="46">
        <f>LEFT(Tableau1[[#This Row],[Formacode]],3)</f>
        <v/>
      </c>
      <c r="D283" s="47" t="n">
        <v>40597</v>
      </c>
      <c r="E283" s="48">
        <f>"RNCP"&amp;D283</f>
        <v/>
      </c>
      <c r="F283" s="48" t="inlineStr">
        <is>
          <t>Moniteur professionnel de karaté, wushu et disciplines associées</t>
        </is>
      </c>
      <c r="G283" s="49">
        <f>E283&amp;" - "&amp;F283</f>
        <v/>
      </c>
      <c r="H283" s="36" t="inlineStr">
        <is>
          <t>RAS</t>
        </is>
      </c>
      <c r="I283" s="45" t="inlineStr"/>
      <c r="J283" s="45" t="inlineStr">
        <is>
          <t>RNCP40597</t>
        </is>
      </c>
      <c r="K283" s="45" t="inlineStr">
        <is>
          <t>Moniteur professionnel de karaté, wushu et disciplines associées</t>
        </is>
      </c>
      <c r="L283" s="45" t="inlineStr">
        <is>
          <t>30/04/2028</t>
        </is>
      </c>
      <c r="M283" s="45" t="inlineStr">
        <is>
          <t>15436 (Éducation sportive) ; 15415 (Karaté)</t>
        </is>
      </c>
      <c r="N283" s="50" t="inlineStr">
        <is>
          <t>NON</t>
        </is>
      </c>
      <c r="O283" s="45" t="inlineStr"/>
    </row>
    <row r="284" customFormat="1" s="3">
      <c r="A284" s="45" t="n"/>
      <c r="B284" s="46" t="inlineStr">
        <is>
          <t>15436</t>
        </is>
      </c>
      <c r="C284" s="46">
        <f>LEFT(Tableau1[[#This Row],[Formacode]],3)</f>
        <v/>
      </c>
      <c r="D284" s="47" t="n">
        <v>37039</v>
      </c>
      <c r="E284" s="48">
        <f>"RNCP"&amp;D284</f>
        <v/>
      </c>
      <c r="F284" s="48" t="inlineStr">
        <is>
          <t>CQP Accompagnateur en téléski nautique</t>
        </is>
      </c>
      <c r="G284" s="49">
        <f>E284&amp;" - "&amp;F284</f>
        <v/>
      </c>
      <c r="H284" s="36" t="inlineStr">
        <is>
          <t>RAS</t>
        </is>
      </c>
      <c r="I284" s="45" t="inlineStr"/>
      <c r="J284" s="45" t="inlineStr">
        <is>
          <t>RNCP37039</t>
        </is>
      </c>
      <c r="K284" s="45" t="inlineStr">
        <is>
          <t>CQP Accompagnateur en téléski nautique</t>
        </is>
      </c>
      <c r="L284" s="45" t="inlineStr">
        <is>
          <t>23/11/2027</t>
        </is>
      </c>
      <c r="M284" s="45" t="inlineStr">
        <is>
          <t>15436 (Éducation sportive) ; 15460 (Ski nautique)</t>
        </is>
      </c>
      <c r="N284" s="50" t="inlineStr">
        <is>
          <t>NON</t>
        </is>
      </c>
      <c r="O284" s="45" t="inlineStr"/>
    </row>
    <row r="285" customFormat="1" s="3">
      <c r="A285" s="45" t="n"/>
      <c r="B285" s="46" t="inlineStr">
        <is>
          <t>15436</t>
        </is>
      </c>
      <c r="C285" s="46">
        <f>LEFT(Tableau1[[#This Row],[Formacode]],3)</f>
        <v/>
      </c>
      <c r="D285" s="47" t="n">
        <v>37148</v>
      </c>
      <c r="E285" s="48">
        <f>"RNCP"&amp;D285</f>
        <v/>
      </c>
      <c r="F285" s="48" t="inlineStr">
        <is>
          <t>CQP Enseignant activités équestres</t>
        </is>
      </c>
      <c r="G285" s="49">
        <f>E285&amp;" - "&amp;F285</f>
        <v/>
      </c>
      <c r="H285" s="36" t="inlineStr">
        <is>
          <t>RAS</t>
        </is>
      </c>
      <c r="I285" s="45" t="inlineStr"/>
      <c r="J285" s="45" t="inlineStr">
        <is>
          <t>RNCP37148</t>
        </is>
      </c>
      <c r="K285" s="45" t="inlineStr">
        <is>
          <t>CQP Enseignant activités équestres</t>
        </is>
      </c>
      <c r="L285" s="45" t="inlineStr">
        <is>
          <t>14/12/2027</t>
        </is>
      </c>
      <c r="M285" s="45" t="inlineStr">
        <is>
          <t>15436 (Éducation sportive) ; 21099 (Soin cheval) ; 15479 (Sport équestre)</t>
        </is>
      </c>
      <c r="N285" s="50" t="inlineStr">
        <is>
          <t>NON</t>
        </is>
      </c>
      <c r="O285" s="45" t="inlineStr"/>
    </row>
    <row r="286" customFormat="1" s="3">
      <c r="A286" s="63" t="n"/>
      <c r="B286" s="64" t="inlineStr">
        <is>
          <t>15436</t>
        </is>
      </c>
      <c r="C286" s="64">
        <f>LEFT(Tableau1[[#This Row],[Formacode]],3)</f>
        <v/>
      </c>
      <c r="D286" s="65" t="n">
        <v>37503</v>
      </c>
      <c r="E286" s="66">
        <f>"RNCP"&amp;D286</f>
        <v/>
      </c>
      <c r="F286" s="66" t="inlineStr">
        <is>
          <t>CQP Initiateur en motocyclisme</t>
        </is>
      </c>
      <c r="G286" s="67">
        <f>E286&amp;" - "&amp;F286</f>
        <v/>
      </c>
      <c r="H286" s="38" t="inlineStr">
        <is>
          <t>Expiré / remplacé</t>
        </is>
      </c>
      <c r="I286" s="63" t="inlineStr">
        <is>
          <t>Fiche inactive — remplacée par RNCP41985 (CQP Initiateur et guide de randonnée en motocyclisme)</t>
        </is>
      </c>
      <c r="J286" s="63" t="inlineStr">
        <is>
          <t>RNCP41985</t>
        </is>
      </c>
      <c r="K286" s="63" t="inlineStr">
        <is>
          <t>CQP Initiateur et guide de randonnée en motocyclisme</t>
        </is>
      </c>
      <c r="L286" s="63" t="inlineStr">
        <is>
          <t>24/04/2026</t>
        </is>
      </c>
      <c r="M286" s="63" t="inlineStr">
        <is>
          <t>15436 (Éducation sportive) ; 15469 (Randonnée)</t>
        </is>
      </c>
      <c r="N286" s="68" t="inlineStr">
        <is>
          <t>NON</t>
        </is>
      </c>
      <c r="O286" s="63" t="inlineStr"/>
    </row>
    <row r="287" customFormat="1" s="3">
      <c r="A287" s="63" t="n"/>
      <c r="B287" s="64" t="inlineStr">
        <is>
          <t>15436</t>
        </is>
      </c>
      <c r="C287" s="64">
        <f>LEFT(Tableau1[[#This Row],[Formacode]],3)</f>
        <v/>
      </c>
      <c r="D287" s="65" t="n">
        <v>37514</v>
      </c>
      <c r="E287" s="66">
        <f>"RNCP"&amp;D287</f>
        <v/>
      </c>
      <c r="F287" s="66" t="inlineStr">
        <is>
          <t>CQP Moniteur de tir sportif</t>
        </is>
      </c>
      <c r="G287" s="67">
        <f>E287&amp;" - "&amp;F287</f>
        <v/>
      </c>
      <c r="H287" s="38" t="inlineStr">
        <is>
          <t>Expiré / remplacé</t>
        </is>
      </c>
      <c r="I287" s="63" t="inlineStr">
        <is>
          <t>Fiche inactive — remplacée par RNCP41980 (CQP Moniteur de tir sportif)</t>
        </is>
      </c>
      <c r="J287" s="63" t="inlineStr">
        <is>
          <t>RNCP41980</t>
        </is>
      </c>
      <c r="K287" s="63" t="inlineStr">
        <is>
          <t>CQP Moniteur de tir sportif</t>
        </is>
      </c>
      <c r="L287" s="63" t="inlineStr">
        <is>
          <t>24/04/2026</t>
        </is>
      </c>
      <c r="M287" s="63" t="inlineStr">
        <is>
          <t>15436 (Éducation sportive) ; 15455 (Tir sportif)</t>
        </is>
      </c>
      <c r="N287" s="68" t="inlineStr">
        <is>
          <t>NON</t>
        </is>
      </c>
      <c r="O287" s="63" t="inlineStr"/>
    </row>
    <row r="288" customFormat="1" s="3">
      <c r="A288" s="51" t="n"/>
      <c r="B288" s="52" t="inlineStr">
        <is>
          <t>15436</t>
        </is>
      </c>
      <c r="C288" s="52">
        <f>LEFT(Tableau1[[#This Row],[Formacode]],3)</f>
        <v/>
      </c>
      <c r="D288" s="53" t="n">
        <v>37758</v>
      </c>
      <c r="E288" s="54">
        <f>"RNCP"&amp;D288</f>
        <v/>
      </c>
      <c r="F288" s="54" t="inlineStr">
        <is>
          <t>Entraineur de football</t>
        </is>
      </c>
      <c r="G288" s="55">
        <f>E288&amp;" - "&amp;F288</f>
        <v/>
      </c>
      <c r="H288" s="37" t="inlineStr">
        <is>
          <t>À vérifier</t>
        </is>
      </c>
      <c r="I288" s="51" t="inlineStr">
        <is>
          <t>Échéance le 19/07/2026 (dans 1 j)</t>
        </is>
      </c>
      <c r="J288" s="51" t="inlineStr">
        <is>
          <t>RNCP37758</t>
        </is>
      </c>
      <c r="K288" s="51" t="inlineStr">
        <is>
          <t>Entraineur de football</t>
        </is>
      </c>
      <c r="L288" s="51" t="inlineStr">
        <is>
          <t>19/07/2026</t>
        </is>
      </c>
      <c r="M288" s="51" t="inlineStr">
        <is>
          <t>15426 (Football) ; 15436 (Éducation sportive)</t>
        </is>
      </c>
      <c r="N288" s="62" t="inlineStr">
        <is>
          <t>NON</t>
        </is>
      </c>
      <c r="O288" s="51" t="inlineStr"/>
    </row>
    <row r="289" customFormat="1" s="3">
      <c r="A289" s="51" t="n"/>
      <c r="B289" s="52" t="inlineStr">
        <is>
          <t>15436</t>
        </is>
      </c>
      <c r="C289" s="52">
        <f>LEFT(Tableau1[[#This Row],[Formacode]],3)</f>
        <v/>
      </c>
      <c r="D289" s="53" t="n">
        <v>37996</v>
      </c>
      <c r="E289" s="54">
        <f>"RNCP"&amp;D289</f>
        <v/>
      </c>
      <c r="F289" s="54" t="inlineStr">
        <is>
          <t>CQP Moniteur de sports à roulettes</t>
        </is>
      </c>
      <c r="G289" s="55">
        <f>E289&amp;" - "&amp;F289</f>
        <v/>
      </c>
      <c r="H289" s="37" t="inlineStr">
        <is>
          <t>À vérifier</t>
        </is>
      </c>
      <c r="I289" s="51" t="inlineStr">
        <is>
          <t>Successeur déjà publié : RNCP41982 (CQP Initiateur en sports à roulettes) — préparer la bascule de l'offre CPF | Échéance le 20/09/2026 (dans 64 j)</t>
        </is>
      </c>
      <c r="J289" s="51" t="inlineStr">
        <is>
          <t>RNCP41982</t>
        </is>
      </c>
      <c r="K289" s="51" t="inlineStr">
        <is>
          <t>CQP Initiateur en sports à roulettes</t>
        </is>
      </c>
      <c r="L289" s="51" t="inlineStr">
        <is>
          <t>20/09/2026</t>
        </is>
      </c>
      <c r="M289" s="51" t="inlineStr">
        <is>
          <t>15436 (Éducation sportive) ; 15401 (Patinage roulettes) ; 15402 (Planche roulettes)</t>
        </is>
      </c>
      <c r="N289" s="62" t="inlineStr">
        <is>
          <t>NON</t>
        </is>
      </c>
      <c r="O289" s="51" t="inlineStr"/>
    </row>
    <row r="290" customFormat="1" s="3">
      <c r="A290" s="51" t="n"/>
      <c r="B290" s="52" t="inlineStr">
        <is>
          <t>15436</t>
        </is>
      </c>
      <c r="C290" s="52">
        <f>LEFT(Tableau1[[#This Row],[Formacode]],3)</f>
        <v/>
      </c>
      <c r="D290" s="53" t="n">
        <v>38243</v>
      </c>
      <c r="E290" s="54">
        <f>"RNCP"&amp;D290</f>
        <v/>
      </c>
      <c r="F290" s="54" t="inlineStr">
        <is>
          <t>CQP Animateur de tennis de table</t>
        </is>
      </c>
      <c r="G290" s="55">
        <f>E290&amp;" - "&amp;F290</f>
        <v/>
      </c>
      <c r="H290" s="37" t="inlineStr">
        <is>
          <t>À vérifier</t>
        </is>
      </c>
      <c r="I290" s="51" t="inlineStr">
        <is>
          <t>Échéance le 15/11/2026 (dans 120 j)</t>
        </is>
      </c>
      <c r="J290" s="51" t="inlineStr">
        <is>
          <t>RNCP38243</t>
        </is>
      </c>
      <c r="K290" s="51" t="inlineStr">
        <is>
          <t>CQP Animateur de tennis de table</t>
        </is>
      </c>
      <c r="L290" s="51" t="inlineStr">
        <is>
          <t>15/11/2026</t>
        </is>
      </c>
      <c r="M290" s="51" t="inlineStr">
        <is>
          <t>15436 (Éducation sportive) ; 15408 (Tennis table)</t>
        </is>
      </c>
      <c r="N290" s="62" t="inlineStr">
        <is>
          <t>NON</t>
        </is>
      </c>
      <c r="O290" s="51" t="inlineStr"/>
    </row>
    <row r="291" customFormat="1" s="3">
      <c r="A291" s="45" t="n"/>
      <c r="B291" s="46" t="inlineStr">
        <is>
          <t>15436</t>
        </is>
      </c>
      <c r="C291" s="46">
        <f>LEFT(Tableau1[[#This Row],[Formacode]],3)</f>
        <v/>
      </c>
      <c r="D291" s="47" t="n">
        <v>38264</v>
      </c>
      <c r="E291" s="48">
        <f>"RNCP"&amp;D291</f>
        <v/>
      </c>
      <c r="F291" s="48" t="inlineStr">
        <is>
          <t>CQP Animateur ski nautique, wakeboard et engins tractés</t>
        </is>
      </c>
      <c r="G291" s="49">
        <f>E291&amp;" - "&amp;F291</f>
        <v/>
      </c>
      <c r="H291" s="36" t="inlineStr">
        <is>
          <t>RAS</t>
        </is>
      </c>
      <c r="I291" s="45" t="inlineStr"/>
      <c r="J291" s="45" t="inlineStr">
        <is>
          <t>RNCP38264</t>
        </is>
      </c>
      <c r="K291" s="45" t="inlineStr">
        <is>
          <t>CQP Animateur ski nautique, wakeboard et engins tractés</t>
        </is>
      </c>
      <c r="L291" s="45" t="inlineStr">
        <is>
          <t>15/11/2027</t>
        </is>
      </c>
      <c r="M291" s="45" t="inlineStr">
        <is>
          <t>15436 (Éducation sportive) ; 15475 (Glisse nautique)</t>
        </is>
      </c>
      <c r="N291" s="50" t="inlineStr">
        <is>
          <t>NON</t>
        </is>
      </c>
      <c r="O291" s="45" t="inlineStr"/>
    </row>
    <row r="292" customFormat="1" s="3">
      <c r="A292" s="51" t="n"/>
      <c r="B292" s="52" t="inlineStr">
        <is>
          <t>15436</t>
        </is>
      </c>
      <c r="C292" s="52">
        <f>LEFT(Tableau1[[#This Row],[Formacode]],3)</f>
        <v/>
      </c>
      <c r="D292" s="53" t="n">
        <v>38275</v>
      </c>
      <c r="E292" s="54">
        <f>"RNCP"&amp;D292</f>
        <v/>
      </c>
      <c r="F292" s="54" t="inlineStr">
        <is>
          <t>CQP Educateur de tennis</t>
        </is>
      </c>
      <c r="G292" s="55">
        <f>E292&amp;" - "&amp;F292</f>
        <v/>
      </c>
      <c r="H292" s="37" t="inlineStr">
        <is>
          <t>À vérifier</t>
        </is>
      </c>
      <c r="I292" s="51" t="inlineStr">
        <is>
          <t>Échéance le 15/11/2026 (dans 120 j)</t>
        </is>
      </c>
      <c r="J292" s="51" t="inlineStr">
        <is>
          <t>RNCP38275</t>
        </is>
      </c>
      <c r="K292" s="51" t="inlineStr">
        <is>
          <t>CQP Educateur de tennis</t>
        </is>
      </c>
      <c r="L292" s="51" t="inlineStr">
        <is>
          <t>15/11/2026</t>
        </is>
      </c>
      <c r="M292" s="51" t="inlineStr">
        <is>
          <t>15436 (Éducation sportive) ; 15407 (Tennis)</t>
        </is>
      </c>
      <c r="N292" s="62" t="inlineStr">
        <is>
          <t>NON</t>
        </is>
      </c>
      <c r="O292" s="51" t="inlineStr"/>
    </row>
    <row r="293" customFormat="1" s="3">
      <c r="A293" s="51" t="n"/>
      <c r="B293" s="52" t="inlineStr">
        <is>
          <t>15436</t>
        </is>
      </c>
      <c r="C293" s="52">
        <f>LEFT(Tableau1[[#This Row],[Formacode]],3)</f>
        <v/>
      </c>
      <c r="D293" s="53" t="n">
        <v>38283</v>
      </c>
      <c r="E293" s="54">
        <f>"RNCP"&amp;D293</f>
        <v/>
      </c>
      <c r="F293" s="54" t="inlineStr">
        <is>
          <t>CQP Moniteur d'aviron</t>
        </is>
      </c>
      <c r="G293" s="55">
        <f>E293&amp;" - "&amp;F293</f>
        <v/>
      </c>
      <c r="H293" s="37" t="inlineStr">
        <is>
          <t>À vérifier</t>
        </is>
      </c>
      <c r="I293" s="51" t="inlineStr">
        <is>
          <t>Échéance le 15/11/2026 (dans 120 j)</t>
        </is>
      </c>
      <c r="J293" s="51" t="inlineStr">
        <is>
          <t>RNCP38283</t>
        </is>
      </c>
      <c r="K293" s="51" t="inlineStr">
        <is>
          <t>CQP Moniteur d'aviron</t>
        </is>
      </c>
      <c r="L293" s="51" t="inlineStr">
        <is>
          <t>15/11/2026</t>
        </is>
      </c>
      <c r="M293" s="51" t="inlineStr">
        <is>
          <t>15436 (Éducation sportive) ; 15492 (Aviron)</t>
        </is>
      </c>
      <c r="N293" s="62" t="inlineStr">
        <is>
          <t>NON</t>
        </is>
      </c>
      <c r="O293" s="51" t="inlineStr"/>
    </row>
    <row r="294" customFormat="1" s="3">
      <c r="A294" s="51" t="n"/>
      <c r="B294" s="52" t="inlineStr">
        <is>
          <t>15436</t>
        </is>
      </c>
      <c r="C294" s="52">
        <f>LEFT(Tableau1[[#This Row],[Formacode]],3)</f>
        <v/>
      </c>
      <c r="D294" s="53" t="n">
        <v>38284</v>
      </c>
      <c r="E294" s="54">
        <f>"RNCP"&amp;D294</f>
        <v/>
      </c>
      <c r="F294" s="54" t="inlineStr">
        <is>
          <t>CQP Moniteur de squash</t>
        </is>
      </c>
      <c r="G294" s="55">
        <f>E294&amp;" - "&amp;F294</f>
        <v/>
      </c>
      <c r="H294" s="37" t="inlineStr">
        <is>
          <t>À vérifier</t>
        </is>
      </c>
      <c r="I294" s="51" t="inlineStr">
        <is>
          <t>Échéance le 15/11/2026 (dans 120 j)</t>
        </is>
      </c>
      <c r="J294" s="51" t="inlineStr">
        <is>
          <t>RNCP38284</t>
        </is>
      </c>
      <c r="K294" s="51" t="inlineStr">
        <is>
          <t>CQP Moniteur de squash</t>
        </is>
      </c>
      <c r="L294" s="51" t="inlineStr">
        <is>
          <t>15/11/2026</t>
        </is>
      </c>
      <c r="M294" s="51" t="inlineStr">
        <is>
          <t>15436 (Éducation sportive) ; 15409 (Squash)</t>
        </is>
      </c>
      <c r="N294" s="62" t="inlineStr">
        <is>
          <t>NON</t>
        </is>
      </c>
      <c r="O294" s="51" t="inlineStr"/>
    </row>
    <row r="295" customFormat="1" s="3">
      <c r="A295" s="51" t="n"/>
      <c r="B295" s="52" t="inlineStr">
        <is>
          <t>15436</t>
        </is>
      </c>
      <c r="C295" s="52">
        <f>LEFT(Tableau1[[#This Row],[Formacode]],3)</f>
        <v/>
      </c>
      <c r="D295" s="53" t="n">
        <v>38292</v>
      </c>
      <c r="E295" s="54">
        <f>"RNCP"&amp;D295</f>
        <v/>
      </c>
      <c r="F295" s="54" t="inlineStr">
        <is>
          <t>Moniteur de football</t>
        </is>
      </c>
      <c r="G295" s="55">
        <f>E295&amp;" - "&amp;F295</f>
        <v/>
      </c>
      <c r="H295" s="37" t="inlineStr">
        <is>
          <t>À vérifier</t>
        </is>
      </c>
      <c r="I295" s="51" t="inlineStr">
        <is>
          <t>Échéance le 15/11/2026 (dans 120 j)</t>
        </is>
      </c>
      <c r="J295" s="51" t="inlineStr">
        <is>
          <t>RNCP38292</t>
        </is>
      </c>
      <c r="K295" s="51" t="inlineStr">
        <is>
          <t>Moniteur de football</t>
        </is>
      </c>
      <c r="L295" s="51" t="inlineStr">
        <is>
          <t>15/11/2026</t>
        </is>
      </c>
      <c r="M295" s="51" t="inlineStr">
        <is>
          <t>15436 (Éducation sportive) ; 15426 (Football)</t>
        </is>
      </c>
      <c r="N295" s="62" t="inlineStr">
        <is>
          <t>NON</t>
        </is>
      </c>
      <c r="O295" s="51" t="inlineStr"/>
    </row>
    <row r="296" customFormat="1" s="3">
      <c r="A296" s="45" t="n"/>
      <c r="B296" s="46" t="inlineStr">
        <is>
          <t>15436</t>
        </is>
      </c>
      <c r="C296" s="46">
        <f>LEFT(Tableau1[[#This Row],[Formacode]],3)</f>
        <v/>
      </c>
      <c r="D296" s="47" t="n">
        <v>38629</v>
      </c>
      <c r="E296" s="48">
        <f>"RNCP"&amp;D296</f>
        <v/>
      </c>
      <c r="F296" s="48" t="inlineStr">
        <is>
          <t>CQP Animateur tir à l'arc</t>
        </is>
      </c>
      <c r="G296" s="49">
        <f>E296&amp;" - "&amp;F296</f>
        <v/>
      </c>
      <c r="H296" s="36" t="inlineStr">
        <is>
          <t>RAS</t>
        </is>
      </c>
      <c r="I296" s="45" t="inlineStr"/>
      <c r="J296" s="45" t="inlineStr">
        <is>
          <t>RNCP38629</t>
        </is>
      </c>
      <c r="K296" s="45" t="inlineStr">
        <is>
          <t>CQP Animateur tir à l'arc</t>
        </is>
      </c>
      <c r="L296" s="45" t="inlineStr">
        <is>
          <t>09/02/2027</t>
        </is>
      </c>
      <c r="M296" s="45" t="inlineStr">
        <is>
          <t>15436 (Éducation sportive) ; 15495 (Tir arc)</t>
        </is>
      </c>
      <c r="N296" s="50" t="inlineStr">
        <is>
          <t>NON</t>
        </is>
      </c>
      <c r="O296" s="45" t="inlineStr"/>
    </row>
    <row r="297" customFormat="1" s="3">
      <c r="A297" s="45" t="n"/>
      <c r="B297" s="46" t="inlineStr">
        <is>
          <t>15436</t>
        </is>
      </c>
      <c r="C297" s="46">
        <f>LEFT(Tableau1[[#This Row],[Formacode]],3)</f>
        <v/>
      </c>
      <c r="D297" s="47" t="n">
        <v>38630</v>
      </c>
      <c r="E297" s="48">
        <f>"RNCP"&amp;D297</f>
        <v/>
      </c>
      <c r="F297" s="48" t="inlineStr">
        <is>
          <t>CQP Initiateur char à voile</t>
        </is>
      </c>
      <c r="G297" s="49">
        <f>E297&amp;" - "&amp;F297</f>
        <v/>
      </c>
      <c r="H297" s="36" t="inlineStr">
        <is>
          <t>RAS</t>
        </is>
      </c>
      <c r="I297" s="45" t="inlineStr"/>
      <c r="J297" s="45" t="inlineStr">
        <is>
          <t>RNCP38630</t>
        </is>
      </c>
      <c r="K297" s="45" t="inlineStr">
        <is>
          <t>CQP Initiateur char à voile</t>
        </is>
      </c>
      <c r="L297" s="45" t="inlineStr">
        <is>
          <t>09/02/2027</t>
        </is>
      </c>
      <c r="M297" s="45" t="inlineStr">
        <is>
          <t>15436 (Éducation sportive) ; 15422 (Char voile)</t>
        </is>
      </c>
      <c r="N297" s="50" t="inlineStr">
        <is>
          <t>NON</t>
        </is>
      </c>
      <c r="O297" s="45" t="inlineStr"/>
    </row>
    <row r="298" customFormat="1" s="3">
      <c r="A298" s="45" t="n"/>
      <c r="B298" s="46" t="inlineStr">
        <is>
          <t>15436</t>
        </is>
      </c>
      <c r="C298" s="46">
        <f>LEFT(Tableau1[[#This Row],[Formacode]],3)</f>
        <v/>
      </c>
      <c r="D298" s="47" t="n">
        <v>38799</v>
      </c>
      <c r="E298" s="48">
        <f>"RNCP"&amp;D298</f>
        <v/>
      </c>
      <c r="F298" s="48" t="inlineStr">
        <is>
          <t>CQP Moniteur de canoë-kayak et sports de pagaie en eau calme</t>
        </is>
      </c>
      <c r="G298" s="49">
        <f>E298&amp;" - "&amp;F298</f>
        <v/>
      </c>
      <c r="H298" s="36" t="inlineStr">
        <is>
          <t>RAS</t>
        </is>
      </c>
      <c r="I298" s="45" t="inlineStr"/>
      <c r="J298" s="45" t="inlineStr">
        <is>
          <t>RNCP38799</t>
        </is>
      </c>
      <c r="K298" s="45" t="inlineStr">
        <is>
          <t>CQP Moniteur de canoë-kayak et sports de pagaie en eau calme</t>
        </is>
      </c>
      <c r="L298" s="45" t="inlineStr">
        <is>
          <t>27/03/2027</t>
        </is>
      </c>
      <c r="M298" s="45" t="inlineStr">
        <is>
          <t>15436 (Éducation sportive) ; 15483 (Canoë-kayak)</t>
        </is>
      </c>
      <c r="N298" s="50" t="inlineStr">
        <is>
          <t>NON</t>
        </is>
      </c>
      <c r="O298" s="45" t="inlineStr"/>
    </row>
    <row r="299" customFormat="1" s="3">
      <c r="A299" s="45" t="n"/>
      <c r="B299" s="46" t="inlineStr">
        <is>
          <t>15436</t>
        </is>
      </c>
      <c r="C299" s="46">
        <f>LEFT(Tableau1[[#This Row],[Formacode]],3)</f>
        <v/>
      </c>
      <c r="D299" s="47" t="n">
        <v>38800</v>
      </c>
      <c r="E299" s="48">
        <f>"RNCP"&amp;D299</f>
        <v/>
      </c>
      <c r="F299" s="48" t="inlineStr">
        <is>
          <t>CQP Initiateur voile</t>
        </is>
      </c>
      <c r="G299" s="49">
        <f>E299&amp;" - "&amp;F299</f>
        <v/>
      </c>
      <c r="H299" s="36" t="inlineStr">
        <is>
          <t>RAS</t>
        </is>
      </c>
      <c r="I299" s="45" t="inlineStr"/>
      <c r="J299" s="45" t="inlineStr">
        <is>
          <t>RNCP38800</t>
        </is>
      </c>
      <c r="K299" s="45" t="inlineStr">
        <is>
          <t>CQP Initiateur voile</t>
        </is>
      </c>
      <c r="L299" s="45" t="inlineStr">
        <is>
          <t>27/03/2027</t>
        </is>
      </c>
      <c r="M299" s="45" t="inlineStr">
        <is>
          <t>15436 (Éducation sportive) ; 15493 (Voile)</t>
        </is>
      </c>
      <c r="N299" s="50" t="inlineStr">
        <is>
          <t>NON</t>
        </is>
      </c>
      <c r="O299" s="45" t="inlineStr"/>
    </row>
    <row r="300" customFormat="1" s="3">
      <c r="A300" s="45" t="n"/>
      <c r="B300" s="46" t="inlineStr">
        <is>
          <t>15436</t>
        </is>
      </c>
      <c r="C300" s="46">
        <f>LEFT(Tableau1[[#This Row],[Formacode]],3)</f>
        <v/>
      </c>
      <c r="D300" s="47" t="n">
        <v>38820</v>
      </c>
      <c r="E300" s="48">
        <f>"RNCP"&amp;D300</f>
        <v/>
      </c>
      <c r="F300" s="48" t="inlineStr">
        <is>
          <t>CQP Animateur de loisir sportif</t>
        </is>
      </c>
      <c r="G300" s="49">
        <f>E300&amp;" - "&amp;F300</f>
        <v/>
      </c>
      <c r="H300" s="36" t="inlineStr">
        <is>
          <t>RAS</t>
        </is>
      </c>
      <c r="I300" s="45" t="inlineStr"/>
      <c r="J300" s="45" t="inlineStr">
        <is>
          <t>RNCP38820</t>
        </is>
      </c>
      <c r="K300" s="45" t="inlineStr">
        <is>
          <t>CQP Animateur de loisir sportif</t>
        </is>
      </c>
      <c r="L300" s="45" t="inlineStr">
        <is>
          <t>27/03/2028</t>
        </is>
      </c>
      <c r="M300" s="45" t="inlineStr">
        <is>
          <t>15436 (Éducation sportive)</t>
        </is>
      </c>
      <c r="N300" s="50" t="inlineStr">
        <is>
          <t>NON</t>
        </is>
      </c>
      <c r="O300" s="45" t="inlineStr"/>
    </row>
    <row r="301" customFormat="1" s="3">
      <c r="A301" s="45" t="n"/>
      <c r="B301" s="46" t="inlineStr">
        <is>
          <t>15436</t>
        </is>
      </c>
      <c r="C301" s="46">
        <f>LEFT(Tableau1[[#This Row],[Formacode]],3)</f>
        <v/>
      </c>
      <c r="D301" s="47" t="n">
        <v>39116</v>
      </c>
      <c r="E301" s="48">
        <f>"RNCP"&amp;D301</f>
        <v/>
      </c>
      <c r="F301" s="48" t="inlineStr">
        <is>
          <t>CQP Moniteur d'arts martiaux</t>
        </is>
      </c>
      <c r="G301" s="49">
        <f>E301&amp;" - "&amp;F301</f>
        <v/>
      </c>
      <c r="H301" s="36" t="inlineStr">
        <is>
          <t>RAS</t>
        </is>
      </c>
      <c r="I301" s="45" t="inlineStr"/>
      <c r="J301" s="45" t="inlineStr">
        <is>
          <t>RNCP39116</t>
        </is>
      </c>
      <c r="K301" s="45" t="inlineStr">
        <is>
          <t>CQP Moniteur d'arts martiaux</t>
        </is>
      </c>
      <c r="L301" s="45" t="inlineStr">
        <is>
          <t>31/05/2027</t>
        </is>
      </c>
      <c r="M301" s="45" t="inlineStr">
        <is>
          <t>15436 (Éducation sportive) ; 15424 (Sport combat)</t>
        </is>
      </c>
      <c r="N301" s="50" t="inlineStr">
        <is>
          <t>NON</t>
        </is>
      </c>
      <c r="O301" s="45" t="inlineStr"/>
    </row>
    <row r="302" customFormat="1" s="3">
      <c r="A302" s="45" t="n"/>
      <c r="B302" s="46" t="inlineStr">
        <is>
          <t>15436</t>
        </is>
      </c>
      <c r="C302" s="46">
        <f>LEFT(Tableau1[[#This Row],[Formacode]],3)</f>
        <v/>
      </c>
      <c r="D302" s="47" t="n">
        <v>39118</v>
      </c>
      <c r="E302" s="48">
        <f>"RNCP"&amp;D302</f>
        <v/>
      </c>
      <c r="F302" s="48" t="inlineStr">
        <is>
          <t>CQP Technicien sportif de rugby à XV</t>
        </is>
      </c>
      <c r="G302" s="49">
        <f>E302&amp;" - "&amp;F302</f>
        <v/>
      </c>
      <c r="H302" s="36" t="inlineStr">
        <is>
          <t>RAS</t>
        </is>
      </c>
      <c r="I302" s="45" t="inlineStr"/>
      <c r="J302" s="45" t="inlineStr">
        <is>
          <t>RNCP39118</t>
        </is>
      </c>
      <c r="K302" s="45" t="inlineStr">
        <is>
          <t>CQP Technicien sportif de rugby à XV</t>
        </is>
      </c>
      <c r="L302" s="45" t="inlineStr">
        <is>
          <t>31/05/2027</t>
        </is>
      </c>
      <c r="M302" s="45" t="inlineStr">
        <is>
          <t>15436 (Éducation sportive) ; 15429 (Rugby)</t>
        </is>
      </c>
      <c r="N302" s="50" t="inlineStr">
        <is>
          <t>NON</t>
        </is>
      </c>
      <c r="O302" s="45" t="inlineStr"/>
    </row>
    <row r="303" customFormat="1" s="3">
      <c r="A303" s="45" t="n"/>
      <c r="B303" s="46" t="inlineStr">
        <is>
          <t>15436</t>
        </is>
      </c>
      <c r="C303" s="46">
        <f>LEFT(Tableau1[[#This Row],[Formacode]],3)</f>
        <v/>
      </c>
      <c r="D303" s="47" t="n">
        <v>39633</v>
      </c>
      <c r="E303" s="48">
        <f>"RNCP"&amp;D303</f>
        <v/>
      </c>
      <c r="F303" s="48" t="inlineStr">
        <is>
          <t>CQP Technicien sportif baseball, softball, baseball5</t>
        </is>
      </c>
      <c r="G303" s="49">
        <f>E303&amp;" - "&amp;F303</f>
        <v/>
      </c>
      <c r="H303" s="36" t="inlineStr">
        <is>
          <t>RAS</t>
        </is>
      </c>
      <c r="I303" s="45" t="inlineStr"/>
      <c r="J303" s="45" t="inlineStr">
        <is>
          <t>RNCP39633</t>
        </is>
      </c>
      <c r="K303" s="45" t="inlineStr">
        <is>
          <t>CQP Technicien sportif baseball, softball, baseball5</t>
        </is>
      </c>
      <c r="L303" s="45" t="inlineStr">
        <is>
          <t>01/10/2027</t>
        </is>
      </c>
      <c r="M303" s="45" t="inlineStr">
        <is>
          <t>15436 (Éducation sportive) ; 15437 (Sport balle)</t>
        </is>
      </c>
      <c r="N303" s="50" t="inlineStr">
        <is>
          <t>NON</t>
        </is>
      </c>
      <c r="O303" s="45" t="inlineStr"/>
    </row>
    <row r="304" customFormat="1" s="3">
      <c r="A304" s="45" t="n"/>
      <c r="B304" s="46" t="inlineStr">
        <is>
          <t>15436</t>
        </is>
      </c>
      <c r="C304" s="46">
        <f>LEFT(Tableau1[[#This Row],[Formacode]],3)</f>
        <v/>
      </c>
      <c r="D304" s="47" t="n">
        <v>40209</v>
      </c>
      <c r="E304" s="48">
        <f>"RNCP"&amp;D304</f>
        <v/>
      </c>
      <c r="F304" s="48" t="inlineStr">
        <is>
          <t>BPJEPS - Spécialité Educateur sportif mention Activités des sports de contact</t>
        </is>
      </c>
      <c r="G304" s="49">
        <f>E304&amp;" - "&amp;F304</f>
        <v/>
      </c>
      <c r="H304" s="36" t="inlineStr">
        <is>
          <t>RAS</t>
        </is>
      </c>
      <c r="I304" s="45" t="inlineStr"/>
      <c r="J304" s="45" t="inlineStr">
        <is>
          <t>RNCP40209</t>
        </is>
      </c>
      <c r="K304" s="45" t="inlineStr">
        <is>
          <t>Spécialité Educateur sportif mention Activités des sports de contact</t>
        </is>
      </c>
      <c r="L304" s="45" t="inlineStr">
        <is>
          <t>31/12/2029</t>
        </is>
      </c>
      <c r="M304" s="45" t="inlineStr">
        <is>
          <t>15436 (Éducation sportive) ; 15424 (Sport combat)</t>
        </is>
      </c>
      <c r="N304" s="50" t="inlineStr">
        <is>
          <t>NON</t>
        </is>
      </c>
      <c r="O304" s="45" t="inlineStr"/>
    </row>
    <row r="305" customFormat="1" s="3">
      <c r="A305" s="45" t="n"/>
      <c r="B305" s="46" t="inlineStr">
        <is>
          <t>15436</t>
        </is>
      </c>
      <c r="C305" s="46">
        <f>LEFT(Tableau1[[#This Row],[Formacode]],3)</f>
        <v/>
      </c>
      <c r="D305" s="47" t="n">
        <v>40260</v>
      </c>
      <c r="E305" s="48">
        <f>"RNCP"&amp;D305</f>
        <v/>
      </c>
      <c r="F305" s="48" t="inlineStr">
        <is>
          <t>Moniteur de padel</t>
        </is>
      </c>
      <c r="G305" s="49">
        <f>E305&amp;" - "&amp;F305</f>
        <v/>
      </c>
      <c r="H305" s="36" t="inlineStr">
        <is>
          <t>RAS</t>
        </is>
      </c>
      <c r="I305" s="45" t="inlineStr"/>
      <c r="J305" s="45" t="inlineStr">
        <is>
          <t>RNCP40260</t>
        </is>
      </c>
      <c r="K305" s="45" t="inlineStr">
        <is>
          <t>Moniteur de padel</t>
        </is>
      </c>
      <c r="L305" s="45" t="inlineStr">
        <is>
          <t>28/02/2028</t>
        </is>
      </c>
      <c r="M305" s="45" t="inlineStr">
        <is>
          <t>15436 (Éducation sportive) ; 15418 (Sport raquette)</t>
        </is>
      </c>
      <c r="N305" s="50" t="inlineStr">
        <is>
          <t>NON</t>
        </is>
      </c>
      <c r="O305" s="45" t="inlineStr"/>
    </row>
    <row r="306" customFormat="1" s="3">
      <c r="A306" s="45" t="n"/>
      <c r="B306" s="46" t="inlineStr">
        <is>
          <t>15436</t>
        </is>
      </c>
      <c r="C306" s="46">
        <f>LEFT(Tableau1[[#This Row],[Formacode]],3)</f>
        <v/>
      </c>
      <c r="D306" s="47" t="n">
        <v>40371</v>
      </c>
      <c r="E306" s="48">
        <f>"RNCP"&amp;D306</f>
        <v/>
      </c>
      <c r="F306" s="48" t="inlineStr">
        <is>
          <t>Entraineur formateur de football</t>
        </is>
      </c>
      <c r="G306" s="49">
        <f>E306&amp;" - "&amp;F306</f>
        <v/>
      </c>
      <c r="H306" s="36" t="inlineStr">
        <is>
          <t>RAS</t>
        </is>
      </c>
      <c r="I306" s="45" t="inlineStr"/>
      <c r="J306" s="45" t="inlineStr">
        <is>
          <t>RNCP40371</t>
        </is>
      </c>
      <c r="K306" s="45" t="inlineStr">
        <is>
          <t>Entraineur formateur de football</t>
        </is>
      </c>
      <c r="L306" s="45" t="inlineStr">
        <is>
          <t>28/03/2027</t>
        </is>
      </c>
      <c r="M306" s="45" t="inlineStr">
        <is>
          <t>15436 (Éducation sportive)</t>
        </is>
      </c>
      <c r="N306" s="50" t="inlineStr">
        <is>
          <t>NON</t>
        </is>
      </c>
      <c r="O306" s="45" t="inlineStr"/>
    </row>
    <row r="307" customFormat="1" s="3">
      <c r="A307" s="45" t="n"/>
      <c r="B307" s="46" t="inlineStr">
        <is>
          <t>15436</t>
        </is>
      </c>
      <c r="C307" s="46">
        <f>LEFT(Tableau1[[#This Row],[Formacode]],3)</f>
        <v/>
      </c>
      <c r="D307" s="47" t="n">
        <v>40395</v>
      </c>
      <c r="E307" s="48">
        <f>"RNCP"&amp;D307</f>
        <v/>
      </c>
      <c r="F307" s="48" t="inlineStr">
        <is>
          <t>Entraineur professionnel de football</t>
        </is>
      </c>
      <c r="G307" s="49">
        <f>E307&amp;" - "&amp;F307</f>
        <v/>
      </c>
      <c r="H307" s="36" t="inlineStr">
        <is>
          <t>RAS</t>
        </is>
      </c>
      <c r="I307" s="45" t="inlineStr"/>
      <c r="J307" s="45" t="inlineStr">
        <is>
          <t>RNCP40395</t>
        </is>
      </c>
      <c r="K307" s="45" t="inlineStr">
        <is>
          <t>Entraineur professionnel de football</t>
        </is>
      </c>
      <c r="L307" s="45" t="inlineStr">
        <is>
          <t>28/03/2027</t>
        </is>
      </c>
      <c r="M307" s="45" t="inlineStr">
        <is>
          <t>15436 (Éducation sportive)</t>
        </is>
      </c>
      <c r="N307" s="50" t="inlineStr">
        <is>
          <t>NON</t>
        </is>
      </c>
      <c r="O307" s="45" t="inlineStr"/>
    </row>
    <row r="308" customFormat="1" s="3">
      <c r="A308" s="45" t="n"/>
      <c r="B308" s="46" t="inlineStr">
        <is>
          <t>15436</t>
        </is>
      </c>
      <c r="C308" s="46">
        <f>LEFT(Tableau1[[#This Row],[Formacode]],3)</f>
        <v/>
      </c>
      <c r="D308" s="47" t="n">
        <v>40397</v>
      </c>
      <c r="E308" s="48">
        <f>"RNCP"&amp;D308</f>
        <v/>
      </c>
      <c r="F308" s="48" t="inlineStr">
        <is>
          <t>CQP Animateur d'escalade sur structure artificielle</t>
        </is>
      </c>
      <c r="G308" s="49">
        <f>E308&amp;" - "&amp;F308</f>
        <v/>
      </c>
      <c r="H308" s="36" t="inlineStr">
        <is>
          <t>RAS</t>
        </is>
      </c>
      <c r="I308" s="45" t="inlineStr"/>
      <c r="J308" s="45" t="inlineStr">
        <is>
          <t>RNCP40397</t>
        </is>
      </c>
      <c r="K308" s="45" t="inlineStr">
        <is>
          <t>CQP Animateur d'escalade sur structure artificielle</t>
        </is>
      </c>
      <c r="L308" s="45" t="inlineStr">
        <is>
          <t>28/03/2028</t>
        </is>
      </c>
      <c r="M308" s="45" t="inlineStr">
        <is>
          <t>15436 (Éducation sportive) ; 15400 (Escalade)</t>
        </is>
      </c>
      <c r="N308" s="50" t="inlineStr">
        <is>
          <t>NON</t>
        </is>
      </c>
      <c r="O308" s="45" t="inlineStr"/>
    </row>
    <row r="309" customFormat="1" s="3">
      <c r="A309" s="45" t="n"/>
      <c r="B309" s="46" t="inlineStr">
        <is>
          <t>15436</t>
        </is>
      </c>
      <c r="C309" s="46">
        <f>LEFT(Tableau1[[#This Row],[Formacode]],3)</f>
        <v/>
      </c>
      <c r="D309" s="47" t="n">
        <v>40409</v>
      </c>
      <c r="E309" s="48">
        <f>"RNCP"&amp;D309</f>
        <v/>
      </c>
      <c r="F309" s="48" t="inlineStr">
        <is>
          <t>Moniteur d'escalade sur structure artificielle</t>
        </is>
      </c>
      <c r="G309" s="49">
        <f>E309&amp;" - "&amp;F309</f>
        <v/>
      </c>
      <c r="H309" s="36" t="inlineStr">
        <is>
          <t>RAS</t>
        </is>
      </c>
      <c r="I309" s="45" t="inlineStr"/>
      <c r="J309" s="45" t="inlineStr">
        <is>
          <t>RNCP40409</t>
        </is>
      </c>
      <c r="K309" s="45" t="inlineStr">
        <is>
          <t>Moniteur d'escalade sur structure artificielle</t>
        </is>
      </c>
      <c r="L309" s="45" t="inlineStr">
        <is>
          <t>28/03/2028</t>
        </is>
      </c>
      <c r="M309" s="45" t="inlineStr">
        <is>
          <t>15436 (Éducation sportive) ; 15400 (Escalade)</t>
        </is>
      </c>
      <c r="N309" s="50" t="inlineStr">
        <is>
          <t>NON</t>
        </is>
      </c>
      <c r="O309" s="45" t="inlineStr"/>
    </row>
    <row r="310" customFormat="1" s="3">
      <c r="A310" s="45" t="n"/>
      <c r="B310" s="46" t="inlineStr">
        <is>
          <t>15436</t>
        </is>
      </c>
      <c r="C310" s="46">
        <f>LEFT(Tableau1[[#This Row],[Formacode]],3)</f>
        <v/>
      </c>
      <c r="D310" s="47" t="n">
        <v>40595</v>
      </c>
      <c r="E310" s="48">
        <f>"RNCP"&amp;D310</f>
        <v/>
      </c>
      <c r="F310" s="48" t="inlineStr">
        <is>
          <t>CQP Instructeur fitness</t>
        </is>
      </c>
      <c r="G310" s="49">
        <f>E310&amp;" - "&amp;F310</f>
        <v/>
      </c>
      <c r="H310" s="36" t="inlineStr">
        <is>
          <t>RAS</t>
        </is>
      </c>
      <c r="I310" s="45" t="inlineStr"/>
      <c r="J310" s="45" t="inlineStr">
        <is>
          <t>RNCP40595</t>
        </is>
      </c>
      <c r="K310" s="45" t="inlineStr">
        <is>
          <t>CQP Instructeur fitness</t>
        </is>
      </c>
      <c r="L310" s="45" t="inlineStr">
        <is>
          <t>30/04/2030</t>
        </is>
      </c>
      <c r="M310" s="45" t="inlineStr">
        <is>
          <t>15436 (Éducation sportive) ; 15477 (Remise en forme)</t>
        </is>
      </c>
      <c r="N310" s="50" t="inlineStr">
        <is>
          <t>NON</t>
        </is>
      </c>
      <c r="O310" s="45" t="inlineStr"/>
    </row>
    <row r="311" customFormat="1" s="3">
      <c r="A311" s="45" t="n"/>
      <c r="B311" s="46" t="inlineStr">
        <is>
          <t>15436</t>
        </is>
      </c>
      <c r="C311" s="46">
        <f>LEFT(Tableau1[[#This Row],[Formacode]],3)</f>
        <v/>
      </c>
      <c r="D311" s="47" t="n">
        <v>40596</v>
      </c>
      <c r="E311" s="48">
        <f>"RNCP"&amp;D311</f>
        <v/>
      </c>
      <c r="F311" s="48" t="inlineStr">
        <is>
          <t>CQP Technicien des secteurs acrobatique, rythmique et d'expression</t>
        </is>
      </c>
      <c r="G311" s="49">
        <f>E311&amp;" - "&amp;F311</f>
        <v/>
      </c>
      <c r="H311" s="36" t="inlineStr">
        <is>
          <t>RAS</t>
        </is>
      </c>
      <c r="I311" s="45" t="inlineStr"/>
      <c r="J311" s="45" t="inlineStr">
        <is>
          <t>RNCP40596</t>
        </is>
      </c>
      <c r="K311" s="45" t="inlineStr">
        <is>
          <t>CQP Technicien des secteurs acrobatique, rythmique et d'expression</t>
        </is>
      </c>
      <c r="L311" s="45" t="inlineStr">
        <is>
          <t>30/04/2028</t>
        </is>
      </c>
      <c r="M311" s="45" t="inlineStr">
        <is>
          <t>15436 (Éducation sportive) ; 15487 (Gymnastique)</t>
        </is>
      </c>
      <c r="N311" s="50" t="inlineStr">
        <is>
          <t>NON</t>
        </is>
      </c>
      <c r="O311" s="45" t="inlineStr"/>
    </row>
    <row r="312" customFormat="1" s="3">
      <c r="A312" s="45" t="n"/>
      <c r="B312" s="46" t="inlineStr">
        <is>
          <t>15436</t>
        </is>
      </c>
      <c r="C312" s="46">
        <f>LEFT(Tableau1[[#This Row],[Formacode]],3)</f>
        <v/>
      </c>
      <c r="D312" s="47" t="n">
        <v>40597</v>
      </c>
      <c r="E312" s="48">
        <f>"RNCP"&amp;D312</f>
        <v/>
      </c>
      <c r="F312" s="48" t="inlineStr">
        <is>
          <t>Moniteur professionnel de karaté, wushu et disciplines associées</t>
        </is>
      </c>
      <c r="G312" s="49">
        <f>E312&amp;" - "&amp;F312</f>
        <v/>
      </c>
      <c r="H312" s="36" t="inlineStr">
        <is>
          <t>RAS</t>
        </is>
      </c>
      <c r="I312" s="45" t="inlineStr"/>
      <c r="J312" s="45" t="inlineStr">
        <is>
          <t>RNCP40597</t>
        </is>
      </c>
      <c r="K312" s="45" t="inlineStr">
        <is>
          <t>Moniteur professionnel de karaté, wushu et disciplines associées</t>
        </is>
      </c>
      <c r="L312" s="45" t="inlineStr">
        <is>
          <t>30/04/2028</t>
        </is>
      </c>
      <c r="M312" s="45" t="inlineStr">
        <is>
          <t>15436 (Éducation sportive) ; 15415 (Karaté)</t>
        </is>
      </c>
      <c r="N312" s="50" t="inlineStr">
        <is>
          <t>NON</t>
        </is>
      </c>
      <c r="O312" s="45" t="inlineStr"/>
    </row>
    <row r="313" customFormat="1" s="3">
      <c r="A313" s="45" t="n"/>
      <c r="B313" s="46" t="inlineStr">
        <is>
          <t>15436</t>
        </is>
      </c>
      <c r="C313" s="46">
        <f>LEFT(Tableau1[[#This Row],[Formacode]],3)</f>
        <v/>
      </c>
      <c r="D313" s="47" t="n">
        <v>40914</v>
      </c>
      <c r="E313" s="48">
        <f>"RNCP"&amp;D313</f>
        <v/>
      </c>
      <c r="F313" s="48" t="inlineStr">
        <is>
          <t>CQP Animateur de badminton</t>
        </is>
      </c>
      <c r="G313" s="49">
        <f>E313&amp;" - "&amp;F313</f>
        <v/>
      </c>
      <c r="H313" s="36" t="inlineStr">
        <is>
          <t>RAS</t>
        </is>
      </c>
      <c r="I313" s="45" t="inlineStr"/>
      <c r="J313" s="45" t="inlineStr">
        <is>
          <t>RNCP40914</t>
        </is>
      </c>
      <c r="K313" s="45" t="inlineStr">
        <is>
          <t>CQP Animateur de badminton</t>
        </is>
      </c>
      <c r="L313" s="45" t="inlineStr">
        <is>
          <t>25/06/2030</t>
        </is>
      </c>
      <c r="M313" s="45" t="inlineStr">
        <is>
          <t>15436 (Éducation sportive) ; 15438 (Badminton)</t>
        </is>
      </c>
      <c r="N313" s="50" t="inlineStr">
        <is>
          <t>NON</t>
        </is>
      </c>
      <c r="O313" s="45" t="inlineStr"/>
    </row>
    <row r="314" customFormat="1" s="3">
      <c r="A314" s="45" t="n"/>
      <c r="B314" s="46" t="inlineStr">
        <is>
          <t>15436</t>
        </is>
      </c>
      <c r="C314" s="46">
        <f>LEFT(Tableau1[[#This Row],[Formacode]],3)</f>
        <v/>
      </c>
      <c r="D314" s="47" t="n">
        <v>40927</v>
      </c>
      <c r="E314" s="48">
        <f>"RNCP"&amp;D314</f>
        <v/>
      </c>
      <c r="F314" s="48" t="inlineStr">
        <is>
          <t>CQP Educateur grimpe d'arbres</t>
        </is>
      </c>
      <c r="G314" s="49">
        <f>E314&amp;" - "&amp;F314</f>
        <v/>
      </c>
      <c r="H314" s="36" t="inlineStr">
        <is>
          <t>RAS</t>
        </is>
      </c>
      <c r="I314" s="45" t="inlineStr"/>
      <c r="J314" s="45" t="inlineStr">
        <is>
          <t>RNCP40927</t>
        </is>
      </c>
      <c r="K314" s="45" t="inlineStr">
        <is>
          <t>CQP Educateur grimpe d'arbres</t>
        </is>
      </c>
      <c r="L314" s="45" t="inlineStr">
        <is>
          <t>25/06/2030</t>
        </is>
      </c>
      <c r="M314" s="45" t="inlineStr">
        <is>
          <t>15436 (Éducation sportive)</t>
        </is>
      </c>
      <c r="N314" s="50" t="inlineStr">
        <is>
          <t>NON</t>
        </is>
      </c>
      <c r="O314" s="45" t="inlineStr"/>
    </row>
    <row r="315" customFormat="1" s="3">
      <c r="A315" s="45" t="n"/>
      <c r="B315" s="46" t="inlineStr">
        <is>
          <t>15436</t>
        </is>
      </c>
      <c r="C315" s="46">
        <f>LEFT(Tableau1[[#This Row],[Formacode]],3)</f>
        <v/>
      </c>
      <c r="D315" s="47" t="n">
        <v>41095</v>
      </c>
      <c r="E315" s="48">
        <f>"RNCP"&amp;D315</f>
        <v/>
      </c>
      <c r="F315" s="48" t="inlineStr">
        <is>
          <t>CQP Organisateur de randonnées équestres</t>
        </is>
      </c>
      <c r="G315" s="49">
        <f>E315&amp;" - "&amp;F315</f>
        <v/>
      </c>
      <c r="H315" s="36" t="inlineStr">
        <is>
          <t>RAS</t>
        </is>
      </c>
      <c r="I315" s="45" t="inlineStr"/>
      <c r="J315" s="45" t="inlineStr">
        <is>
          <t>RNCP41095</t>
        </is>
      </c>
      <c r="K315" s="45" t="inlineStr">
        <is>
          <t>CQP Organisateur de randonnées équestres</t>
        </is>
      </c>
      <c r="L315" s="45" t="inlineStr">
        <is>
          <t>18/07/2028</t>
        </is>
      </c>
      <c r="M315" s="45" t="inlineStr">
        <is>
          <t>42691 (Tourisme équestre) ; 15436 (Éducation sportive) ; 21099 (Soin cheval) ; 15479 (Sport équestre)</t>
        </is>
      </c>
      <c r="N315" s="50" t="inlineStr">
        <is>
          <t>NON</t>
        </is>
      </c>
      <c r="O315" s="45" t="inlineStr"/>
    </row>
    <row r="316" customFormat="1" s="3">
      <c r="A316" s="45" t="n"/>
      <c r="B316" s="46" t="inlineStr">
        <is>
          <t>15436</t>
        </is>
      </c>
      <c r="C316" s="46">
        <f>LEFT(Tableau1[[#This Row],[Formacode]],3)</f>
        <v/>
      </c>
      <c r="D316" s="47" t="n">
        <v>41139</v>
      </c>
      <c r="E316" s="48">
        <f>"RNCP"&amp;D316</f>
        <v/>
      </c>
      <c r="F316" s="48" t="inlineStr">
        <is>
          <t>CQP Technicien sportif d'athlétisme</t>
        </is>
      </c>
      <c r="G316" s="49">
        <f>E316&amp;" - "&amp;F316</f>
        <v/>
      </c>
      <c r="H316" s="36" t="inlineStr">
        <is>
          <t>RAS</t>
        </is>
      </c>
      <c r="I316" s="45" t="inlineStr"/>
      <c r="J316" s="45" t="inlineStr">
        <is>
          <t>RNCP41139</t>
        </is>
      </c>
      <c r="K316" s="45" t="inlineStr">
        <is>
          <t>CQP Technicien sportif d'athlétisme</t>
        </is>
      </c>
      <c r="L316" s="45" t="inlineStr">
        <is>
          <t>18/07/2030</t>
        </is>
      </c>
      <c r="M316" s="45" t="inlineStr">
        <is>
          <t>15489 (Athlétisme) ; 15436 (Éducation sportive)</t>
        </is>
      </c>
      <c r="N316" s="50" t="inlineStr">
        <is>
          <t>NON</t>
        </is>
      </c>
      <c r="O316" s="45" t="inlineStr"/>
    </row>
    <row r="317" customFormat="1" s="3">
      <c r="A317" s="45" t="n"/>
      <c r="B317" s="46" t="inlineStr">
        <is>
          <t>15436</t>
        </is>
      </c>
      <c r="C317" s="46">
        <f>LEFT(Tableau1[[#This Row],[Formacode]],3)</f>
        <v/>
      </c>
      <c r="D317" s="47" t="n">
        <v>41426</v>
      </c>
      <c r="E317" s="48">
        <f>"RNCP"&amp;D317</f>
        <v/>
      </c>
      <c r="F317" s="48" t="inlineStr">
        <is>
          <t>CQP Animateur des activités gymniques</t>
        </is>
      </c>
      <c r="G317" s="49">
        <f>E317&amp;" - "&amp;F317</f>
        <v/>
      </c>
      <c r="H317" s="36" t="inlineStr">
        <is>
          <t>RAS</t>
        </is>
      </c>
      <c r="I317" s="45" t="inlineStr"/>
      <c r="J317" s="45" t="inlineStr">
        <is>
          <t>RNCP41426</t>
        </is>
      </c>
      <c r="K317" s="45" t="inlineStr">
        <is>
          <t>CQP Animateur des activités gymniques</t>
        </is>
      </c>
      <c r="L317" s="45" t="inlineStr">
        <is>
          <t>27/10/2030</t>
        </is>
      </c>
      <c r="M317" s="45" t="inlineStr">
        <is>
          <t>15436 (Éducation sportive) ; 15487 (Gymnastique)</t>
        </is>
      </c>
      <c r="N317" s="50" t="inlineStr">
        <is>
          <t>NON</t>
        </is>
      </c>
      <c r="O317" s="45" t="inlineStr"/>
    </row>
    <row r="318" customFormat="1" s="3">
      <c r="A318" s="45" t="n"/>
      <c r="B318" s="46" t="inlineStr">
        <is>
          <t>15436</t>
        </is>
      </c>
      <c r="C318" s="46">
        <f>LEFT(Tableau1[[#This Row],[Formacode]],3)</f>
        <v/>
      </c>
      <c r="D318" s="47" t="n">
        <v>41454</v>
      </c>
      <c r="E318" s="48">
        <f>"RNCP"&amp;D318</f>
        <v/>
      </c>
      <c r="F318" s="48" t="inlineStr">
        <is>
          <t>CQP Animateur d'athlétisme</t>
        </is>
      </c>
      <c r="G318" s="49">
        <f>E318&amp;" - "&amp;F318</f>
        <v/>
      </c>
      <c r="H318" s="36" t="inlineStr">
        <is>
          <t>RAS</t>
        </is>
      </c>
      <c r="I318" s="45" t="inlineStr"/>
      <c r="J318" s="45" t="inlineStr">
        <is>
          <t>RNCP41454</t>
        </is>
      </c>
      <c r="K318" s="45" t="inlineStr">
        <is>
          <t>CQP Animateur d'athlétisme</t>
        </is>
      </c>
      <c r="L318" s="45" t="inlineStr">
        <is>
          <t>27/10/2030</t>
        </is>
      </c>
      <c r="M318" s="45" t="inlineStr">
        <is>
          <t>15436 (Éducation sportive) ; 15489 (Athlétisme)</t>
        </is>
      </c>
      <c r="N318" s="50" t="inlineStr">
        <is>
          <t>NON</t>
        </is>
      </c>
      <c r="O318" s="45" t="inlineStr"/>
    </row>
    <row r="319" customFormat="1" s="3">
      <c r="A319" s="51" t="n"/>
      <c r="B319" s="52" t="inlineStr">
        <is>
          <t>15437</t>
        </is>
      </c>
      <c r="C319" s="52">
        <f>LEFT(Tableau1[[#This Row],[Formacode]],3)</f>
        <v/>
      </c>
      <c r="D319" s="53" t="n">
        <v>37758</v>
      </c>
      <c r="E319" s="54">
        <f>"RNCP"&amp;D319</f>
        <v/>
      </c>
      <c r="F319" s="54" t="inlineStr">
        <is>
          <t>Entraineur de football</t>
        </is>
      </c>
      <c r="G319" s="55">
        <f>E319&amp;" - "&amp;F319</f>
        <v/>
      </c>
      <c r="H319" s="37" t="inlineStr">
        <is>
          <t>À vérifier</t>
        </is>
      </c>
      <c r="I319" s="51" t="inlineStr">
        <is>
          <t>Échéance le 19/07/2026 (dans 1 j)</t>
        </is>
      </c>
      <c r="J319" s="51" t="inlineStr">
        <is>
          <t>RNCP37758</t>
        </is>
      </c>
      <c r="K319" s="51" t="inlineStr">
        <is>
          <t>Entraineur de football</t>
        </is>
      </c>
      <c r="L319" s="51" t="inlineStr">
        <is>
          <t>19/07/2026</t>
        </is>
      </c>
      <c r="M319" s="51" t="inlineStr">
        <is>
          <t>15426 (Football) ; 15436 (Éducation sportive)</t>
        </is>
      </c>
      <c r="N319" s="62" t="inlineStr">
        <is>
          <t>NON</t>
        </is>
      </c>
      <c r="O319" s="51" t="inlineStr"/>
    </row>
    <row r="320" customFormat="1" s="3">
      <c r="A320" s="51" t="n"/>
      <c r="B320" s="52" t="inlineStr">
        <is>
          <t>15437</t>
        </is>
      </c>
      <c r="C320" s="52">
        <f>LEFT(Tableau1[[#This Row],[Formacode]],3)</f>
        <v/>
      </c>
      <c r="D320" s="53" t="n">
        <v>38292</v>
      </c>
      <c r="E320" s="54">
        <f>"RNCP"&amp;D320</f>
        <v/>
      </c>
      <c r="F320" s="54" t="inlineStr">
        <is>
          <t>Moniteur de football</t>
        </is>
      </c>
      <c r="G320" s="55">
        <f>E320&amp;" - "&amp;F320</f>
        <v/>
      </c>
      <c r="H320" s="37" t="inlineStr">
        <is>
          <t>À vérifier</t>
        </is>
      </c>
      <c r="I320" s="51" t="inlineStr">
        <is>
          <t>Échéance le 15/11/2026 (dans 120 j)</t>
        </is>
      </c>
      <c r="J320" s="51" t="inlineStr">
        <is>
          <t>RNCP38292</t>
        </is>
      </c>
      <c r="K320" s="51" t="inlineStr">
        <is>
          <t>Moniteur de football</t>
        </is>
      </c>
      <c r="L320" s="51" t="inlineStr">
        <is>
          <t>15/11/2026</t>
        </is>
      </c>
      <c r="M320" s="51" t="inlineStr">
        <is>
          <t>15436 (Éducation sportive) ; 15426 (Football)</t>
        </is>
      </c>
      <c r="N320" s="62" t="inlineStr">
        <is>
          <t>NON</t>
        </is>
      </c>
      <c r="O320" s="51" t="inlineStr"/>
    </row>
    <row r="321" customFormat="1" s="3">
      <c r="A321" s="45" t="n"/>
      <c r="B321" s="46" t="inlineStr">
        <is>
          <t>15437</t>
        </is>
      </c>
      <c r="C321" s="46">
        <f>LEFT(Tableau1[[#This Row],[Formacode]],3)</f>
        <v/>
      </c>
      <c r="D321" s="47" t="n">
        <v>39118</v>
      </c>
      <c r="E321" s="48">
        <f>"RNCP"&amp;D321</f>
        <v/>
      </c>
      <c r="F321" s="48" t="inlineStr">
        <is>
          <t>CQP Technicien sportif de rugby à XV</t>
        </is>
      </c>
      <c r="G321" s="49">
        <f>E321&amp;" - "&amp;F321</f>
        <v/>
      </c>
      <c r="H321" s="36" t="inlineStr">
        <is>
          <t>RAS</t>
        </is>
      </c>
      <c r="I321" s="45" t="inlineStr"/>
      <c r="J321" s="45" t="inlineStr">
        <is>
          <t>RNCP39118</t>
        </is>
      </c>
      <c r="K321" s="45" t="inlineStr">
        <is>
          <t>CQP Technicien sportif de rugby à XV</t>
        </is>
      </c>
      <c r="L321" s="45" t="inlineStr">
        <is>
          <t>31/05/2027</t>
        </is>
      </c>
      <c r="M321" s="45" t="inlineStr">
        <is>
          <t>15436 (Éducation sportive) ; 15429 (Rugby)</t>
        </is>
      </c>
      <c r="N321" s="50" t="inlineStr">
        <is>
          <t>NON</t>
        </is>
      </c>
      <c r="O321" s="45" t="inlineStr"/>
    </row>
    <row r="322" customFormat="1" s="3">
      <c r="A322" s="45" t="n"/>
      <c r="B322" s="46" t="inlineStr">
        <is>
          <t>15437</t>
        </is>
      </c>
      <c r="C322" s="46">
        <f>LEFT(Tableau1[[#This Row],[Formacode]],3)</f>
        <v/>
      </c>
      <c r="D322" s="47" t="n">
        <v>39633</v>
      </c>
      <c r="E322" s="48">
        <f>"RNCP"&amp;D322</f>
        <v/>
      </c>
      <c r="F322" s="48" t="inlineStr">
        <is>
          <t>CQP Technicien sportif baseball, softball, baseball5</t>
        </is>
      </c>
      <c r="G322" s="49">
        <f>E322&amp;" - "&amp;F322</f>
        <v/>
      </c>
      <c r="H322" s="36" t="inlineStr">
        <is>
          <t>RAS</t>
        </is>
      </c>
      <c r="I322" s="45" t="inlineStr"/>
      <c r="J322" s="45" t="inlineStr">
        <is>
          <t>RNCP39633</t>
        </is>
      </c>
      <c r="K322" s="45" t="inlineStr">
        <is>
          <t>CQP Technicien sportif baseball, softball, baseball5</t>
        </is>
      </c>
      <c r="L322" s="45" t="inlineStr">
        <is>
          <t>01/10/2027</t>
        </is>
      </c>
      <c r="M322" s="45" t="inlineStr">
        <is>
          <t>15436 (Éducation sportive) ; 15437 (Sport balle)</t>
        </is>
      </c>
      <c r="N322" s="50" t="inlineStr">
        <is>
          <t>NON</t>
        </is>
      </c>
      <c r="O322" s="45" t="inlineStr"/>
    </row>
    <row r="323" customFormat="1" s="3">
      <c r="A323" s="51" t="n"/>
      <c r="B323" s="52" t="inlineStr">
        <is>
          <t>15447</t>
        </is>
      </c>
      <c r="C323" s="52">
        <f>LEFT(Tableau1[[#This Row],[Formacode]],3)</f>
        <v/>
      </c>
      <c r="D323" s="53" t="n">
        <v>35992</v>
      </c>
      <c r="E323" s="54">
        <f>"RNCP"&amp;D323</f>
        <v/>
      </c>
      <c r="F323" s="54" t="inlineStr">
        <is>
          <t>TP - Employé technicien-vendeur en matériel de sport</t>
        </is>
      </c>
      <c r="G323" s="55">
        <f>E323&amp;" - "&amp;F323</f>
        <v/>
      </c>
      <c r="H323" s="37" t="inlineStr">
        <is>
          <t>À vérifier</t>
        </is>
      </c>
      <c r="I323" s="51" t="inlineStr">
        <is>
          <t>Échéance le 13/10/2026 (dans 87 j)</t>
        </is>
      </c>
      <c r="J323" s="51" t="inlineStr">
        <is>
          <t>RNCP35992</t>
        </is>
      </c>
      <c r="K323" s="51" t="inlineStr">
        <is>
          <t>Employé technicien-vendeur en matériel de sport</t>
        </is>
      </c>
      <c r="L323" s="51" t="inlineStr">
        <is>
          <t>13/10/2026</t>
        </is>
      </c>
      <c r="M323" s="51" t="inlineStr">
        <is>
          <t>15447 (Matériel sport)</t>
        </is>
      </c>
      <c r="N323" s="62" t="inlineStr">
        <is>
          <t>NON</t>
        </is>
      </c>
      <c r="O323" s="51" t="inlineStr"/>
    </row>
    <row r="324" customFormat="1" s="3">
      <c r="A324" s="45" t="n"/>
      <c r="B324" s="46" t="inlineStr">
        <is>
          <t>15448</t>
        </is>
      </c>
      <c r="C324" s="46">
        <f>LEFT(Tableau1[[#This Row],[Formacode]],3)</f>
        <v/>
      </c>
      <c r="D324" s="47" t="n">
        <v>37291</v>
      </c>
      <c r="E324" s="48">
        <f>"RNCP"&amp;D324</f>
        <v/>
      </c>
      <c r="F324" s="48" t="inlineStr">
        <is>
          <t>TP - Technicien d'installation et de maintenance de piscines</t>
        </is>
      </c>
      <c r="G324" s="49">
        <f>E324&amp;" - "&amp;F324</f>
        <v/>
      </c>
      <c r="H324" s="36" t="inlineStr">
        <is>
          <t>RAS</t>
        </is>
      </c>
      <c r="I324" s="45" t="inlineStr"/>
      <c r="J324" s="45" t="inlineStr">
        <is>
          <t>RNCP37291</t>
        </is>
      </c>
      <c r="K324" s="45" t="inlineStr">
        <is>
          <t>Technicien d'installation et de maintenance de piscines</t>
        </is>
      </c>
      <c r="L324" s="45" t="inlineStr">
        <is>
          <t>25/07/2028</t>
        </is>
      </c>
      <c r="M324" s="45" t="inlineStr">
        <is>
          <t>15417 (Piscine)</t>
        </is>
      </c>
      <c r="N324" s="50" t="inlineStr">
        <is>
          <t>NON</t>
        </is>
      </c>
      <c r="O324" s="45" t="inlineStr"/>
    </row>
    <row r="325" customFormat="1" s="3">
      <c r="A325" s="45" t="n"/>
      <c r="B325" s="46" t="inlineStr">
        <is>
          <t>15448</t>
        </is>
      </c>
      <c r="C325" s="46">
        <f>LEFT(Tableau1[[#This Row],[Formacode]],3)</f>
        <v/>
      </c>
      <c r="D325" s="47" t="n">
        <v>37306</v>
      </c>
      <c r="E325" s="48">
        <f>"RNCP"&amp;D325</f>
        <v/>
      </c>
      <c r="F325" s="48" t="inlineStr">
        <is>
          <t>CAP - Transports par câbles et remontées mécaniques</t>
        </is>
      </c>
      <c r="G325" s="49">
        <f>E325&amp;" - "&amp;F325</f>
        <v/>
      </c>
      <c r="H325" s="36" t="inlineStr">
        <is>
          <t>RAS</t>
        </is>
      </c>
      <c r="I325" s="45" t="inlineStr"/>
      <c r="J325" s="45" t="inlineStr">
        <is>
          <t>RNCP37306</t>
        </is>
      </c>
      <c r="K325" s="45" t="inlineStr">
        <is>
          <t>Transports par câbles et remontées mécaniques</t>
        </is>
      </c>
      <c r="L325" s="45" t="inlineStr">
        <is>
          <t>31/08/2028</t>
        </is>
      </c>
      <c r="M325" s="45" t="inlineStr">
        <is>
          <t>31842 (Transport filoguidé) ; 15448 (Installation sportive)</t>
        </is>
      </c>
      <c r="N325" s="50" t="inlineStr">
        <is>
          <t>NON</t>
        </is>
      </c>
      <c r="O325" s="45" t="inlineStr"/>
    </row>
    <row r="326" customFormat="1" s="3">
      <c r="A326" s="45" t="n"/>
      <c r="B326" s="46" t="inlineStr">
        <is>
          <t>15448</t>
        </is>
      </c>
      <c r="C326" s="46">
        <f>LEFT(Tableau1[[#This Row],[Formacode]],3)</f>
        <v/>
      </c>
      <c r="D326" s="47" t="n">
        <v>37309</v>
      </c>
      <c r="E326" s="48">
        <f>"RNCP"&amp;D326</f>
        <v/>
      </c>
      <c r="F326" s="48" t="inlineStr">
        <is>
          <t>BAC PRO - Transports par câbles et remontées mécaniques</t>
        </is>
      </c>
      <c r="G326" s="49">
        <f>E326&amp;" - "&amp;F326</f>
        <v/>
      </c>
      <c r="H326" s="36" t="inlineStr">
        <is>
          <t>RAS</t>
        </is>
      </c>
      <c r="I326" s="45" t="inlineStr"/>
      <c r="J326" s="45" t="inlineStr">
        <is>
          <t>RNCP37309</t>
        </is>
      </c>
      <c r="K326" s="45" t="inlineStr">
        <is>
          <t>Transports par câbles et remontées mécaniques</t>
        </is>
      </c>
      <c r="L326" s="45" t="inlineStr">
        <is>
          <t>31/08/2028</t>
        </is>
      </c>
      <c r="M326" s="45" t="inlineStr">
        <is>
          <t>31842 (Transport filoguidé) ; 15448 (Installation sportive)</t>
        </is>
      </c>
      <c r="N326" s="50" t="inlineStr">
        <is>
          <t>NON</t>
        </is>
      </c>
      <c r="O326" s="45" t="inlineStr"/>
    </row>
    <row r="327" customFormat="1" s="3">
      <c r="A327" s="45" t="n"/>
      <c r="B327" s="46" t="inlineStr">
        <is>
          <t>15448</t>
        </is>
      </c>
      <c r="C327" s="46">
        <f>LEFT(Tableau1[[#This Row],[Formacode]],3)</f>
        <v/>
      </c>
      <c r="D327" s="47" t="n">
        <v>38339</v>
      </c>
      <c r="E327" s="48">
        <f>"RNCP"&amp;D327</f>
        <v/>
      </c>
      <c r="F327" s="48" t="inlineStr">
        <is>
          <t>BP - Métiers de la piscine</t>
        </is>
      </c>
      <c r="G327" s="49">
        <f>E327&amp;" - "&amp;F327</f>
        <v/>
      </c>
      <c r="H327" s="36" t="inlineStr">
        <is>
          <t>RAS</t>
        </is>
      </c>
      <c r="I327" s="45" t="inlineStr"/>
      <c r="J327" s="45" t="inlineStr">
        <is>
          <t>RNCP38339</t>
        </is>
      </c>
      <c r="K327" s="45" t="inlineStr">
        <is>
          <t>Métiers de la piscine</t>
        </is>
      </c>
      <c r="L327" s="45" t="inlineStr">
        <is>
          <t>31/08/2028</t>
        </is>
      </c>
      <c r="M327" s="45" t="inlineStr">
        <is>
          <t>15417 (Piscine)</t>
        </is>
      </c>
      <c r="N327" s="50" t="inlineStr">
        <is>
          <t>NON</t>
        </is>
      </c>
      <c r="O327" s="45" t="inlineStr"/>
    </row>
    <row r="328" customFormat="1" s="3">
      <c r="A328" s="63" t="n"/>
      <c r="B328" s="64" t="inlineStr">
        <is>
          <t>15455</t>
        </is>
      </c>
      <c r="C328" s="64">
        <f>LEFT(Tableau1[[#This Row],[Formacode]],3)</f>
        <v/>
      </c>
      <c r="D328" s="65" t="n">
        <v>37514</v>
      </c>
      <c r="E328" s="66">
        <f>"RNCP"&amp;D328</f>
        <v/>
      </c>
      <c r="F328" s="66" t="inlineStr">
        <is>
          <t>CQP Moniteur de tir sportif</t>
        </is>
      </c>
      <c r="G328" s="67">
        <f>E328&amp;" - "&amp;F328</f>
        <v/>
      </c>
      <c r="H328" s="38" t="inlineStr">
        <is>
          <t>Expiré / remplacé</t>
        </is>
      </c>
      <c r="I328" s="63" t="inlineStr">
        <is>
          <t>Fiche inactive — remplacée par RNCP41980 (CQP Moniteur de tir sportif)</t>
        </is>
      </c>
      <c r="J328" s="63" t="inlineStr">
        <is>
          <t>RNCP41980</t>
        </is>
      </c>
      <c r="K328" s="63" t="inlineStr">
        <is>
          <t>CQP Moniteur de tir sportif</t>
        </is>
      </c>
      <c r="L328" s="63" t="inlineStr">
        <is>
          <t>24/04/2026</t>
        </is>
      </c>
      <c r="M328" s="63" t="inlineStr">
        <is>
          <t>15436 (Éducation sportive) ; 15455 (Tir sportif)</t>
        </is>
      </c>
      <c r="N328" s="68" t="inlineStr">
        <is>
          <t>NON</t>
        </is>
      </c>
      <c r="O328" s="63" t="inlineStr"/>
    </row>
    <row r="329" customFormat="1" s="3">
      <c r="A329" s="51" t="n"/>
      <c r="B329" s="52" t="inlineStr">
        <is>
          <t>15457</t>
        </is>
      </c>
      <c r="C329" s="52">
        <f>LEFT(Tableau1[[#This Row],[Formacode]],3)</f>
        <v/>
      </c>
      <c r="D329" s="53" t="n">
        <v>38142</v>
      </c>
      <c r="E329" s="54">
        <f>"RNCP"&amp;D329</f>
        <v/>
      </c>
      <c r="F329" s="54" t="inlineStr">
        <is>
          <t>Chargé de développement d’une structure sportive associative</t>
        </is>
      </c>
      <c r="G329" s="55">
        <f>E329&amp;" - "&amp;F329</f>
        <v/>
      </c>
      <c r="H329" s="37" t="inlineStr">
        <is>
          <t>À vérifier</t>
        </is>
      </c>
      <c r="I329" s="51" t="inlineStr">
        <is>
          <t>Échéance le 18/10/2026 (dans 92 j)</t>
        </is>
      </c>
      <c r="J329" s="51" t="inlineStr">
        <is>
          <t>RNCP38142</t>
        </is>
      </c>
      <c r="K329" s="51" t="inlineStr">
        <is>
          <t>Chargé de développement d’une structure sportive associative</t>
        </is>
      </c>
      <c r="L329" s="51" t="inlineStr">
        <is>
          <t>18/10/2026</t>
        </is>
      </c>
      <c r="M329" s="51" t="inlineStr">
        <is>
          <t>15457 (Gestion sport) ; 44058 (Vie associative)</t>
        </is>
      </c>
      <c r="N329" s="62" t="inlineStr">
        <is>
          <t>NON</t>
        </is>
      </c>
      <c r="O329" s="51" t="inlineStr"/>
    </row>
    <row r="330" customFormat="1" s="3">
      <c r="A330" s="45" t="n"/>
      <c r="B330" s="46" t="inlineStr">
        <is>
          <t>15457</t>
        </is>
      </c>
      <c r="C330" s="46">
        <f>LEFT(Tableau1[[#This Row],[Formacode]],3)</f>
        <v/>
      </c>
      <c r="D330" s="47" t="n">
        <v>40797</v>
      </c>
      <c r="E330" s="48">
        <f>"RNCP"&amp;D330</f>
        <v/>
      </c>
      <c r="F330" s="48" t="inlineStr">
        <is>
          <t>BP - Responsable d'entreprise hippique</t>
        </is>
      </c>
      <c r="G330" s="49">
        <f>E330&amp;" - "&amp;F330</f>
        <v/>
      </c>
      <c r="H330" s="36" t="inlineStr">
        <is>
          <t>RAS</t>
        </is>
      </c>
      <c r="I330" s="45" t="inlineStr"/>
      <c r="J330" s="45" t="inlineStr">
        <is>
          <t>RNCP40797</t>
        </is>
      </c>
      <c r="K330" s="45" t="inlineStr">
        <is>
          <t>Responsable d'entreprise hippique</t>
        </is>
      </c>
      <c r="L330" s="45" t="inlineStr">
        <is>
          <t>31/12/2030</t>
        </is>
      </c>
      <c r="M330" s="45" t="inlineStr">
        <is>
          <t>21052 (Gestion exploitation agricole) ; 15457 (Gestion sport) ; 21056 (Élevage)</t>
        </is>
      </c>
      <c r="N330" s="50" t="inlineStr">
        <is>
          <t>NON</t>
        </is>
      </c>
      <c r="O330" s="45" t="inlineStr"/>
    </row>
    <row r="331" customFormat="1" s="3">
      <c r="A331" s="45" t="n"/>
      <c r="B331" s="46" t="inlineStr">
        <is>
          <t>15462</t>
        </is>
      </c>
      <c r="C331" s="46">
        <f>LEFT(Tableau1[[#This Row],[Formacode]],3)</f>
        <v/>
      </c>
      <c r="D331" s="47" t="n">
        <v>40916</v>
      </c>
      <c r="E331" s="48">
        <f>"RNCP"&amp;D331</f>
        <v/>
      </c>
      <c r="F331" s="48" t="inlineStr">
        <is>
          <t>CQP Animateur de mobilité à vélo</t>
        </is>
      </c>
      <c r="G331" s="49">
        <f>E331&amp;" - "&amp;F331</f>
        <v/>
      </c>
      <c r="H331" s="36" t="inlineStr">
        <is>
          <t>RAS</t>
        </is>
      </c>
      <c r="I331" s="45" t="inlineStr"/>
      <c r="J331" s="45" t="inlineStr">
        <is>
          <t>RNCP40916</t>
        </is>
      </c>
      <c r="K331" s="45" t="inlineStr">
        <is>
          <t>CQP Animateur de mobilité à vélo</t>
        </is>
      </c>
      <c r="L331" s="45" t="inlineStr">
        <is>
          <t>25/06/2030</t>
        </is>
      </c>
      <c r="M331" s="45" t="inlineStr">
        <is>
          <t>15466 (Activité physique pour tous) ; 15462 (Cyclisme)</t>
        </is>
      </c>
      <c r="N331" s="50" t="inlineStr">
        <is>
          <t>NON</t>
        </is>
      </c>
      <c r="O331" s="45" t="inlineStr"/>
    </row>
    <row r="332" customFormat="1" s="3">
      <c r="A332" s="45" t="n"/>
      <c r="B332" s="46" t="inlineStr">
        <is>
          <t>15466</t>
        </is>
      </c>
      <c r="C332" s="46">
        <f>LEFT(Tableau1[[#This Row],[Formacode]],3)</f>
        <v/>
      </c>
      <c r="D332" s="47" t="n">
        <v>40916</v>
      </c>
      <c r="E332" s="48">
        <f>"RNCP"&amp;D332</f>
        <v/>
      </c>
      <c r="F332" s="48" t="inlineStr">
        <is>
          <t>CQP Animateur de mobilité à vélo</t>
        </is>
      </c>
      <c r="G332" s="49">
        <f>E332&amp;" - "&amp;F332</f>
        <v/>
      </c>
      <c r="H332" s="36" t="inlineStr">
        <is>
          <t>RAS</t>
        </is>
      </c>
      <c r="I332" s="45" t="inlineStr"/>
      <c r="J332" s="45" t="inlineStr">
        <is>
          <t>RNCP40916</t>
        </is>
      </c>
      <c r="K332" s="45" t="inlineStr">
        <is>
          <t>CQP Animateur de mobilité à vélo</t>
        </is>
      </c>
      <c r="L332" s="45" t="inlineStr">
        <is>
          <t>25/06/2030</t>
        </is>
      </c>
      <c r="M332" s="45" t="inlineStr">
        <is>
          <t>15466 (Activité physique pour tous) ; 15462 (Cyclisme)</t>
        </is>
      </c>
      <c r="N332" s="50" t="inlineStr">
        <is>
          <t>NON</t>
        </is>
      </c>
      <c r="O332" s="45" t="inlineStr"/>
    </row>
    <row r="333" customFormat="1" s="3">
      <c r="A333" s="63" t="n"/>
      <c r="B333" s="64" t="inlineStr">
        <is>
          <t>15472</t>
        </is>
      </c>
      <c r="C333" s="64">
        <f>LEFT(Tableau1[[#This Row],[Formacode]],3)</f>
        <v/>
      </c>
      <c r="D333" s="65" t="n">
        <v>35232</v>
      </c>
      <c r="E333" s="66">
        <f>"RNCP"&amp;D333</f>
        <v/>
      </c>
      <c r="F333" s="66" t="inlineStr">
        <is>
          <t>TP - Scaphandrier travaux publics</t>
        </is>
      </c>
      <c r="G333" s="67">
        <f>E333&amp;" - "&amp;F333</f>
        <v/>
      </c>
      <c r="H333" s="38" t="inlineStr">
        <is>
          <t>Expiré / remplacé</t>
        </is>
      </c>
      <c r="I333" s="63" t="inlineStr">
        <is>
          <t>Fiche inactive — remplacée par RNCP41910 (Scaphandrier travaux publics)</t>
        </is>
      </c>
      <c r="J333" s="63" t="inlineStr">
        <is>
          <t>RNCP41910</t>
        </is>
      </c>
      <c r="K333" s="63" t="inlineStr">
        <is>
          <t>Scaphandrier travaux publics</t>
        </is>
      </c>
      <c r="L333" s="63" t="inlineStr">
        <is>
          <t>26/02/2026</t>
        </is>
      </c>
      <c r="M333" s="63" t="inlineStr">
        <is>
          <t>15480 (Plongée subaquatique) ; 22067 (Travaux immergés)</t>
        </is>
      </c>
      <c r="N333" s="68" t="inlineStr">
        <is>
          <t>NON</t>
        </is>
      </c>
      <c r="O333" s="63" t="inlineStr"/>
    </row>
    <row r="334" customFormat="1" s="3">
      <c r="A334" s="51" t="n"/>
      <c r="B334" s="52" t="inlineStr">
        <is>
          <t>15472</t>
        </is>
      </c>
      <c r="C334" s="52">
        <f>LEFT(Tableau1[[#This Row],[Formacode]],3)</f>
        <v/>
      </c>
      <c r="D334" s="53" t="n">
        <v>36816</v>
      </c>
      <c r="E334" s="54">
        <f>"RNCP"&amp;D334</f>
        <v/>
      </c>
      <c r="F334" s="54" t="inlineStr">
        <is>
          <t>CS - Opérateur polyvalent en interventions subaquatiques</t>
        </is>
      </c>
      <c r="G334" s="55">
        <f>E334&amp;" - "&amp;F334</f>
        <v/>
      </c>
      <c r="H334" s="37" t="inlineStr">
        <is>
          <t>À vérifier</t>
        </is>
      </c>
      <c r="I334" s="51" t="inlineStr">
        <is>
          <t>Successeur déjà publié : RNCP42401 (Opérateur polyvalent en interventions subaquatiques) — préparer la bascule de l'offre CPF | Échéance le 31/08/2026 (dans 44 j)</t>
        </is>
      </c>
      <c r="J334" s="51" t="inlineStr">
        <is>
          <t>RNCP42401</t>
        </is>
      </c>
      <c r="K334" s="51" t="inlineStr">
        <is>
          <t>Opérateur polyvalent en interventions subaquatiques</t>
        </is>
      </c>
      <c r="L334" s="51" t="inlineStr">
        <is>
          <t>31/08/2026</t>
        </is>
      </c>
      <c r="M334" s="51" t="inlineStr">
        <is>
          <t>22067 (Travaux immergés) ; 15480 (Plongée subaquatique)</t>
        </is>
      </c>
      <c r="N334" s="62" t="inlineStr">
        <is>
          <t>NON</t>
        </is>
      </c>
      <c r="O334" s="51" t="inlineStr"/>
    </row>
    <row r="335" customFormat="1" s="3">
      <c r="A335" s="45" t="n"/>
      <c r="B335" s="46" t="inlineStr">
        <is>
          <t>15472</t>
        </is>
      </c>
      <c r="C335" s="46">
        <f>LEFT(Tableau1[[#This Row],[Formacode]],3)</f>
        <v/>
      </c>
      <c r="D335" s="47" t="n">
        <v>37039</v>
      </c>
      <c r="E335" s="48">
        <f>"RNCP"&amp;D335</f>
        <v/>
      </c>
      <c r="F335" s="48" t="inlineStr">
        <is>
          <t>CQP Accompagnateur en téléski nautique</t>
        </is>
      </c>
      <c r="G335" s="49">
        <f>E335&amp;" - "&amp;F335</f>
        <v/>
      </c>
      <c r="H335" s="36" t="inlineStr">
        <is>
          <t>RAS</t>
        </is>
      </c>
      <c r="I335" s="45" t="inlineStr"/>
      <c r="J335" s="45" t="inlineStr">
        <is>
          <t>RNCP37039</t>
        </is>
      </c>
      <c r="K335" s="45" t="inlineStr">
        <is>
          <t>CQP Accompagnateur en téléski nautique</t>
        </is>
      </c>
      <c r="L335" s="45" t="inlineStr">
        <is>
          <t>23/11/2027</t>
        </is>
      </c>
      <c r="M335" s="45" t="inlineStr">
        <is>
          <t>15436 (Éducation sportive) ; 15460 (Ski nautique)</t>
        </is>
      </c>
      <c r="N335" s="50" t="inlineStr">
        <is>
          <t>NON</t>
        </is>
      </c>
      <c r="O335" s="45" t="inlineStr"/>
    </row>
    <row r="336" customFormat="1" s="3">
      <c r="A336" s="45" t="n"/>
      <c r="B336" s="46" t="inlineStr">
        <is>
          <t>15472</t>
        </is>
      </c>
      <c r="C336" s="46">
        <f>LEFT(Tableau1[[#This Row],[Formacode]],3)</f>
        <v/>
      </c>
      <c r="D336" s="47" t="n">
        <v>38264</v>
      </c>
      <c r="E336" s="48">
        <f>"RNCP"&amp;D336</f>
        <v/>
      </c>
      <c r="F336" s="48" t="inlineStr">
        <is>
          <t>CQP Animateur ski nautique, wakeboard et engins tractés</t>
        </is>
      </c>
      <c r="G336" s="49">
        <f>E336&amp;" - "&amp;F336</f>
        <v/>
      </c>
      <c r="H336" s="36" t="inlineStr">
        <is>
          <t>RAS</t>
        </is>
      </c>
      <c r="I336" s="45" t="inlineStr"/>
      <c r="J336" s="45" t="inlineStr">
        <is>
          <t>RNCP38264</t>
        </is>
      </c>
      <c r="K336" s="45" t="inlineStr">
        <is>
          <t>CQP Animateur ski nautique, wakeboard et engins tractés</t>
        </is>
      </c>
      <c r="L336" s="45" t="inlineStr">
        <is>
          <t>15/11/2027</t>
        </is>
      </c>
      <c r="M336" s="45" t="inlineStr">
        <is>
          <t>15436 (Éducation sportive) ; 15475 (Glisse nautique)</t>
        </is>
      </c>
      <c r="N336" s="50" t="inlineStr">
        <is>
          <t>NON</t>
        </is>
      </c>
      <c r="O336" s="45" t="inlineStr"/>
    </row>
    <row r="337" customFormat="1" s="3">
      <c r="A337" s="51" t="n"/>
      <c r="B337" s="52" t="inlineStr">
        <is>
          <t>15472</t>
        </is>
      </c>
      <c r="C337" s="52">
        <f>LEFT(Tableau1[[#This Row],[Formacode]],3)</f>
        <v/>
      </c>
      <c r="D337" s="53" t="n">
        <v>38283</v>
      </c>
      <c r="E337" s="54">
        <f>"RNCP"&amp;D337</f>
        <v/>
      </c>
      <c r="F337" s="54" t="inlineStr">
        <is>
          <t>CQP Moniteur d'aviron</t>
        </is>
      </c>
      <c r="G337" s="55">
        <f>E337&amp;" - "&amp;F337</f>
        <v/>
      </c>
      <c r="H337" s="37" t="inlineStr">
        <is>
          <t>À vérifier</t>
        </is>
      </c>
      <c r="I337" s="51" t="inlineStr">
        <is>
          <t>Échéance le 15/11/2026 (dans 120 j)</t>
        </is>
      </c>
      <c r="J337" s="51" t="inlineStr">
        <is>
          <t>RNCP38283</t>
        </is>
      </c>
      <c r="K337" s="51" t="inlineStr">
        <is>
          <t>CQP Moniteur d'aviron</t>
        </is>
      </c>
      <c r="L337" s="51" t="inlineStr">
        <is>
          <t>15/11/2026</t>
        </is>
      </c>
      <c r="M337" s="51" t="inlineStr">
        <is>
          <t>15436 (Éducation sportive) ; 15492 (Aviron)</t>
        </is>
      </c>
      <c r="N337" s="62" t="inlineStr">
        <is>
          <t>NON</t>
        </is>
      </c>
      <c r="O337" s="51" t="inlineStr"/>
    </row>
    <row r="338" customFormat="1" s="3">
      <c r="A338" s="45" t="n"/>
      <c r="B338" s="46" t="inlineStr">
        <is>
          <t>15472</t>
        </is>
      </c>
      <c r="C338" s="46">
        <f>LEFT(Tableau1[[#This Row],[Formacode]],3)</f>
        <v/>
      </c>
      <c r="D338" s="47" t="n">
        <v>38799</v>
      </c>
      <c r="E338" s="48">
        <f>"RNCP"&amp;D338</f>
        <v/>
      </c>
      <c r="F338" s="48" t="inlineStr">
        <is>
          <t>CQP Moniteur de canoë-kayak et sports de pagaie en eau calme</t>
        </is>
      </c>
      <c r="G338" s="49">
        <f>E338&amp;" - "&amp;F338</f>
        <v/>
      </c>
      <c r="H338" s="36" t="inlineStr">
        <is>
          <t>RAS</t>
        </is>
      </c>
      <c r="I338" s="45" t="inlineStr"/>
      <c r="J338" s="45" t="inlineStr">
        <is>
          <t>RNCP38799</t>
        </is>
      </c>
      <c r="K338" s="45" t="inlineStr">
        <is>
          <t>CQP Moniteur de canoë-kayak et sports de pagaie en eau calme</t>
        </is>
      </c>
      <c r="L338" s="45" t="inlineStr">
        <is>
          <t>27/03/2027</t>
        </is>
      </c>
      <c r="M338" s="45" t="inlineStr">
        <is>
          <t>15436 (Éducation sportive) ; 15483 (Canoë-kayak)</t>
        </is>
      </c>
      <c r="N338" s="50" t="inlineStr">
        <is>
          <t>NON</t>
        </is>
      </c>
      <c r="O338" s="45" t="inlineStr"/>
    </row>
    <row r="339" customFormat="1" s="3">
      <c r="A339" s="45" t="n"/>
      <c r="B339" s="46" t="inlineStr">
        <is>
          <t>15472</t>
        </is>
      </c>
      <c r="C339" s="46">
        <f>LEFT(Tableau1[[#This Row],[Formacode]],3)</f>
        <v/>
      </c>
      <c r="D339" s="47" t="n">
        <v>38800</v>
      </c>
      <c r="E339" s="48">
        <f>"RNCP"&amp;D339</f>
        <v/>
      </c>
      <c r="F339" s="48" t="inlineStr">
        <is>
          <t>CQP Initiateur voile</t>
        </is>
      </c>
      <c r="G339" s="49">
        <f>E339&amp;" - "&amp;F339</f>
        <v/>
      </c>
      <c r="H339" s="36" t="inlineStr">
        <is>
          <t>RAS</t>
        </is>
      </c>
      <c r="I339" s="45" t="inlineStr"/>
      <c r="J339" s="45" t="inlineStr">
        <is>
          <t>RNCP38800</t>
        </is>
      </c>
      <c r="K339" s="45" t="inlineStr">
        <is>
          <t>CQP Initiateur voile</t>
        </is>
      </c>
      <c r="L339" s="45" t="inlineStr">
        <is>
          <t>27/03/2027</t>
        </is>
      </c>
      <c r="M339" s="45" t="inlineStr">
        <is>
          <t>15436 (Éducation sportive) ; 15493 (Voile)</t>
        </is>
      </c>
      <c r="N339" s="50" t="inlineStr">
        <is>
          <t>NON</t>
        </is>
      </c>
      <c r="O339" s="45" t="inlineStr"/>
    </row>
    <row r="340" customFormat="1" s="3">
      <c r="A340" s="45" t="n"/>
      <c r="B340" s="46" t="inlineStr">
        <is>
          <t>15477</t>
        </is>
      </c>
      <c r="C340" s="46">
        <f>LEFT(Tableau1[[#This Row],[Formacode]],3)</f>
        <v/>
      </c>
      <c r="D340" s="47" t="n">
        <v>40595</v>
      </c>
      <c r="E340" s="48">
        <f>"RNCP"&amp;D340</f>
        <v/>
      </c>
      <c r="F340" s="48" t="inlineStr">
        <is>
          <t>CQP Instructeur fitness</t>
        </is>
      </c>
      <c r="G340" s="49">
        <f>E340&amp;" - "&amp;F340</f>
        <v/>
      </c>
      <c r="H340" s="36" t="inlineStr">
        <is>
          <t>RAS</t>
        </is>
      </c>
      <c r="I340" s="45" t="inlineStr"/>
      <c r="J340" s="45" t="inlineStr">
        <is>
          <t>RNCP40595</t>
        </is>
      </c>
      <c r="K340" s="45" t="inlineStr">
        <is>
          <t>CQP Instructeur fitness</t>
        </is>
      </c>
      <c r="L340" s="45" t="inlineStr">
        <is>
          <t>30/04/2030</t>
        </is>
      </c>
      <c r="M340" s="45" t="inlineStr">
        <is>
          <t>15436 (Éducation sportive) ; 15477 (Remise en forme)</t>
        </is>
      </c>
      <c r="N340" s="50" t="inlineStr">
        <is>
          <t>NON</t>
        </is>
      </c>
      <c r="O340" s="45" t="inlineStr"/>
    </row>
    <row r="341" customFormat="1" s="3">
      <c r="A341" s="45" t="n"/>
      <c r="B341" s="46" t="inlineStr">
        <is>
          <t>15479</t>
        </is>
      </c>
      <c r="C341" s="46">
        <f>LEFT(Tableau1[[#This Row],[Formacode]],3)</f>
        <v/>
      </c>
      <c r="D341" s="47" t="n">
        <v>37148</v>
      </c>
      <c r="E341" s="48">
        <f>"RNCP"&amp;D341</f>
        <v/>
      </c>
      <c r="F341" s="48" t="inlineStr">
        <is>
          <t>CQP Enseignant activités équestres</t>
        </is>
      </c>
      <c r="G341" s="49">
        <f>E341&amp;" - "&amp;F341</f>
        <v/>
      </c>
      <c r="H341" s="36" t="inlineStr">
        <is>
          <t>RAS</t>
        </is>
      </c>
      <c r="I341" s="45" t="inlineStr"/>
      <c r="J341" s="45" t="inlineStr">
        <is>
          <t>RNCP37148</t>
        </is>
      </c>
      <c r="K341" s="45" t="inlineStr">
        <is>
          <t>CQP Enseignant activités équestres</t>
        </is>
      </c>
      <c r="L341" s="45" t="inlineStr">
        <is>
          <t>14/12/2027</t>
        </is>
      </c>
      <c r="M341" s="45" t="inlineStr">
        <is>
          <t>15436 (Éducation sportive) ; 21099 (Soin cheval) ; 15479 (Sport équestre)</t>
        </is>
      </c>
      <c r="N341" s="50" t="inlineStr">
        <is>
          <t>NON</t>
        </is>
      </c>
      <c r="O341" s="45" t="inlineStr"/>
    </row>
    <row r="342" customFormat="1" s="3">
      <c r="A342" s="45" t="n"/>
      <c r="B342" s="46" t="inlineStr">
        <is>
          <t>15479</t>
        </is>
      </c>
      <c r="C342" s="46">
        <f>LEFT(Tableau1[[#This Row],[Formacode]],3)</f>
        <v/>
      </c>
      <c r="D342" s="47" t="n">
        <v>38076</v>
      </c>
      <c r="E342" s="48">
        <f>"RNCP"&amp;D342</f>
        <v/>
      </c>
      <c r="F342" s="48" t="inlineStr">
        <is>
          <t>BAC PRO - Conduite et gestion de l'entreprise hippique</t>
        </is>
      </c>
      <c r="G342" s="49">
        <f>E342&amp;" - "&amp;F342</f>
        <v/>
      </c>
      <c r="H342" s="36" t="inlineStr">
        <is>
          <t>RAS</t>
        </is>
      </c>
      <c r="I342" s="45" t="inlineStr"/>
      <c r="J342" s="45" t="inlineStr">
        <is>
          <t>RNCP38076</t>
        </is>
      </c>
      <c r="K342" s="45" t="inlineStr">
        <is>
          <t>Conduite et gestion de l'entreprise hippique</t>
        </is>
      </c>
      <c r="L342" s="45" t="inlineStr">
        <is>
          <t>01/01/2029</t>
        </is>
      </c>
      <c r="M342" s="45" t="inlineStr">
        <is>
          <t>21088 (Élevage équin) ; 15479 (Sport équestre)</t>
        </is>
      </c>
      <c r="N342" s="50" t="inlineStr">
        <is>
          <t>NON</t>
        </is>
      </c>
      <c r="O342" s="45" t="inlineStr"/>
    </row>
    <row r="343" customFormat="1" s="3">
      <c r="A343" s="45" t="n"/>
      <c r="B343" s="46" t="inlineStr">
        <is>
          <t>15479</t>
        </is>
      </c>
      <c r="C343" s="46">
        <f>LEFT(Tableau1[[#This Row],[Formacode]],3)</f>
        <v/>
      </c>
      <c r="D343" s="47" t="n">
        <v>38387</v>
      </c>
      <c r="E343" s="48">
        <f>"RNCP"&amp;D343</f>
        <v/>
      </c>
      <c r="F343" s="48" t="inlineStr">
        <is>
          <t>CAPA - Lad-cavalier d'entraînement</t>
        </is>
      </c>
      <c r="G343" s="49">
        <f>E343&amp;" - "&amp;F343</f>
        <v/>
      </c>
      <c r="H343" s="36" t="inlineStr">
        <is>
          <t>RAS</t>
        </is>
      </c>
      <c r="I343" s="45" t="inlineStr"/>
      <c r="J343" s="45" t="inlineStr">
        <is>
          <t>RNCP38387</t>
        </is>
      </c>
      <c r="K343" s="45" t="inlineStr">
        <is>
          <t>Lad-cavalier d'entraînement</t>
        </is>
      </c>
      <c r="L343" s="45" t="inlineStr">
        <is>
          <t>31/12/2028</t>
        </is>
      </c>
      <c r="M343" s="45" t="inlineStr">
        <is>
          <t>21099 (Soin cheval) ; 15479 (Sport équestre)</t>
        </is>
      </c>
      <c r="N343" s="50" t="inlineStr">
        <is>
          <t>NON</t>
        </is>
      </c>
      <c r="O343" s="45" t="inlineStr"/>
    </row>
    <row r="344" customFormat="1" s="3">
      <c r="A344" s="45" t="n"/>
      <c r="B344" s="46" t="inlineStr">
        <is>
          <t>15479</t>
        </is>
      </c>
      <c r="C344" s="46">
        <f>LEFT(Tableau1[[#This Row],[Formacode]],3)</f>
        <v/>
      </c>
      <c r="D344" s="47" t="n">
        <v>40798</v>
      </c>
      <c r="E344" s="48">
        <f>"RNCP"&amp;D344</f>
        <v/>
      </c>
      <c r="F344" s="48" t="inlineStr">
        <is>
          <t>Certificat de spécialisation - Traction équine et conduite d'attelages</t>
        </is>
      </c>
      <c r="G344" s="49">
        <f>E344&amp;" - "&amp;F344</f>
        <v/>
      </c>
      <c r="H344" s="36" t="inlineStr">
        <is>
          <t>RAS</t>
        </is>
      </c>
      <c r="I344" s="45" t="inlineStr"/>
      <c r="J344" s="45" t="inlineStr">
        <is>
          <t>RNCP40798</t>
        </is>
      </c>
      <c r="K344" s="45" t="inlineStr">
        <is>
          <t>Traction équine et conduite d'attelages</t>
        </is>
      </c>
      <c r="L344" s="45" t="inlineStr">
        <is>
          <t>31/12/2030</t>
        </is>
      </c>
      <c r="M344" s="45" t="inlineStr">
        <is>
          <t>42691 (Tourisme équestre) ; 15479 (Sport équestre) ; 21053 (Viticulture) ; 21042 (Exploitation forestière) ; 31854 (Transport)</t>
        </is>
      </c>
      <c r="N344" s="50" t="inlineStr">
        <is>
          <t>NON</t>
        </is>
      </c>
      <c r="O344" s="45" t="inlineStr"/>
    </row>
    <row r="345" customFormat="1" s="3">
      <c r="A345" s="45" t="n"/>
      <c r="B345" s="46" t="inlineStr">
        <is>
          <t>15479</t>
        </is>
      </c>
      <c r="C345" s="46">
        <f>LEFT(Tableau1[[#This Row],[Formacode]],3)</f>
        <v/>
      </c>
      <c r="D345" s="47" t="n">
        <v>41095</v>
      </c>
      <c r="E345" s="48">
        <f>"RNCP"&amp;D345</f>
        <v/>
      </c>
      <c r="F345" s="48" t="inlineStr">
        <is>
          <t>CQP Organisateur de randonnées équestres</t>
        </is>
      </c>
      <c r="G345" s="49">
        <f>E345&amp;" - "&amp;F345</f>
        <v/>
      </c>
      <c r="H345" s="36" t="inlineStr">
        <is>
          <t>RAS</t>
        </is>
      </c>
      <c r="I345" s="45" t="inlineStr"/>
      <c r="J345" s="45" t="inlineStr">
        <is>
          <t>RNCP41095</t>
        </is>
      </c>
      <c r="K345" s="45" t="inlineStr">
        <is>
          <t>CQP Organisateur de randonnées équestres</t>
        </is>
      </c>
      <c r="L345" s="45" t="inlineStr">
        <is>
          <t>18/07/2028</t>
        </is>
      </c>
      <c r="M345" s="45" t="inlineStr">
        <is>
          <t>42691 (Tourisme équestre) ; 15436 (Éducation sportive) ; 21099 (Soin cheval) ; 15479 (Sport équestre)</t>
        </is>
      </c>
      <c r="N345" s="50" t="inlineStr">
        <is>
          <t>NON</t>
        </is>
      </c>
      <c r="O345" s="45" t="inlineStr"/>
    </row>
    <row r="346" customFormat="1" s="3">
      <c r="A346" s="45" t="n"/>
      <c r="B346" s="46" t="inlineStr">
        <is>
          <t>15487</t>
        </is>
      </c>
      <c r="C346" s="46">
        <f>LEFT(Tableau1[[#This Row],[Formacode]],3)</f>
        <v/>
      </c>
      <c r="D346" s="47" t="n">
        <v>40596</v>
      </c>
      <c r="E346" s="48">
        <f>"RNCP"&amp;D346</f>
        <v/>
      </c>
      <c r="F346" s="48" t="inlineStr">
        <is>
          <t>CQP Technicien des secteurs acrobatique, rythmique et d'expression</t>
        </is>
      </c>
      <c r="G346" s="49">
        <f>E346&amp;" - "&amp;F346</f>
        <v/>
      </c>
      <c r="H346" s="36" t="inlineStr">
        <is>
          <t>RAS</t>
        </is>
      </c>
      <c r="I346" s="45" t="inlineStr"/>
      <c r="J346" s="45" t="inlineStr">
        <is>
          <t>RNCP40596</t>
        </is>
      </c>
      <c r="K346" s="45" t="inlineStr">
        <is>
          <t>CQP Technicien des secteurs acrobatique, rythmique et d'expression</t>
        </is>
      </c>
      <c r="L346" s="45" t="inlineStr">
        <is>
          <t>30/04/2028</t>
        </is>
      </c>
      <c r="M346" s="45" t="inlineStr">
        <is>
          <t>15436 (Éducation sportive) ; 15487 (Gymnastique)</t>
        </is>
      </c>
      <c r="N346" s="50" t="inlineStr">
        <is>
          <t>NON</t>
        </is>
      </c>
      <c r="O346" s="45" t="inlineStr"/>
    </row>
    <row r="347" customFormat="1" s="3">
      <c r="A347" s="45" t="n"/>
      <c r="B347" s="46" t="inlineStr">
        <is>
          <t>15487</t>
        </is>
      </c>
      <c r="C347" s="46">
        <f>LEFT(Tableau1[[#This Row],[Formacode]],3)</f>
        <v/>
      </c>
      <c r="D347" s="47" t="n">
        <v>41426</v>
      </c>
      <c r="E347" s="48">
        <f>"RNCP"&amp;D347</f>
        <v/>
      </c>
      <c r="F347" s="48" t="inlineStr">
        <is>
          <t>CQP Animateur des activités gymniques</t>
        </is>
      </c>
      <c r="G347" s="49">
        <f>E347&amp;" - "&amp;F347</f>
        <v/>
      </c>
      <c r="H347" s="36" t="inlineStr">
        <is>
          <t>RAS</t>
        </is>
      </c>
      <c r="I347" s="45" t="inlineStr"/>
      <c r="J347" s="45" t="inlineStr">
        <is>
          <t>RNCP41426</t>
        </is>
      </c>
      <c r="K347" s="45" t="inlineStr">
        <is>
          <t>CQP Animateur des activités gymniques</t>
        </is>
      </c>
      <c r="L347" s="45" t="inlineStr">
        <is>
          <t>27/10/2030</t>
        </is>
      </c>
      <c r="M347" s="45" t="inlineStr">
        <is>
          <t>15436 (Éducation sportive) ; 15487 (Gymnastique)</t>
        </is>
      </c>
      <c r="N347" s="50" t="inlineStr">
        <is>
          <t>NON</t>
        </is>
      </c>
      <c r="O347" s="45" t="inlineStr"/>
    </row>
    <row r="348" customFormat="1" s="3">
      <c r="A348" s="45" t="n"/>
      <c r="B348" s="46" t="inlineStr">
        <is>
          <t>15489</t>
        </is>
      </c>
      <c r="C348" s="46">
        <f>LEFT(Tableau1[[#This Row],[Formacode]],3)</f>
        <v/>
      </c>
      <c r="D348" s="47" t="n">
        <v>41139</v>
      </c>
      <c r="E348" s="48">
        <f>"RNCP"&amp;D348</f>
        <v/>
      </c>
      <c r="F348" s="48" t="inlineStr">
        <is>
          <t>CQP Technicien sportif d'athlétisme</t>
        </is>
      </c>
      <c r="G348" s="49">
        <f>E348&amp;" - "&amp;F348</f>
        <v/>
      </c>
      <c r="H348" s="36" t="inlineStr">
        <is>
          <t>RAS</t>
        </is>
      </c>
      <c r="I348" s="45" t="inlineStr"/>
      <c r="J348" s="45" t="inlineStr">
        <is>
          <t>RNCP41139</t>
        </is>
      </c>
      <c r="K348" s="45" t="inlineStr">
        <is>
          <t>CQP Technicien sportif d'athlétisme</t>
        </is>
      </c>
      <c r="L348" s="45" t="inlineStr">
        <is>
          <t>18/07/2030</t>
        </is>
      </c>
      <c r="M348" s="45" t="inlineStr">
        <is>
          <t>15489 (Athlétisme) ; 15436 (Éducation sportive)</t>
        </is>
      </c>
      <c r="N348" s="50" t="inlineStr">
        <is>
          <t>NON</t>
        </is>
      </c>
      <c r="O348" s="45" t="inlineStr"/>
    </row>
    <row r="349" customFormat="1" s="3">
      <c r="A349" s="45" t="n"/>
      <c r="B349" s="46" t="inlineStr">
        <is>
          <t>15489</t>
        </is>
      </c>
      <c r="C349" s="46">
        <f>LEFT(Tableau1[[#This Row],[Formacode]],3)</f>
        <v/>
      </c>
      <c r="D349" s="47" t="n">
        <v>41454</v>
      </c>
      <c r="E349" s="48">
        <f>"RNCP"&amp;D349</f>
        <v/>
      </c>
      <c r="F349" s="48" t="inlineStr">
        <is>
          <t>CQP Animateur d'athlétisme</t>
        </is>
      </c>
      <c r="G349" s="49">
        <f>E349&amp;" - "&amp;F349</f>
        <v/>
      </c>
      <c r="H349" s="36" t="inlineStr">
        <is>
          <t>RAS</t>
        </is>
      </c>
      <c r="I349" s="45" t="inlineStr"/>
      <c r="J349" s="45" t="inlineStr">
        <is>
          <t>RNCP41454</t>
        </is>
      </c>
      <c r="K349" s="45" t="inlineStr">
        <is>
          <t>CQP Animateur d'athlétisme</t>
        </is>
      </c>
      <c r="L349" s="45" t="inlineStr">
        <is>
          <t>27/10/2030</t>
        </is>
      </c>
      <c r="M349" s="45" t="inlineStr">
        <is>
          <t>15436 (Éducation sportive) ; 15489 (Athlétisme)</t>
        </is>
      </c>
      <c r="N349" s="50" t="inlineStr">
        <is>
          <t>NON</t>
        </is>
      </c>
      <c r="O349" s="45" t="inlineStr"/>
    </row>
    <row r="350" customFormat="1" s="3">
      <c r="A350" s="45" t="n"/>
      <c r="B350" s="46" t="inlineStr">
        <is>
          <t>15495</t>
        </is>
      </c>
      <c r="C350" s="46">
        <f>LEFT(Tableau1[[#This Row],[Formacode]],3)</f>
        <v/>
      </c>
      <c r="D350" s="47" t="n">
        <v>38629</v>
      </c>
      <c r="E350" s="48">
        <f>"RNCP"&amp;D350</f>
        <v/>
      </c>
      <c r="F350" s="48" t="inlineStr">
        <is>
          <t>CQP Animateur tir à l'arc</t>
        </is>
      </c>
      <c r="G350" s="49">
        <f>E350&amp;" - "&amp;F350</f>
        <v/>
      </c>
      <c r="H350" s="36" t="inlineStr">
        <is>
          <t>RAS</t>
        </is>
      </c>
      <c r="I350" s="45" t="inlineStr"/>
      <c r="J350" s="45" t="inlineStr">
        <is>
          <t>RNCP38629</t>
        </is>
      </c>
      <c r="K350" s="45" t="inlineStr">
        <is>
          <t>CQP Animateur tir à l'arc</t>
        </is>
      </c>
      <c r="L350" s="45" t="inlineStr">
        <is>
          <t>09/02/2027</t>
        </is>
      </c>
      <c r="M350" s="45" t="inlineStr">
        <is>
          <t>15436 (Éducation sportive) ; 15495 (Tir arc)</t>
        </is>
      </c>
      <c r="N350" s="50" t="inlineStr">
        <is>
          <t>NON</t>
        </is>
      </c>
      <c r="O350" s="45" t="inlineStr"/>
    </row>
    <row r="351" customFormat="1" s="3">
      <c r="A351" s="45" t="n"/>
      <c r="B351" s="46" t="inlineStr">
        <is>
          <t>15496</t>
        </is>
      </c>
      <c r="C351" s="46">
        <f>LEFT(Tableau1[[#This Row],[Formacode]],3)</f>
        <v/>
      </c>
      <c r="D351" s="47" t="n">
        <v>41313</v>
      </c>
      <c r="E351" s="48">
        <f>"RNCP"&amp;D351</f>
        <v/>
      </c>
      <c r="F351" s="48" t="inlineStr">
        <is>
          <t>Animateur esport</t>
        </is>
      </c>
      <c r="G351" s="49">
        <f>E351&amp;" - "&amp;F351</f>
        <v/>
      </c>
      <c r="H351" s="36" t="inlineStr">
        <is>
          <t>RAS</t>
        </is>
      </c>
      <c r="I351" s="45" t="inlineStr"/>
      <c r="J351" s="45" t="inlineStr">
        <is>
          <t>RNCP41313</t>
        </is>
      </c>
      <c r="K351" s="45" t="inlineStr">
        <is>
          <t>Animateur esport</t>
        </is>
      </c>
      <c r="L351" s="45" t="inlineStr">
        <is>
          <t>24/09/2028</t>
        </is>
      </c>
      <c r="M351" s="45" t="inlineStr">
        <is>
          <t>44067 (Animation socioculturelle) ; 15496 (E-sport)</t>
        </is>
      </c>
      <c r="N351" s="50" t="inlineStr">
        <is>
          <t>NON</t>
        </is>
      </c>
      <c r="O351" s="45" t="inlineStr"/>
    </row>
    <row r="352" customFormat="1" s="3">
      <c r="A352" s="63" t="n"/>
      <c r="B352" s="64" t="inlineStr">
        <is>
          <t>15497</t>
        </is>
      </c>
      <c r="C352" s="64">
        <f>LEFT(Tableau1[[#This Row],[Formacode]],3)</f>
        <v/>
      </c>
      <c r="D352" s="65" t="n">
        <v>37503</v>
      </c>
      <c r="E352" s="66">
        <f>"RNCP"&amp;D352</f>
        <v/>
      </c>
      <c r="F352" s="66" t="inlineStr">
        <is>
          <t>CQP Initiateur en motocyclisme</t>
        </is>
      </c>
      <c r="G352" s="67">
        <f>E352&amp;" - "&amp;F352</f>
        <v/>
      </c>
      <c r="H352" s="38" t="inlineStr">
        <is>
          <t>Expiré / remplacé</t>
        </is>
      </c>
      <c r="I352" s="63" t="inlineStr">
        <is>
          <t>Fiche inactive — remplacée par RNCP41985 (CQP Initiateur et guide de randonnée en motocyclisme)</t>
        </is>
      </c>
      <c r="J352" s="63" t="inlineStr">
        <is>
          <t>RNCP41985</t>
        </is>
      </c>
      <c r="K352" s="63" t="inlineStr">
        <is>
          <t>CQP Initiateur et guide de randonnée en motocyclisme</t>
        </is>
      </c>
      <c r="L352" s="63" t="inlineStr">
        <is>
          <t>24/04/2026</t>
        </is>
      </c>
      <c r="M352" s="63" t="inlineStr">
        <is>
          <t>15436 (Éducation sportive) ; 15469 (Randonnée)</t>
        </is>
      </c>
      <c r="N352" s="68" t="inlineStr">
        <is>
          <t>NON</t>
        </is>
      </c>
      <c r="O352" s="63" t="inlineStr"/>
    </row>
    <row r="353" customFormat="1" s="3">
      <c r="A353" s="45" t="n"/>
      <c r="B353" s="46" t="inlineStr">
        <is>
          <t>21012</t>
        </is>
      </c>
      <c r="C353" s="46">
        <f>LEFT(Tableau1[[#This Row],[Formacode]],3)</f>
        <v/>
      </c>
      <c r="D353" s="47" t="n">
        <v>36773</v>
      </c>
      <c r="E353" s="48">
        <f>"RNCP"&amp;D353</f>
        <v/>
      </c>
      <c r="F353" s="48" t="inlineStr">
        <is>
          <t>BTSA - Métiers du végétal : alimentation, ornement et environnement</t>
        </is>
      </c>
      <c r="G353" s="49">
        <f>E353&amp;" - "&amp;F353</f>
        <v/>
      </c>
      <c r="H353" s="36" t="inlineStr">
        <is>
          <t>RAS</t>
        </is>
      </c>
      <c r="I353" s="45" t="inlineStr"/>
      <c r="J353" s="45" t="inlineStr">
        <is>
          <t>RNCP36773</t>
        </is>
      </c>
      <c r="K353" s="45" t="inlineStr">
        <is>
          <t>Métiers du végétal : alimentation, ornement et environnement</t>
        </is>
      </c>
      <c r="L353" s="45" t="inlineStr">
        <is>
          <t>31/08/2028</t>
        </is>
      </c>
      <c r="M353" s="45" t="inlineStr">
        <is>
          <t>21054 (Agriculture production végétale)</t>
        </is>
      </c>
      <c r="N353" s="50" t="inlineStr">
        <is>
          <t>NON</t>
        </is>
      </c>
      <c r="O353" s="45" t="inlineStr"/>
    </row>
    <row r="354" customFormat="1" s="3">
      <c r="A354" s="45" t="n"/>
      <c r="B354" s="46" t="inlineStr">
        <is>
          <t>21012</t>
        </is>
      </c>
      <c r="C354" s="46">
        <f>LEFT(Tableau1[[#This Row],[Formacode]],3)</f>
        <v/>
      </c>
      <c r="D354" s="47" t="n">
        <v>37612</v>
      </c>
      <c r="E354" s="48">
        <f>"RNCP"&amp;D354</f>
        <v/>
      </c>
      <c r="F354" s="48" t="inlineStr">
        <is>
          <t>Technicien entrepreneur en agriculture</t>
        </is>
      </c>
      <c r="G354" s="49">
        <f>E354&amp;" - "&amp;F354</f>
        <v/>
      </c>
      <c r="H354" s="36" t="inlineStr">
        <is>
          <t>RAS</t>
        </is>
      </c>
      <c r="I354" s="45" t="inlineStr"/>
      <c r="J354" s="45" t="inlineStr">
        <is>
          <t>RNCP37612</t>
        </is>
      </c>
      <c r="K354" s="45" t="inlineStr">
        <is>
          <t>Technicien entrepreneur en agriculture</t>
        </is>
      </c>
      <c r="L354" s="45" t="inlineStr">
        <is>
          <t>31/05/2028</t>
        </is>
      </c>
      <c r="M354" s="45" t="inlineStr">
        <is>
          <t>21054 (Agriculture production végétale)</t>
        </is>
      </c>
      <c r="N354" s="50" t="inlineStr">
        <is>
          <t>NON</t>
        </is>
      </c>
      <c r="O354" s="45" t="inlineStr"/>
    </row>
    <row r="355" customFormat="1" s="3">
      <c r="A355" s="45" t="n"/>
      <c r="B355" s="46" t="inlineStr">
        <is>
          <t>21012</t>
        </is>
      </c>
      <c r="C355" s="46">
        <f>LEFT(Tableau1[[#This Row],[Formacode]],3)</f>
        <v/>
      </c>
      <c r="D355" s="47" t="n">
        <v>41072</v>
      </c>
      <c r="E355" s="48">
        <f>"RNCP"&amp;D355</f>
        <v/>
      </c>
      <c r="F355" s="48" t="inlineStr">
        <is>
          <t>CS - Conduite de la production de plantes à parfum, aromatiques et médicinales</t>
        </is>
      </c>
      <c r="G355" s="49">
        <f>E355&amp;" - "&amp;F355</f>
        <v/>
      </c>
      <c r="H355" s="36" t="inlineStr">
        <is>
          <t>RAS</t>
        </is>
      </c>
      <c r="I355" s="45" t="inlineStr"/>
      <c r="J355" s="45" t="inlineStr">
        <is>
          <t>RNCP41072</t>
        </is>
      </c>
      <c r="K355" s="45" t="inlineStr">
        <is>
          <t>Conduite de la production de plantes à parfum, aromatiques et médicinales</t>
        </is>
      </c>
      <c r="L355" s="45" t="inlineStr">
        <is>
          <t>30/06/2030</t>
        </is>
      </c>
      <c r="M355" s="45" t="inlineStr">
        <is>
          <t>21013 (Culture plante médicinale) ; 21001 (Agriculture biologique)</t>
        </is>
      </c>
      <c r="N355" s="50" t="inlineStr">
        <is>
          <t>NON</t>
        </is>
      </c>
      <c r="O355" s="45" t="inlineStr"/>
    </row>
    <row r="356" customFormat="1" s="3">
      <c r="A356" s="45" t="n"/>
      <c r="B356" s="46" t="inlineStr">
        <is>
          <t>21022</t>
        </is>
      </c>
      <c r="C356" s="46">
        <f>LEFT(Tableau1[[#This Row],[Formacode]],3)</f>
        <v/>
      </c>
      <c r="D356" s="47" t="n">
        <v>36773</v>
      </c>
      <c r="E356" s="48">
        <f>"RNCP"&amp;D356</f>
        <v/>
      </c>
      <c r="F356" s="48" t="inlineStr">
        <is>
          <t>BTSA - Métiers du végétal : alimentation, ornement et environnement</t>
        </is>
      </c>
      <c r="G356" s="49">
        <f>E356&amp;" - "&amp;F356</f>
        <v/>
      </c>
      <c r="H356" s="36" t="inlineStr">
        <is>
          <t>RAS</t>
        </is>
      </c>
      <c r="I356" s="45" t="inlineStr"/>
      <c r="J356" s="45" t="inlineStr">
        <is>
          <t>RNCP36773</t>
        </is>
      </c>
      <c r="K356" s="45" t="inlineStr">
        <is>
          <t>Métiers du végétal : alimentation, ornement et environnement</t>
        </is>
      </c>
      <c r="L356" s="45" t="inlineStr">
        <is>
          <t>31/08/2028</t>
        </is>
      </c>
      <c r="M356" s="45" t="inlineStr">
        <is>
          <t>21054 (Agriculture production végétale)</t>
        </is>
      </c>
      <c r="N356" s="50" t="inlineStr">
        <is>
          <t>NON</t>
        </is>
      </c>
      <c r="O356" s="45" t="inlineStr"/>
    </row>
    <row r="357" customFormat="1" s="3">
      <c r="A357" s="45" t="n"/>
      <c r="B357" s="46" t="inlineStr">
        <is>
          <t>21022</t>
        </is>
      </c>
      <c r="C357" s="46">
        <f>LEFT(Tableau1[[#This Row],[Formacode]],3)</f>
        <v/>
      </c>
      <c r="D357" s="47" t="n">
        <v>36936</v>
      </c>
      <c r="E357" s="48">
        <f>"RNCP"&amp;D357</f>
        <v/>
      </c>
      <c r="F357" s="48" t="inlineStr">
        <is>
          <t>BTSA - Agronomie et cultures durables</t>
        </is>
      </c>
      <c r="G357" s="49">
        <f>E357&amp;" - "&amp;F357</f>
        <v/>
      </c>
      <c r="H357" s="36" t="inlineStr">
        <is>
          <t>RAS</t>
        </is>
      </c>
      <c r="I357" s="45" t="inlineStr"/>
      <c r="J357" s="45" t="inlineStr">
        <is>
          <t>RNCP36936</t>
        </is>
      </c>
      <c r="K357" s="45" t="inlineStr">
        <is>
          <t>Agronomie et cultures durables</t>
        </is>
      </c>
      <c r="L357" s="45" t="inlineStr">
        <is>
          <t>31/08/2027</t>
        </is>
      </c>
      <c r="M357" s="45" t="inlineStr">
        <is>
          <t>21061 (Agro-écologie) ; 21022 (Grande culture)</t>
        </is>
      </c>
      <c r="N357" s="50" t="inlineStr">
        <is>
          <t>NON</t>
        </is>
      </c>
      <c r="O357" s="45" t="inlineStr"/>
    </row>
    <row r="358" customFormat="1" s="3">
      <c r="A358" s="45" t="n"/>
      <c r="B358" s="46" t="inlineStr">
        <is>
          <t>21022</t>
        </is>
      </c>
      <c r="C358" s="46">
        <f>LEFT(Tableau1[[#This Row],[Formacode]],3)</f>
        <v/>
      </c>
      <c r="D358" s="47" t="n">
        <v>37612</v>
      </c>
      <c r="E358" s="48">
        <f>"RNCP"&amp;D358</f>
        <v/>
      </c>
      <c r="F358" s="48" t="inlineStr">
        <is>
          <t>Technicien entrepreneur en agriculture</t>
        </is>
      </c>
      <c r="G358" s="49">
        <f>E358&amp;" - "&amp;F358</f>
        <v/>
      </c>
      <c r="H358" s="36" t="inlineStr">
        <is>
          <t>RAS</t>
        </is>
      </c>
      <c r="I358" s="45" t="inlineStr"/>
      <c r="J358" s="45" t="inlineStr">
        <is>
          <t>RNCP37612</t>
        </is>
      </c>
      <c r="K358" s="45" t="inlineStr">
        <is>
          <t>Technicien entrepreneur en agriculture</t>
        </is>
      </c>
      <c r="L358" s="45" t="inlineStr">
        <is>
          <t>31/05/2028</t>
        </is>
      </c>
      <c r="M358" s="45" t="inlineStr">
        <is>
          <t>21054 (Agriculture production végétale)</t>
        </is>
      </c>
      <c r="N358" s="50" t="inlineStr">
        <is>
          <t>NON</t>
        </is>
      </c>
      <c r="O358" s="45" t="inlineStr"/>
    </row>
    <row r="359" customFormat="1" s="3">
      <c r="A359" s="45" t="n"/>
      <c r="B359" s="46" t="inlineStr">
        <is>
          <t>21024</t>
        </is>
      </c>
      <c r="C359" s="46">
        <f>LEFT(Tableau1[[#This Row],[Formacode]],3)</f>
        <v/>
      </c>
      <c r="D359" s="47" t="n">
        <v>36773</v>
      </c>
      <c r="E359" s="48">
        <f>"RNCP"&amp;D359</f>
        <v/>
      </c>
      <c r="F359" s="48" t="inlineStr">
        <is>
          <t>BTSA - Métiers du végétal : alimentation, ornement et environnement</t>
        </is>
      </c>
      <c r="G359" s="49">
        <f>E359&amp;" - "&amp;F359</f>
        <v/>
      </c>
      <c r="H359" s="36" t="inlineStr">
        <is>
          <t>RAS</t>
        </is>
      </c>
      <c r="I359" s="45" t="inlineStr"/>
      <c r="J359" s="45" t="inlineStr">
        <is>
          <t>RNCP36773</t>
        </is>
      </c>
      <c r="K359" s="45" t="inlineStr">
        <is>
          <t>Métiers du végétal : alimentation, ornement et environnement</t>
        </is>
      </c>
      <c r="L359" s="45" t="inlineStr">
        <is>
          <t>31/08/2028</t>
        </is>
      </c>
      <c r="M359" s="45" t="inlineStr">
        <is>
          <t>21054 (Agriculture production végétale)</t>
        </is>
      </c>
      <c r="N359" s="50" t="inlineStr">
        <is>
          <t>NON</t>
        </is>
      </c>
      <c r="O359" s="45" t="inlineStr"/>
    </row>
    <row r="360" customFormat="1" s="3">
      <c r="A360" s="45" t="n"/>
      <c r="B360" s="46" t="inlineStr">
        <is>
          <t>21024</t>
        </is>
      </c>
      <c r="C360" s="46">
        <f>LEFT(Tableau1[[#This Row],[Formacode]],3)</f>
        <v/>
      </c>
      <c r="D360" s="47" t="n">
        <v>37612</v>
      </c>
      <c r="E360" s="48">
        <f>"RNCP"&amp;D360</f>
        <v/>
      </c>
      <c r="F360" s="48" t="inlineStr">
        <is>
          <t>Technicien entrepreneur en agriculture</t>
        </is>
      </c>
      <c r="G360" s="49">
        <f>E360&amp;" - "&amp;F360</f>
        <v/>
      </c>
      <c r="H360" s="36" t="inlineStr">
        <is>
          <t>RAS</t>
        </is>
      </c>
      <c r="I360" s="45" t="inlineStr"/>
      <c r="J360" s="45" t="inlineStr">
        <is>
          <t>RNCP37612</t>
        </is>
      </c>
      <c r="K360" s="45" t="inlineStr">
        <is>
          <t>Technicien entrepreneur en agriculture</t>
        </is>
      </c>
      <c r="L360" s="45" t="inlineStr">
        <is>
          <t>31/05/2028</t>
        </is>
      </c>
      <c r="M360" s="45" t="inlineStr">
        <is>
          <t>21054 (Agriculture production végétale)</t>
        </is>
      </c>
      <c r="N360" s="50" t="inlineStr">
        <is>
          <t>NON</t>
        </is>
      </c>
      <c r="O360" s="45" t="inlineStr"/>
    </row>
    <row r="361" customFormat="1" s="3">
      <c r="A361" s="45" t="n"/>
      <c r="B361" s="46" t="inlineStr">
        <is>
          <t>21027</t>
        </is>
      </c>
      <c r="C361" s="46">
        <f>LEFT(Tableau1[[#This Row],[Formacode]],3)</f>
        <v/>
      </c>
      <c r="D361" s="47" t="n">
        <v>36773</v>
      </c>
      <c r="E361" s="48">
        <f>"RNCP"&amp;D361</f>
        <v/>
      </c>
      <c r="F361" s="48" t="inlineStr">
        <is>
          <t>BTSA - Métiers du végétal : alimentation, ornement et environnement</t>
        </is>
      </c>
      <c r="G361" s="49">
        <f>E361&amp;" - "&amp;F361</f>
        <v/>
      </c>
      <c r="H361" s="36" t="inlineStr">
        <is>
          <t>RAS</t>
        </is>
      </c>
      <c r="I361" s="45" t="inlineStr"/>
      <c r="J361" s="45" t="inlineStr">
        <is>
          <t>RNCP36773</t>
        </is>
      </c>
      <c r="K361" s="45" t="inlineStr">
        <is>
          <t>Métiers du végétal : alimentation, ornement et environnement</t>
        </is>
      </c>
      <c r="L361" s="45" t="inlineStr">
        <is>
          <t>31/08/2028</t>
        </is>
      </c>
      <c r="M361" s="45" t="inlineStr">
        <is>
          <t>21054 (Agriculture production végétale)</t>
        </is>
      </c>
      <c r="N361" s="50" t="inlineStr">
        <is>
          <t>NON</t>
        </is>
      </c>
      <c r="O361" s="45" t="inlineStr"/>
    </row>
    <row r="362" customFormat="1" s="3">
      <c r="A362" s="45" t="n"/>
      <c r="B362" s="46" t="inlineStr">
        <is>
          <t>21027</t>
        </is>
      </c>
      <c r="C362" s="46">
        <f>LEFT(Tableau1[[#This Row],[Formacode]],3)</f>
        <v/>
      </c>
      <c r="D362" s="47" t="n">
        <v>36954</v>
      </c>
      <c r="E362" s="48">
        <f>"RNCP"&amp;D362</f>
        <v/>
      </c>
      <c r="F362" s="48" t="inlineStr">
        <is>
          <t>TP - Ouvrier de production horticole</t>
        </is>
      </c>
      <c r="G362" s="49">
        <f>E362&amp;" - "&amp;F362</f>
        <v/>
      </c>
      <c r="H362" s="36" t="inlineStr">
        <is>
          <t>RAS</t>
        </is>
      </c>
      <c r="I362" s="45" t="inlineStr"/>
      <c r="J362" s="45" t="inlineStr">
        <is>
          <t>RNCP36954</t>
        </is>
      </c>
      <c r="K362" s="45" t="inlineStr">
        <is>
          <t>Ouvrier de production horticole</t>
        </is>
      </c>
      <c r="L362" s="45" t="inlineStr">
        <is>
          <t>07/09/2027</t>
        </is>
      </c>
      <c r="M362" s="45" t="inlineStr">
        <is>
          <t>21027 (Horticulture)</t>
        </is>
      </c>
      <c r="N362" s="50" t="inlineStr">
        <is>
          <t>NON</t>
        </is>
      </c>
      <c r="O362" s="45" t="inlineStr"/>
    </row>
    <row r="363" customFormat="1" s="3">
      <c r="A363" s="45" t="n"/>
      <c r="B363" s="46" t="inlineStr">
        <is>
          <t>21027</t>
        </is>
      </c>
      <c r="C363" s="46">
        <f>LEFT(Tableau1[[#This Row],[Formacode]],3)</f>
        <v/>
      </c>
      <c r="D363" s="47" t="n">
        <v>37612</v>
      </c>
      <c r="E363" s="48">
        <f>"RNCP"&amp;D363</f>
        <v/>
      </c>
      <c r="F363" s="48" t="inlineStr">
        <is>
          <t>Technicien entrepreneur en agriculture</t>
        </is>
      </c>
      <c r="G363" s="49">
        <f>E363&amp;" - "&amp;F363</f>
        <v/>
      </c>
      <c r="H363" s="36" t="inlineStr">
        <is>
          <t>RAS</t>
        </is>
      </c>
      <c r="I363" s="45" t="inlineStr"/>
      <c r="J363" s="45" t="inlineStr">
        <is>
          <t>RNCP37612</t>
        </is>
      </c>
      <c r="K363" s="45" t="inlineStr">
        <is>
          <t>Technicien entrepreneur en agriculture</t>
        </is>
      </c>
      <c r="L363" s="45" t="inlineStr">
        <is>
          <t>31/05/2028</t>
        </is>
      </c>
      <c r="M363" s="45" t="inlineStr">
        <is>
          <t>21054 (Agriculture production végétale)</t>
        </is>
      </c>
      <c r="N363" s="50" t="inlineStr">
        <is>
          <t>NON</t>
        </is>
      </c>
      <c r="O363" s="45" t="inlineStr"/>
    </row>
    <row r="364" customFormat="1" s="3">
      <c r="A364" s="45" t="n"/>
      <c r="B364" s="46" t="inlineStr">
        <is>
          <t>21027</t>
        </is>
      </c>
      <c r="C364" s="46">
        <f>LEFT(Tableau1[[#This Row],[Formacode]],3)</f>
        <v/>
      </c>
      <c r="D364" s="47" t="n">
        <v>38854</v>
      </c>
      <c r="E364" s="48">
        <f>"RNCP"&amp;D364</f>
        <v/>
      </c>
      <c r="F364" s="48" t="inlineStr">
        <is>
          <t>CAPA - Agricultures des régions chaudes</t>
        </is>
      </c>
      <c r="G364" s="49">
        <f>E364&amp;" - "&amp;F364</f>
        <v/>
      </c>
      <c r="H364" s="36" t="inlineStr">
        <is>
          <t>RAS</t>
        </is>
      </c>
      <c r="I364" s="45" t="inlineStr"/>
      <c r="J364" s="45" t="inlineStr">
        <is>
          <t>RNCP38854</t>
        </is>
      </c>
      <c r="K364" s="45" t="inlineStr">
        <is>
          <t>Agricultures des régions chaudes</t>
        </is>
      </c>
      <c r="L364" s="45" t="inlineStr">
        <is>
          <t>01/01/2029</t>
        </is>
      </c>
      <c r="M364" s="45" t="inlineStr">
        <is>
          <t>21002 (Agronomie tropicale) ; 21056 (Élevage) ; 21027 (Horticulture) ; 21040 (Polyculture)</t>
        </is>
      </c>
      <c r="N364" s="50" t="inlineStr">
        <is>
          <t>NON</t>
        </is>
      </c>
      <c r="O364" s="45" t="inlineStr"/>
    </row>
    <row r="365" customFormat="1" s="3">
      <c r="A365" s="45" t="n"/>
      <c r="B365" s="46" t="inlineStr">
        <is>
          <t>21027</t>
        </is>
      </c>
      <c r="C365" s="46">
        <f>LEFT(Tableau1[[#This Row],[Formacode]],3)</f>
        <v/>
      </c>
      <c r="D365" s="47" t="n">
        <v>38875</v>
      </c>
      <c r="E365" s="48">
        <f>"RNCP"&amp;D365</f>
        <v/>
      </c>
      <c r="F365" s="48" t="inlineStr">
        <is>
          <t>CS - Conduite de productions en arboriculture fruitière</t>
        </is>
      </c>
      <c r="G365" s="49">
        <f>E365&amp;" - "&amp;F365</f>
        <v/>
      </c>
      <c r="H365" s="36" t="inlineStr">
        <is>
          <t>RAS</t>
        </is>
      </c>
      <c r="I365" s="45" t="inlineStr"/>
      <c r="J365" s="45" t="inlineStr">
        <is>
          <t>RNCP38875</t>
        </is>
      </c>
      <c r="K365" s="45" t="inlineStr">
        <is>
          <t>Conduite de productions en arboriculture fruitière</t>
        </is>
      </c>
      <c r="L365" s="45" t="inlineStr">
        <is>
          <t>01/09/2029</t>
        </is>
      </c>
      <c r="M365" s="45" t="inlineStr">
        <is>
          <t>21027 (Horticulture)</t>
        </is>
      </c>
      <c r="N365" s="50" t="inlineStr">
        <is>
          <t>NON</t>
        </is>
      </c>
      <c r="O365" s="45" t="inlineStr"/>
    </row>
    <row r="366" customFormat="1" s="3">
      <c r="A366" s="45" t="n"/>
      <c r="B366" s="46" t="inlineStr">
        <is>
          <t>21027</t>
        </is>
      </c>
      <c r="C366" s="46">
        <f>LEFT(Tableau1[[#This Row],[Formacode]],3)</f>
        <v/>
      </c>
      <c r="D366" s="47" t="n">
        <v>38881</v>
      </c>
      <c r="E366" s="48">
        <f>"RNCP"&amp;D366</f>
        <v/>
      </c>
      <c r="F366" s="48" t="inlineStr">
        <is>
          <t>BAC PRO - Conduite de productions horticoles (arbres, arbustes, fruits, fleurs, légumes)</t>
        </is>
      </c>
      <c r="G366" s="49">
        <f>E366&amp;" - "&amp;F366</f>
        <v/>
      </c>
      <c r="H366" s="36" t="inlineStr">
        <is>
          <t>RAS</t>
        </is>
      </c>
      <c r="I366" s="45" t="inlineStr"/>
      <c r="J366" s="45" t="inlineStr">
        <is>
          <t>RNCP38881</t>
        </is>
      </c>
      <c r="K366" s="45" t="inlineStr">
        <is>
          <t>Conduite de productions horticoles (arbres, arbustes, fruits, fleurs, légumes)</t>
        </is>
      </c>
      <c r="L366" s="45" t="inlineStr">
        <is>
          <t>01/01/2029</t>
        </is>
      </c>
      <c r="M366" s="45" t="inlineStr">
        <is>
          <t>21027 (Horticulture)</t>
        </is>
      </c>
      <c r="N366" s="50" t="inlineStr">
        <is>
          <t>NON</t>
        </is>
      </c>
      <c r="O366" s="45" t="inlineStr"/>
    </row>
    <row r="367" customFormat="1" s="3">
      <c r="A367" s="45" t="n"/>
      <c r="B367" s="46" t="inlineStr">
        <is>
          <t>21027</t>
        </is>
      </c>
      <c r="C367" s="46">
        <f>LEFT(Tableau1[[#This Row],[Formacode]],3)</f>
        <v/>
      </c>
      <c r="D367" s="47" t="n">
        <v>39067</v>
      </c>
      <c r="E367" s="48">
        <f>"RNCP"&amp;D367</f>
        <v/>
      </c>
      <c r="F367" s="48" t="inlineStr">
        <is>
          <t>BPA - Ouvrier maraîcher</t>
        </is>
      </c>
      <c r="G367" s="49">
        <f>E367&amp;" - "&amp;F367</f>
        <v/>
      </c>
      <c r="H367" s="36" t="inlineStr">
        <is>
          <t>RAS</t>
        </is>
      </c>
      <c r="I367" s="45" t="inlineStr"/>
      <c r="J367" s="45" t="inlineStr">
        <is>
          <t>RNCP39067</t>
        </is>
      </c>
      <c r="K367" s="45" t="inlineStr">
        <is>
          <t>Ouvrier maraîcher</t>
        </is>
      </c>
      <c r="L367" s="45" t="inlineStr">
        <is>
          <t>31/12/2028</t>
        </is>
      </c>
      <c r="M367" s="45" t="inlineStr">
        <is>
          <t>21030 (Maraîchage) ; 21031 (Culture serre)</t>
        </is>
      </c>
      <c r="N367" s="50" t="inlineStr">
        <is>
          <t>NON</t>
        </is>
      </c>
      <c r="O367" s="45" t="inlineStr"/>
    </row>
    <row r="368" customFormat="1" s="3">
      <c r="A368" s="45" t="n"/>
      <c r="B368" s="46" t="inlineStr">
        <is>
          <t>21027</t>
        </is>
      </c>
      <c r="C368" s="46">
        <f>LEFT(Tableau1[[#This Row],[Formacode]],3)</f>
        <v/>
      </c>
      <c r="D368" s="47" t="n">
        <v>39327</v>
      </c>
      <c r="E368" s="48">
        <f>"RNCP"&amp;D368</f>
        <v/>
      </c>
      <c r="F368" s="48" t="inlineStr">
        <is>
          <t>BAC PRO - Maintenance des matériels</t>
        </is>
      </c>
      <c r="G368" s="49">
        <f>E368&amp;" - "&amp;F368</f>
        <v/>
      </c>
      <c r="H368" s="36" t="inlineStr">
        <is>
          <t>RAS</t>
        </is>
      </c>
      <c r="I368" s="45" t="inlineStr"/>
      <c r="J368" s="45" t="inlineStr">
        <is>
          <t>RNCP39327</t>
        </is>
      </c>
      <c r="K368" s="45" t="inlineStr">
        <is>
          <t>Maintenance des matériels</t>
        </is>
      </c>
      <c r="L368" s="45" t="inlineStr">
        <is>
          <t>31/12/2028</t>
        </is>
      </c>
      <c r="M368" s="45" t="inlineStr">
        <is>
          <t>21011 (Machinisme agricole) ; 31736 (Réparation engin manutention) ; 22286 (Matériel chantier) ; 21034 (Machinisme horticole)</t>
        </is>
      </c>
      <c r="N368" s="50" t="inlineStr">
        <is>
          <t>NON</t>
        </is>
      </c>
      <c r="O368" s="45" t="inlineStr"/>
    </row>
    <row r="369" customFormat="1" s="3">
      <c r="A369" s="45" t="n"/>
      <c r="B369" s="46" t="inlineStr">
        <is>
          <t>21027</t>
        </is>
      </c>
      <c r="C369" s="46">
        <f>LEFT(Tableau1[[#This Row],[Formacode]],3)</f>
        <v/>
      </c>
      <c r="D369" s="47" t="n">
        <v>39330</v>
      </c>
      <c r="E369" s="48">
        <f>"RNCP"&amp;D369</f>
        <v/>
      </c>
      <c r="F369" s="48" t="inlineStr">
        <is>
          <t>CAP - Maintenance des matériels</t>
        </is>
      </c>
      <c r="G369" s="49">
        <f>E369&amp;" - "&amp;F369</f>
        <v/>
      </c>
      <c r="H369" s="36" t="inlineStr">
        <is>
          <t>RAS</t>
        </is>
      </c>
      <c r="I369" s="45" t="inlineStr"/>
      <c r="J369" s="45" t="inlineStr">
        <is>
          <t>RNCP39330</t>
        </is>
      </c>
      <c r="K369" s="45" t="inlineStr">
        <is>
          <t>Maintenance des matériels</t>
        </is>
      </c>
      <c r="L369" s="45" t="inlineStr">
        <is>
          <t>31/12/2028</t>
        </is>
      </c>
      <c r="M369" s="45" t="inlineStr">
        <is>
          <t>21011 (Machinisme agricole) ; 31747 (Engin manutention levage) ; 21034 (Machinisme horticole)</t>
        </is>
      </c>
      <c r="N369" s="50" t="inlineStr">
        <is>
          <t>NON</t>
        </is>
      </c>
      <c r="O369" s="45" t="inlineStr"/>
    </row>
    <row r="370" customFormat="1" s="3">
      <c r="A370" s="45" t="n"/>
      <c r="B370" s="46" t="inlineStr">
        <is>
          <t>21027</t>
        </is>
      </c>
      <c r="C370" s="46">
        <f>LEFT(Tableau1[[#This Row],[Formacode]],3)</f>
        <v/>
      </c>
      <c r="D370" s="47" t="n">
        <v>41076</v>
      </c>
      <c r="E370" s="48">
        <f>"RNCP"&amp;D370</f>
        <v/>
      </c>
      <c r="F370" s="48" t="inlineStr">
        <is>
          <t>CS - Conduite de productions maraîchères</t>
        </is>
      </c>
      <c r="G370" s="49">
        <f>E370&amp;" - "&amp;F370</f>
        <v/>
      </c>
      <c r="H370" s="36" t="inlineStr">
        <is>
          <t>RAS</t>
        </is>
      </c>
      <c r="I370" s="45" t="inlineStr"/>
      <c r="J370" s="45" t="inlineStr">
        <is>
          <t>RNCP41076</t>
        </is>
      </c>
      <c r="K370" s="45" t="inlineStr">
        <is>
          <t>Conduite de productions maraîchères</t>
        </is>
      </c>
      <c r="L370" s="45" t="inlineStr">
        <is>
          <t>31/08/2030</t>
        </is>
      </c>
      <c r="M370" s="45" t="inlineStr">
        <is>
          <t>21030 (Maraîchage) ; 21001 (Agriculture biologique)</t>
        </is>
      </c>
      <c r="N370" s="50" t="inlineStr">
        <is>
          <t>NON</t>
        </is>
      </c>
      <c r="O370" s="45" t="inlineStr"/>
    </row>
    <row r="371" customFormat="1" s="3">
      <c r="A371" s="45" t="n"/>
      <c r="B371" s="46" t="inlineStr">
        <is>
          <t>21027</t>
        </is>
      </c>
      <c r="C371" s="46">
        <f>LEFT(Tableau1[[#This Row],[Formacode]],3)</f>
        <v/>
      </c>
      <c r="D371" s="47" t="n">
        <v>41391</v>
      </c>
      <c r="E371" s="48">
        <f>"RNCP"&amp;D371</f>
        <v/>
      </c>
      <c r="F371" s="48" t="inlineStr">
        <is>
          <t>CS - Arboriste grimpeur</t>
        </is>
      </c>
      <c r="G371" s="49">
        <f>E371&amp;" - "&amp;F371</f>
        <v/>
      </c>
      <c r="H371" s="36" t="inlineStr">
        <is>
          <t>RAS</t>
        </is>
      </c>
      <c r="I371" s="45" t="inlineStr"/>
      <c r="J371" s="45" t="inlineStr">
        <is>
          <t>RNCP41391</t>
        </is>
      </c>
      <c r="K371" s="45" t="inlineStr">
        <is>
          <t>Arboriste grimpeur</t>
        </is>
      </c>
      <c r="L371" s="45" t="inlineStr">
        <is>
          <t>31/12/2030</t>
        </is>
      </c>
      <c r="M371" s="45" t="inlineStr">
        <is>
          <t>21038 (Taille arbre)</t>
        </is>
      </c>
      <c r="N371" s="50" t="inlineStr">
        <is>
          <t>NON</t>
        </is>
      </c>
      <c r="O371" s="45" t="inlineStr"/>
    </row>
    <row r="372" customFormat="1" s="3">
      <c r="A372" s="45" t="n"/>
      <c r="B372" s="46" t="inlineStr">
        <is>
          <t>21027</t>
        </is>
      </c>
      <c r="C372" s="46">
        <f>LEFT(Tableau1[[#This Row],[Formacode]],3)</f>
        <v/>
      </c>
      <c r="D372" s="47" t="n">
        <v>41838</v>
      </c>
      <c r="E372" s="48">
        <f>"RNCP"&amp;D372</f>
        <v/>
      </c>
      <c r="F372" s="48" t="inlineStr">
        <is>
          <t>BP - Responsable de productions légumières, fruitières, florales et de pépinières</t>
        </is>
      </c>
      <c r="G372" s="49">
        <f>E372&amp;" - "&amp;F372</f>
        <v/>
      </c>
      <c r="H372" s="36" t="inlineStr">
        <is>
          <t>RAS</t>
        </is>
      </c>
      <c r="I372" s="45" t="inlineStr"/>
      <c r="J372" s="45" t="inlineStr">
        <is>
          <t>RNCP41838</t>
        </is>
      </c>
      <c r="K372" s="45" t="inlineStr">
        <is>
          <t>Responsable de productions légumières, fruitières, florales et de pépinières</t>
        </is>
      </c>
      <c r="L372" s="45" t="inlineStr">
        <is>
          <t>31/12/2030</t>
        </is>
      </c>
      <c r="M372" s="45" t="inlineStr">
        <is>
          <t>21028 (Culture légumière) ; 21036 (Pépinière) ; 21033 (Floriculture) ; 21037 (Production fruits)</t>
        </is>
      </c>
      <c r="N372" s="50" t="inlineStr">
        <is>
          <t>NON</t>
        </is>
      </c>
      <c r="O372" s="45" t="inlineStr"/>
    </row>
    <row r="373" customFormat="1" s="3">
      <c r="A373" s="45" t="n"/>
      <c r="B373" s="46" t="inlineStr">
        <is>
          <t>21040</t>
        </is>
      </c>
      <c r="C373" s="46">
        <f>LEFT(Tableau1[[#This Row],[Formacode]],3)</f>
        <v/>
      </c>
      <c r="D373" s="47" t="n">
        <v>36773</v>
      </c>
      <c r="E373" s="48">
        <f>"RNCP"&amp;D373</f>
        <v/>
      </c>
      <c r="F373" s="48" t="inlineStr">
        <is>
          <t>BTSA - Métiers du végétal : alimentation, ornement et environnement</t>
        </is>
      </c>
      <c r="G373" s="49">
        <f>E373&amp;" - "&amp;F373</f>
        <v/>
      </c>
      <c r="H373" s="36" t="inlineStr">
        <is>
          <t>RAS</t>
        </is>
      </c>
      <c r="I373" s="45" t="inlineStr"/>
      <c r="J373" s="45" t="inlineStr">
        <is>
          <t>RNCP36773</t>
        </is>
      </c>
      <c r="K373" s="45" t="inlineStr">
        <is>
          <t>Métiers du végétal : alimentation, ornement et environnement</t>
        </is>
      </c>
      <c r="L373" s="45" t="inlineStr">
        <is>
          <t>31/08/2028</t>
        </is>
      </c>
      <c r="M373" s="45" t="inlineStr">
        <is>
          <t>21054 (Agriculture production végétale)</t>
        </is>
      </c>
      <c r="N373" s="50" t="inlineStr">
        <is>
          <t>NON</t>
        </is>
      </c>
      <c r="O373" s="45" t="inlineStr"/>
    </row>
    <row r="374" customFormat="1" s="3">
      <c r="A374" s="45" t="n"/>
      <c r="B374" s="46" t="inlineStr">
        <is>
          <t>21040</t>
        </is>
      </c>
      <c r="C374" s="46">
        <f>LEFT(Tableau1[[#This Row],[Formacode]],3)</f>
        <v/>
      </c>
      <c r="D374" s="47" t="n">
        <v>37612</v>
      </c>
      <c r="E374" s="48">
        <f>"RNCP"&amp;D374</f>
        <v/>
      </c>
      <c r="F374" s="48" t="inlineStr">
        <is>
          <t>Technicien entrepreneur en agriculture</t>
        </is>
      </c>
      <c r="G374" s="49">
        <f>E374&amp;" - "&amp;F374</f>
        <v/>
      </c>
      <c r="H374" s="36" t="inlineStr">
        <is>
          <t>RAS</t>
        </is>
      </c>
      <c r="I374" s="45" t="inlineStr"/>
      <c r="J374" s="45" t="inlineStr">
        <is>
          <t>RNCP37612</t>
        </is>
      </c>
      <c r="K374" s="45" t="inlineStr">
        <is>
          <t>Technicien entrepreneur en agriculture</t>
        </is>
      </c>
      <c r="L374" s="45" t="inlineStr">
        <is>
          <t>31/05/2028</t>
        </is>
      </c>
      <c r="M374" s="45" t="inlineStr">
        <is>
          <t>21054 (Agriculture production végétale)</t>
        </is>
      </c>
      <c r="N374" s="50" t="inlineStr">
        <is>
          <t>NON</t>
        </is>
      </c>
      <c r="O374" s="45" t="inlineStr"/>
    </row>
    <row r="375" customFormat="1" s="3">
      <c r="A375" s="45" t="n"/>
      <c r="B375" s="46" t="inlineStr">
        <is>
          <t>21040</t>
        </is>
      </c>
      <c r="C375" s="46">
        <f>LEFT(Tableau1[[#This Row],[Formacode]],3)</f>
        <v/>
      </c>
      <c r="D375" s="47" t="n">
        <v>38854</v>
      </c>
      <c r="E375" s="48">
        <f>"RNCP"&amp;D375</f>
        <v/>
      </c>
      <c r="F375" s="48" t="inlineStr">
        <is>
          <t>CAPA - Agricultures des régions chaudes</t>
        </is>
      </c>
      <c r="G375" s="49">
        <f>E375&amp;" - "&amp;F375</f>
        <v/>
      </c>
      <c r="H375" s="36" t="inlineStr">
        <is>
          <t>RAS</t>
        </is>
      </c>
      <c r="I375" s="45" t="inlineStr"/>
      <c r="J375" s="45" t="inlineStr">
        <is>
          <t>RNCP38854</t>
        </is>
      </c>
      <c r="K375" s="45" t="inlineStr">
        <is>
          <t>Agricultures des régions chaudes</t>
        </is>
      </c>
      <c r="L375" s="45" t="inlineStr">
        <is>
          <t>01/01/2029</t>
        </is>
      </c>
      <c r="M375" s="45" t="inlineStr">
        <is>
          <t>21002 (Agronomie tropicale) ; 21056 (Élevage) ; 21027 (Horticulture) ; 21040 (Polyculture)</t>
        </is>
      </c>
      <c r="N375" s="50" t="inlineStr">
        <is>
          <t>NON</t>
        </is>
      </c>
      <c r="O375" s="45" t="inlineStr"/>
    </row>
    <row r="376" customFormat="1" s="3">
      <c r="A376" s="45" t="n"/>
      <c r="B376" s="46" t="inlineStr">
        <is>
          <t>21040</t>
        </is>
      </c>
      <c r="C376" s="46">
        <f>LEFT(Tableau1[[#This Row],[Formacode]],3)</f>
        <v/>
      </c>
      <c r="D376" s="47" t="n">
        <v>39065</v>
      </c>
      <c r="E376" s="48">
        <f>"RNCP"&amp;D376</f>
        <v/>
      </c>
      <c r="F376" s="48" t="inlineStr">
        <is>
          <t>BPA - ouvrier d'élevage de ruminants et de cultures fourragères</t>
        </is>
      </c>
      <c r="G376" s="49">
        <f>E376&amp;" - "&amp;F376</f>
        <v/>
      </c>
      <c r="H376" s="36" t="inlineStr">
        <is>
          <t>RAS</t>
        </is>
      </c>
      <c r="I376" s="45" t="inlineStr"/>
      <c r="J376" s="45" t="inlineStr">
        <is>
          <t>RNCP39065</t>
        </is>
      </c>
      <c r="K376" s="45" t="inlineStr">
        <is>
          <t>ouvrier d'élevage de ruminants et de cultures fourragères</t>
        </is>
      </c>
      <c r="L376" s="45" t="inlineStr">
        <is>
          <t>31/12/2028</t>
        </is>
      </c>
      <c r="M376" s="45" t="inlineStr">
        <is>
          <t>21040 (Polyculture) ; 21078 (Élevage bovin) ; 21086 (Élevage caprin) ; 21075 (Élevage ovin) ; 21085 (Élevage laitier)</t>
        </is>
      </c>
      <c r="N376" s="50" t="inlineStr">
        <is>
          <t>NON</t>
        </is>
      </c>
      <c r="O376" s="45" t="inlineStr"/>
    </row>
    <row r="377" customFormat="1" s="3">
      <c r="A377" s="45" t="n"/>
      <c r="B377" s="46" t="inlineStr">
        <is>
          <t>21040</t>
        </is>
      </c>
      <c r="C377" s="46">
        <f>LEFT(Tableau1[[#This Row],[Formacode]],3)</f>
        <v/>
      </c>
      <c r="D377" s="47" t="n">
        <v>40523</v>
      </c>
      <c r="E377" s="48">
        <f>"RNCP"&amp;D377</f>
        <v/>
      </c>
      <c r="F377" s="48" t="inlineStr">
        <is>
          <t>CAPA - Métiers de l'agriculture</t>
        </is>
      </c>
      <c r="G377" s="49">
        <f>E377&amp;" - "&amp;F377</f>
        <v/>
      </c>
      <c r="H377" s="36" t="inlineStr">
        <is>
          <t>RAS</t>
        </is>
      </c>
      <c r="I377" s="45" t="inlineStr"/>
      <c r="J377" s="45" t="inlineStr">
        <is>
          <t>RNCP40523</t>
        </is>
      </c>
      <c r="K377" s="45" t="inlineStr">
        <is>
          <t>Métiers de l'agriculture</t>
        </is>
      </c>
      <c r="L377" s="45" t="inlineStr">
        <is>
          <t>31/08/2030</t>
        </is>
      </c>
      <c r="M377" s="45" t="inlineStr">
        <is>
          <t>21040 (Polyculture) ; 21056 (Élevage)</t>
        </is>
      </c>
      <c r="N377" s="50" t="inlineStr">
        <is>
          <t>NON</t>
        </is>
      </c>
      <c r="O377" s="45" t="inlineStr"/>
    </row>
    <row r="378" customFormat="1" s="3">
      <c r="A378" s="45" t="n"/>
      <c r="B378" s="46" t="inlineStr">
        <is>
          <t>21041</t>
        </is>
      </c>
      <c r="C378" s="46">
        <f>LEFT(Tableau1[[#This Row],[Formacode]],3)</f>
        <v/>
      </c>
      <c r="D378" s="47" t="n">
        <v>36773</v>
      </c>
      <c r="E378" s="48">
        <f>"RNCP"&amp;D378</f>
        <v/>
      </c>
      <c r="F378" s="48" t="inlineStr">
        <is>
          <t>BTSA - Métiers du végétal : alimentation, ornement et environnement</t>
        </is>
      </c>
      <c r="G378" s="49">
        <f>E378&amp;" - "&amp;F378</f>
        <v/>
      </c>
      <c r="H378" s="36" t="inlineStr">
        <is>
          <t>RAS</t>
        </is>
      </c>
      <c r="I378" s="45" t="inlineStr"/>
      <c r="J378" s="45" t="inlineStr">
        <is>
          <t>RNCP36773</t>
        </is>
      </c>
      <c r="K378" s="45" t="inlineStr">
        <is>
          <t>Métiers du végétal : alimentation, ornement et environnement</t>
        </is>
      </c>
      <c r="L378" s="45" t="inlineStr">
        <is>
          <t>31/08/2028</t>
        </is>
      </c>
      <c r="M378" s="45" t="inlineStr">
        <is>
          <t>21054 (Agriculture production végétale)</t>
        </is>
      </c>
      <c r="N378" s="50" t="inlineStr">
        <is>
          <t>NON</t>
        </is>
      </c>
      <c r="O378" s="45" t="inlineStr"/>
    </row>
    <row r="379" customFormat="1" s="3">
      <c r="A379" s="45" t="n"/>
      <c r="B379" s="46" t="inlineStr">
        <is>
          <t>21041</t>
        </is>
      </c>
      <c r="C379" s="46">
        <f>LEFT(Tableau1[[#This Row],[Formacode]],3)</f>
        <v/>
      </c>
      <c r="D379" s="47" t="n">
        <v>36790</v>
      </c>
      <c r="E379" s="48">
        <f>"RNCP"&amp;D379</f>
        <v/>
      </c>
      <c r="F379" s="48" t="inlineStr">
        <is>
          <t>BAC PRO - Forêt</t>
        </is>
      </c>
      <c r="G379" s="49">
        <f>E379&amp;" - "&amp;F379</f>
        <v/>
      </c>
      <c r="H379" s="36" t="inlineStr">
        <is>
          <t>RAS</t>
        </is>
      </c>
      <c r="I379" s="45" t="inlineStr"/>
      <c r="J379" s="45" t="inlineStr">
        <is>
          <t>RNCP36790</t>
        </is>
      </c>
      <c r="K379" s="45" t="inlineStr">
        <is>
          <t>Forêt</t>
        </is>
      </c>
      <c r="L379" s="45" t="inlineStr">
        <is>
          <t>31/08/2027</t>
        </is>
      </c>
      <c r="M379" s="45" t="inlineStr">
        <is>
          <t>21042 (Exploitation forestière)</t>
        </is>
      </c>
      <c r="N379" s="50" t="inlineStr">
        <is>
          <t>NON</t>
        </is>
      </c>
      <c r="O379" s="45" t="inlineStr"/>
    </row>
    <row r="380" customFormat="1" s="3">
      <c r="A380" s="45" t="n"/>
      <c r="B380" s="46" t="inlineStr">
        <is>
          <t>21041</t>
        </is>
      </c>
      <c r="C380" s="46">
        <f>LEFT(Tableau1[[#This Row],[Formacode]],3)</f>
        <v/>
      </c>
      <c r="D380" s="47" t="n">
        <v>37304</v>
      </c>
      <c r="E380" s="48">
        <f>"RNCP"&amp;D380</f>
        <v/>
      </c>
      <c r="F380" s="48" t="inlineStr">
        <is>
          <t>CAP - Conducteur opérateur de scierie</t>
        </is>
      </c>
      <c r="G380" s="49">
        <f>E380&amp;" - "&amp;F380</f>
        <v/>
      </c>
      <c r="H380" s="36" t="inlineStr">
        <is>
          <t>RAS</t>
        </is>
      </c>
      <c r="I380" s="45" t="inlineStr"/>
      <c r="J380" s="45" t="inlineStr">
        <is>
          <t>RNCP37304</t>
        </is>
      </c>
      <c r="K380" s="45" t="inlineStr">
        <is>
          <t>Conducteur opérateur de scierie</t>
        </is>
      </c>
      <c r="L380" s="45" t="inlineStr">
        <is>
          <t>31/08/2028</t>
        </is>
      </c>
      <c r="M380" s="45" t="inlineStr">
        <is>
          <t>21045 (Scierie)</t>
        </is>
      </c>
      <c r="N380" s="50" t="inlineStr">
        <is>
          <t>NON</t>
        </is>
      </c>
      <c r="O380" s="45" t="inlineStr"/>
    </row>
    <row r="381" customFormat="1" s="3">
      <c r="A381" s="45" t="n"/>
      <c r="B381" s="46" t="inlineStr">
        <is>
          <t>21041</t>
        </is>
      </c>
      <c r="C381" s="46">
        <f>LEFT(Tableau1[[#This Row],[Formacode]],3)</f>
        <v/>
      </c>
      <c r="D381" s="47" t="n">
        <v>37307</v>
      </c>
      <c r="E381" s="48">
        <f>"RNCP"&amp;D381</f>
        <v/>
      </c>
      <c r="F381" s="48" t="inlineStr">
        <is>
          <t>BAC PRO - Technicien de scierie</t>
        </is>
      </c>
      <c r="G381" s="49">
        <f>E381&amp;" - "&amp;F381</f>
        <v/>
      </c>
      <c r="H381" s="36" t="inlineStr">
        <is>
          <t>RAS</t>
        </is>
      </c>
      <c r="I381" s="45" t="inlineStr"/>
      <c r="J381" s="45" t="inlineStr">
        <is>
          <t>RNCP37307</t>
        </is>
      </c>
      <c r="K381" s="45" t="inlineStr">
        <is>
          <t>Technicien de scierie</t>
        </is>
      </c>
      <c r="L381" s="45" t="inlineStr">
        <is>
          <t>31/08/2028</t>
        </is>
      </c>
      <c r="M381" s="45" t="inlineStr">
        <is>
          <t>21045 (Scierie) ; 22881 (Bois)</t>
        </is>
      </c>
      <c r="N381" s="50" t="inlineStr">
        <is>
          <t>NON</t>
        </is>
      </c>
      <c r="O381" s="45" t="inlineStr"/>
    </row>
    <row r="382" customFormat="1" s="3">
      <c r="A382" s="45" t="n"/>
      <c r="B382" s="46" t="inlineStr">
        <is>
          <t>21041</t>
        </is>
      </c>
      <c r="C382" s="46">
        <f>LEFT(Tableau1[[#This Row],[Formacode]],3)</f>
        <v/>
      </c>
      <c r="D382" s="47" t="n">
        <v>37562</v>
      </c>
      <c r="E382" s="48">
        <f>"RNCP"&amp;D382</f>
        <v/>
      </c>
      <c r="F382" s="48" t="inlineStr">
        <is>
          <t>BP - Responsable de chantiers de bûcheronnage manuel et de débardage</t>
        </is>
      </c>
      <c r="G382" s="49">
        <f>E382&amp;" - "&amp;F382</f>
        <v/>
      </c>
      <c r="H382" s="36" t="inlineStr">
        <is>
          <t>RAS</t>
        </is>
      </c>
      <c r="I382" s="45" t="inlineStr"/>
      <c r="J382" s="45" t="inlineStr">
        <is>
          <t>RNCP37562</t>
        </is>
      </c>
      <c r="K382" s="45" t="inlineStr">
        <is>
          <t>Responsable de chantiers de bûcheronnage manuel et de débardage</t>
        </is>
      </c>
      <c r="L382" s="45" t="inlineStr">
        <is>
          <t>01/09/2028</t>
        </is>
      </c>
      <c r="M382" s="45" t="inlineStr">
        <is>
          <t>21042 (Exploitation forestière)</t>
        </is>
      </c>
      <c r="N382" s="50" t="inlineStr">
        <is>
          <t>NON</t>
        </is>
      </c>
      <c r="O382" s="45" t="inlineStr"/>
    </row>
    <row r="383" customFormat="1" s="3">
      <c r="A383" s="45" t="n"/>
      <c r="B383" s="46" t="inlineStr">
        <is>
          <t>21041</t>
        </is>
      </c>
      <c r="C383" s="46">
        <f>LEFT(Tableau1[[#This Row],[Formacode]],3)</f>
        <v/>
      </c>
      <c r="D383" s="47" t="n">
        <v>37563</v>
      </c>
      <c r="E383" s="48">
        <f>"RNCP"&amp;D383</f>
        <v/>
      </c>
      <c r="F383" s="48" t="inlineStr">
        <is>
          <t>BP - Responsable de chantiers de bûcheronnage manuel et de sylviculture</t>
        </is>
      </c>
      <c r="G383" s="49">
        <f>E383&amp;" - "&amp;F383</f>
        <v/>
      </c>
      <c r="H383" s="36" t="inlineStr">
        <is>
          <t>RAS</t>
        </is>
      </c>
      <c r="I383" s="45" t="inlineStr"/>
      <c r="J383" s="45" t="inlineStr">
        <is>
          <t>RNCP37563</t>
        </is>
      </c>
      <c r="K383" s="45" t="inlineStr">
        <is>
          <t>Responsable de chantiers de bûcheronnage manuel et de sylviculture</t>
        </is>
      </c>
      <c r="L383" s="45" t="inlineStr">
        <is>
          <t>01/09/2028</t>
        </is>
      </c>
      <c r="M383" s="45" t="inlineStr">
        <is>
          <t>21041 (Sylviculture)</t>
        </is>
      </c>
      <c r="N383" s="50" t="inlineStr">
        <is>
          <t>NON</t>
        </is>
      </c>
      <c r="O383" s="45" t="inlineStr"/>
    </row>
    <row r="384" customFormat="1" s="3">
      <c r="A384" s="45" t="n"/>
      <c r="B384" s="46" t="inlineStr">
        <is>
          <t>21041</t>
        </is>
      </c>
      <c r="C384" s="46">
        <f>LEFT(Tableau1[[#This Row],[Formacode]],3)</f>
        <v/>
      </c>
      <c r="D384" s="47" t="n">
        <v>37612</v>
      </c>
      <c r="E384" s="48">
        <f>"RNCP"&amp;D384</f>
        <v/>
      </c>
      <c r="F384" s="48" t="inlineStr">
        <is>
          <t>Technicien entrepreneur en agriculture</t>
        </is>
      </c>
      <c r="G384" s="49">
        <f>E384&amp;" - "&amp;F384</f>
        <v/>
      </c>
      <c r="H384" s="36" t="inlineStr">
        <is>
          <t>RAS</t>
        </is>
      </c>
      <c r="I384" s="45" t="inlineStr"/>
      <c r="J384" s="45" t="inlineStr">
        <is>
          <t>RNCP37612</t>
        </is>
      </c>
      <c r="K384" s="45" t="inlineStr">
        <is>
          <t>Technicien entrepreneur en agriculture</t>
        </is>
      </c>
      <c r="L384" s="45" t="inlineStr">
        <is>
          <t>31/05/2028</t>
        </is>
      </c>
      <c r="M384" s="45" t="inlineStr">
        <is>
          <t>21054 (Agriculture production végétale)</t>
        </is>
      </c>
      <c r="N384" s="50" t="inlineStr">
        <is>
          <t>NON</t>
        </is>
      </c>
      <c r="O384" s="45" t="inlineStr"/>
    </row>
    <row r="385" customFormat="1" s="3">
      <c r="A385" s="45" t="n"/>
      <c r="B385" s="46" t="inlineStr">
        <is>
          <t>21041</t>
        </is>
      </c>
      <c r="C385" s="46">
        <f>LEFT(Tableau1[[#This Row],[Formacode]],3)</f>
        <v/>
      </c>
      <c r="D385" s="47" t="n">
        <v>38334</v>
      </c>
      <c r="E385" s="48">
        <f>"RNCP"&amp;D385</f>
        <v/>
      </c>
      <c r="F385" s="48" t="inlineStr">
        <is>
          <t>CS - Pilote de machines de bûcheronnage</t>
        </is>
      </c>
      <c r="G385" s="49">
        <f>E385&amp;" - "&amp;F385</f>
        <v/>
      </c>
      <c r="H385" s="36" t="inlineStr">
        <is>
          <t>RAS</t>
        </is>
      </c>
      <c r="I385" s="45" t="inlineStr"/>
      <c r="J385" s="45" t="inlineStr">
        <is>
          <t>RNCP38334</t>
        </is>
      </c>
      <c r="K385" s="45" t="inlineStr">
        <is>
          <t>Pilote de machines de bûcheronnage</t>
        </is>
      </c>
      <c r="L385" s="45" t="inlineStr">
        <is>
          <t>01/01/2029</t>
        </is>
      </c>
      <c r="M385" s="45" t="inlineStr">
        <is>
          <t>21043 (Bûcheronnage) ; 21011 (Machinisme agricole)</t>
        </is>
      </c>
      <c r="N385" s="50" t="inlineStr">
        <is>
          <t>NON</t>
        </is>
      </c>
      <c r="O385" s="45" t="inlineStr"/>
    </row>
    <row r="386" customFormat="1" s="3">
      <c r="A386" s="45" t="n"/>
      <c r="B386" s="46" t="inlineStr">
        <is>
          <t>21041</t>
        </is>
      </c>
      <c r="C386" s="46">
        <f>LEFT(Tableau1[[#This Row],[Formacode]],3)</f>
        <v/>
      </c>
      <c r="D386" s="47" t="n">
        <v>38352</v>
      </c>
      <c r="E386" s="48">
        <f>"RNCP"&amp;D386</f>
        <v/>
      </c>
      <c r="F386" s="48" t="inlineStr">
        <is>
          <t>BTSA - Gestion Forestière</t>
        </is>
      </c>
      <c r="G386" s="49">
        <f>E386&amp;" - "&amp;F386</f>
        <v/>
      </c>
      <c r="H386" s="36" t="inlineStr">
        <is>
          <t>RAS</t>
        </is>
      </c>
      <c r="I386" s="45" t="inlineStr"/>
      <c r="J386" s="45" t="inlineStr">
        <is>
          <t>RNCP38352</t>
        </is>
      </c>
      <c r="K386" s="45" t="inlineStr">
        <is>
          <t>Gestion Forestière</t>
        </is>
      </c>
      <c r="L386" s="45" t="inlineStr">
        <is>
          <t>31/08/2029</t>
        </is>
      </c>
      <c r="M386" s="45" t="inlineStr">
        <is>
          <t>21042 (Exploitation forestière)</t>
        </is>
      </c>
      <c r="N386" s="50" t="inlineStr">
        <is>
          <t>NON</t>
        </is>
      </c>
      <c r="O386" s="45" t="inlineStr"/>
    </row>
    <row r="387" customFormat="1" s="3">
      <c r="A387" s="45" t="n"/>
      <c r="B387" s="46" t="inlineStr">
        <is>
          <t>21041</t>
        </is>
      </c>
      <c r="C387" s="46">
        <f>LEFT(Tableau1[[#This Row],[Formacode]],3)</f>
        <v/>
      </c>
      <c r="D387" s="47" t="n">
        <v>38391</v>
      </c>
      <c r="E387" s="48">
        <f>"RNCP"&amp;D387</f>
        <v/>
      </c>
      <c r="F387" s="48" t="inlineStr">
        <is>
          <t>CAPA - Travaux forestiers</t>
        </is>
      </c>
      <c r="G387" s="49">
        <f>E387&amp;" - "&amp;F387</f>
        <v/>
      </c>
      <c r="H387" s="36" t="inlineStr">
        <is>
          <t>RAS</t>
        </is>
      </c>
      <c r="I387" s="45" t="inlineStr"/>
      <c r="J387" s="45" t="inlineStr">
        <is>
          <t>RNCP38391</t>
        </is>
      </c>
      <c r="K387" s="45" t="inlineStr">
        <is>
          <t>Travaux forestiers</t>
        </is>
      </c>
      <c r="L387" s="45" t="inlineStr">
        <is>
          <t>31/12/2028</t>
        </is>
      </c>
      <c r="M387" s="45" t="inlineStr">
        <is>
          <t>21043 (Bûcheronnage)</t>
        </is>
      </c>
      <c r="N387" s="50" t="inlineStr">
        <is>
          <t>NON</t>
        </is>
      </c>
      <c r="O387" s="45" t="inlineStr"/>
    </row>
    <row r="388" customFormat="1" s="3">
      <c r="A388" s="45" t="n"/>
      <c r="B388" s="46" t="inlineStr">
        <is>
          <t>21041</t>
        </is>
      </c>
      <c r="C388" s="46">
        <f>LEFT(Tableau1[[#This Row],[Formacode]],3)</f>
        <v/>
      </c>
      <c r="D388" s="47" t="n">
        <v>39064</v>
      </c>
      <c r="E388" s="48">
        <f>"RNCP"&amp;D388</f>
        <v/>
      </c>
      <c r="F388" s="48" t="inlineStr">
        <is>
          <t>BPA - Bûcheron</t>
        </is>
      </c>
      <c r="G388" s="49">
        <f>E388&amp;" - "&amp;F388</f>
        <v/>
      </c>
      <c r="H388" s="36" t="inlineStr">
        <is>
          <t>RAS</t>
        </is>
      </c>
      <c r="I388" s="45" t="inlineStr"/>
      <c r="J388" s="45" t="inlineStr">
        <is>
          <t>RNCP39064</t>
        </is>
      </c>
      <c r="K388" s="45" t="inlineStr">
        <is>
          <t>Bûcheron</t>
        </is>
      </c>
      <c r="L388" s="45" t="inlineStr">
        <is>
          <t>31/12/2028</t>
        </is>
      </c>
      <c r="M388" s="45" t="inlineStr">
        <is>
          <t>21043 (Bûcheronnage)</t>
        </is>
      </c>
      <c r="N388" s="50" t="inlineStr">
        <is>
          <t>NON</t>
        </is>
      </c>
      <c r="O388" s="45" t="inlineStr"/>
    </row>
    <row r="389" customFormat="1" s="3">
      <c r="A389" s="45" t="n"/>
      <c r="B389" s="46" t="inlineStr">
        <is>
          <t>21041</t>
        </is>
      </c>
      <c r="C389" s="46">
        <f>LEFT(Tableau1[[#This Row],[Formacode]],3)</f>
        <v/>
      </c>
      <c r="D389" s="47" t="n">
        <v>40796</v>
      </c>
      <c r="E389" s="48">
        <f>"RNCP"&amp;D389</f>
        <v/>
      </c>
      <c r="F389" s="48" t="inlineStr">
        <is>
          <t>BPA - Conducteur d'engins forestiers</t>
        </is>
      </c>
      <c r="G389" s="49">
        <f>E389&amp;" - "&amp;F389</f>
        <v/>
      </c>
      <c r="H389" s="36" t="inlineStr">
        <is>
          <t>RAS</t>
        </is>
      </c>
      <c r="I389" s="45" t="inlineStr"/>
      <c r="J389" s="45" t="inlineStr">
        <is>
          <t>RNCP40796</t>
        </is>
      </c>
      <c r="K389" s="45" t="inlineStr">
        <is>
          <t>Conducteur d'engins forestiers</t>
        </is>
      </c>
      <c r="L389" s="45" t="inlineStr">
        <is>
          <t>31/08/2030</t>
        </is>
      </c>
      <c r="M389" s="45" t="inlineStr">
        <is>
          <t>21044 (Machinisme forestier)</t>
        </is>
      </c>
      <c r="N389" s="50" t="inlineStr">
        <is>
          <t>NON</t>
        </is>
      </c>
      <c r="O389" s="45" t="inlineStr"/>
    </row>
    <row r="390" customFormat="1" s="3">
      <c r="A390" s="45" t="n"/>
      <c r="B390" s="46" t="inlineStr">
        <is>
          <t>21041</t>
        </is>
      </c>
      <c r="C390" s="46">
        <f>LEFT(Tableau1[[#This Row],[Formacode]],3)</f>
        <v/>
      </c>
      <c r="D390" s="47" t="n">
        <v>40798</v>
      </c>
      <c r="E390" s="48">
        <f>"RNCP"&amp;D390</f>
        <v/>
      </c>
      <c r="F390" s="48" t="inlineStr">
        <is>
          <t>Certificat de spécialisation - Traction équine et conduite d'attelages</t>
        </is>
      </c>
      <c r="G390" s="49">
        <f>E390&amp;" - "&amp;F390</f>
        <v/>
      </c>
      <c r="H390" s="36" t="inlineStr">
        <is>
          <t>RAS</t>
        </is>
      </c>
      <c r="I390" s="45" t="inlineStr"/>
      <c r="J390" s="45" t="inlineStr">
        <is>
          <t>RNCP40798</t>
        </is>
      </c>
      <c r="K390" s="45" t="inlineStr">
        <is>
          <t>Traction équine et conduite d'attelages</t>
        </is>
      </c>
      <c r="L390" s="45" t="inlineStr">
        <is>
          <t>31/12/2030</t>
        </is>
      </c>
      <c r="M390" s="45" t="inlineStr">
        <is>
          <t>42691 (Tourisme équestre) ; 15479 (Sport équestre) ; 21053 (Viticulture) ; 21042 (Exploitation forestière) ; 31854 (Transport)</t>
        </is>
      </c>
      <c r="N390" s="50" t="inlineStr">
        <is>
          <t>NON</t>
        </is>
      </c>
      <c r="O390" s="45" t="inlineStr"/>
    </row>
    <row r="391" customFormat="1" s="3">
      <c r="A391" s="63" t="n"/>
      <c r="B391" s="64" t="inlineStr">
        <is>
          <t>21046</t>
        </is>
      </c>
      <c r="C391" s="64">
        <f>LEFT(Tableau1[[#This Row],[Formacode]],3)</f>
        <v/>
      </c>
      <c r="D391" s="65" t="n">
        <v>35397</v>
      </c>
      <c r="E391" s="66">
        <f>"RNCP"&amp;D391</f>
        <v/>
      </c>
      <c r="F391" s="66" t="inlineStr">
        <is>
          <t>CS - Arrosage automatique : espaces verts et sols sportifs</t>
        </is>
      </c>
      <c r="G391" s="67">
        <f>E391&amp;" - "&amp;F391</f>
        <v/>
      </c>
      <c r="H391" s="38" t="inlineStr">
        <is>
          <t>Expiré / remplacé</t>
        </is>
      </c>
      <c r="I391" s="63" t="inlineStr">
        <is>
          <t>Fiche inactive — remplacée par RNCP41900 (Arrosage automatique : espaces verts et sols sportifs)</t>
        </is>
      </c>
      <c r="J391" s="63" t="inlineStr">
        <is>
          <t>RNCP41900</t>
        </is>
      </c>
      <c r="K391" s="63" t="inlineStr">
        <is>
          <t>Arrosage automatique : espaces verts et sols sportifs</t>
        </is>
      </c>
      <c r="L391" s="63" t="inlineStr">
        <is>
          <t>01/04/2026</t>
        </is>
      </c>
      <c r="M391" s="63" t="inlineStr">
        <is>
          <t>21047 (Arrosage)</t>
        </is>
      </c>
      <c r="N391" s="68" t="inlineStr">
        <is>
          <t>NON</t>
        </is>
      </c>
      <c r="O391" s="63" t="inlineStr"/>
    </row>
    <row r="392" customFormat="1" s="3">
      <c r="A392" s="63" t="n"/>
      <c r="B392" s="64" t="inlineStr">
        <is>
          <t>21046</t>
        </is>
      </c>
      <c r="C392" s="64">
        <f>LEFT(Tableau1[[#This Row],[Formacode]],3)</f>
        <v/>
      </c>
      <c r="D392" s="65" t="n">
        <v>35398</v>
      </c>
      <c r="E392" s="66">
        <f>"RNCP"&amp;D392</f>
        <v/>
      </c>
      <c r="F392" s="66" t="inlineStr">
        <is>
          <t>CS - Sols sportifs engazonnés</t>
        </is>
      </c>
      <c r="G392" s="67">
        <f>E392&amp;" - "&amp;F392</f>
        <v/>
      </c>
      <c r="H392" s="38" t="inlineStr">
        <is>
          <t>Expiré / remplacé</t>
        </is>
      </c>
      <c r="I392" s="63" t="inlineStr">
        <is>
          <t>Fiche inactive — remplacée par RNCP41901 (Sols sportifs engazonnés)</t>
        </is>
      </c>
      <c r="J392" s="63" t="inlineStr">
        <is>
          <t>RNCP41901</t>
        </is>
      </c>
      <c r="K392" s="63" t="inlineStr">
        <is>
          <t>Sols sportifs engazonnés</t>
        </is>
      </c>
      <c r="L392" s="63" t="inlineStr">
        <is>
          <t>01/04/2026</t>
        </is>
      </c>
      <c r="M392" s="63" t="inlineStr">
        <is>
          <t>21051 (Terrain sport engazonné)</t>
        </is>
      </c>
      <c r="N392" s="68" t="inlineStr">
        <is>
          <t>NON</t>
        </is>
      </c>
      <c r="O392" s="63" t="inlineStr"/>
    </row>
    <row r="393" customFormat="1" s="3">
      <c r="A393" s="63" t="n"/>
      <c r="B393" s="64" t="inlineStr">
        <is>
          <t>21046</t>
        </is>
      </c>
      <c r="C393" s="64">
        <f>LEFT(Tableau1[[#This Row],[Formacode]],3)</f>
        <v/>
      </c>
      <c r="D393" s="65" t="n">
        <v>35399</v>
      </c>
      <c r="E393" s="66">
        <f>"RNCP"&amp;D393</f>
        <v/>
      </c>
      <c r="F393" s="66" t="inlineStr">
        <is>
          <t>CS - Constructions paysagères</t>
        </is>
      </c>
      <c r="G393" s="67">
        <f>E393&amp;" - "&amp;F393</f>
        <v/>
      </c>
      <c r="H393" s="38" t="inlineStr">
        <is>
          <t>Expiré / remplacé</t>
        </is>
      </c>
      <c r="I393" s="63" t="inlineStr">
        <is>
          <t>Fiche inactive — remplacée par RNCP41899 (Constructions paysagères)</t>
        </is>
      </c>
      <c r="J393" s="63" t="inlineStr">
        <is>
          <t>RNCP41899</t>
        </is>
      </c>
      <c r="K393" s="63" t="inlineStr">
        <is>
          <t>Constructions paysagères</t>
        </is>
      </c>
      <c r="L393" s="63" t="inlineStr">
        <is>
          <t>01/04/2026</t>
        </is>
      </c>
      <c r="M393" s="63" t="inlineStr">
        <is>
          <t>21050 (Maçonnerie paysagère)</t>
        </is>
      </c>
      <c r="N393" s="68" t="inlineStr">
        <is>
          <t>NON</t>
        </is>
      </c>
      <c r="O393" s="63" t="inlineStr"/>
    </row>
    <row r="394" customFormat="1" s="3">
      <c r="A394" s="45" t="n"/>
      <c r="B394" s="46" t="inlineStr">
        <is>
          <t>21046</t>
        </is>
      </c>
      <c r="C394" s="46">
        <f>LEFT(Tableau1[[#This Row],[Formacode]],3)</f>
        <v/>
      </c>
      <c r="D394" s="47" t="n">
        <v>36773</v>
      </c>
      <c r="E394" s="48">
        <f>"RNCP"&amp;D394</f>
        <v/>
      </c>
      <c r="F394" s="48" t="inlineStr">
        <is>
          <t>BTSA - Métiers du végétal : alimentation, ornement et environnement</t>
        </is>
      </c>
      <c r="G394" s="49">
        <f>E394&amp;" - "&amp;F394</f>
        <v/>
      </c>
      <c r="H394" s="36" t="inlineStr">
        <is>
          <t>RAS</t>
        </is>
      </c>
      <c r="I394" s="45" t="inlineStr"/>
      <c r="J394" s="45" t="inlineStr">
        <is>
          <t>RNCP36773</t>
        </is>
      </c>
      <c r="K394" s="45" t="inlineStr">
        <is>
          <t>Métiers du végétal : alimentation, ornement et environnement</t>
        </is>
      </c>
      <c r="L394" s="45" t="inlineStr">
        <is>
          <t>31/08/2028</t>
        </is>
      </c>
      <c r="M394" s="45" t="inlineStr">
        <is>
          <t>21054 (Agriculture production végétale)</t>
        </is>
      </c>
      <c r="N394" s="50" t="inlineStr">
        <is>
          <t>NON</t>
        </is>
      </c>
      <c r="O394" s="45" t="inlineStr"/>
    </row>
    <row r="395" customFormat="1" s="3">
      <c r="A395" s="45" t="n"/>
      <c r="B395" s="46" t="inlineStr">
        <is>
          <t>21046</t>
        </is>
      </c>
      <c r="C395" s="46">
        <f>LEFT(Tableau1[[#This Row],[Formacode]],3)</f>
        <v/>
      </c>
      <c r="D395" s="47" t="n">
        <v>37612</v>
      </c>
      <c r="E395" s="48">
        <f>"RNCP"&amp;D395</f>
        <v/>
      </c>
      <c r="F395" s="48" t="inlineStr">
        <is>
          <t>Technicien entrepreneur en agriculture</t>
        </is>
      </c>
      <c r="G395" s="49">
        <f>E395&amp;" - "&amp;F395</f>
        <v/>
      </c>
      <c r="H395" s="36" t="inlineStr">
        <is>
          <t>RAS</t>
        </is>
      </c>
      <c r="I395" s="45" t="inlineStr"/>
      <c r="J395" s="45" t="inlineStr">
        <is>
          <t>RNCP37612</t>
        </is>
      </c>
      <c r="K395" s="45" t="inlineStr">
        <is>
          <t>Technicien entrepreneur en agriculture</t>
        </is>
      </c>
      <c r="L395" s="45" t="inlineStr">
        <is>
          <t>31/05/2028</t>
        </is>
      </c>
      <c r="M395" s="45" t="inlineStr">
        <is>
          <t>21054 (Agriculture production végétale)</t>
        </is>
      </c>
      <c r="N395" s="50" t="inlineStr">
        <is>
          <t>NON</t>
        </is>
      </c>
      <c r="O395" s="45" t="inlineStr"/>
    </row>
    <row r="396" customFormat="1" s="3">
      <c r="A396" s="45" t="n"/>
      <c r="B396" s="46" t="inlineStr">
        <is>
          <t>21046</t>
        </is>
      </c>
      <c r="C396" s="46">
        <f>LEFT(Tableau1[[#This Row],[Formacode]],3)</f>
        <v/>
      </c>
      <c r="D396" s="47" t="n">
        <v>37875</v>
      </c>
      <c r="E396" s="48">
        <f>"RNCP"&amp;D396</f>
        <v/>
      </c>
      <c r="F396" s="48" t="inlineStr">
        <is>
          <t>TP - Ouvrier paysagiste</t>
        </is>
      </c>
      <c r="G396" s="49">
        <f>E396&amp;" - "&amp;F396</f>
        <v/>
      </c>
      <c r="H396" s="36" t="inlineStr">
        <is>
          <t>RAS</t>
        </is>
      </c>
      <c r="I396" s="45" t="inlineStr"/>
      <c r="J396" s="45" t="inlineStr">
        <is>
          <t>RNCP37875</t>
        </is>
      </c>
      <c r="K396" s="45" t="inlineStr">
        <is>
          <t>Ouvrier paysagiste</t>
        </is>
      </c>
      <c r="L396" s="45" t="inlineStr">
        <is>
          <t>28/10/2028</t>
        </is>
      </c>
      <c r="M396" s="45" t="inlineStr">
        <is>
          <t>21046 (Travaux paysagers)</t>
        </is>
      </c>
      <c r="N396" s="50" t="inlineStr">
        <is>
          <t>NON</t>
        </is>
      </c>
      <c r="O396" s="45" t="inlineStr"/>
    </row>
    <row r="397" customFormat="1" s="3">
      <c r="A397" s="45" t="n"/>
      <c r="B397" s="46" t="inlineStr">
        <is>
          <t>21046</t>
        </is>
      </c>
      <c r="C397" s="46">
        <f>LEFT(Tableau1[[#This Row],[Formacode]],3)</f>
        <v/>
      </c>
      <c r="D397" s="47" t="n">
        <v>38314</v>
      </c>
      <c r="E397" s="48">
        <f>"RNCP"&amp;D397</f>
        <v/>
      </c>
      <c r="F397" s="48" t="inlineStr">
        <is>
          <t>BP - Aménagements paysagers</t>
        </is>
      </c>
      <c r="G397" s="49">
        <f>E397&amp;" - "&amp;F397</f>
        <v/>
      </c>
      <c r="H397" s="36" t="inlineStr">
        <is>
          <t>RAS</t>
        </is>
      </c>
      <c r="I397" s="45" t="inlineStr"/>
      <c r="J397" s="45" t="inlineStr">
        <is>
          <t>RNCP38314</t>
        </is>
      </c>
      <c r="K397" s="45" t="inlineStr">
        <is>
          <t>Aménagements paysagers</t>
        </is>
      </c>
      <c r="L397" s="45" t="inlineStr">
        <is>
          <t>01/01/2029</t>
        </is>
      </c>
      <c r="M397" s="45" t="inlineStr">
        <is>
          <t>21046 (Travaux paysagers)</t>
        </is>
      </c>
      <c r="N397" s="50" t="inlineStr">
        <is>
          <t>NON</t>
        </is>
      </c>
      <c r="O397" s="45" t="inlineStr"/>
    </row>
    <row r="398" customFormat="1" s="3">
      <c r="A398" s="45" t="n"/>
      <c r="B398" s="46" t="inlineStr">
        <is>
          <t>21046</t>
        </is>
      </c>
      <c r="C398" s="46">
        <f>LEFT(Tableau1[[#This Row],[Formacode]],3)</f>
        <v/>
      </c>
      <c r="D398" s="47" t="n">
        <v>38349</v>
      </c>
      <c r="E398" s="48">
        <f>"RNCP"&amp;D398</f>
        <v/>
      </c>
      <c r="F398" s="48" t="inlineStr">
        <is>
          <t>BTSA - Aménagements paysagers</t>
        </is>
      </c>
      <c r="G398" s="49">
        <f>E398&amp;" - "&amp;F398</f>
        <v/>
      </c>
      <c r="H398" s="36" t="inlineStr">
        <is>
          <t>RAS</t>
        </is>
      </c>
      <c r="I398" s="45" t="inlineStr"/>
      <c r="J398" s="45" t="inlineStr">
        <is>
          <t>RNCP38349</t>
        </is>
      </c>
      <c r="K398" s="45" t="inlineStr">
        <is>
          <t>Aménagements paysagers</t>
        </is>
      </c>
      <c r="L398" s="45" t="inlineStr">
        <is>
          <t>31/08/2029</t>
        </is>
      </c>
      <c r="M398" s="45" t="inlineStr">
        <is>
          <t>21046 (Travaux paysagers) ; 45009 (Architecture paysagère)</t>
        </is>
      </c>
      <c r="N398" s="50" t="inlineStr">
        <is>
          <t>NON</t>
        </is>
      </c>
      <c r="O398" s="45" t="inlineStr"/>
    </row>
    <row r="399" customFormat="1" s="3">
      <c r="A399" s="45" t="n"/>
      <c r="B399" s="46" t="inlineStr">
        <is>
          <t>21046</t>
        </is>
      </c>
      <c r="C399" s="46">
        <f>LEFT(Tableau1[[#This Row],[Formacode]],3)</f>
        <v/>
      </c>
      <c r="D399" s="47" t="n">
        <v>38386</v>
      </c>
      <c r="E399" s="48">
        <f>"RNCP"&amp;D399</f>
        <v/>
      </c>
      <c r="F399" s="48" t="inlineStr">
        <is>
          <t>CAPA - Jardinier-paysagiste</t>
        </is>
      </c>
      <c r="G399" s="49">
        <f>E399&amp;" - "&amp;F399</f>
        <v/>
      </c>
      <c r="H399" s="36" t="inlineStr">
        <is>
          <t>RAS</t>
        </is>
      </c>
      <c r="I399" s="45" t="inlineStr"/>
      <c r="J399" s="45" t="inlineStr">
        <is>
          <t>RNCP38386</t>
        </is>
      </c>
      <c r="K399" s="45" t="inlineStr">
        <is>
          <t>Jardinier-paysagiste</t>
        </is>
      </c>
      <c r="L399" s="45" t="inlineStr">
        <is>
          <t>31/12/2028</t>
        </is>
      </c>
      <c r="M399" s="45" t="inlineStr">
        <is>
          <t>21046 (Travaux paysagers)</t>
        </is>
      </c>
      <c r="N399" s="50" t="inlineStr">
        <is>
          <t>NON</t>
        </is>
      </c>
      <c r="O399" s="45" t="inlineStr"/>
    </row>
    <row r="400" customFormat="1" s="3">
      <c r="A400" s="45" t="n"/>
      <c r="B400" s="46" t="inlineStr">
        <is>
          <t>21046</t>
        </is>
      </c>
      <c r="C400" s="46">
        <f>LEFT(Tableau1[[#This Row],[Formacode]],3)</f>
        <v/>
      </c>
      <c r="D400" s="47" t="n">
        <v>38857</v>
      </c>
      <c r="E400" s="48">
        <f>"RNCP"&amp;D400</f>
        <v/>
      </c>
      <c r="F400" s="48" t="inlineStr">
        <is>
          <t>BAC PRO - Aménagements paysagers</t>
        </is>
      </c>
      <c r="G400" s="49">
        <f>E400&amp;" - "&amp;F400</f>
        <v/>
      </c>
      <c r="H400" s="36" t="inlineStr">
        <is>
          <t>RAS</t>
        </is>
      </c>
      <c r="I400" s="45" t="inlineStr"/>
      <c r="J400" s="45" t="inlineStr">
        <is>
          <t>RNCP38857</t>
        </is>
      </c>
      <c r="K400" s="45" t="inlineStr">
        <is>
          <t>Aménagements paysagers</t>
        </is>
      </c>
      <c r="L400" s="45" t="inlineStr">
        <is>
          <t>01/01/2029</t>
        </is>
      </c>
      <c r="M400" s="45" t="inlineStr">
        <is>
          <t>21046 (Travaux paysagers)</t>
        </is>
      </c>
      <c r="N400" s="50" t="inlineStr">
        <is>
          <t>NON</t>
        </is>
      </c>
      <c r="O400" s="45" t="inlineStr"/>
    </row>
    <row r="401" customFormat="1" s="3">
      <c r="A401" s="45" t="n"/>
      <c r="B401" s="46" t="inlineStr">
        <is>
          <t>21046</t>
        </is>
      </c>
      <c r="C401" s="46">
        <f>LEFT(Tableau1[[#This Row],[Formacode]],3)</f>
        <v/>
      </c>
      <c r="D401" s="47" t="n">
        <v>39066</v>
      </c>
      <c r="E401" s="48">
        <f>"RNCP"&amp;D401</f>
        <v/>
      </c>
      <c r="F401" s="48" t="inlineStr">
        <is>
          <t>BPA - Ouvrier spécialisé en paysage</t>
        </is>
      </c>
      <c r="G401" s="49">
        <f>E401&amp;" - "&amp;F401</f>
        <v/>
      </c>
      <c r="H401" s="36" t="inlineStr">
        <is>
          <t>RAS</t>
        </is>
      </c>
      <c r="I401" s="45" t="inlineStr"/>
      <c r="J401" s="45" t="inlineStr">
        <is>
          <t>RNCP39066</t>
        </is>
      </c>
      <c r="K401" s="45" t="inlineStr">
        <is>
          <t>Ouvrier spécialisé en paysage</t>
        </is>
      </c>
      <c r="L401" s="45" t="inlineStr">
        <is>
          <t>31/12/2028</t>
        </is>
      </c>
      <c r="M401" s="45" t="inlineStr">
        <is>
          <t>21046 (Travaux paysagers)</t>
        </is>
      </c>
      <c r="N401" s="50" t="inlineStr">
        <is>
          <t>NON</t>
        </is>
      </c>
      <c r="O401" s="45" t="inlineStr"/>
    </row>
    <row r="402" customFormat="1" s="3">
      <c r="A402" s="45" t="n"/>
      <c r="B402" s="46" t="inlineStr">
        <is>
          <t>21046</t>
        </is>
      </c>
      <c r="C402" s="46">
        <f>LEFT(Tableau1[[#This Row],[Formacode]],3)</f>
        <v/>
      </c>
      <c r="D402" s="47" t="n">
        <v>39674</v>
      </c>
      <c r="E402" s="48">
        <f>"RNCP"&amp;D402</f>
        <v/>
      </c>
      <c r="F402" s="48" t="inlineStr">
        <is>
          <t>CS - Jardinier de golf et entretien des sols sportifs engazonnés</t>
        </is>
      </c>
      <c r="G402" s="49">
        <f>E402&amp;" - "&amp;F402</f>
        <v/>
      </c>
      <c r="H402" s="36" t="inlineStr">
        <is>
          <t>RAS</t>
        </is>
      </c>
      <c r="I402" s="45" t="inlineStr"/>
      <c r="J402" s="45" t="inlineStr">
        <is>
          <t>RNCP39674</t>
        </is>
      </c>
      <c r="K402" s="45" t="inlineStr">
        <is>
          <t>Jardinier de golf et entretien des sols sportifs engazonnés</t>
        </is>
      </c>
      <c r="L402" s="45" t="inlineStr">
        <is>
          <t>01/01/2030</t>
        </is>
      </c>
      <c r="M402" s="45" t="inlineStr">
        <is>
          <t>21051 (Terrain sport engazonné)</t>
        </is>
      </c>
      <c r="N402" s="50" t="inlineStr">
        <is>
          <t>NON</t>
        </is>
      </c>
      <c r="O402" s="45" t="inlineStr"/>
    </row>
    <row r="403" customFormat="1" s="3">
      <c r="A403" s="45" t="n"/>
      <c r="B403" s="46" t="inlineStr">
        <is>
          <t>21046</t>
        </is>
      </c>
      <c r="C403" s="46">
        <f>LEFT(Tableau1[[#This Row],[Formacode]],3)</f>
        <v/>
      </c>
      <c r="D403" s="47" t="n">
        <v>39951</v>
      </c>
      <c r="E403" s="48">
        <f>"RNCP"&amp;D403</f>
        <v/>
      </c>
      <c r="F403" s="48" t="inlineStr">
        <is>
          <t>Technicien des jardins et espaces paysagers</t>
        </is>
      </c>
      <c r="G403" s="49">
        <f>E403&amp;" - "&amp;F403</f>
        <v/>
      </c>
      <c r="H403" s="36" t="inlineStr">
        <is>
          <t>RAS</t>
        </is>
      </c>
      <c r="I403" s="45" t="inlineStr"/>
      <c r="J403" s="45" t="inlineStr">
        <is>
          <t>RNCP39951</t>
        </is>
      </c>
      <c r="K403" s="45" t="inlineStr">
        <is>
          <t>Technicien des jardins et espaces paysagers</t>
        </is>
      </c>
      <c r="L403" s="45" t="inlineStr">
        <is>
          <t>18/12/2029</t>
        </is>
      </c>
      <c r="M403" s="45" t="inlineStr">
        <is>
          <t>21046 (Travaux paysagers)</t>
        </is>
      </c>
      <c r="N403" s="50" t="inlineStr">
        <is>
          <t>NON</t>
        </is>
      </c>
      <c r="O403" s="45" t="inlineStr"/>
    </row>
    <row r="404" customFormat="1" s="3">
      <c r="A404" s="45" t="n"/>
      <c r="B404" s="46" t="inlineStr">
        <is>
          <t>21052</t>
        </is>
      </c>
      <c r="C404" s="46">
        <f>LEFT(Tableau1[[#This Row],[Formacode]],3)</f>
        <v/>
      </c>
      <c r="D404" s="47" t="n">
        <v>36773</v>
      </c>
      <c r="E404" s="48">
        <f>"RNCP"&amp;D404</f>
        <v/>
      </c>
      <c r="F404" s="48" t="inlineStr">
        <is>
          <t>BTSA - Métiers du végétal : alimentation, ornement et environnement</t>
        </is>
      </c>
      <c r="G404" s="49">
        <f>E404&amp;" - "&amp;F404</f>
        <v/>
      </c>
      <c r="H404" s="36" t="inlineStr">
        <is>
          <t>RAS</t>
        </is>
      </c>
      <c r="I404" s="45" t="inlineStr"/>
      <c r="J404" s="45" t="inlineStr">
        <is>
          <t>RNCP36773</t>
        </is>
      </c>
      <c r="K404" s="45" t="inlineStr">
        <is>
          <t>Métiers du végétal : alimentation, ornement et environnement</t>
        </is>
      </c>
      <c r="L404" s="45" t="inlineStr">
        <is>
          <t>31/08/2028</t>
        </is>
      </c>
      <c r="M404" s="45" t="inlineStr">
        <is>
          <t>21054 (Agriculture production végétale)</t>
        </is>
      </c>
      <c r="N404" s="50" t="inlineStr">
        <is>
          <t>NON</t>
        </is>
      </c>
      <c r="O404" s="45" t="inlineStr"/>
    </row>
    <row r="405" customFormat="1" s="3">
      <c r="A405" s="45" t="n"/>
      <c r="B405" s="46" t="inlineStr">
        <is>
          <t>21052</t>
        </is>
      </c>
      <c r="C405" s="46">
        <f>LEFT(Tableau1[[#This Row],[Formacode]],3)</f>
        <v/>
      </c>
      <c r="D405" s="47" t="n">
        <v>37024</v>
      </c>
      <c r="E405" s="48">
        <f>"RNCP"&amp;D405</f>
        <v/>
      </c>
      <c r="F405" s="48" t="inlineStr">
        <is>
          <t>BP - Conducteur de machines agricoles</t>
        </is>
      </c>
      <c r="G405" s="49">
        <f>E405&amp;" - "&amp;F405</f>
        <v/>
      </c>
      <c r="H405" s="36" t="inlineStr">
        <is>
          <t>RAS</t>
        </is>
      </c>
      <c r="I405" s="45" t="inlineStr"/>
      <c r="J405" s="45" t="inlineStr">
        <is>
          <t>RNCP37024</t>
        </is>
      </c>
      <c r="K405" s="45" t="inlineStr">
        <is>
          <t>Conducteur de machines agricoles</t>
        </is>
      </c>
      <c r="L405" s="45" t="inlineStr">
        <is>
          <t>01/01/2028</t>
        </is>
      </c>
      <c r="M405" s="45" t="inlineStr">
        <is>
          <t>21011 (Machinisme agricole)</t>
        </is>
      </c>
      <c r="N405" s="50" t="inlineStr">
        <is>
          <t>NON</t>
        </is>
      </c>
      <c r="O405" s="45" t="inlineStr"/>
    </row>
    <row r="406" customFormat="1" s="3">
      <c r="A406" s="45" t="n"/>
      <c r="B406" s="46" t="inlineStr">
        <is>
          <t>21052</t>
        </is>
      </c>
      <c r="C406" s="46">
        <f>LEFT(Tableau1[[#This Row],[Formacode]],3)</f>
        <v/>
      </c>
      <c r="D406" s="47" t="n">
        <v>37612</v>
      </c>
      <c r="E406" s="48">
        <f>"RNCP"&amp;D406</f>
        <v/>
      </c>
      <c r="F406" s="48" t="inlineStr">
        <is>
          <t>Technicien entrepreneur en agriculture</t>
        </is>
      </c>
      <c r="G406" s="49">
        <f>E406&amp;" - "&amp;F406</f>
        <v/>
      </c>
      <c r="H406" s="36" t="inlineStr">
        <is>
          <t>RAS</t>
        </is>
      </c>
      <c r="I406" s="45" t="inlineStr"/>
      <c r="J406" s="45" t="inlineStr">
        <is>
          <t>RNCP37612</t>
        </is>
      </c>
      <c r="K406" s="45" t="inlineStr">
        <is>
          <t>Technicien entrepreneur en agriculture</t>
        </is>
      </c>
      <c r="L406" s="45" t="inlineStr">
        <is>
          <t>31/05/2028</t>
        </is>
      </c>
      <c r="M406" s="45" t="inlineStr">
        <is>
          <t>21054 (Agriculture production végétale)</t>
        </is>
      </c>
      <c r="N406" s="50" t="inlineStr">
        <is>
          <t>NON</t>
        </is>
      </c>
      <c r="O406" s="45" t="inlineStr"/>
    </row>
    <row r="407" customFormat="1" s="3">
      <c r="A407" s="51" t="n"/>
      <c r="B407" s="52" t="inlineStr">
        <is>
          <t>21052</t>
        </is>
      </c>
      <c r="C407" s="52">
        <f>LEFT(Tableau1[[#This Row],[Formacode]],3)</f>
        <v/>
      </c>
      <c r="D407" s="53" t="n">
        <v>37824</v>
      </c>
      <c r="E407" s="54">
        <f>"RNCP"&amp;D407</f>
        <v/>
      </c>
      <c r="F407" s="54" t="inlineStr">
        <is>
          <t>Expert-conseil en stratégie des filières agricoles et agroalimentaires</t>
        </is>
      </c>
      <c r="G407" s="55">
        <f>E407&amp;" - "&amp;F407</f>
        <v/>
      </c>
      <c r="H407" s="37" t="inlineStr">
        <is>
          <t>À vérifier</t>
        </is>
      </c>
      <c r="I407" s="51" t="inlineStr">
        <is>
          <t>Successeur déjà publié : RNCP42476 (Expert-conseil en stratégie des filières agricoles et agroalimentaires) — préparer la bascule de l'offre CPF | Échéance le 19/07/2026 (dans 1 j)</t>
        </is>
      </c>
      <c r="J407" s="51" t="inlineStr">
        <is>
          <t>RNCP42476</t>
        </is>
      </c>
      <c r="K407" s="51" t="inlineStr">
        <is>
          <t>Expert-conseil en stratégie des filières agricoles et agroalimentaires</t>
        </is>
      </c>
      <c r="L407" s="51" t="inlineStr">
        <is>
          <t>19/07/2026</t>
        </is>
      </c>
      <c r="M407" s="51" t="inlineStr">
        <is>
          <t>13158 (Économie agricole) ; 21052 (Gestion exploitation agricole) ; 21084 (Commercialisation agricole) ; 21554 (Agroalimentaire)</t>
        </is>
      </c>
      <c r="N407" s="62" t="inlineStr">
        <is>
          <t>NON</t>
        </is>
      </c>
      <c r="O407" s="51" t="inlineStr"/>
    </row>
    <row r="408" customFormat="1" s="3">
      <c r="A408" s="45" t="n"/>
      <c r="B408" s="46" t="inlineStr">
        <is>
          <t>21052</t>
        </is>
      </c>
      <c r="C408" s="46">
        <f>LEFT(Tableau1[[#This Row],[Formacode]],3)</f>
        <v/>
      </c>
      <c r="D408" s="47" t="n">
        <v>38073</v>
      </c>
      <c r="E408" s="48">
        <f>"RNCP"&amp;D408</f>
        <v/>
      </c>
      <c r="F408" s="48" t="inlineStr">
        <is>
          <t>CS - Pilotage de machines agricoles et travaux mécanisés à haute technicité</t>
        </is>
      </c>
      <c r="G408" s="49">
        <f>E408&amp;" - "&amp;F408</f>
        <v/>
      </c>
      <c r="H408" s="36" t="inlineStr">
        <is>
          <t>RAS</t>
        </is>
      </c>
      <c r="I408" s="45" t="inlineStr"/>
      <c r="J408" s="45" t="inlineStr">
        <is>
          <t>RNCP38073</t>
        </is>
      </c>
      <c r="K408" s="45" t="inlineStr">
        <is>
          <t>Pilotage de machines agricoles et travaux mécanisés à haute technicité</t>
        </is>
      </c>
      <c r="L408" s="45" t="inlineStr">
        <is>
          <t>01/01/2029</t>
        </is>
      </c>
      <c r="M408" s="45" t="inlineStr">
        <is>
          <t>21011 (Machinisme agricole)</t>
        </is>
      </c>
      <c r="N408" s="50" t="inlineStr">
        <is>
          <t>NON</t>
        </is>
      </c>
      <c r="O408" s="45" t="inlineStr"/>
    </row>
    <row r="409" customFormat="1" s="3">
      <c r="A409" s="45" t="n"/>
      <c r="B409" s="46" t="inlineStr">
        <is>
          <t>21052</t>
        </is>
      </c>
      <c r="C409" s="46">
        <f>LEFT(Tableau1[[#This Row],[Formacode]],3)</f>
        <v/>
      </c>
      <c r="D409" s="47" t="n">
        <v>38093</v>
      </c>
      <c r="E409" s="48">
        <f>"RNCP"&amp;D409</f>
        <v/>
      </c>
      <c r="F409" s="48" t="inlineStr">
        <is>
          <t>BP - Responsable d'entreprise agricole</t>
        </is>
      </c>
      <c r="G409" s="49">
        <f>E409&amp;" - "&amp;F409</f>
        <v/>
      </c>
      <c r="H409" s="36" t="inlineStr">
        <is>
          <t>RAS</t>
        </is>
      </c>
      <c r="I409" s="45" t="inlineStr"/>
      <c r="J409" s="45" t="inlineStr">
        <is>
          <t>RNCP38093</t>
        </is>
      </c>
      <c r="K409" s="45" t="inlineStr">
        <is>
          <t>Responsable d'entreprise agricole</t>
        </is>
      </c>
      <c r="L409" s="45" t="inlineStr">
        <is>
          <t>01/01/2029</t>
        </is>
      </c>
      <c r="M409" s="45" t="inlineStr">
        <is>
          <t>21052 (Gestion exploitation agricole) ; 12598 (Environnement agriculture)</t>
        </is>
      </c>
      <c r="N409" s="50" t="inlineStr">
        <is>
          <t>NON</t>
        </is>
      </c>
      <c r="O409" s="45" t="inlineStr"/>
    </row>
    <row r="410" customFormat="1" s="3">
      <c r="A410" s="45" t="n"/>
      <c r="B410" s="46" t="inlineStr">
        <is>
          <t>21052</t>
        </is>
      </c>
      <c r="C410" s="46">
        <f>LEFT(Tableau1[[#This Row],[Formacode]],3)</f>
        <v/>
      </c>
      <c r="D410" s="47" t="n">
        <v>38191</v>
      </c>
      <c r="E410" s="48">
        <f>"RNCP"&amp;D410</f>
        <v/>
      </c>
      <c r="F410" s="48" t="inlineStr">
        <is>
          <t>BTS - Techniques et services en matériels agricoles</t>
        </is>
      </c>
      <c r="G410" s="49">
        <f>E410&amp;" - "&amp;F410</f>
        <v/>
      </c>
      <c r="H410" s="36" t="inlineStr">
        <is>
          <t>RAS</t>
        </is>
      </c>
      <c r="I410" s="45" t="inlineStr"/>
      <c r="J410" s="45" t="inlineStr">
        <is>
          <t>RNCP38191</t>
        </is>
      </c>
      <c r="K410" s="45" t="inlineStr">
        <is>
          <t>Techniques et services en matériels agricoles</t>
        </is>
      </c>
      <c r="L410" s="45" t="inlineStr">
        <is>
          <t>31/08/2027</t>
        </is>
      </c>
      <c r="M410" s="45" t="inlineStr">
        <is>
          <t>21011 (Machinisme agricole)</t>
        </is>
      </c>
      <c r="N410" s="50" t="inlineStr">
        <is>
          <t>NON</t>
        </is>
      </c>
      <c r="O410" s="45" t="inlineStr"/>
    </row>
    <row r="411" customFormat="1" s="3">
      <c r="A411" s="45" t="n"/>
      <c r="B411" s="46" t="inlineStr">
        <is>
          <t>21052</t>
        </is>
      </c>
      <c r="C411" s="46">
        <f>LEFT(Tableau1[[#This Row],[Formacode]],3)</f>
        <v/>
      </c>
      <c r="D411" s="47" t="n">
        <v>38316</v>
      </c>
      <c r="E411" s="48">
        <f>"RNCP"&amp;D411</f>
        <v/>
      </c>
      <c r="F411" s="48" t="inlineStr">
        <is>
          <t>BAC PRO - Conduite et gestion de l'entreprise agricole</t>
        </is>
      </c>
      <c r="G411" s="49">
        <f>E411&amp;" - "&amp;F411</f>
        <v/>
      </c>
      <c r="H411" s="36" t="inlineStr">
        <is>
          <t>RAS</t>
        </is>
      </c>
      <c r="I411" s="45" t="inlineStr"/>
      <c r="J411" s="45" t="inlineStr">
        <is>
          <t>RNCP38316</t>
        </is>
      </c>
      <c r="K411" s="45" t="inlineStr">
        <is>
          <t>Conduite et gestion de l'entreprise agricole</t>
        </is>
      </c>
      <c r="L411" s="45" t="inlineStr">
        <is>
          <t>01/01/2029</t>
        </is>
      </c>
      <c r="M411" s="45" t="inlineStr">
        <is>
          <t>21052 (Gestion exploitation agricole) ; 21056 (Élevage)</t>
        </is>
      </c>
      <c r="N411" s="50" t="inlineStr">
        <is>
          <t>NON</t>
        </is>
      </c>
      <c r="O411" s="45" t="inlineStr"/>
    </row>
    <row r="412" customFormat="1" s="3">
      <c r="A412" s="45" t="n"/>
      <c r="B412" s="46" t="inlineStr">
        <is>
          <t>21052</t>
        </is>
      </c>
      <c r="C412" s="46">
        <f>LEFT(Tableau1[[#This Row],[Formacode]],3)</f>
        <v/>
      </c>
      <c r="D412" s="47" t="n">
        <v>38334</v>
      </c>
      <c r="E412" s="48">
        <f>"RNCP"&amp;D412</f>
        <v/>
      </c>
      <c r="F412" s="48" t="inlineStr">
        <is>
          <t>CS - Pilote de machines de bûcheronnage</t>
        </is>
      </c>
      <c r="G412" s="49">
        <f>E412&amp;" - "&amp;F412</f>
        <v/>
      </c>
      <c r="H412" s="36" t="inlineStr">
        <is>
          <t>RAS</t>
        </is>
      </c>
      <c r="I412" s="45" t="inlineStr"/>
      <c r="J412" s="45" t="inlineStr">
        <is>
          <t>RNCP38334</t>
        </is>
      </c>
      <c r="K412" s="45" t="inlineStr">
        <is>
          <t>Pilote de machines de bûcheronnage</t>
        </is>
      </c>
      <c r="L412" s="45" t="inlineStr">
        <is>
          <t>01/01/2029</t>
        </is>
      </c>
      <c r="M412" s="45" t="inlineStr">
        <is>
          <t>21043 (Bûcheronnage) ; 21011 (Machinisme agricole)</t>
        </is>
      </c>
      <c r="N412" s="50" t="inlineStr">
        <is>
          <t>NON</t>
        </is>
      </c>
      <c r="O412" s="45" t="inlineStr"/>
    </row>
    <row r="413" customFormat="1" s="3">
      <c r="A413" s="45" t="n"/>
      <c r="B413" s="46" t="inlineStr">
        <is>
          <t>21052</t>
        </is>
      </c>
      <c r="C413" s="46">
        <f>LEFT(Tableau1[[#This Row],[Formacode]],3)</f>
        <v/>
      </c>
      <c r="D413" s="47" t="n">
        <v>38384</v>
      </c>
      <c r="E413" s="48">
        <f>"RNCP"&amp;D413</f>
        <v/>
      </c>
      <c r="F413" s="48" t="inlineStr">
        <is>
          <t>BAC PRO - Agroéquipement</t>
        </is>
      </c>
      <c r="G413" s="49">
        <f>E413&amp;" - "&amp;F413</f>
        <v/>
      </c>
      <c r="H413" s="36" t="inlineStr">
        <is>
          <t>RAS</t>
        </is>
      </c>
      <c r="I413" s="45" t="inlineStr"/>
      <c r="J413" s="45" t="inlineStr">
        <is>
          <t>RNCP38384</t>
        </is>
      </c>
      <c r="K413" s="45" t="inlineStr">
        <is>
          <t>Agroéquipement</t>
        </is>
      </c>
      <c r="L413" s="45" t="inlineStr">
        <is>
          <t>01/09/2028</t>
        </is>
      </c>
      <c r="M413" s="45" t="inlineStr">
        <is>
          <t>21011 (Machinisme agricole)</t>
        </is>
      </c>
      <c r="N413" s="50" t="inlineStr">
        <is>
          <t>NON</t>
        </is>
      </c>
      <c r="O413" s="45" t="inlineStr"/>
    </row>
    <row r="414" customFormat="1" s="3">
      <c r="A414" s="45" t="n"/>
      <c r="B414" s="46" t="inlineStr">
        <is>
          <t>21052</t>
        </is>
      </c>
      <c r="C414" s="46">
        <f>LEFT(Tableau1[[#This Row],[Formacode]],3)</f>
        <v/>
      </c>
      <c r="D414" s="47" t="n">
        <v>38609</v>
      </c>
      <c r="E414" s="48">
        <f>"RNCP"&amp;D414</f>
        <v/>
      </c>
      <c r="F414" s="48" t="inlineStr">
        <is>
          <t>Conseiller en droit rural et économie agricole</t>
        </is>
      </c>
      <c r="G414" s="49">
        <f>E414&amp;" - "&amp;F414</f>
        <v/>
      </c>
      <c r="H414" s="36" t="inlineStr">
        <is>
          <t>RAS</t>
        </is>
      </c>
      <c r="I414" s="45" t="inlineStr"/>
      <c r="J414" s="45" t="inlineStr">
        <is>
          <t>RNCP38609</t>
        </is>
      </c>
      <c r="K414" s="45" t="inlineStr">
        <is>
          <t>Conseiller en droit rural et économie agricole</t>
        </is>
      </c>
      <c r="L414" s="45" t="inlineStr">
        <is>
          <t>09/02/2027</t>
        </is>
      </c>
      <c r="M414" s="45" t="inlineStr">
        <is>
          <t>13158 (Économie agricole) ; 21081 (Droit rural) ; 21060 (Installation agriculteur) ; 32043 (Conseil entreprise)</t>
        </is>
      </c>
      <c r="N414" s="50" t="inlineStr">
        <is>
          <t>NON</t>
        </is>
      </c>
      <c r="O414" s="45" t="inlineStr"/>
    </row>
    <row r="415" customFormat="1" s="3">
      <c r="A415" s="45" t="n"/>
      <c r="B415" s="46" t="inlineStr">
        <is>
          <t>21052</t>
        </is>
      </c>
      <c r="C415" s="46">
        <f>LEFT(Tableau1[[#This Row],[Formacode]],3)</f>
        <v/>
      </c>
      <c r="D415" s="47" t="n">
        <v>38872</v>
      </c>
      <c r="E415" s="48">
        <f>"RNCP"&amp;D415</f>
        <v/>
      </c>
      <c r="F415" s="48" t="inlineStr">
        <is>
          <t>TP - Mécanicien réparateur des matériels agricoles</t>
        </is>
      </c>
      <c r="G415" s="49">
        <f>E415&amp;" - "&amp;F415</f>
        <v/>
      </c>
      <c r="H415" s="36" t="inlineStr">
        <is>
          <t>RAS</t>
        </is>
      </c>
      <c r="I415" s="45" t="inlineStr"/>
      <c r="J415" s="45" t="inlineStr">
        <is>
          <t>RNCP38872</t>
        </is>
      </c>
      <c r="K415" s="45" t="inlineStr">
        <is>
          <t>Mécanicien réparateur des matériels agricoles</t>
        </is>
      </c>
      <c r="L415" s="45" t="inlineStr">
        <is>
          <t>20/04/2029</t>
        </is>
      </c>
      <c r="M415" s="45" t="inlineStr">
        <is>
          <t>21011 (Machinisme agricole)</t>
        </is>
      </c>
      <c r="N415" s="50" t="inlineStr">
        <is>
          <t>NON</t>
        </is>
      </c>
      <c r="O415" s="45" t="inlineStr"/>
    </row>
    <row r="416" customFormat="1" s="3">
      <c r="A416" s="45" t="n"/>
      <c r="B416" s="46" t="inlineStr">
        <is>
          <t>21052</t>
        </is>
      </c>
      <c r="C416" s="46">
        <f>LEFT(Tableau1[[#This Row],[Formacode]],3)</f>
        <v/>
      </c>
      <c r="D416" s="47" t="n">
        <v>39008</v>
      </c>
      <c r="E416" s="48">
        <f>"RNCP"&amp;D416</f>
        <v/>
      </c>
      <c r="F416" s="48" t="inlineStr">
        <is>
          <t>TP - Mécanicien réparateur des matériels d'espaces verts</t>
        </is>
      </c>
      <c r="G416" s="49">
        <f>E416&amp;" - "&amp;F416</f>
        <v/>
      </c>
      <c r="H416" s="36" t="inlineStr">
        <is>
          <t>RAS</t>
        </is>
      </c>
      <c r="I416" s="45" t="inlineStr"/>
      <c r="J416" s="45" t="inlineStr">
        <is>
          <t>RNCP39008</t>
        </is>
      </c>
      <c r="K416" s="45" t="inlineStr">
        <is>
          <t>Mécanicien réparateur des matériels d'espaces verts</t>
        </is>
      </c>
      <c r="L416" s="45" t="inlineStr">
        <is>
          <t>19/04/2029</t>
        </is>
      </c>
      <c r="M416" s="45" t="inlineStr">
        <is>
          <t>21011 (Machinisme agricole)</t>
        </is>
      </c>
      <c r="N416" s="50" t="inlineStr">
        <is>
          <t>NON</t>
        </is>
      </c>
      <c r="O416" s="45" t="inlineStr"/>
    </row>
    <row r="417" customFormat="1" s="3">
      <c r="A417" s="45" t="n"/>
      <c r="B417" s="46" t="inlineStr">
        <is>
          <t>21052</t>
        </is>
      </c>
      <c r="C417" s="46">
        <f>LEFT(Tableau1[[#This Row],[Formacode]],3)</f>
        <v/>
      </c>
      <c r="D417" s="47" t="n">
        <v>39327</v>
      </c>
      <c r="E417" s="48">
        <f>"RNCP"&amp;D417</f>
        <v/>
      </c>
      <c r="F417" s="48" t="inlineStr">
        <is>
          <t>BAC PRO - Maintenance des matériels</t>
        </is>
      </c>
      <c r="G417" s="49">
        <f>E417&amp;" - "&amp;F417</f>
        <v/>
      </c>
      <c r="H417" s="36" t="inlineStr">
        <is>
          <t>RAS</t>
        </is>
      </c>
      <c r="I417" s="45" t="inlineStr"/>
      <c r="J417" s="45" t="inlineStr">
        <is>
          <t>RNCP39327</t>
        </is>
      </c>
      <c r="K417" s="45" t="inlineStr">
        <is>
          <t>Maintenance des matériels</t>
        </is>
      </c>
      <c r="L417" s="45" t="inlineStr">
        <is>
          <t>31/12/2028</t>
        </is>
      </c>
      <c r="M417" s="45" t="inlineStr">
        <is>
          <t>21011 (Machinisme agricole) ; 31736 (Réparation engin manutention) ; 22286 (Matériel chantier) ; 21034 (Machinisme horticole)</t>
        </is>
      </c>
      <c r="N417" s="50" t="inlineStr">
        <is>
          <t>NON</t>
        </is>
      </c>
      <c r="O417" s="45" t="inlineStr"/>
    </row>
    <row r="418" customFormat="1" s="3">
      <c r="A418" s="45" t="n"/>
      <c r="B418" s="46" t="inlineStr">
        <is>
          <t>21052</t>
        </is>
      </c>
      <c r="C418" s="46">
        <f>LEFT(Tableau1[[#This Row],[Formacode]],3)</f>
        <v/>
      </c>
      <c r="D418" s="47" t="n">
        <v>39330</v>
      </c>
      <c r="E418" s="48">
        <f>"RNCP"&amp;D418</f>
        <v/>
      </c>
      <c r="F418" s="48" t="inlineStr">
        <is>
          <t>CAP - Maintenance des matériels</t>
        </is>
      </c>
      <c r="G418" s="49">
        <f>E418&amp;" - "&amp;F418</f>
        <v/>
      </c>
      <c r="H418" s="36" t="inlineStr">
        <is>
          <t>RAS</t>
        </is>
      </c>
      <c r="I418" s="45" t="inlineStr"/>
      <c r="J418" s="45" t="inlineStr">
        <is>
          <t>RNCP39330</t>
        </is>
      </c>
      <c r="K418" s="45" t="inlineStr">
        <is>
          <t>Maintenance des matériels</t>
        </is>
      </c>
      <c r="L418" s="45" t="inlineStr">
        <is>
          <t>31/12/2028</t>
        </is>
      </c>
      <c r="M418" s="45" t="inlineStr">
        <is>
          <t>21011 (Machinisme agricole) ; 31747 (Engin manutention levage) ; 21034 (Machinisme horticole)</t>
        </is>
      </c>
      <c r="N418" s="50" t="inlineStr">
        <is>
          <t>NON</t>
        </is>
      </c>
      <c r="O418" s="45" t="inlineStr"/>
    </row>
    <row r="419" customFormat="1" s="3">
      <c r="A419" s="45" t="n"/>
      <c r="B419" s="46" t="inlineStr">
        <is>
          <t>21052</t>
        </is>
      </c>
      <c r="C419" s="46">
        <f>LEFT(Tableau1[[#This Row],[Formacode]],3)</f>
        <v/>
      </c>
      <c r="D419" s="47" t="n">
        <v>39346</v>
      </c>
      <c r="E419" s="48">
        <f>"RNCP"&amp;D419</f>
        <v/>
      </c>
      <c r="F419" s="48" t="inlineStr">
        <is>
          <t>CQP Conducteur d’agroéquipements</t>
        </is>
      </c>
      <c r="G419" s="49">
        <f>E419&amp;" - "&amp;F419</f>
        <v/>
      </c>
      <c r="H419" s="36" t="inlineStr">
        <is>
          <t>RAS</t>
        </is>
      </c>
      <c r="I419" s="45" t="inlineStr"/>
      <c r="J419" s="45" t="inlineStr">
        <is>
          <t>RNCP39346</t>
        </is>
      </c>
      <c r="K419" s="45" t="inlineStr">
        <is>
          <t>CQP Conducteur d’agroéquipements</t>
        </is>
      </c>
      <c r="L419" s="45" t="inlineStr">
        <is>
          <t>19/07/2027</t>
        </is>
      </c>
      <c r="M419" s="45" t="inlineStr">
        <is>
          <t>21011 (Machinisme agricole)</t>
        </is>
      </c>
      <c r="N419" s="50" t="inlineStr">
        <is>
          <t>NON</t>
        </is>
      </c>
      <c r="O419" s="45" t="inlineStr"/>
    </row>
    <row r="420" customFormat="1" s="3">
      <c r="A420" s="45" t="n"/>
      <c r="B420" s="46" t="inlineStr">
        <is>
          <t>21052</t>
        </is>
      </c>
      <c r="C420" s="46">
        <f>LEFT(Tableau1[[#This Row],[Formacode]],3)</f>
        <v/>
      </c>
      <c r="D420" s="47" t="n">
        <v>39681</v>
      </c>
      <c r="E420" s="48">
        <f>"RNCP"&amp;D420</f>
        <v/>
      </c>
      <c r="F420" s="48" t="inlineStr">
        <is>
          <t>CS - Conduite de productions en agriculture biologique et commercialisation</t>
        </is>
      </c>
      <c r="G420" s="49">
        <f>E420&amp;" - "&amp;F420</f>
        <v/>
      </c>
      <c r="H420" s="36" t="inlineStr">
        <is>
          <t>RAS</t>
        </is>
      </c>
      <c r="I420" s="45" t="inlineStr"/>
      <c r="J420" s="45" t="inlineStr">
        <is>
          <t>RNCP39681</t>
        </is>
      </c>
      <c r="K420" s="45" t="inlineStr">
        <is>
          <t>Conduite de productions en agriculture biologique et commercialisation</t>
        </is>
      </c>
      <c r="L420" s="45" t="inlineStr">
        <is>
          <t>31/12/2029</t>
        </is>
      </c>
      <c r="M420" s="45" t="inlineStr">
        <is>
          <t>34502 (Vente spécialisée) ; 21052 (Gestion exploitation agricole) ; 21001 (Agriculture biologique)</t>
        </is>
      </c>
      <c r="N420" s="50" t="inlineStr">
        <is>
          <t>NON</t>
        </is>
      </c>
      <c r="O420" s="45" t="inlineStr"/>
    </row>
    <row r="421" customFormat="1" s="3">
      <c r="A421" s="45" t="n"/>
      <c r="B421" s="46" t="inlineStr">
        <is>
          <t>21052</t>
        </is>
      </c>
      <c r="C421" s="46">
        <f>LEFT(Tableau1[[#This Row],[Formacode]],3)</f>
        <v/>
      </c>
      <c r="D421" s="47" t="n">
        <v>39686</v>
      </c>
      <c r="E421" s="48">
        <f>"RNCP"&amp;D421</f>
        <v/>
      </c>
      <c r="F421" s="48" t="inlineStr">
        <is>
          <t>BTSA - Génie des équipements agricoles</t>
        </is>
      </c>
      <c r="G421" s="49">
        <f>E421&amp;" - "&amp;F421</f>
        <v/>
      </c>
      <c r="H421" s="36" t="inlineStr">
        <is>
          <t>RAS</t>
        </is>
      </c>
      <c r="I421" s="45" t="inlineStr"/>
      <c r="J421" s="45" t="inlineStr">
        <is>
          <t>RNCP39686</t>
        </is>
      </c>
      <c r="K421" s="45" t="inlineStr">
        <is>
          <t>Génie des équipements agricoles</t>
        </is>
      </c>
      <c r="L421" s="45" t="inlineStr">
        <is>
          <t>31/08/2030</t>
        </is>
      </c>
      <c r="M421" s="45" t="inlineStr">
        <is>
          <t>21011 (Machinisme agricole)</t>
        </is>
      </c>
      <c r="N421" s="50" t="inlineStr">
        <is>
          <t>NON</t>
        </is>
      </c>
      <c r="O421" s="45" t="inlineStr"/>
    </row>
    <row r="422" customFormat="1" s="3">
      <c r="A422" s="45" t="n"/>
      <c r="B422" s="46" t="inlineStr">
        <is>
          <t>21052</t>
        </is>
      </c>
      <c r="C422" s="46">
        <f>LEFT(Tableau1[[#This Row],[Formacode]],3)</f>
        <v/>
      </c>
      <c r="D422" s="47" t="n">
        <v>39836</v>
      </c>
      <c r="E422" s="48">
        <f>"RNCP"&amp;D422</f>
        <v/>
      </c>
      <c r="F422" s="48" t="inlineStr">
        <is>
          <t>BTSA - ACS'AGRI : Analyse, Conduite et Stratégie de l'entreprise Agricole</t>
        </is>
      </c>
      <c r="G422" s="49">
        <f>E422&amp;" - "&amp;F422</f>
        <v/>
      </c>
      <c r="H422" s="36" t="inlineStr">
        <is>
          <t>RAS</t>
        </is>
      </c>
      <c r="I422" s="45" t="inlineStr"/>
      <c r="J422" s="45" t="inlineStr">
        <is>
          <t>RNCP39836</t>
        </is>
      </c>
      <c r="K422" s="45" t="inlineStr">
        <is>
          <t>ACS'AGRI : Analyse, Conduite et Stratégie de l'entreprise Agricole</t>
        </is>
      </c>
      <c r="L422" s="45" t="inlineStr">
        <is>
          <t>01/08/2030</t>
        </is>
      </c>
      <c r="M422" s="45" t="inlineStr">
        <is>
          <t>21052 (Gestion exploitation agricole) ; 32047 (Création entreprise) ; 12598 (Environnement agriculture) ; 21056 (Élevage)</t>
        </is>
      </c>
      <c r="N422" s="50" t="inlineStr">
        <is>
          <t>NON</t>
        </is>
      </c>
      <c r="O422" s="45" t="inlineStr"/>
    </row>
    <row r="423" customFormat="1" s="3">
      <c r="A423" s="51" t="n"/>
      <c r="B423" s="52" t="inlineStr">
        <is>
          <t>21052</t>
        </is>
      </c>
      <c r="C423" s="52">
        <f>LEFT(Tableau1[[#This Row],[Formacode]],3)</f>
        <v/>
      </c>
      <c r="D423" s="53" t="n">
        <v>39892</v>
      </c>
      <c r="E423" s="54">
        <f>"RNCP"&amp;D423</f>
        <v/>
      </c>
      <c r="F423" s="54" t="inlineStr">
        <is>
          <t>TP - Technicien de maintenance d'engins et de matériels « machinisme agricole »</t>
        </is>
      </c>
      <c r="G423" s="55">
        <f>E423&amp;" - "&amp;F423</f>
        <v/>
      </c>
      <c r="H423" s="37" t="inlineStr">
        <is>
          <t>À vérifier</t>
        </is>
      </c>
      <c r="I423" s="51" t="inlineStr">
        <is>
          <t>Échéance le 26/12/2026 (dans 161 j)</t>
        </is>
      </c>
      <c r="J423" s="51" t="inlineStr">
        <is>
          <t>RNCP39892</t>
        </is>
      </c>
      <c r="K423" s="51" t="inlineStr">
        <is>
          <t>Technicien de maintenance d'engins et de matériels « machinisme agricole »</t>
        </is>
      </c>
      <c r="L423" s="51" t="inlineStr">
        <is>
          <t>26/12/2026</t>
        </is>
      </c>
      <c r="M423" s="51" t="inlineStr">
        <is>
          <t>21011 (Machinisme agricole)</t>
        </is>
      </c>
      <c r="N423" s="62" t="inlineStr">
        <is>
          <t>NON</t>
        </is>
      </c>
      <c r="O423" s="51" t="inlineStr"/>
    </row>
    <row r="424" customFormat="1" s="3">
      <c r="A424" s="45" t="n"/>
      <c r="B424" s="46" t="inlineStr">
        <is>
          <t>21052</t>
        </is>
      </c>
      <c r="C424" s="46">
        <f>LEFT(Tableau1[[#This Row],[Formacode]],3)</f>
        <v/>
      </c>
      <c r="D424" s="47" t="n">
        <v>40797</v>
      </c>
      <c r="E424" s="48">
        <f>"RNCP"&amp;D424</f>
        <v/>
      </c>
      <c r="F424" s="48" t="inlineStr">
        <is>
          <t>BP - Responsable d'entreprise hippique</t>
        </is>
      </c>
      <c r="G424" s="49">
        <f>E424&amp;" - "&amp;F424</f>
        <v/>
      </c>
      <c r="H424" s="36" t="inlineStr">
        <is>
          <t>RAS</t>
        </is>
      </c>
      <c r="I424" s="45" t="inlineStr"/>
      <c r="J424" s="45" t="inlineStr">
        <is>
          <t>RNCP40797</t>
        </is>
      </c>
      <c r="K424" s="45" t="inlineStr">
        <is>
          <t>Responsable d'entreprise hippique</t>
        </is>
      </c>
      <c r="L424" s="45" t="inlineStr">
        <is>
          <t>31/12/2030</t>
        </is>
      </c>
      <c r="M424" s="45" t="inlineStr">
        <is>
          <t>21052 (Gestion exploitation agricole) ; 15457 (Gestion sport) ; 21056 (Élevage)</t>
        </is>
      </c>
      <c r="N424" s="50" t="inlineStr">
        <is>
          <t>NON</t>
        </is>
      </c>
      <c r="O424" s="45" t="inlineStr"/>
    </row>
    <row r="425" customFormat="1" s="3">
      <c r="A425" s="45" t="n"/>
      <c r="B425" s="46" t="inlineStr">
        <is>
          <t>21052</t>
        </is>
      </c>
      <c r="C425" s="46">
        <f>LEFT(Tableau1[[#This Row],[Formacode]],3)</f>
        <v/>
      </c>
      <c r="D425" s="47" t="n">
        <v>40925</v>
      </c>
      <c r="E425" s="48">
        <f>"RNCP"&amp;D425</f>
        <v/>
      </c>
      <c r="F425" s="48" t="inlineStr">
        <is>
          <t>CQP Tractoriste agricole</t>
        </is>
      </c>
      <c r="G425" s="49">
        <f>E425&amp;" - "&amp;F425</f>
        <v/>
      </c>
      <c r="H425" s="36" t="inlineStr">
        <is>
          <t>RAS</t>
        </is>
      </c>
      <c r="I425" s="45" t="inlineStr"/>
      <c r="J425" s="45" t="inlineStr">
        <is>
          <t>RNCP40925</t>
        </is>
      </c>
      <c r="K425" s="45" t="inlineStr">
        <is>
          <t>CQP Tractoriste agricole</t>
        </is>
      </c>
      <c r="L425" s="45" t="inlineStr">
        <is>
          <t>25/06/2028</t>
        </is>
      </c>
      <c r="M425" s="45" t="inlineStr">
        <is>
          <t>21011 (Machinisme agricole) ; 21055 (Machinisme viticole)</t>
        </is>
      </c>
      <c r="N425" s="50" t="inlineStr">
        <is>
          <t>NON</t>
        </is>
      </c>
      <c r="O425" s="45" t="inlineStr"/>
    </row>
    <row r="426" customFormat="1" s="3">
      <c r="A426" s="45" t="n"/>
      <c r="B426" s="46" t="inlineStr">
        <is>
          <t>21052</t>
        </is>
      </c>
      <c r="C426" s="46">
        <f>LEFT(Tableau1[[#This Row],[Formacode]],3)</f>
        <v/>
      </c>
      <c r="D426" s="47" t="n">
        <v>41416</v>
      </c>
      <c r="E426" s="48">
        <f>"RNCP"&amp;D426</f>
        <v/>
      </c>
      <c r="F426" s="48" t="inlineStr">
        <is>
          <t>Animateur formateur en technologies agricoles</t>
        </is>
      </c>
      <c r="G426" s="49">
        <f>E426&amp;" - "&amp;F426</f>
        <v/>
      </c>
      <c r="H426" s="36" t="inlineStr">
        <is>
          <t>RAS</t>
        </is>
      </c>
      <c r="I426" s="45" t="inlineStr"/>
      <c r="J426" s="45" t="inlineStr">
        <is>
          <t>RNCP41416</t>
        </is>
      </c>
      <c r="K426" s="45" t="inlineStr">
        <is>
          <t>Animateur formateur en technologies agricoles</t>
        </is>
      </c>
      <c r="L426" s="45" t="inlineStr">
        <is>
          <t>27/10/2028</t>
        </is>
      </c>
      <c r="M426" s="45" t="inlineStr">
        <is>
          <t>12514 (Développement rural) ; 21052 (Gestion exploitation agricole) ; 44517 (Conception action formation)</t>
        </is>
      </c>
      <c r="N426" s="50" t="inlineStr">
        <is>
          <t>NON</t>
        </is>
      </c>
      <c r="O426" s="45" t="inlineStr"/>
    </row>
    <row r="427" customFormat="1" s="3">
      <c r="A427" s="45" t="n"/>
      <c r="B427" s="46" t="inlineStr">
        <is>
          <t>21053</t>
        </is>
      </c>
      <c r="C427" s="46">
        <f>LEFT(Tableau1[[#This Row],[Formacode]],3)</f>
        <v/>
      </c>
      <c r="D427" s="47" t="n">
        <v>36002</v>
      </c>
      <c r="E427" s="48">
        <f>"RNCP"&amp;D427</f>
        <v/>
      </c>
      <c r="F427" s="48" t="inlineStr">
        <is>
          <t>BTSA - Viticulture-Œnologie</t>
        </is>
      </c>
      <c r="G427" s="49">
        <f>E427&amp;" - "&amp;F427</f>
        <v/>
      </c>
      <c r="H427" s="36" t="inlineStr">
        <is>
          <t>RAS</t>
        </is>
      </c>
      <c r="I427" s="45" t="inlineStr"/>
      <c r="J427" s="45" t="inlineStr">
        <is>
          <t>RNCP36002</t>
        </is>
      </c>
      <c r="K427" s="45" t="inlineStr">
        <is>
          <t>Viticulture-Œnologie</t>
        </is>
      </c>
      <c r="L427" s="45" t="inlineStr">
        <is>
          <t>31/08/2027</t>
        </is>
      </c>
      <c r="M427" s="45" t="inlineStr">
        <is>
          <t>21510 (Vinification oenologie) ; 21053 (Viticulture)</t>
        </is>
      </c>
      <c r="N427" s="50" t="inlineStr">
        <is>
          <t>NON</t>
        </is>
      </c>
      <c r="O427" s="45" t="inlineStr"/>
    </row>
    <row r="428" customFormat="1" s="3">
      <c r="A428" s="45" t="n"/>
      <c r="B428" s="46" t="inlineStr">
        <is>
          <t>21053</t>
        </is>
      </c>
      <c r="C428" s="46">
        <f>LEFT(Tableau1[[#This Row],[Formacode]],3)</f>
        <v/>
      </c>
      <c r="D428" s="47" t="n">
        <v>36773</v>
      </c>
      <c r="E428" s="48">
        <f>"RNCP"&amp;D428</f>
        <v/>
      </c>
      <c r="F428" s="48" t="inlineStr">
        <is>
          <t>BTSA - Métiers du végétal : alimentation, ornement et environnement</t>
        </is>
      </c>
      <c r="G428" s="49">
        <f>E428&amp;" - "&amp;F428</f>
        <v/>
      </c>
      <c r="H428" s="36" t="inlineStr">
        <is>
          <t>RAS</t>
        </is>
      </c>
      <c r="I428" s="45" t="inlineStr"/>
      <c r="J428" s="45" t="inlineStr">
        <is>
          <t>RNCP36773</t>
        </is>
      </c>
      <c r="K428" s="45" t="inlineStr">
        <is>
          <t>Métiers du végétal : alimentation, ornement et environnement</t>
        </is>
      </c>
      <c r="L428" s="45" t="inlineStr">
        <is>
          <t>31/08/2028</t>
        </is>
      </c>
      <c r="M428" s="45" t="inlineStr">
        <is>
          <t>21054 (Agriculture production végétale)</t>
        </is>
      </c>
      <c r="N428" s="50" t="inlineStr">
        <is>
          <t>NON</t>
        </is>
      </c>
      <c r="O428" s="45" t="inlineStr"/>
    </row>
    <row r="429" customFormat="1" s="3">
      <c r="A429" s="45" t="n"/>
      <c r="B429" s="46" t="inlineStr">
        <is>
          <t>21053</t>
        </is>
      </c>
      <c r="C429" s="46">
        <f>LEFT(Tableau1[[#This Row],[Formacode]],3)</f>
        <v/>
      </c>
      <c r="D429" s="47" t="n">
        <v>37612</v>
      </c>
      <c r="E429" s="48">
        <f>"RNCP"&amp;D429</f>
        <v/>
      </c>
      <c r="F429" s="48" t="inlineStr">
        <is>
          <t>Technicien entrepreneur en agriculture</t>
        </is>
      </c>
      <c r="G429" s="49">
        <f>E429&amp;" - "&amp;F429</f>
        <v/>
      </c>
      <c r="H429" s="36" t="inlineStr">
        <is>
          <t>RAS</t>
        </is>
      </c>
      <c r="I429" s="45" t="inlineStr"/>
      <c r="J429" s="45" t="inlineStr">
        <is>
          <t>RNCP37612</t>
        </is>
      </c>
      <c r="K429" s="45" t="inlineStr">
        <is>
          <t>Technicien entrepreneur en agriculture</t>
        </is>
      </c>
      <c r="L429" s="45" t="inlineStr">
        <is>
          <t>31/05/2028</t>
        </is>
      </c>
      <c r="M429" s="45" t="inlineStr">
        <is>
          <t>21054 (Agriculture production végétale)</t>
        </is>
      </c>
      <c r="N429" s="50" t="inlineStr">
        <is>
          <t>NON</t>
        </is>
      </c>
      <c r="O429" s="45" t="inlineStr"/>
    </row>
    <row r="430" customFormat="1" s="3">
      <c r="A430" s="45" t="n"/>
      <c r="B430" s="46" t="inlineStr">
        <is>
          <t>21053</t>
        </is>
      </c>
      <c r="C430" s="46">
        <f>LEFT(Tableau1[[#This Row],[Formacode]],3)</f>
        <v/>
      </c>
      <c r="D430" s="47" t="n">
        <v>37671</v>
      </c>
      <c r="E430" s="48">
        <f>"RNCP"&amp;D430</f>
        <v/>
      </c>
      <c r="F430" s="48" t="inlineStr">
        <is>
          <t>CAP - Tonnelier</t>
        </is>
      </c>
      <c r="G430" s="49">
        <f>E430&amp;" - "&amp;F430</f>
        <v/>
      </c>
      <c r="H430" s="36" t="inlineStr">
        <is>
          <t>RAS</t>
        </is>
      </c>
      <c r="I430" s="45" t="inlineStr"/>
      <c r="J430" s="45" t="inlineStr">
        <is>
          <t>RNCP37671</t>
        </is>
      </c>
      <c r="K430" s="45" t="inlineStr">
        <is>
          <t>Tonnelier</t>
        </is>
      </c>
      <c r="L430" s="45" t="inlineStr">
        <is>
          <t>31/08/2028</t>
        </is>
      </c>
      <c r="M430" s="45" t="inlineStr">
        <is>
          <t>21057 (Tonnellerie)</t>
        </is>
      </c>
      <c r="N430" s="50" t="inlineStr">
        <is>
          <t>NON</t>
        </is>
      </c>
      <c r="O430" s="45" t="inlineStr"/>
    </row>
    <row r="431" customFormat="1" s="3">
      <c r="A431" s="45" t="n"/>
      <c r="B431" s="46" t="inlineStr">
        <is>
          <t>21053</t>
        </is>
      </c>
      <c r="C431" s="46">
        <f>LEFT(Tableau1[[#This Row],[Formacode]],3)</f>
        <v/>
      </c>
      <c r="D431" s="47" t="n">
        <v>38077</v>
      </c>
      <c r="E431" s="48">
        <f>"RNCP"&amp;D431</f>
        <v/>
      </c>
      <c r="F431" s="48" t="inlineStr">
        <is>
          <t>BAC PRO - Conduite et gestion de l'entreprise vitivinicole</t>
        </is>
      </c>
      <c r="G431" s="49">
        <f>E431&amp;" - "&amp;F431</f>
        <v/>
      </c>
      <c r="H431" s="36" t="inlineStr">
        <is>
          <t>RAS</t>
        </is>
      </c>
      <c r="I431" s="45" t="inlineStr"/>
      <c r="J431" s="45" t="inlineStr">
        <is>
          <t>RNCP38077</t>
        </is>
      </c>
      <c r="K431" s="45" t="inlineStr">
        <is>
          <t>Conduite et gestion de l'entreprise vitivinicole</t>
        </is>
      </c>
      <c r="L431" s="45" t="inlineStr">
        <is>
          <t>01/01/2029</t>
        </is>
      </c>
      <c r="M431" s="45" t="inlineStr">
        <is>
          <t>21053 (Viticulture)</t>
        </is>
      </c>
      <c r="N431" s="50" t="inlineStr">
        <is>
          <t>NON</t>
        </is>
      </c>
      <c r="O431" s="45" t="inlineStr"/>
    </row>
    <row r="432" customFormat="1" s="3">
      <c r="A432" s="45" t="n"/>
      <c r="B432" s="46" t="inlineStr">
        <is>
          <t>21053</t>
        </is>
      </c>
      <c r="C432" s="46">
        <f>LEFT(Tableau1[[#This Row],[Formacode]],3)</f>
        <v/>
      </c>
      <c r="D432" s="47" t="n">
        <v>39068</v>
      </c>
      <c r="E432" s="48">
        <f>"RNCP"&amp;D432</f>
        <v/>
      </c>
      <c r="F432" s="48" t="inlineStr">
        <is>
          <t>BPA - Ouvrier viticole</t>
        </is>
      </c>
      <c r="G432" s="49">
        <f>E432&amp;" - "&amp;F432</f>
        <v/>
      </c>
      <c r="H432" s="36" t="inlineStr">
        <is>
          <t>RAS</t>
        </is>
      </c>
      <c r="I432" s="45" t="inlineStr"/>
      <c r="J432" s="45" t="inlineStr">
        <is>
          <t>RNCP39068</t>
        </is>
      </c>
      <c r="K432" s="45" t="inlineStr">
        <is>
          <t>Ouvrier viticole</t>
        </is>
      </c>
      <c r="L432" s="45" t="inlineStr">
        <is>
          <t>31/12/2028</t>
        </is>
      </c>
      <c r="M432" s="45" t="inlineStr">
        <is>
          <t>21053 (Viticulture)</t>
        </is>
      </c>
      <c r="N432" s="50" t="inlineStr">
        <is>
          <t>NON</t>
        </is>
      </c>
      <c r="O432" s="45" t="inlineStr"/>
    </row>
    <row r="433" customFormat="1" s="3">
      <c r="A433" s="45" t="n"/>
      <c r="B433" s="46" t="inlineStr">
        <is>
          <t>21053</t>
        </is>
      </c>
      <c r="C433" s="46">
        <f>LEFT(Tableau1[[#This Row],[Formacode]],3)</f>
        <v/>
      </c>
      <c r="D433" s="47" t="n">
        <v>40798</v>
      </c>
      <c r="E433" s="48">
        <f>"RNCP"&amp;D433</f>
        <v/>
      </c>
      <c r="F433" s="48" t="inlineStr">
        <is>
          <t>Certificat de spécialisation - Traction équine et conduite d'attelages</t>
        </is>
      </c>
      <c r="G433" s="49">
        <f>E433&amp;" - "&amp;F433</f>
        <v/>
      </c>
      <c r="H433" s="36" t="inlineStr">
        <is>
          <t>RAS</t>
        </is>
      </c>
      <c r="I433" s="45" t="inlineStr"/>
      <c r="J433" s="45" t="inlineStr">
        <is>
          <t>RNCP40798</t>
        </is>
      </c>
      <c r="K433" s="45" t="inlineStr">
        <is>
          <t>Traction équine et conduite d'attelages</t>
        </is>
      </c>
      <c r="L433" s="45" t="inlineStr">
        <is>
          <t>31/12/2030</t>
        </is>
      </c>
      <c r="M433" s="45" t="inlineStr">
        <is>
          <t>42691 (Tourisme équestre) ; 15479 (Sport équestre) ; 21053 (Viticulture) ; 21042 (Exploitation forestière) ; 31854 (Transport)</t>
        </is>
      </c>
      <c r="N433" s="50" t="inlineStr">
        <is>
          <t>NON</t>
        </is>
      </c>
      <c r="O433" s="45" t="inlineStr"/>
    </row>
    <row r="434" customFormat="1" s="3">
      <c r="A434" s="45" t="n"/>
      <c r="B434" s="46" t="inlineStr">
        <is>
          <t>21053</t>
        </is>
      </c>
      <c r="C434" s="46">
        <f>LEFT(Tableau1[[#This Row],[Formacode]],3)</f>
        <v/>
      </c>
      <c r="D434" s="47" t="n">
        <v>40852</v>
      </c>
      <c r="E434" s="48">
        <f>"RNCP"&amp;D434</f>
        <v/>
      </c>
      <c r="F434" s="48" t="inlineStr">
        <is>
          <t>CQP Agent viticole</t>
        </is>
      </c>
      <c r="G434" s="49">
        <f>E434&amp;" - "&amp;F434</f>
        <v/>
      </c>
      <c r="H434" s="36" t="inlineStr">
        <is>
          <t>RAS</t>
        </is>
      </c>
      <c r="I434" s="45" t="inlineStr"/>
      <c r="J434" s="45" t="inlineStr">
        <is>
          <t>RNCP40852</t>
        </is>
      </c>
      <c r="K434" s="45" t="inlineStr">
        <is>
          <t>CQP Agent viticole</t>
        </is>
      </c>
      <c r="L434" s="45" t="inlineStr">
        <is>
          <t>25/06/2028</t>
        </is>
      </c>
      <c r="M434" s="45" t="inlineStr">
        <is>
          <t>21053 (Viticulture) ; 21510 (Vinification oenologie)</t>
        </is>
      </c>
      <c r="N434" s="50" t="inlineStr">
        <is>
          <t>NON</t>
        </is>
      </c>
      <c r="O434" s="45" t="inlineStr"/>
    </row>
    <row r="435" customFormat="1" s="3">
      <c r="A435" s="45" t="n"/>
      <c r="B435" s="46" t="inlineStr">
        <is>
          <t>21053</t>
        </is>
      </c>
      <c r="C435" s="46">
        <f>LEFT(Tableau1[[#This Row],[Formacode]],3)</f>
        <v/>
      </c>
      <c r="D435" s="47" t="n">
        <v>40925</v>
      </c>
      <c r="E435" s="48">
        <f>"RNCP"&amp;D435</f>
        <v/>
      </c>
      <c r="F435" s="48" t="inlineStr">
        <is>
          <t>CQP Tractoriste agricole</t>
        </is>
      </c>
      <c r="G435" s="49">
        <f>E435&amp;" - "&amp;F435</f>
        <v/>
      </c>
      <c r="H435" s="36" t="inlineStr">
        <is>
          <t>RAS</t>
        </is>
      </c>
      <c r="I435" s="45" t="inlineStr"/>
      <c r="J435" s="45" t="inlineStr">
        <is>
          <t>RNCP40925</t>
        </is>
      </c>
      <c r="K435" s="45" t="inlineStr">
        <is>
          <t>CQP Tractoriste agricole</t>
        </is>
      </c>
      <c r="L435" s="45" t="inlineStr">
        <is>
          <t>25/06/2028</t>
        </is>
      </c>
      <c r="M435" s="45" t="inlineStr">
        <is>
          <t>21011 (Machinisme agricole) ; 21055 (Machinisme viticole)</t>
        </is>
      </c>
      <c r="N435" s="50" t="inlineStr">
        <is>
          <t>NON</t>
        </is>
      </c>
      <c r="O435" s="45" t="inlineStr"/>
    </row>
    <row r="436" customFormat="1" s="3">
      <c r="A436" s="45" t="n"/>
      <c r="B436" s="46" t="inlineStr">
        <is>
          <t>21056</t>
        </is>
      </c>
      <c r="C436" s="46">
        <f>LEFT(Tableau1[[#This Row],[Formacode]],3)</f>
        <v/>
      </c>
      <c r="D436" s="47" t="n">
        <v>36773</v>
      </c>
      <c r="E436" s="48">
        <f>"RNCP"&amp;D436</f>
        <v/>
      </c>
      <c r="F436" s="48" t="inlineStr">
        <is>
          <t>BTSA - Métiers du végétal : alimentation, ornement et environnement</t>
        </is>
      </c>
      <c r="G436" s="49">
        <f>E436&amp;" - "&amp;F436</f>
        <v/>
      </c>
      <c r="H436" s="36" t="inlineStr">
        <is>
          <t>RAS</t>
        </is>
      </c>
      <c r="I436" s="45" t="inlineStr"/>
      <c r="J436" s="45" t="inlineStr">
        <is>
          <t>RNCP36773</t>
        </is>
      </c>
      <c r="K436" s="45" t="inlineStr">
        <is>
          <t>Métiers du végétal : alimentation, ornement et environnement</t>
        </is>
      </c>
      <c r="L436" s="45" t="inlineStr">
        <is>
          <t>31/08/2028</t>
        </is>
      </c>
      <c r="M436" s="45" t="inlineStr">
        <is>
          <t>21054 (Agriculture production végétale)</t>
        </is>
      </c>
      <c r="N436" s="50" t="inlineStr">
        <is>
          <t>NON</t>
        </is>
      </c>
      <c r="O436" s="45" t="inlineStr"/>
    </row>
    <row r="437" customFormat="1" s="3">
      <c r="A437" s="45" t="n"/>
      <c r="B437" s="46" t="inlineStr">
        <is>
          <t>21056</t>
        </is>
      </c>
      <c r="C437" s="46">
        <f>LEFT(Tableau1[[#This Row],[Formacode]],3)</f>
        <v/>
      </c>
      <c r="D437" s="47" t="n">
        <v>37148</v>
      </c>
      <c r="E437" s="48">
        <f>"RNCP"&amp;D437</f>
        <v/>
      </c>
      <c r="F437" s="48" t="inlineStr">
        <is>
          <t>CQP Enseignant activités équestres</t>
        </is>
      </c>
      <c r="G437" s="49">
        <f>E437&amp;" - "&amp;F437</f>
        <v/>
      </c>
      <c r="H437" s="36" t="inlineStr">
        <is>
          <t>RAS</t>
        </is>
      </c>
      <c r="I437" s="45" t="inlineStr"/>
      <c r="J437" s="45" t="inlineStr">
        <is>
          <t>RNCP37148</t>
        </is>
      </c>
      <c r="K437" s="45" t="inlineStr">
        <is>
          <t>CQP Enseignant activités équestres</t>
        </is>
      </c>
      <c r="L437" s="45" t="inlineStr">
        <is>
          <t>14/12/2027</t>
        </is>
      </c>
      <c r="M437" s="45" t="inlineStr">
        <is>
          <t>15436 (Éducation sportive) ; 21099 (Soin cheval) ; 15479 (Sport équestre)</t>
        </is>
      </c>
      <c r="N437" s="50" t="inlineStr">
        <is>
          <t>NON</t>
        </is>
      </c>
      <c r="O437" s="45" t="inlineStr"/>
    </row>
    <row r="438" customFormat="1" s="3">
      <c r="A438" s="45" t="n"/>
      <c r="B438" s="46" t="inlineStr">
        <is>
          <t>21056</t>
        </is>
      </c>
      <c r="C438" s="46">
        <f>LEFT(Tableau1[[#This Row],[Formacode]],3)</f>
        <v/>
      </c>
      <c r="D438" s="47" t="n">
        <v>37612</v>
      </c>
      <c r="E438" s="48">
        <f>"RNCP"&amp;D438</f>
        <v/>
      </c>
      <c r="F438" s="48" t="inlineStr">
        <is>
          <t>Technicien entrepreneur en agriculture</t>
        </is>
      </c>
      <c r="G438" s="49">
        <f>E438&amp;" - "&amp;F438</f>
        <v/>
      </c>
      <c r="H438" s="36" t="inlineStr">
        <is>
          <t>RAS</t>
        </is>
      </c>
      <c r="I438" s="45" t="inlineStr"/>
      <c r="J438" s="45" t="inlineStr">
        <is>
          <t>RNCP37612</t>
        </is>
      </c>
      <c r="K438" s="45" t="inlineStr">
        <is>
          <t>Technicien entrepreneur en agriculture</t>
        </is>
      </c>
      <c r="L438" s="45" t="inlineStr">
        <is>
          <t>31/05/2028</t>
        </is>
      </c>
      <c r="M438" s="45" t="inlineStr">
        <is>
          <t>21054 (Agriculture production végétale)</t>
        </is>
      </c>
      <c r="N438" s="50" t="inlineStr">
        <is>
          <t>NON</t>
        </is>
      </c>
      <c r="O438" s="45" t="inlineStr"/>
    </row>
    <row r="439" customFormat="1" s="3">
      <c r="A439" s="45" t="n"/>
      <c r="B439" s="46" t="inlineStr">
        <is>
          <t>21056</t>
        </is>
      </c>
      <c r="C439" s="46">
        <f>LEFT(Tableau1[[#This Row],[Formacode]],3)</f>
        <v/>
      </c>
      <c r="D439" s="47" t="n">
        <v>37806</v>
      </c>
      <c r="E439" s="48">
        <f>"RNCP"&amp;D439</f>
        <v/>
      </c>
      <c r="F439" s="48" t="inlineStr">
        <is>
          <t>CQP Opérateur de couvoir</t>
        </is>
      </c>
      <c r="G439" s="49">
        <f>E439&amp;" - "&amp;F439</f>
        <v/>
      </c>
      <c r="H439" s="36" t="inlineStr">
        <is>
          <t>RAS</t>
        </is>
      </c>
      <c r="I439" s="45" t="inlineStr"/>
      <c r="J439" s="45" t="inlineStr">
        <is>
          <t>RNCP37806</t>
        </is>
      </c>
      <c r="K439" s="45" t="inlineStr">
        <is>
          <t>CQP Opérateur de couvoir</t>
        </is>
      </c>
      <c r="L439" s="45" t="inlineStr">
        <is>
          <t>19/07/2028</t>
        </is>
      </c>
      <c r="M439" s="45" t="inlineStr">
        <is>
          <t>21058 (Aviculture)</t>
        </is>
      </c>
      <c r="N439" s="50" t="inlineStr">
        <is>
          <t>NON</t>
        </is>
      </c>
      <c r="O439" s="45" t="inlineStr"/>
    </row>
    <row r="440" customFormat="1" s="3">
      <c r="A440" s="45" t="n"/>
      <c r="B440" s="46" t="inlineStr">
        <is>
          <t>21056</t>
        </is>
      </c>
      <c r="C440" s="46">
        <f>LEFT(Tableau1[[#This Row],[Formacode]],3)</f>
        <v/>
      </c>
      <c r="D440" s="47" t="n">
        <v>38076</v>
      </c>
      <c r="E440" s="48">
        <f>"RNCP"&amp;D440</f>
        <v/>
      </c>
      <c r="F440" s="48" t="inlineStr">
        <is>
          <t>BAC PRO - Conduite et gestion de l'entreprise hippique</t>
        </is>
      </c>
      <c r="G440" s="49">
        <f>E440&amp;" - "&amp;F440</f>
        <v/>
      </c>
      <c r="H440" s="36" t="inlineStr">
        <is>
          <t>RAS</t>
        </is>
      </c>
      <c r="I440" s="45" t="inlineStr"/>
      <c r="J440" s="45" t="inlineStr">
        <is>
          <t>RNCP38076</t>
        </is>
      </c>
      <c r="K440" s="45" t="inlineStr">
        <is>
          <t>Conduite et gestion de l'entreprise hippique</t>
        </is>
      </c>
      <c r="L440" s="45" t="inlineStr">
        <is>
          <t>01/01/2029</t>
        </is>
      </c>
      <c r="M440" s="45" t="inlineStr">
        <is>
          <t>21088 (Élevage équin) ; 15479 (Sport équestre)</t>
        </is>
      </c>
      <c r="N440" s="50" t="inlineStr">
        <is>
          <t>NON</t>
        </is>
      </c>
      <c r="O440" s="45" t="inlineStr"/>
    </row>
    <row r="441" customFormat="1" s="3">
      <c r="A441" s="45" t="n"/>
      <c r="B441" s="46" t="inlineStr">
        <is>
          <t>21056</t>
        </is>
      </c>
      <c r="C441" s="46">
        <f>LEFT(Tableau1[[#This Row],[Formacode]],3)</f>
        <v/>
      </c>
      <c r="D441" s="47" t="n">
        <v>38316</v>
      </c>
      <c r="E441" s="48">
        <f>"RNCP"&amp;D441</f>
        <v/>
      </c>
      <c r="F441" s="48" t="inlineStr">
        <is>
          <t>BAC PRO - Conduite et gestion de l'entreprise agricole</t>
        </is>
      </c>
      <c r="G441" s="49">
        <f>E441&amp;" - "&amp;F441</f>
        <v/>
      </c>
      <c r="H441" s="36" t="inlineStr">
        <is>
          <t>RAS</t>
        </is>
      </c>
      <c r="I441" s="45" t="inlineStr"/>
      <c r="J441" s="45" t="inlineStr">
        <is>
          <t>RNCP38316</t>
        </is>
      </c>
      <c r="K441" s="45" t="inlineStr">
        <is>
          <t>Conduite et gestion de l'entreprise agricole</t>
        </is>
      </c>
      <c r="L441" s="45" t="inlineStr">
        <is>
          <t>01/01/2029</t>
        </is>
      </c>
      <c r="M441" s="45" t="inlineStr">
        <is>
          <t>21052 (Gestion exploitation agricole) ; 21056 (Élevage)</t>
        </is>
      </c>
      <c r="N441" s="50" t="inlineStr">
        <is>
          <t>NON</t>
        </is>
      </c>
      <c r="O441" s="45" t="inlineStr"/>
    </row>
    <row r="442" customFormat="1" s="3">
      <c r="A442" s="45" t="n"/>
      <c r="B442" s="46" t="inlineStr">
        <is>
          <t>21056</t>
        </is>
      </c>
      <c r="C442" s="46">
        <f>LEFT(Tableau1[[#This Row],[Formacode]],3)</f>
        <v/>
      </c>
      <c r="D442" s="47" t="n">
        <v>38329</v>
      </c>
      <c r="E442" s="48">
        <f>"RNCP"&amp;D442</f>
        <v/>
      </c>
      <c r="F442" s="48" t="inlineStr">
        <is>
          <t>CS - Apiculture</t>
        </is>
      </c>
      <c r="G442" s="49">
        <f>E442&amp;" - "&amp;F442</f>
        <v/>
      </c>
      <c r="H442" s="36" t="inlineStr">
        <is>
          <t>RAS</t>
        </is>
      </c>
      <c r="I442" s="45" t="inlineStr"/>
      <c r="J442" s="45" t="inlineStr">
        <is>
          <t>RNCP38329</t>
        </is>
      </c>
      <c r="K442" s="45" t="inlineStr">
        <is>
          <t>Apiculture</t>
        </is>
      </c>
      <c r="L442" s="45" t="inlineStr">
        <is>
          <t>01/01/2029</t>
        </is>
      </c>
      <c r="M442" s="45" t="inlineStr">
        <is>
          <t>21049 (Apiculture)</t>
        </is>
      </c>
      <c r="N442" s="50" t="inlineStr">
        <is>
          <t>NON</t>
        </is>
      </c>
      <c r="O442" s="45" t="inlineStr"/>
    </row>
    <row r="443" customFormat="1" s="3">
      <c r="A443" s="45" t="n"/>
      <c r="B443" s="46" t="inlineStr">
        <is>
          <t>21056</t>
        </is>
      </c>
      <c r="C443" s="46">
        <f>LEFT(Tableau1[[#This Row],[Formacode]],3)</f>
        <v/>
      </c>
      <c r="D443" s="47" t="n">
        <v>38330</v>
      </c>
      <c r="E443" s="48">
        <f>"RNCP"&amp;D443</f>
        <v/>
      </c>
      <c r="F443" s="48" t="inlineStr">
        <is>
          <t>CS - Conduite d'un élevage ovin viande</t>
        </is>
      </c>
      <c r="G443" s="49">
        <f>E443&amp;" - "&amp;F443</f>
        <v/>
      </c>
      <c r="H443" s="36" t="inlineStr">
        <is>
          <t>RAS</t>
        </is>
      </c>
      <c r="I443" s="45" t="inlineStr"/>
      <c r="J443" s="45" t="inlineStr">
        <is>
          <t>RNCP38330</t>
        </is>
      </c>
      <c r="K443" s="45" t="inlineStr">
        <is>
          <t>Conduite d'un élevage ovin viande</t>
        </is>
      </c>
      <c r="L443" s="45" t="inlineStr">
        <is>
          <t>01/01/2029</t>
        </is>
      </c>
      <c r="M443" s="45" t="inlineStr">
        <is>
          <t>21075 (Élevage ovin)</t>
        </is>
      </c>
      <c r="N443" s="50" t="inlineStr">
        <is>
          <t>NON</t>
        </is>
      </c>
      <c r="O443" s="45" t="inlineStr"/>
    </row>
    <row r="444" customFormat="1" s="3">
      <c r="A444" s="45" t="n"/>
      <c r="B444" s="46" t="inlineStr">
        <is>
          <t>21056</t>
        </is>
      </c>
      <c r="C444" s="46">
        <f>LEFT(Tableau1[[#This Row],[Formacode]],3)</f>
        <v/>
      </c>
      <c r="D444" s="47" t="n">
        <v>38331</v>
      </c>
      <c r="E444" s="48">
        <f>"RNCP"&amp;D444</f>
        <v/>
      </c>
      <c r="F444" s="48" t="inlineStr">
        <is>
          <t>CS - Conduite d'un élevage porcin</t>
        </is>
      </c>
      <c r="G444" s="49">
        <f>E444&amp;" - "&amp;F444</f>
        <v/>
      </c>
      <c r="H444" s="36" t="inlineStr">
        <is>
          <t>RAS</t>
        </is>
      </c>
      <c r="I444" s="45" t="inlineStr"/>
      <c r="J444" s="45" t="inlineStr">
        <is>
          <t>RNCP38331</t>
        </is>
      </c>
      <c r="K444" s="45" t="inlineStr">
        <is>
          <t>Conduite d'un élevage porcin</t>
        </is>
      </c>
      <c r="L444" s="45" t="inlineStr">
        <is>
          <t>01/01/2029</t>
        </is>
      </c>
      <c r="M444" s="45" t="inlineStr">
        <is>
          <t>21097 (Élevage porcin)</t>
        </is>
      </c>
      <c r="N444" s="50" t="inlineStr">
        <is>
          <t>NON</t>
        </is>
      </c>
      <c r="O444" s="45" t="inlineStr"/>
    </row>
    <row r="445" customFormat="1" s="3">
      <c r="A445" s="45" t="n"/>
      <c r="B445" s="46" t="inlineStr">
        <is>
          <t>21056</t>
        </is>
      </c>
      <c r="C445" s="46">
        <f>LEFT(Tableau1[[#This Row],[Formacode]],3)</f>
        <v/>
      </c>
      <c r="D445" s="47" t="n">
        <v>38332</v>
      </c>
      <c r="E445" s="48">
        <f>"RNCP"&amp;D445</f>
        <v/>
      </c>
      <c r="F445" s="48" t="inlineStr">
        <is>
          <t>CS - Conduite d’un élevage bovin lait</t>
        </is>
      </c>
      <c r="G445" s="49">
        <f>E445&amp;" - "&amp;F445</f>
        <v/>
      </c>
      <c r="H445" s="36" t="inlineStr">
        <is>
          <t>RAS</t>
        </is>
      </c>
      <c r="I445" s="45" t="inlineStr"/>
      <c r="J445" s="45" t="inlineStr">
        <is>
          <t>RNCP38332</t>
        </is>
      </c>
      <c r="K445" s="45" t="inlineStr">
        <is>
          <t>Conduite d’un élevage bovin lait</t>
        </is>
      </c>
      <c r="L445" s="45" t="inlineStr">
        <is>
          <t>01/01/2029</t>
        </is>
      </c>
      <c r="M445" s="45" t="inlineStr">
        <is>
          <t>21085 (Élevage laitier)</t>
        </is>
      </c>
      <c r="N445" s="50" t="inlineStr">
        <is>
          <t>NON</t>
        </is>
      </c>
      <c r="O445" s="45" t="inlineStr"/>
    </row>
    <row r="446" customFormat="1" s="3">
      <c r="A446" s="45" t="n"/>
      <c r="B446" s="46" t="inlineStr">
        <is>
          <t>21056</t>
        </is>
      </c>
      <c r="C446" s="46">
        <f>LEFT(Tableau1[[#This Row],[Formacode]],3)</f>
        <v/>
      </c>
      <c r="D446" s="47" t="n">
        <v>38333</v>
      </c>
      <c r="E446" s="48">
        <f>"RNCP"&amp;D446</f>
        <v/>
      </c>
      <c r="F446" s="48" t="inlineStr">
        <is>
          <t>CS - Conduite d’un élevage bovin viande</t>
        </is>
      </c>
      <c r="G446" s="49">
        <f>E446&amp;" - "&amp;F446</f>
        <v/>
      </c>
      <c r="H446" s="36" t="inlineStr">
        <is>
          <t>RAS</t>
        </is>
      </c>
      <c r="I446" s="45" t="inlineStr"/>
      <c r="J446" s="45" t="inlineStr">
        <is>
          <t>RNCP38333</t>
        </is>
      </c>
      <c r="K446" s="45" t="inlineStr">
        <is>
          <t>Conduite d’un élevage bovin viande</t>
        </is>
      </c>
      <c r="L446" s="45" t="inlineStr">
        <is>
          <t>01/01/2029</t>
        </is>
      </c>
      <c r="M446" s="45" t="inlineStr">
        <is>
          <t>21078 (Élevage bovin)</t>
        </is>
      </c>
      <c r="N446" s="50" t="inlineStr">
        <is>
          <t>NON</t>
        </is>
      </c>
      <c r="O446" s="45" t="inlineStr"/>
    </row>
    <row r="447" customFormat="1" s="3">
      <c r="A447" s="45" t="n"/>
      <c r="B447" s="46" t="inlineStr">
        <is>
          <t>21056</t>
        </is>
      </c>
      <c r="C447" s="46">
        <f>LEFT(Tableau1[[#This Row],[Formacode]],3)</f>
        <v/>
      </c>
      <c r="D447" s="47" t="n">
        <v>38335</v>
      </c>
      <c r="E447" s="48">
        <f>"RNCP"&amp;D447</f>
        <v/>
      </c>
      <c r="F447" s="48" t="inlineStr">
        <is>
          <t>CS - Conduite d’un élevage caprin</t>
        </is>
      </c>
      <c r="G447" s="49">
        <f>E447&amp;" - "&amp;F447</f>
        <v/>
      </c>
      <c r="H447" s="36" t="inlineStr">
        <is>
          <t>RAS</t>
        </is>
      </c>
      <c r="I447" s="45" t="inlineStr"/>
      <c r="J447" s="45" t="inlineStr">
        <is>
          <t>RNCP38335</t>
        </is>
      </c>
      <c r="K447" s="45" t="inlineStr">
        <is>
          <t>Conduite d’un élevage caprin</t>
        </is>
      </c>
      <c r="L447" s="45" t="inlineStr">
        <is>
          <t>01/01/2029</t>
        </is>
      </c>
      <c r="M447" s="45" t="inlineStr">
        <is>
          <t>21086 (Élevage caprin)</t>
        </is>
      </c>
      <c r="N447" s="50" t="inlineStr">
        <is>
          <t>NON</t>
        </is>
      </c>
      <c r="O447" s="45" t="inlineStr"/>
    </row>
    <row r="448" customFormat="1" s="3">
      <c r="A448" s="45" t="n"/>
      <c r="B448" s="46" t="inlineStr">
        <is>
          <t>21056</t>
        </is>
      </c>
      <c r="C448" s="46">
        <f>LEFT(Tableau1[[#This Row],[Formacode]],3)</f>
        <v/>
      </c>
      <c r="D448" s="47" t="n">
        <v>38387</v>
      </c>
      <c r="E448" s="48">
        <f>"RNCP"&amp;D448</f>
        <v/>
      </c>
      <c r="F448" s="48" t="inlineStr">
        <is>
          <t>CAPA - Lad-cavalier d'entraînement</t>
        </is>
      </c>
      <c r="G448" s="49">
        <f>E448&amp;" - "&amp;F448</f>
        <v/>
      </c>
      <c r="H448" s="36" t="inlineStr">
        <is>
          <t>RAS</t>
        </is>
      </c>
      <c r="I448" s="45" t="inlineStr"/>
      <c r="J448" s="45" t="inlineStr">
        <is>
          <t>RNCP38387</t>
        </is>
      </c>
      <c r="K448" s="45" t="inlineStr">
        <is>
          <t>Lad-cavalier d'entraînement</t>
        </is>
      </c>
      <c r="L448" s="45" t="inlineStr">
        <is>
          <t>31/12/2028</t>
        </is>
      </c>
      <c r="M448" s="45" t="inlineStr">
        <is>
          <t>21099 (Soin cheval) ; 15479 (Sport équestre)</t>
        </is>
      </c>
      <c r="N448" s="50" t="inlineStr">
        <is>
          <t>NON</t>
        </is>
      </c>
      <c r="O448" s="45" t="inlineStr"/>
    </row>
    <row r="449" customFormat="1" s="3">
      <c r="A449" s="45" t="n"/>
      <c r="B449" s="46" t="inlineStr">
        <is>
          <t>21056</t>
        </is>
      </c>
      <c r="C449" s="46">
        <f>LEFT(Tableau1[[#This Row],[Formacode]],3)</f>
        <v/>
      </c>
      <c r="D449" s="47" t="n">
        <v>38388</v>
      </c>
      <c r="E449" s="48">
        <f>"RNCP"&amp;D449</f>
        <v/>
      </c>
      <c r="F449" s="48" t="inlineStr">
        <is>
          <t>CAPA - Maréchal-ferrant</t>
        </is>
      </c>
      <c r="G449" s="49">
        <f>E449&amp;" - "&amp;F449</f>
        <v/>
      </c>
      <c r="H449" s="36" t="inlineStr">
        <is>
          <t>RAS</t>
        </is>
      </c>
      <c r="I449" s="45" t="inlineStr"/>
      <c r="J449" s="45" t="inlineStr">
        <is>
          <t>RNCP38388</t>
        </is>
      </c>
      <c r="K449" s="45" t="inlineStr">
        <is>
          <t>Maréchal-ferrant</t>
        </is>
      </c>
      <c r="L449" s="45" t="inlineStr">
        <is>
          <t>31/12/2028</t>
        </is>
      </c>
      <c r="M449" s="45" t="inlineStr">
        <is>
          <t>21089 (Maréchalerie) ; 21099 (Soin cheval)</t>
        </is>
      </c>
      <c r="N449" s="50" t="inlineStr">
        <is>
          <t>NON</t>
        </is>
      </c>
      <c r="O449" s="45" t="inlineStr"/>
    </row>
    <row r="450" customFormat="1" s="3">
      <c r="A450" s="45" t="n"/>
      <c r="B450" s="46" t="inlineStr">
        <is>
          <t>21056</t>
        </is>
      </c>
      <c r="C450" s="46">
        <f>LEFT(Tableau1[[#This Row],[Formacode]],3)</f>
        <v/>
      </c>
      <c r="D450" s="47" t="n">
        <v>38389</v>
      </c>
      <c r="E450" s="48">
        <f>"RNCP"&amp;D450</f>
        <v/>
      </c>
      <c r="F450" s="48" t="inlineStr">
        <is>
          <t>CAPA - Palefrenier soigneur</t>
        </is>
      </c>
      <c r="G450" s="49">
        <f>E450&amp;" - "&amp;F450</f>
        <v/>
      </c>
      <c r="H450" s="36" t="inlineStr">
        <is>
          <t>RAS</t>
        </is>
      </c>
      <c r="I450" s="45" t="inlineStr"/>
      <c r="J450" s="45" t="inlineStr">
        <is>
          <t>RNCP38389</t>
        </is>
      </c>
      <c r="K450" s="45" t="inlineStr">
        <is>
          <t>Palefrenier soigneur</t>
        </is>
      </c>
      <c r="L450" s="45" t="inlineStr">
        <is>
          <t>31/12/2028</t>
        </is>
      </c>
      <c r="M450" s="45" t="inlineStr">
        <is>
          <t>21088 (Élevage équin)</t>
        </is>
      </c>
      <c r="N450" s="50" t="inlineStr">
        <is>
          <t>NON</t>
        </is>
      </c>
      <c r="O450" s="45" t="inlineStr"/>
    </row>
    <row r="451" customFormat="1" s="3">
      <c r="A451" s="45" t="n"/>
      <c r="B451" s="46" t="inlineStr">
        <is>
          <t>21056</t>
        </is>
      </c>
      <c r="C451" s="46">
        <f>LEFT(Tableau1[[#This Row],[Formacode]],3)</f>
        <v/>
      </c>
      <c r="D451" s="47" t="n">
        <v>38854</v>
      </c>
      <c r="E451" s="48">
        <f>"RNCP"&amp;D451</f>
        <v/>
      </c>
      <c r="F451" s="48" t="inlineStr">
        <is>
          <t>CAPA - Agricultures des régions chaudes</t>
        </is>
      </c>
      <c r="G451" s="49">
        <f>E451&amp;" - "&amp;F451</f>
        <v/>
      </c>
      <c r="H451" s="36" t="inlineStr">
        <is>
          <t>RAS</t>
        </is>
      </c>
      <c r="I451" s="45" t="inlineStr"/>
      <c r="J451" s="45" t="inlineStr">
        <is>
          <t>RNCP38854</t>
        </is>
      </c>
      <c r="K451" s="45" t="inlineStr">
        <is>
          <t>Agricultures des régions chaudes</t>
        </is>
      </c>
      <c r="L451" s="45" t="inlineStr">
        <is>
          <t>01/01/2029</t>
        </is>
      </c>
      <c r="M451" s="45" t="inlineStr">
        <is>
          <t>21002 (Agronomie tropicale) ; 21056 (Élevage) ; 21027 (Horticulture) ; 21040 (Polyculture)</t>
        </is>
      </c>
      <c r="N451" s="50" t="inlineStr">
        <is>
          <t>NON</t>
        </is>
      </c>
      <c r="O451" s="45" t="inlineStr"/>
    </row>
    <row r="452" customFormat="1" s="3">
      <c r="A452" s="45" t="n"/>
      <c r="B452" s="46" t="inlineStr">
        <is>
          <t>21056</t>
        </is>
      </c>
      <c r="C452" s="46">
        <f>LEFT(Tableau1[[#This Row],[Formacode]],3)</f>
        <v/>
      </c>
      <c r="D452" s="47" t="n">
        <v>39065</v>
      </c>
      <c r="E452" s="48">
        <f>"RNCP"&amp;D452</f>
        <v/>
      </c>
      <c r="F452" s="48" t="inlineStr">
        <is>
          <t>BPA - ouvrier d'élevage de ruminants et de cultures fourragères</t>
        </is>
      </c>
      <c r="G452" s="49">
        <f>E452&amp;" - "&amp;F452</f>
        <v/>
      </c>
      <c r="H452" s="36" t="inlineStr">
        <is>
          <t>RAS</t>
        </is>
      </c>
      <c r="I452" s="45" t="inlineStr"/>
      <c r="J452" s="45" t="inlineStr">
        <is>
          <t>RNCP39065</t>
        </is>
      </c>
      <c r="K452" s="45" t="inlineStr">
        <is>
          <t>ouvrier d'élevage de ruminants et de cultures fourragères</t>
        </is>
      </c>
      <c r="L452" s="45" t="inlineStr">
        <is>
          <t>31/12/2028</t>
        </is>
      </c>
      <c r="M452" s="45" t="inlineStr">
        <is>
          <t>21040 (Polyculture) ; 21078 (Élevage bovin) ; 21086 (Élevage caprin) ; 21075 (Élevage ovin) ; 21085 (Élevage laitier)</t>
        </is>
      </c>
      <c r="N452" s="50" t="inlineStr">
        <is>
          <t>NON</t>
        </is>
      </c>
      <c r="O452" s="45" t="inlineStr"/>
    </row>
    <row r="453" customFormat="1" s="3">
      <c r="A453" s="51" t="n"/>
      <c r="B453" s="52" t="inlineStr">
        <is>
          <t>21056</t>
        </is>
      </c>
      <c r="C453" s="52">
        <f>LEFT(Tableau1[[#This Row],[Formacode]],3)</f>
        <v/>
      </c>
      <c r="D453" s="53" t="n">
        <v>39679</v>
      </c>
      <c r="E453" s="54">
        <f>"RNCP"&amp;D453</f>
        <v/>
      </c>
      <c r="F453" s="54" t="inlineStr">
        <is>
          <t>CS - Education et travail des jeunes équidés</t>
        </is>
      </c>
      <c r="G453" s="55">
        <f>E453&amp;" - "&amp;F453</f>
        <v/>
      </c>
      <c r="H453" s="37" t="inlineStr">
        <is>
          <t>À vérifier</t>
        </is>
      </c>
      <c r="I453" s="51" t="inlineStr">
        <is>
          <t>Successeur déjà publié : RNCP42019 (Education et travail des jeunes équidés) — préparer la bascule de l'offre CPF | Échéance le 31/08/2026 (dans 44 j)</t>
        </is>
      </c>
      <c r="J453" s="51" t="inlineStr">
        <is>
          <t>RNCP42019</t>
        </is>
      </c>
      <c r="K453" s="51" t="inlineStr">
        <is>
          <t>Education et travail des jeunes équidés</t>
        </is>
      </c>
      <c r="L453" s="51" t="inlineStr">
        <is>
          <t>31/08/2026</t>
        </is>
      </c>
      <c r="M453" s="51" t="inlineStr">
        <is>
          <t>21088 (Élevage équin)</t>
        </is>
      </c>
      <c r="N453" s="62" t="inlineStr">
        <is>
          <t>NON</t>
        </is>
      </c>
      <c r="O453" s="51" t="inlineStr"/>
    </row>
    <row r="454" customFormat="1" s="3">
      <c r="A454" s="45" t="n"/>
      <c r="B454" s="46" t="inlineStr">
        <is>
          <t>21056</t>
        </is>
      </c>
      <c r="C454" s="46">
        <f>LEFT(Tableau1[[#This Row],[Formacode]],3)</f>
        <v/>
      </c>
      <c r="D454" s="47" t="n">
        <v>39683</v>
      </c>
      <c r="E454" s="48">
        <f>"RNCP"&amp;D454</f>
        <v/>
      </c>
      <c r="F454" s="48" t="inlineStr">
        <is>
          <t>CS - Conduite d’un élevage de production avicole</t>
        </is>
      </c>
      <c r="G454" s="49">
        <f>E454&amp;" - "&amp;F454</f>
        <v/>
      </c>
      <c r="H454" s="36" t="inlineStr">
        <is>
          <t>RAS</t>
        </is>
      </c>
      <c r="I454" s="45" t="inlineStr"/>
      <c r="J454" s="45" t="inlineStr">
        <is>
          <t>RNCP39683</t>
        </is>
      </c>
      <c r="K454" s="45" t="inlineStr">
        <is>
          <t>Conduite d’un élevage de production avicole</t>
        </is>
      </c>
      <c r="L454" s="45" t="inlineStr">
        <is>
          <t>31/12/2029</t>
        </is>
      </c>
      <c r="M454" s="45" t="inlineStr">
        <is>
          <t>21058 (Aviculture) ; 21551 (Commercialisation agroalimentaire)</t>
        </is>
      </c>
      <c r="N454" s="50" t="inlineStr">
        <is>
          <t>NON</t>
        </is>
      </c>
      <c r="O454" s="45" t="inlineStr"/>
    </row>
    <row r="455" customFormat="1" s="3">
      <c r="A455" s="45" t="n"/>
      <c r="B455" s="46" t="inlineStr">
        <is>
          <t>21056</t>
        </is>
      </c>
      <c r="C455" s="46">
        <f>LEFT(Tableau1[[#This Row],[Formacode]],3)</f>
        <v/>
      </c>
      <c r="D455" s="47" t="n">
        <v>39685</v>
      </c>
      <c r="E455" s="48">
        <f>"RNCP"&amp;D455</f>
        <v/>
      </c>
      <c r="F455" s="48" t="inlineStr">
        <is>
          <t>BTSA - Métiers de l'élevage : développement, production, conseil</t>
        </is>
      </c>
      <c r="G455" s="49">
        <f>E455&amp;" - "&amp;F455</f>
        <v/>
      </c>
      <c r="H455" s="36" t="inlineStr">
        <is>
          <t>RAS</t>
        </is>
      </c>
      <c r="I455" s="45" t="inlineStr"/>
      <c r="J455" s="45" t="inlineStr">
        <is>
          <t>RNCP39685</t>
        </is>
      </c>
      <c r="K455" s="45" t="inlineStr">
        <is>
          <t>Métiers de l'élevage : développement, production, conseil</t>
        </is>
      </c>
      <c r="L455" s="45" t="inlineStr">
        <is>
          <t>31/08/2030</t>
        </is>
      </c>
      <c r="M455" s="45" t="inlineStr">
        <is>
          <t>21056 (Élevage)</t>
        </is>
      </c>
      <c r="N455" s="50" t="inlineStr">
        <is>
          <t>NON</t>
        </is>
      </c>
      <c r="O455" s="45" t="inlineStr"/>
    </row>
    <row r="456" customFormat="1" s="3">
      <c r="A456" s="45" t="n"/>
      <c r="B456" s="46" t="inlineStr">
        <is>
          <t>21056</t>
        </is>
      </c>
      <c r="C456" s="46">
        <f>LEFT(Tableau1[[#This Row],[Formacode]],3)</f>
        <v/>
      </c>
      <c r="D456" s="47" t="n">
        <v>39836</v>
      </c>
      <c r="E456" s="48">
        <f>"RNCP"&amp;D456</f>
        <v/>
      </c>
      <c r="F456" s="48" t="inlineStr">
        <is>
          <t>BTSA - ACS'AGRI : Analyse, Conduite et Stratégie de l'entreprise Agricole</t>
        </is>
      </c>
      <c r="G456" s="49">
        <f>E456&amp;" - "&amp;F456</f>
        <v/>
      </c>
      <c r="H456" s="36" t="inlineStr">
        <is>
          <t>RAS</t>
        </is>
      </c>
      <c r="I456" s="45" t="inlineStr"/>
      <c r="J456" s="45" t="inlineStr">
        <is>
          <t>RNCP39836</t>
        </is>
      </c>
      <c r="K456" s="45" t="inlineStr">
        <is>
          <t>ACS'AGRI : Analyse, Conduite et Stratégie de l'entreprise Agricole</t>
        </is>
      </c>
      <c r="L456" s="45" t="inlineStr">
        <is>
          <t>01/08/2030</t>
        </is>
      </c>
      <c r="M456" s="45" t="inlineStr">
        <is>
          <t>21052 (Gestion exploitation agricole) ; 32047 (Création entreprise) ; 12598 (Environnement agriculture) ; 21056 (Élevage)</t>
        </is>
      </c>
      <c r="N456" s="50" t="inlineStr">
        <is>
          <t>NON</t>
        </is>
      </c>
      <c r="O456" s="45" t="inlineStr"/>
    </row>
    <row r="457" customFormat="1" s="3">
      <c r="A457" s="45" t="n"/>
      <c r="B457" s="46" t="inlineStr">
        <is>
          <t>21056</t>
        </is>
      </c>
      <c r="C457" s="46">
        <f>LEFT(Tableau1[[#This Row],[Formacode]],3)</f>
        <v/>
      </c>
      <c r="D457" s="47" t="n">
        <v>40169</v>
      </c>
      <c r="E457" s="48">
        <f>"RNCP"&amp;D457</f>
        <v/>
      </c>
      <c r="F457" s="48" t="inlineStr">
        <is>
          <t>CQP Responsable de conseillers techniques en élevage</t>
        </is>
      </c>
      <c r="G457" s="49">
        <f>E457&amp;" - "&amp;F457</f>
        <v/>
      </c>
      <c r="H457" s="36" t="inlineStr">
        <is>
          <t>RAS</t>
        </is>
      </c>
      <c r="I457" s="45" t="inlineStr"/>
      <c r="J457" s="45" t="inlineStr">
        <is>
          <t>RNCP40169</t>
        </is>
      </c>
      <c r="K457" s="45" t="inlineStr">
        <is>
          <t>CQP Responsable de conseillers techniques en élevage</t>
        </is>
      </c>
      <c r="L457" s="45" t="inlineStr">
        <is>
          <t>31/01/2030</t>
        </is>
      </c>
      <c r="M457" s="45" t="inlineStr">
        <is>
          <t>21056 (Élevage) ; 32068 (Coordination travail) ; 32154 (Encadrement management)</t>
        </is>
      </c>
      <c r="N457" s="50" t="inlineStr">
        <is>
          <t>NON</t>
        </is>
      </c>
      <c r="O457" s="45" t="inlineStr"/>
    </row>
    <row r="458" customFormat="1" s="3">
      <c r="A458" s="45" t="n"/>
      <c r="B458" s="46" t="inlineStr">
        <is>
          <t>21056</t>
        </is>
      </c>
      <c r="C458" s="46">
        <f>LEFT(Tableau1[[#This Row],[Formacode]],3)</f>
        <v/>
      </c>
      <c r="D458" s="47" t="n">
        <v>40523</v>
      </c>
      <c r="E458" s="48">
        <f>"RNCP"&amp;D458</f>
        <v/>
      </c>
      <c r="F458" s="48" t="inlineStr">
        <is>
          <t>CAPA - Métiers de l'agriculture</t>
        </is>
      </c>
      <c r="G458" s="49">
        <f>E458&amp;" - "&amp;F458</f>
        <v/>
      </c>
      <c r="H458" s="36" t="inlineStr">
        <is>
          <t>RAS</t>
        </is>
      </c>
      <c r="I458" s="45" t="inlineStr"/>
      <c r="J458" s="45" t="inlineStr">
        <is>
          <t>RNCP40523</t>
        </is>
      </c>
      <c r="K458" s="45" t="inlineStr">
        <is>
          <t>Métiers de l'agriculture</t>
        </is>
      </c>
      <c r="L458" s="45" t="inlineStr">
        <is>
          <t>31/08/2030</t>
        </is>
      </c>
      <c r="M458" s="45" t="inlineStr">
        <is>
          <t>21040 (Polyculture) ; 21056 (Élevage)</t>
        </is>
      </c>
      <c r="N458" s="50" t="inlineStr">
        <is>
          <t>NON</t>
        </is>
      </c>
      <c r="O458" s="45" t="inlineStr"/>
    </row>
    <row r="459" customFormat="1" s="3">
      <c r="A459" s="45" t="n"/>
      <c r="B459" s="46" t="inlineStr">
        <is>
          <t>21056</t>
        </is>
      </c>
      <c r="C459" s="46">
        <f>LEFT(Tableau1[[#This Row],[Formacode]],3)</f>
        <v/>
      </c>
      <c r="D459" s="47" t="n">
        <v>40795</v>
      </c>
      <c r="E459" s="48">
        <f>"RNCP"&amp;D459</f>
        <v/>
      </c>
      <c r="F459" s="48" t="inlineStr">
        <is>
          <t>CS - Conduite d’un élevage ovin lait</t>
        </is>
      </c>
      <c r="G459" s="49">
        <f>E459&amp;" - "&amp;F459</f>
        <v/>
      </c>
      <c r="H459" s="36" t="inlineStr">
        <is>
          <t>RAS</t>
        </is>
      </c>
      <c r="I459" s="45" t="inlineStr"/>
      <c r="J459" s="45" t="inlineStr">
        <is>
          <t>RNCP40795</t>
        </is>
      </c>
      <c r="K459" s="45" t="inlineStr">
        <is>
          <t>Conduite d’un élevage ovin lait</t>
        </is>
      </c>
      <c r="L459" s="45" t="inlineStr">
        <is>
          <t>31/08/2030</t>
        </is>
      </c>
      <c r="M459" s="45" t="inlineStr">
        <is>
          <t>21085 (Élevage laitier)</t>
        </is>
      </c>
      <c r="N459" s="50" t="inlineStr">
        <is>
          <t>NON</t>
        </is>
      </c>
      <c r="O459" s="45" t="inlineStr"/>
    </row>
    <row r="460" customFormat="1" s="3">
      <c r="A460" s="45" t="n"/>
      <c r="B460" s="46" t="inlineStr">
        <is>
          <t>21056</t>
        </is>
      </c>
      <c r="C460" s="46">
        <f>LEFT(Tableau1[[#This Row],[Formacode]],3)</f>
        <v/>
      </c>
      <c r="D460" s="47" t="n">
        <v>40797</v>
      </c>
      <c r="E460" s="48">
        <f>"RNCP"&amp;D460</f>
        <v/>
      </c>
      <c r="F460" s="48" t="inlineStr">
        <is>
          <t>BP - Responsable d'entreprise hippique</t>
        </is>
      </c>
      <c r="G460" s="49">
        <f>E460&amp;" - "&amp;F460</f>
        <v/>
      </c>
      <c r="H460" s="36" t="inlineStr">
        <is>
          <t>RAS</t>
        </is>
      </c>
      <c r="I460" s="45" t="inlineStr"/>
      <c r="J460" s="45" t="inlineStr">
        <is>
          <t>RNCP40797</t>
        </is>
      </c>
      <c r="K460" s="45" t="inlineStr">
        <is>
          <t>Responsable d'entreprise hippique</t>
        </is>
      </c>
      <c r="L460" s="45" t="inlineStr">
        <is>
          <t>31/12/2030</t>
        </is>
      </c>
      <c r="M460" s="45" t="inlineStr">
        <is>
          <t>21052 (Gestion exploitation agricole) ; 15457 (Gestion sport) ; 21056 (Élevage)</t>
        </is>
      </c>
      <c r="N460" s="50" t="inlineStr">
        <is>
          <t>NON</t>
        </is>
      </c>
      <c r="O460" s="45" t="inlineStr"/>
    </row>
    <row r="461" customFormat="1" s="3">
      <c r="A461" s="45" t="n"/>
      <c r="B461" s="46" t="inlineStr">
        <is>
          <t>21056</t>
        </is>
      </c>
      <c r="C461" s="46">
        <f>LEFT(Tableau1[[#This Row],[Formacode]],3)</f>
        <v/>
      </c>
      <c r="D461" s="47" t="n">
        <v>41095</v>
      </c>
      <c r="E461" s="48">
        <f>"RNCP"&amp;D461</f>
        <v/>
      </c>
      <c r="F461" s="48" t="inlineStr">
        <is>
          <t>CQP Organisateur de randonnées équestres</t>
        </is>
      </c>
      <c r="G461" s="49">
        <f>E461&amp;" - "&amp;F461</f>
        <v/>
      </c>
      <c r="H461" s="36" t="inlineStr">
        <is>
          <t>RAS</t>
        </is>
      </c>
      <c r="I461" s="45" t="inlineStr"/>
      <c r="J461" s="45" t="inlineStr">
        <is>
          <t>RNCP41095</t>
        </is>
      </c>
      <c r="K461" s="45" t="inlineStr">
        <is>
          <t>CQP Organisateur de randonnées équestres</t>
        </is>
      </c>
      <c r="L461" s="45" t="inlineStr">
        <is>
          <t>18/07/2028</t>
        </is>
      </c>
      <c r="M461" s="45" t="inlineStr">
        <is>
          <t>42691 (Tourisme équestre) ; 15436 (Éducation sportive) ; 21099 (Soin cheval) ; 15479 (Sport équestre)</t>
        </is>
      </c>
      <c r="N461" s="50" t="inlineStr">
        <is>
          <t>NON</t>
        </is>
      </c>
      <c r="O461" s="45" t="inlineStr"/>
    </row>
    <row r="462" ht="28.8" customFormat="1" customHeight="1" s="3">
      <c r="A462" s="45" t="n"/>
      <c r="B462" s="46" t="inlineStr">
        <is>
          <t>21059</t>
        </is>
      </c>
      <c r="C462" s="46">
        <f>LEFT(Tableau1[[#This Row],[Formacode]],3)</f>
        <v/>
      </c>
      <c r="D462" s="47" t="n">
        <v>36772</v>
      </c>
      <c r="E462" s="48">
        <f>"RNCP"&amp;D462</f>
        <v/>
      </c>
      <c r="F462" s="48" t="inlineStr">
        <is>
          <t>BTSA - Analyses biologiques, biotechnologiques, agricoles et environnementales (ANABIOTEC)</t>
        </is>
      </c>
      <c r="G462" s="49">
        <f>E462&amp;" - "&amp;F462</f>
        <v/>
      </c>
      <c r="H462" s="36" t="inlineStr">
        <is>
          <t>RAS</t>
        </is>
      </c>
      <c r="I462" s="45" t="inlineStr"/>
      <c r="J462" s="45" t="inlineStr">
        <is>
          <t>RNCP36772</t>
        </is>
      </c>
      <c r="K462" s="45" t="inlineStr">
        <is>
          <t>Analyses biologiques, biotechnologiques, agricoles et environnementales (ANABIOTEC)</t>
        </is>
      </c>
      <c r="L462" s="45" t="inlineStr">
        <is>
          <t>31/08/2028</t>
        </is>
      </c>
      <c r="M462" s="45" t="inlineStr">
        <is>
          <t>12081 (Biotechnologie) ; 12003 (Biologie végétale) ; 21007 (Recherche agronomique) ; 21547 (Bonnes pratiques hygiène agroalimentaire)</t>
        </is>
      </c>
      <c r="N462" s="50" t="inlineStr">
        <is>
          <t>NON</t>
        </is>
      </c>
      <c r="O462" s="45" t="inlineStr"/>
    </row>
    <row r="463" customFormat="1" s="3">
      <c r="A463" s="45" t="n"/>
      <c r="B463" s="46" t="inlineStr">
        <is>
          <t>21059</t>
        </is>
      </c>
      <c r="C463" s="46">
        <f>LEFT(Tableau1[[#This Row],[Formacode]],3)</f>
        <v/>
      </c>
      <c r="D463" s="47" t="n">
        <v>36773</v>
      </c>
      <c r="E463" s="48">
        <f>"RNCP"&amp;D463</f>
        <v/>
      </c>
      <c r="F463" s="48" t="inlineStr">
        <is>
          <t>BTSA - Métiers du végétal : alimentation, ornement et environnement</t>
        </is>
      </c>
      <c r="G463" s="49">
        <f>E463&amp;" - "&amp;F463</f>
        <v/>
      </c>
      <c r="H463" s="36" t="inlineStr">
        <is>
          <t>RAS</t>
        </is>
      </c>
      <c r="I463" s="45" t="inlineStr"/>
      <c r="J463" s="45" t="inlineStr">
        <is>
          <t>RNCP36773</t>
        </is>
      </c>
      <c r="K463" s="45" t="inlineStr">
        <is>
          <t>Métiers du végétal : alimentation, ornement et environnement</t>
        </is>
      </c>
      <c r="L463" s="45" t="inlineStr">
        <is>
          <t>31/08/2028</t>
        </is>
      </c>
      <c r="M463" s="45" t="inlineStr">
        <is>
          <t>21054 (Agriculture production végétale)</t>
        </is>
      </c>
      <c r="N463" s="50" t="inlineStr">
        <is>
          <t>NON</t>
        </is>
      </c>
      <c r="O463" s="45" t="inlineStr"/>
    </row>
    <row r="464" customFormat="1" s="3">
      <c r="A464" s="45" t="n"/>
      <c r="B464" s="46" t="inlineStr">
        <is>
          <t>21059</t>
        </is>
      </c>
      <c r="C464" s="46">
        <f>LEFT(Tableau1[[#This Row],[Formacode]],3)</f>
        <v/>
      </c>
      <c r="D464" s="47" t="n">
        <v>36936</v>
      </c>
      <c r="E464" s="48">
        <f>"RNCP"&amp;D464</f>
        <v/>
      </c>
      <c r="F464" s="48" t="inlineStr">
        <is>
          <t>BTSA - Agronomie et cultures durables</t>
        </is>
      </c>
      <c r="G464" s="49">
        <f>E464&amp;" - "&amp;F464</f>
        <v/>
      </c>
      <c r="H464" s="36" t="inlineStr">
        <is>
          <t>RAS</t>
        </is>
      </c>
      <c r="I464" s="45" t="inlineStr"/>
      <c r="J464" s="45" t="inlineStr">
        <is>
          <t>RNCP36936</t>
        </is>
      </c>
      <c r="K464" s="45" t="inlineStr">
        <is>
          <t>Agronomie et cultures durables</t>
        </is>
      </c>
      <c r="L464" s="45" t="inlineStr">
        <is>
          <t>31/08/2027</t>
        </is>
      </c>
      <c r="M464" s="45" t="inlineStr">
        <is>
          <t>21061 (Agro-écologie) ; 21022 (Grande culture)</t>
        </is>
      </c>
      <c r="N464" s="50" t="inlineStr">
        <is>
          <t>NON</t>
        </is>
      </c>
      <c r="O464" s="45" t="inlineStr"/>
    </row>
    <row r="465" customFormat="1" s="3">
      <c r="A465" s="45" t="n"/>
      <c r="B465" s="46" t="inlineStr">
        <is>
          <t>21059</t>
        </is>
      </c>
      <c r="C465" s="46">
        <f>LEFT(Tableau1[[#This Row],[Formacode]],3)</f>
        <v/>
      </c>
      <c r="D465" s="47" t="n">
        <v>37612</v>
      </c>
      <c r="E465" s="48">
        <f>"RNCP"&amp;D465</f>
        <v/>
      </c>
      <c r="F465" s="48" t="inlineStr">
        <is>
          <t>Technicien entrepreneur en agriculture</t>
        </is>
      </c>
      <c r="G465" s="49">
        <f>E465&amp;" - "&amp;F465</f>
        <v/>
      </c>
      <c r="H465" s="36" t="inlineStr">
        <is>
          <t>RAS</t>
        </is>
      </c>
      <c r="I465" s="45" t="inlineStr"/>
      <c r="J465" s="45" t="inlineStr">
        <is>
          <t>RNCP37612</t>
        </is>
      </c>
      <c r="K465" s="45" t="inlineStr">
        <is>
          <t>Technicien entrepreneur en agriculture</t>
        </is>
      </c>
      <c r="L465" s="45" t="inlineStr">
        <is>
          <t>31/05/2028</t>
        </is>
      </c>
      <c r="M465" s="45" t="inlineStr">
        <is>
          <t>21054 (Agriculture production végétale)</t>
        </is>
      </c>
      <c r="N465" s="50" t="inlineStr">
        <is>
          <t>NON</t>
        </is>
      </c>
      <c r="O465" s="45" t="inlineStr"/>
    </row>
    <row r="466" customFormat="1" s="3">
      <c r="A466" s="45" t="n"/>
      <c r="B466" s="46" t="inlineStr">
        <is>
          <t>21059</t>
        </is>
      </c>
      <c r="C466" s="46">
        <f>LEFT(Tableau1[[#This Row],[Formacode]],3)</f>
        <v/>
      </c>
      <c r="D466" s="47" t="n">
        <v>38854</v>
      </c>
      <c r="E466" s="48">
        <f>"RNCP"&amp;D466</f>
        <v/>
      </c>
      <c r="F466" s="48" t="inlineStr">
        <is>
          <t>CAPA - Agricultures des régions chaudes</t>
        </is>
      </c>
      <c r="G466" s="49">
        <f>E466&amp;" - "&amp;F466</f>
        <v/>
      </c>
      <c r="H466" s="36" t="inlineStr">
        <is>
          <t>RAS</t>
        </is>
      </c>
      <c r="I466" s="45" t="inlineStr"/>
      <c r="J466" s="45" t="inlineStr">
        <is>
          <t>RNCP38854</t>
        </is>
      </c>
      <c r="K466" s="45" t="inlineStr">
        <is>
          <t>Agricultures des régions chaudes</t>
        </is>
      </c>
      <c r="L466" s="45" t="inlineStr">
        <is>
          <t>01/01/2029</t>
        </is>
      </c>
      <c r="M466" s="45" t="inlineStr">
        <is>
          <t>21002 (Agronomie tropicale) ; 21056 (Élevage) ; 21027 (Horticulture) ; 21040 (Polyculture)</t>
        </is>
      </c>
      <c r="N466" s="50" t="inlineStr">
        <is>
          <t>NON</t>
        </is>
      </c>
      <c r="O466" s="45" t="inlineStr"/>
    </row>
    <row r="467" customFormat="1" s="3">
      <c r="A467" s="45" t="n"/>
      <c r="B467" s="46" t="inlineStr">
        <is>
          <t>21059</t>
        </is>
      </c>
      <c r="C467" s="46">
        <f>LEFT(Tableau1[[#This Row],[Formacode]],3)</f>
        <v/>
      </c>
      <c r="D467" s="47" t="n">
        <v>39681</v>
      </c>
      <c r="E467" s="48">
        <f>"RNCP"&amp;D467</f>
        <v/>
      </c>
      <c r="F467" s="48" t="inlineStr">
        <is>
          <t>CS - Conduite de productions en agriculture biologique et commercialisation</t>
        </is>
      </c>
      <c r="G467" s="49">
        <f>E467&amp;" - "&amp;F467</f>
        <v/>
      </c>
      <c r="H467" s="36" t="inlineStr">
        <is>
          <t>RAS</t>
        </is>
      </c>
      <c r="I467" s="45" t="inlineStr"/>
      <c r="J467" s="45" t="inlineStr">
        <is>
          <t>RNCP39681</t>
        </is>
      </c>
      <c r="K467" s="45" t="inlineStr">
        <is>
          <t>Conduite de productions en agriculture biologique et commercialisation</t>
        </is>
      </c>
      <c r="L467" s="45" t="inlineStr">
        <is>
          <t>31/12/2029</t>
        </is>
      </c>
      <c r="M467" s="45" t="inlineStr">
        <is>
          <t>34502 (Vente spécialisée) ; 21052 (Gestion exploitation agricole) ; 21001 (Agriculture biologique)</t>
        </is>
      </c>
      <c r="N467" s="50" t="inlineStr">
        <is>
          <t>NON</t>
        </is>
      </c>
      <c r="O467" s="45" t="inlineStr"/>
    </row>
    <row r="468" customFormat="1" s="3">
      <c r="A468" s="45" t="n"/>
      <c r="B468" s="46" t="inlineStr">
        <is>
          <t>21059</t>
        </is>
      </c>
      <c r="C468" s="46">
        <f>LEFT(Tableau1[[#This Row],[Formacode]],3)</f>
        <v/>
      </c>
      <c r="D468" s="47" t="n">
        <v>41072</v>
      </c>
      <c r="E468" s="48">
        <f>"RNCP"&amp;D468</f>
        <v/>
      </c>
      <c r="F468" s="48" t="inlineStr">
        <is>
          <t>CS - Conduite de la production de plantes à parfum, aromatiques et médicinales</t>
        </is>
      </c>
      <c r="G468" s="49">
        <f>E468&amp;" - "&amp;F468</f>
        <v/>
      </c>
      <c r="H468" s="36" t="inlineStr">
        <is>
          <t>RAS</t>
        </is>
      </c>
      <c r="I468" s="45" t="inlineStr"/>
      <c r="J468" s="45" t="inlineStr">
        <is>
          <t>RNCP41072</t>
        </is>
      </c>
      <c r="K468" s="45" t="inlineStr">
        <is>
          <t>Conduite de la production de plantes à parfum, aromatiques et médicinales</t>
        </is>
      </c>
      <c r="L468" s="45" t="inlineStr">
        <is>
          <t>30/06/2030</t>
        </is>
      </c>
      <c r="M468" s="45" t="inlineStr">
        <is>
          <t>21013 (Culture plante médicinale) ; 21001 (Agriculture biologique)</t>
        </is>
      </c>
      <c r="N468" s="50" t="inlineStr">
        <is>
          <t>NON</t>
        </is>
      </c>
      <c r="O468" s="45" t="inlineStr"/>
    </row>
    <row r="469" customFormat="1" s="3">
      <c r="A469" s="45" t="n"/>
      <c r="B469" s="46" t="inlineStr">
        <is>
          <t>21059</t>
        </is>
      </c>
      <c r="C469" s="46">
        <f>LEFT(Tableau1[[#This Row],[Formacode]],3)</f>
        <v/>
      </c>
      <c r="D469" s="47" t="n">
        <v>41076</v>
      </c>
      <c r="E469" s="48">
        <f>"RNCP"&amp;D469</f>
        <v/>
      </c>
      <c r="F469" s="48" t="inlineStr">
        <is>
          <t>CS - Conduite de productions maraîchères</t>
        </is>
      </c>
      <c r="G469" s="49">
        <f>E469&amp;" - "&amp;F469</f>
        <v/>
      </c>
      <c r="H469" s="36" t="inlineStr">
        <is>
          <t>RAS</t>
        </is>
      </c>
      <c r="I469" s="45" t="inlineStr"/>
      <c r="J469" s="45" t="inlineStr">
        <is>
          <t>RNCP41076</t>
        </is>
      </c>
      <c r="K469" s="45" t="inlineStr">
        <is>
          <t>Conduite de productions maraîchères</t>
        </is>
      </c>
      <c r="L469" s="45" t="inlineStr">
        <is>
          <t>31/08/2030</t>
        </is>
      </c>
      <c r="M469" s="45" t="inlineStr">
        <is>
          <t>21030 (Maraîchage) ; 21001 (Agriculture biologique)</t>
        </is>
      </c>
      <c r="N469" s="50" t="inlineStr">
        <is>
          <t>NON</t>
        </is>
      </c>
      <c r="O469" s="45" t="inlineStr"/>
    </row>
    <row r="470" customFormat="1" s="3">
      <c r="A470" s="45" t="n"/>
      <c r="B470" s="46" t="inlineStr">
        <is>
          <t>21062</t>
        </is>
      </c>
      <c r="C470" s="46">
        <f>LEFT(Tableau1[[#This Row],[Formacode]],3)</f>
        <v/>
      </c>
      <c r="D470" s="47" t="n">
        <v>36773</v>
      </c>
      <c r="E470" s="48">
        <f>"RNCP"&amp;D470</f>
        <v/>
      </c>
      <c r="F470" s="48" t="inlineStr">
        <is>
          <t>BTSA - Métiers du végétal : alimentation, ornement et environnement</t>
        </is>
      </c>
      <c r="G470" s="49">
        <f>E470&amp;" - "&amp;F470</f>
        <v/>
      </c>
      <c r="H470" s="36" t="inlineStr">
        <is>
          <t>RAS</t>
        </is>
      </c>
      <c r="I470" s="45" t="inlineStr"/>
      <c r="J470" s="45" t="inlineStr">
        <is>
          <t>RNCP36773</t>
        </is>
      </c>
      <c r="K470" s="45" t="inlineStr">
        <is>
          <t>Métiers du végétal : alimentation, ornement et environnement</t>
        </is>
      </c>
      <c r="L470" s="45" t="inlineStr">
        <is>
          <t>31/08/2028</t>
        </is>
      </c>
      <c r="M470" s="45" t="inlineStr">
        <is>
          <t>21054 (Agriculture production végétale)</t>
        </is>
      </c>
      <c r="N470" s="50" t="inlineStr">
        <is>
          <t>NON</t>
        </is>
      </c>
      <c r="O470" s="45" t="inlineStr"/>
    </row>
    <row r="471" customFormat="1" s="3">
      <c r="A471" s="45" t="n"/>
      <c r="B471" s="46" t="inlineStr">
        <is>
          <t>21062</t>
        </is>
      </c>
      <c r="C471" s="46">
        <f>LEFT(Tableau1[[#This Row],[Formacode]],3)</f>
        <v/>
      </c>
      <c r="D471" s="47" t="n">
        <v>37612</v>
      </c>
      <c r="E471" s="48">
        <f>"RNCP"&amp;D471</f>
        <v/>
      </c>
      <c r="F471" s="48" t="inlineStr">
        <is>
          <t>Technicien entrepreneur en agriculture</t>
        </is>
      </c>
      <c r="G471" s="49">
        <f>E471&amp;" - "&amp;F471</f>
        <v/>
      </c>
      <c r="H471" s="36" t="inlineStr">
        <is>
          <t>RAS</t>
        </is>
      </c>
      <c r="I471" s="45" t="inlineStr"/>
      <c r="J471" s="45" t="inlineStr">
        <is>
          <t>RNCP37612</t>
        </is>
      </c>
      <c r="K471" s="45" t="inlineStr">
        <is>
          <t>Technicien entrepreneur en agriculture</t>
        </is>
      </c>
      <c r="L471" s="45" t="inlineStr">
        <is>
          <t>31/05/2028</t>
        </is>
      </c>
      <c r="M471" s="45" t="inlineStr">
        <is>
          <t>21054 (Agriculture production végétale)</t>
        </is>
      </c>
      <c r="N471" s="50" t="inlineStr">
        <is>
          <t>NON</t>
        </is>
      </c>
      <c r="O471" s="45" t="inlineStr"/>
    </row>
    <row r="472" customFormat="1" s="3">
      <c r="A472" s="45" t="n"/>
      <c r="B472" s="46" t="inlineStr">
        <is>
          <t>21084</t>
        </is>
      </c>
      <c r="C472" s="46">
        <f>LEFT(Tableau1[[#This Row],[Formacode]],3)</f>
        <v/>
      </c>
      <c r="D472" s="47" t="n">
        <v>36773</v>
      </c>
      <c r="E472" s="48">
        <f>"RNCP"&amp;D472</f>
        <v/>
      </c>
      <c r="F472" s="48" t="inlineStr">
        <is>
          <t>BTSA - Métiers du végétal : alimentation, ornement et environnement</t>
        </is>
      </c>
      <c r="G472" s="49">
        <f>E472&amp;" - "&amp;F472</f>
        <v/>
      </c>
      <c r="H472" s="36" t="inlineStr">
        <is>
          <t>RAS</t>
        </is>
      </c>
      <c r="I472" s="45" t="inlineStr"/>
      <c r="J472" s="45" t="inlineStr">
        <is>
          <t>RNCP36773</t>
        </is>
      </c>
      <c r="K472" s="45" t="inlineStr">
        <is>
          <t>Métiers du végétal : alimentation, ornement et environnement</t>
        </is>
      </c>
      <c r="L472" s="45" t="inlineStr">
        <is>
          <t>31/08/2028</t>
        </is>
      </c>
      <c r="M472" s="45" t="inlineStr">
        <is>
          <t>21054 (Agriculture production végétale)</t>
        </is>
      </c>
      <c r="N472" s="50" t="inlineStr">
        <is>
          <t>NON</t>
        </is>
      </c>
      <c r="O472" s="45" t="inlineStr"/>
    </row>
    <row r="473" customFormat="1" s="3">
      <c r="A473" s="45" t="n"/>
      <c r="B473" s="46" t="inlineStr">
        <is>
          <t>21084</t>
        </is>
      </c>
      <c r="C473" s="46">
        <f>LEFT(Tableau1[[#This Row],[Formacode]],3)</f>
        <v/>
      </c>
      <c r="D473" s="47" t="n">
        <v>37612</v>
      </c>
      <c r="E473" s="48">
        <f>"RNCP"&amp;D473</f>
        <v/>
      </c>
      <c r="F473" s="48" t="inlineStr">
        <is>
          <t>Technicien entrepreneur en agriculture</t>
        </is>
      </c>
      <c r="G473" s="49">
        <f>E473&amp;" - "&amp;F473</f>
        <v/>
      </c>
      <c r="H473" s="36" t="inlineStr">
        <is>
          <t>RAS</t>
        </is>
      </c>
      <c r="I473" s="45" t="inlineStr"/>
      <c r="J473" s="45" t="inlineStr">
        <is>
          <t>RNCP37612</t>
        </is>
      </c>
      <c r="K473" s="45" t="inlineStr">
        <is>
          <t>Technicien entrepreneur en agriculture</t>
        </is>
      </c>
      <c r="L473" s="45" t="inlineStr">
        <is>
          <t>31/05/2028</t>
        </is>
      </c>
      <c r="M473" s="45" t="inlineStr">
        <is>
          <t>21054 (Agriculture production végétale)</t>
        </is>
      </c>
      <c r="N473" s="50" t="inlineStr">
        <is>
          <t>NON</t>
        </is>
      </c>
      <c r="O473" s="45" t="inlineStr"/>
    </row>
    <row r="474" customFormat="1" s="3">
      <c r="A474" s="51" t="n"/>
      <c r="B474" s="52" t="inlineStr">
        <is>
          <t>21084</t>
        </is>
      </c>
      <c r="C474" s="52">
        <f>LEFT(Tableau1[[#This Row],[Formacode]],3)</f>
        <v/>
      </c>
      <c r="D474" s="53" t="n">
        <v>38842</v>
      </c>
      <c r="E474" s="54">
        <f>"RNCP"&amp;D474</f>
        <v/>
      </c>
      <c r="F474" s="54" t="inlineStr">
        <is>
          <t>CS - Commercialisation du bétail : acheteur-estimateur</t>
        </is>
      </c>
      <c r="G474" s="55">
        <f>E474&amp;" - "&amp;F474</f>
        <v/>
      </c>
      <c r="H474" s="37" t="inlineStr">
        <is>
          <t>À vérifier</t>
        </is>
      </c>
      <c r="I474" s="51" t="inlineStr">
        <is>
          <t>Successeur déjà publié : RNCP41839 (Commercialisation du bétail) — préparer la bascule de l'offre CPF</t>
        </is>
      </c>
      <c r="J474" s="51" t="inlineStr">
        <is>
          <t>RNCP41839</t>
        </is>
      </c>
      <c r="K474" s="51" t="inlineStr">
        <is>
          <t>Commercialisation du bétail</t>
        </is>
      </c>
      <c r="L474" s="51" t="inlineStr">
        <is>
          <t>01/01/2029</t>
        </is>
      </c>
      <c r="M474" s="51" t="inlineStr">
        <is>
          <t>21084 (Commercialisation agricole)</t>
        </is>
      </c>
      <c r="N474" s="62" t="inlineStr">
        <is>
          <t>NON</t>
        </is>
      </c>
      <c r="O474" s="51" t="inlineStr"/>
    </row>
    <row r="475" customFormat="1" s="3">
      <c r="A475" s="45" t="n"/>
      <c r="B475" s="46" t="inlineStr">
        <is>
          <t>21084</t>
        </is>
      </c>
      <c r="C475" s="46">
        <f>LEFT(Tableau1[[#This Row],[Formacode]],3)</f>
        <v/>
      </c>
      <c r="D475" s="47" t="n">
        <v>39667</v>
      </c>
      <c r="E475" s="48">
        <f>"RNCP"&amp;D475</f>
        <v/>
      </c>
      <c r="F475" s="48" t="inlineStr">
        <is>
          <t>CS - Production, transformation et commercialisation des produits fermiers</t>
        </is>
      </c>
      <c r="G475" s="49">
        <f>E475&amp;" - "&amp;F475</f>
        <v/>
      </c>
      <c r="H475" s="36" t="inlineStr">
        <is>
          <t>RAS</t>
        </is>
      </c>
      <c r="I475" s="45" t="inlineStr"/>
      <c r="J475" s="45" t="inlineStr">
        <is>
          <t>RNCP39667</t>
        </is>
      </c>
      <c r="K475" s="45" t="inlineStr">
        <is>
          <t>Production, transformation et commercialisation des produits fermiers</t>
        </is>
      </c>
      <c r="L475" s="45" t="inlineStr">
        <is>
          <t>31/12/2029</t>
        </is>
      </c>
      <c r="M475" s="45" t="inlineStr">
        <is>
          <t>21083 (Vente produit fermier)</t>
        </is>
      </c>
      <c r="N475" s="50" t="inlineStr">
        <is>
          <t>NON</t>
        </is>
      </c>
      <c r="O475" s="45" t="inlineStr"/>
    </row>
    <row r="476" customFormat="1" s="3">
      <c r="A476" s="45" t="n"/>
      <c r="B476" s="46" t="inlineStr">
        <is>
          <t>21084</t>
        </is>
      </c>
      <c r="C476" s="46">
        <f>LEFT(Tableau1[[#This Row],[Formacode]],3)</f>
        <v/>
      </c>
      <c r="D476" s="47" t="n">
        <v>41839</v>
      </c>
      <c r="E476" s="48">
        <f>"RNCP"&amp;D476</f>
        <v/>
      </c>
      <c r="F476" s="48" t="inlineStr">
        <is>
          <t>CS - Commercialisation du bétail</t>
        </is>
      </c>
      <c r="G476" s="49">
        <f>E476&amp;" - "&amp;F476</f>
        <v/>
      </c>
      <c r="H476" s="36" t="inlineStr">
        <is>
          <t>RAS</t>
        </is>
      </c>
      <c r="I476" s="45" t="inlineStr"/>
      <c r="J476" s="45" t="inlineStr">
        <is>
          <t>RNCP41839</t>
        </is>
      </c>
      <c r="K476" s="45" t="inlineStr">
        <is>
          <t>Commercialisation du bétail</t>
        </is>
      </c>
      <c r="L476" s="45" t="inlineStr">
        <is>
          <t>31/12/2030</t>
        </is>
      </c>
      <c r="M476" s="45" t="inlineStr">
        <is>
          <t>21084 (Commercialisation agricole)</t>
        </is>
      </c>
      <c r="N476" s="50" t="inlineStr">
        <is>
          <t>NON</t>
        </is>
      </c>
      <c r="O476" s="45" t="inlineStr"/>
    </row>
    <row r="477" customFormat="1" s="3">
      <c r="A477" s="45" t="n"/>
      <c r="B477" s="46" t="inlineStr">
        <is>
          <t>21336</t>
        </is>
      </c>
      <c r="C477" s="46">
        <f>LEFT(Tableau1[[#This Row],[Formacode]],3)</f>
        <v/>
      </c>
      <c r="D477" s="47" t="n">
        <v>38350</v>
      </c>
      <c r="E477" s="48">
        <f>"RNCP"&amp;D477</f>
        <v/>
      </c>
      <c r="F477" s="48" t="inlineStr">
        <is>
          <t>BTSA - Aquaculture</t>
        </is>
      </c>
      <c r="G477" s="49">
        <f>E477&amp;" - "&amp;F477</f>
        <v/>
      </c>
      <c r="H477" s="36" t="inlineStr">
        <is>
          <t>RAS</t>
        </is>
      </c>
      <c r="I477" s="45" t="inlineStr"/>
      <c r="J477" s="45" t="inlineStr">
        <is>
          <t>RNCP38350</t>
        </is>
      </c>
      <c r="K477" s="45" t="inlineStr">
        <is>
          <t>Aquaculture</t>
        </is>
      </c>
      <c r="L477" s="45" t="inlineStr">
        <is>
          <t>31/08/2029</t>
        </is>
      </c>
      <c r="M477" s="45" t="inlineStr">
        <is>
          <t>21347 (Aquaculture) ; 21336 (Gestion exploitation pêche aquaculture)</t>
        </is>
      </c>
      <c r="N477" s="50" t="inlineStr">
        <is>
          <t>NON</t>
        </is>
      </c>
      <c r="O477" s="45" t="inlineStr"/>
    </row>
    <row r="478" customFormat="1" s="3">
      <c r="A478" s="45" t="n"/>
      <c r="B478" s="46" t="inlineStr">
        <is>
          <t>21347</t>
        </is>
      </c>
      <c r="C478" s="46">
        <f>LEFT(Tableau1[[#This Row],[Formacode]],3)</f>
        <v/>
      </c>
      <c r="D478" s="47" t="n">
        <v>36787</v>
      </c>
      <c r="E478" s="48">
        <f>"RNCP"&amp;D478</f>
        <v/>
      </c>
      <c r="F478" s="48" t="inlineStr">
        <is>
          <t>BAC PRO - Conduite de productions aquacoles</t>
        </is>
      </c>
      <c r="G478" s="49">
        <f>E478&amp;" - "&amp;F478</f>
        <v/>
      </c>
      <c r="H478" s="36" t="inlineStr">
        <is>
          <t>RAS</t>
        </is>
      </c>
      <c r="I478" s="45" t="inlineStr"/>
      <c r="J478" s="45" t="inlineStr">
        <is>
          <t>RNCP36787</t>
        </is>
      </c>
      <c r="K478" s="45" t="inlineStr">
        <is>
          <t>Conduite de productions aquacoles</t>
        </is>
      </c>
      <c r="L478" s="45" t="inlineStr">
        <is>
          <t>31/08/2027</t>
        </is>
      </c>
      <c r="M478" s="45" t="inlineStr">
        <is>
          <t>21347 (Aquaculture)</t>
        </is>
      </c>
      <c r="N478" s="50" t="inlineStr">
        <is>
          <t>NON</t>
        </is>
      </c>
      <c r="O478" s="45" t="inlineStr"/>
    </row>
    <row r="479" customFormat="1" s="3">
      <c r="A479" s="51" t="n"/>
      <c r="B479" s="52" t="inlineStr">
        <is>
          <t>21347</t>
        </is>
      </c>
      <c r="C479" s="52">
        <f>LEFT(Tableau1[[#This Row],[Formacode]],3)</f>
        <v/>
      </c>
      <c r="D479" s="53" t="n">
        <v>37536</v>
      </c>
      <c r="E479" s="54">
        <f>"RNCP"&amp;D479</f>
        <v/>
      </c>
      <c r="F479" s="54" t="inlineStr">
        <is>
          <t>Certificat d'aptitude professionnelle - Mareyage</t>
        </is>
      </c>
      <c r="G479" s="55">
        <f>E479&amp;" - "&amp;F479</f>
        <v/>
      </c>
      <c r="H479" s="37" t="inlineStr">
        <is>
          <t>À vérifier</t>
        </is>
      </c>
      <c r="I479" s="51" t="inlineStr">
        <is>
          <t>Successeur déjà publié : RNCP42116 (Mareyage) — préparer la bascule de l'offre CPF | Échéance le 31/08/2026 (dans 44 j)</t>
        </is>
      </c>
      <c r="J479" s="51" t="inlineStr">
        <is>
          <t>RNCP42116</t>
        </is>
      </c>
      <c r="K479" s="51" t="inlineStr">
        <is>
          <t>Mareyage</t>
        </is>
      </c>
      <c r="L479" s="51" t="inlineStr">
        <is>
          <t>31/08/2026</t>
        </is>
      </c>
      <c r="M479" s="51" t="inlineStr">
        <is>
          <t>21376 (Mareyage) ; 21567 (Transformation produits de la mer) ; 21347 (Aquaculture)</t>
        </is>
      </c>
      <c r="N479" s="62" t="inlineStr">
        <is>
          <t>NON</t>
        </is>
      </c>
      <c r="O479" s="51" t="inlineStr"/>
    </row>
    <row r="480" customFormat="1" s="3">
      <c r="A480" s="45" t="n"/>
      <c r="B480" s="46" t="inlineStr">
        <is>
          <t>21347</t>
        </is>
      </c>
      <c r="C480" s="46">
        <f>LEFT(Tableau1[[#This Row],[Formacode]],3)</f>
        <v/>
      </c>
      <c r="D480" s="47" t="n">
        <v>38350</v>
      </c>
      <c r="E480" s="48">
        <f>"RNCP"&amp;D480</f>
        <v/>
      </c>
      <c r="F480" s="48" t="inlineStr">
        <is>
          <t>BTSA - Aquaculture</t>
        </is>
      </c>
      <c r="G480" s="49">
        <f>E480&amp;" - "&amp;F480</f>
        <v/>
      </c>
      <c r="H480" s="36" t="inlineStr">
        <is>
          <t>RAS</t>
        </is>
      </c>
      <c r="I480" s="45" t="inlineStr"/>
      <c r="J480" s="45" t="inlineStr">
        <is>
          <t>RNCP38350</t>
        </is>
      </c>
      <c r="K480" s="45" t="inlineStr">
        <is>
          <t>Aquaculture</t>
        </is>
      </c>
      <c r="L480" s="45" t="inlineStr">
        <is>
          <t>31/08/2029</t>
        </is>
      </c>
      <c r="M480" s="45" t="inlineStr">
        <is>
          <t>21347 (Aquaculture) ; 21336 (Gestion exploitation pêche aquaculture)</t>
        </is>
      </c>
      <c r="N480" s="50" t="inlineStr">
        <is>
          <t>NON</t>
        </is>
      </c>
      <c r="O480" s="45" t="inlineStr"/>
    </row>
    <row r="481" customFormat="1" s="3">
      <c r="A481" s="51" t="n"/>
      <c r="B481" s="52" t="inlineStr">
        <is>
          <t>21376</t>
        </is>
      </c>
      <c r="C481" s="52">
        <f>LEFT(Tableau1[[#This Row],[Formacode]],3)</f>
        <v/>
      </c>
      <c r="D481" s="53" t="n">
        <v>37536</v>
      </c>
      <c r="E481" s="54">
        <f>"RNCP"&amp;D481</f>
        <v/>
      </c>
      <c r="F481" s="54" t="inlineStr">
        <is>
          <t>Certificat d'aptitude professionnelle - Mareyage</t>
        </is>
      </c>
      <c r="G481" s="55">
        <f>E481&amp;" - "&amp;F481</f>
        <v/>
      </c>
      <c r="H481" s="37" t="inlineStr">
        <is>
          <t>À vérifier</t>
        </is>
      </c>
      <c r="I481" s="51" t="inlineStr">
        <is>
          <t>Successeur déjà publié : RNCP42116 (Mareyage) — préparer la bascule de l'offre CPF | Échéance le 31/08/2026 (dans 44 j)</t>
        </is>
      </c>
      <c r="J481" s="51" t="inlineStr">
        <is>
          <t>RNCP42116</t>
        </is>
      </c>
      <c r="K481" s="51" t="inlineStr">
        <is>
          <t>Mareyage</t>
        </is>
      </c>
      <c r="L481" s="51" t="inlineStr">
        <is>
          <t>31/08/2026</t>
        </is>
      </c>
      <c r="M481" s="51" t="inlineStr">
        <is>
          <t>21376 (Mareyage) ; 21567 (Transformation produits de la mer) ; 21347 (Aquaculture)</t>
        </is>
      </c>
      <c r="N481" s="62" t="inlineStr">
        <is>
          <t>NON</t>
        </is>
      </c>
      <c r="O481" s="51" t="inlineStr"/>
    </row>
    <row r="482" ht="28.8" customFormat="1" customHeight="1" s="3">
      <c r="A482" s="45" t="n"/>
      <c r="B482" s="46" t="inlineStr">
        <is>
          <t>21505</t>
        </is>
      </c>
      <c r="C482" s="46">
        <f>LEFT(Tableau1[[#This Row],[Formacode]],3)</f>
        <v/>
      </c>
      <c r="D482" s="47" t="n">
        <v>37699</v>
      </c>
      <c r="E482" s="48">
        <f>"RNCP"&amp;D482</f>
        <v/>
      </c>
      <c r="F482" s="48" t="inlineStr">
        <is>
          <t>BAC PRO - Production en industries pharmaceutiques, alimentaires et cosmétiques (PIPAC)</t>
        </is>
      </c>
      <c r="G482" s="49">
        <f>E482&amp;" - "&amp;F482</f>
        <v/>
      </c>
      <c r="H482" s="36" t="inlineStr">
        <is>
          <t>RAS</t>
        </is>
      </c>
      <c r="I482" s="45" t="inlineStr"/>
      <c r="J482" s="45" t="inlineStr">
        <is>
          <t>RNCP37699</t>
        </is>
      </c>
      <c r="K482" s="45" t="inlineStr">
        <is>
          <t>Production en industries pharmaceutiques, alimentaires et cosmétiques (PIPAC)</t>
        </is>
      </c>
      <c r="L482" s="45" t="inlineStr">
        <is>
          <t>31/08/2028</t>
        </is>
      </c>
      <c r="M482" s="45" t="inlineStr">
        <is>
          <t>21554 (Agroalimentaire) ; 12081 (Biotechnologie)</t>
        </is>
      </c>
      <c r="N482" s="50" t="inlineStr">
        <is>
          <t>NON</t>
        </is>
      </c>
      <c r="O482" s="45" t="inlineStr"/>
    </row>
    <row r="483" customFormat="1" s="3">
      <c r="A483" s="45" t="n"/>
      <c r="B483" s="46" t="inlineStr">
        <is>
          <t>21505</t>
        </is>
      </c>
      <c r="C483" s="46">
        <f>LEFT(Tableau1[[#This Row],[Formacode]],3)</f>
        <v/>
      </c>
      <c r="D483" s="47" t="n">
        <v>39156</v>
      </c>
      <c r="E483" s="48">
        <f>"RNCP"&amp;D483</f>
        <v/>
      </c>
      <c r="F483" s="48" t="inlineStr">
        <is>
          <t>BP - Conducteur de ligne de production alimentaire</t>
        </is>
      </c>
      <c r="G483" s="49">
        <f>E483&amp;" - "&amp;F483</f>
        <v/>
      </c>
      <c r="H483" s="36" t="inlineStr">
        <is>
          <t>RAS</t>
        </is>
      </c>
      <c r="I483" s="45" t="inlineStr"/>
      <c r="J483" s="45" t="inlineStr">
        <is>
          <t>RNCP39156</t>
        </is>
      </c>
      <c r="K483" s="45" t="inlineStr">
        <is>
          <t>Conducteur de ligne de production alimentaire</t>
        </is>
      </c>
      <c r="L483" s="45" t="inlineStr">
        <is>
          <t>01/09/2029</t>
        </is>
      </c>
      <c r="M483" s="45" t="inlineStr">
        <is>
          <t>21554 (Agroalimentaire)</t>
        </is>
      </c>
      <c r="N483" s="50" t="inlineStr">
        <is>
          <t>NON</t>
        </is>
      </c>
      <c r="O483" s="45" t="inlineStr"/>
    </row>
    <row r="484" customFormat="1" s="3">
      <c r="A484" s="45" t="n"/>
      <c r="B484" s="46" t="inlineStr">
        <is>
          <t>21505</t>
        </is>
      </c>
      <c r="C484" s="46">
        <f>LEFT(Tableau1[[#This Row],[Formacode]],3)</f>
        <v/>
      </c>
      <c r="D484" s="47" t="n">
        <v>39966</v>
      </c>
      <c r="E484" s="48">
        <f>"RNCP"&amp;D484</f>
        <v/>
      </c>
      <c r="F484" s="48" t="inlineStr">
        <is>
          <t>CQP Conducteur de machines du secteur alimentaire</t>
        </is>
      </c>
      <c r="G484" s="49">
        <f>E484&amp;" - "&amp;F484</f>
        <v/>
      </c>
      <c r="H484" s="36" t="inlineStr">
        <is>
          <t>RAS</t>
        </is>
      </c>
      <c r="I484" s="45" t="inlineStr"/>
      <c r="J484" s="45" t="inlineStr">
        <is>
          <t>RNCP39966</t>
        </is>
      </c>
      <c r="K484" s="45" t="inlineStr">
        <is>
          <t>CQP Conducteur de machines du secteur alimentaire</t>
        </is>
      </c>
      <c r="L484" s="45" t="inlineStr">
        <is>
          <t>18/12/2029</t>
        </is>
      </c>
      <c r="M484" s="45" t="inlineStr">
        <is>
          <t>31620 (Conduite installation industrielle) ; 21554 (Agroalimentaire)</t>
        </is>
      </c>
      <c r="N484" s="50" t="inlineStr">
        <is>
          <t>NON</t>
        </is>
      </c>
      <c r="O484" s="45" t="inlineStr"/>
    </row>
    <row r="485" customFormat="1" s="3">
      <c r="A485" s="45" t="n"/>
      <c r="B485" s="46" t="inlineStr">
        <is>
          <t>21505</t>
        </is>
      </c>
      <c r="C485" s="46">
        <f>LEFT(Tableau1[[#This Row],[Formacode]],3)</f>
        <v/>
      </c>
      <c r="D485" s="47" t="n">
        <v>39967</v>
      </c>
      <c r="E485" s="48">
        <f>"RNCP"&amp;D485</f>
        <v/>
      </c>
      <c r="F485" s="48" t="inlineStr">
        <is>
          <t>CQP Conducteur de ligne du secteur alimentaire</t>
        </is>
      </c>
      <c r="G485" s="49">
        <f>E485&amp;" - "&amp;F485</f>
        <v/>
      </c>
      <c r="H485" s="36" t="inlineStr">
        <is>
          <t>RAS</t>
        </is>
      </c>
      <c r="I485" s="45" t="inlineStr"/>
      <c r="J485" s="45" t="inlineStr">
        <is>
          <t>RNCP39967</t>
        </is>
      </c>
      <c r="K485" s="45" t="inlineStr">
        <is>
          <t>CQP Conducteur de ligne du secteur alimentaire</t>
        </is>
      </c>
      <c r="L485" s="45" t="inlineStr">
        <is>
          <t>18/12/2029</t>
        </is>
      </c>
      <c r="M485" s="45" t="inlineStr">
        <is>
          <t>31620 (Conduite installation industrielle) ; 21554 (Agroalimentaire)</t>
        </is>
      </c>
      <c r="N485" s="50" t="inlineStr">
        <is>
          <t>NON</t>
        </is>
      </c>
      <c r="O485" s="45" t="inlineStr"/>
    </row>
    <row r="486" customFormat="1" s="3">
      <c r="A486" s="45" t="n"/>
      <c r="B486" s="46" t="inlineStr">
        <is>
          <t>21505</t>
        </is>
      </c>
      <c r="C486" s="46">
        <f>LEFT(Tableau1[[#This Row],[Formacode]],3)</f>
        <v/>
      </c>
      <c r="D486" s="47" t="n">
        <v>39968</v>
      </c>
      <c r="E486" s="48">
        <f>"RNCP"&amp;D486</f>
        <v/>
      </c>
      <c r="F486" s="48" t="inlineStr">
        <is>
          <t>CQP Opérateur de production du secteur alimentaire</t>
        </is>
      </c>
      <c r="G486" s="49">
        <f>E486&amp;" - "&amp;F486</f>
        <v/>
      </c>
      <c r="H486" s="36" t="inlineStr">
        <is>
          <t>RAS</t>
        </is>
      </c>
      <c r="I486" s="45" t="inlineStr"/>
      <c r="J486" s="45" t="inlineStr">
        <is>
          <t>RNCP39968</t>
        </is>
      </c>
      <c r="K486" s="45" t="inlineStr">
        <is>
          <t>CQP Opérateur de production du secteur alimentaire</t>
        </is>
      </c>
      <c r="L486" s="45" t="inlineStr">
        <is>
          <t>18/12/2029</t>
        </is>
      </c>
      <c r="M486" s="45" t="inlineStr">
        <is>
          <t>21554 (Agroalimentaire)</t>
        </is>
      </c>
      <c r="N486" s="50" t="inlineStr">
        <is>
          <t>NON</t>
        </is>
      </c>
      <c r="O486" s="45" t="inlineStr"/>
    </row>
    <row r="487" customFormat="1" s="3">
      <c r="A487" s="45" t="n"/>
      <c r="B487" s="46" t="inlineStr">
        <is>
          <t>21505</t>
        </is>
      </c>
      <c r="C487" s="46">
        <f>LEFT(Tableau1[[#This Row],[Formacode]],3)</f>
        <v/>
      </c>
      <c r="D487" s="47" t="n">
        <v>39971</v>
      </c>
      <c r="E487" s="48">
        <f>"RNCP"&amp;D487</f>
        <v/>
      </c>
      <c r="F487" s="48" t="inlineStr">
        <is>
          <t>CQP Technicien de maintenance du secteur alimentaire</t>
        </is>
      </c>
      <c r="G487" s="49">
        <f>E487&amp;" - "&amp;F487</f>
        <v/>
      </c>
      <c r="H487" s="36" t="inlineStr">
        <is>
          <t>RAS</t>
        </is>
      </c>
      <c r="I487" s="45" t="inlineStr"/>
      <c r="J487" s="45" t="inlineStr">
        <is>
          <t>RNCP39971</t>
        </is>
      </c>
      <c r="K487" s="45" t="inlineStr">
        <is>
          <t>CQP Technicien de maintenance du secteur alimentaire</t>
        </is>
      </c>
      <c r="L487" s="45" t="inlineStr">
        <is>
          <t>18/12/2029</t>
        </is>
      </c>
      <c r="M487" s="45" t="inlineStr">
        <is>
          <t>21554 (Agroalimentaire) ; 31624 (Maintenance industrielle)</t>
        </is>
      </c>
      <c r="N487" s="50" t="inlineStr">
        <is>
          <t>NON</t>
        </is>
      </c>
      <c r="O487" s="45" t="inlineStr"/>
    </row>
    <row r="488" customFormat="1" s="3">
      <c r="A488" s="45" t="n"/>
      <c r="B488" s="46" t="inlineStr">
        <is>
          <t>21505</t>
        </is>
      </c>
      <c r="C488" s="46">
        <f>LEFT(Tableau1[[#This Row],[Formacode]],3)</f>
        <v/>
      </c>
      <c r="D488" s="47" t="n">
        <v>39972</v>
      </c>
      <c r="E488" s="48">
        <f>"RNCP"&amp;D488</f>
        <v/>
      </c>
      <c r="F488" s="48" t="inlineStr">
        <is>
          <t>CQP Responsable d'équipe du secteur alimentaire</t>
        </is>
      </c>
      <c r="G488" s="49">
        <f>E488&amp;" - "&amp;F488</f>
        <v/>
      </c>
      <c r="H488" s="36" t="inlineStr">
        <is>
          <t>RAS</t>
        </is>
      </c>
      <c r="I488" s="45" t="inlineStr"/>
      <c r="J488" s="45" t="inlineStr">
        <is>
          <t>RNCP39972</t>
        </is>
      </c>
      <c r="K488" s="45" t="inlineStr">
        <is>
          <t>CQP Responsable d'équipe du secteur alimentaire</t>
        </is>
      </c>
      <c r="L488" s="45" t="inlineStr">
        <is>
          <t>18/12/2029</t>
        </is>
      </c>
      <c r="M488" s="45" t="inlineStr">
        <is>
          <t>32154 (Encadrement management) ; 21554 (Agroalimentaire)</t>
        </is>
      </c>
      <c r="N488" s="50" t="inlineStr">
        <is>
          <t>NON</t>
        </is>
      </c>
      <c r="O488" s="45" t="inlineStr"/>
    </row>
    <row r="489" customFormat="1" s="3">
      <c r="A489" s="45" t="n"/>
      <c r="B489" s="46" t="inlineStr">
        <is>
          <t>21505</t>
        </is>
      </c>
      <c r="C489" s="46">
        <f>LEFT(Tableau1[[#This Row],[Formacode]],3)</f>
        <v/>
      </c>
      <c r="D489" s="47" t="n">
        <v>41349</v>
      </c>
      <c r="E489" s="48">
        <f>"RNCP"&amp;D489</f>
        <v/>
      </c>
      <c r="F489" s="48" t="inlineStr">
        <is>
          <t>CQP Conducteur de process du secteur alimentaire</t>
        </is>
      </c>
      <c r="G489" s="49">
        <f>E489&amp;" - "&amp;F489</f>
        <v/>
      </c>
      <c r="H489" s="36" t="inlineStr">
        <is>
          <t>RAS</t>
        </is>
      </c>
      <c r="I489" s="45" t="inlineStr"/>
      <c r="J489" s="45" t="inlineStr">
        <is>
          <t>RNCP41349</t>
        </is>
      </c>
      <c r="K489" s="45" t="inlineStr">
        <is>
          <t>CQP Conducteur de process du secteur alimentaire</t>
        </is>
      </c>
      <c r="L489" s="45" t="inlineStr">
        <is>
          <t>24/09/2030</t>
        </is>
      </c>
      <c r="M489" s="45" t="inlineStr">
        <is>
          <t>32012 (Gestion processus) ; 21554 (Agroalimentaire)</t>
        </is>
      </c>
      <c r="N489" s="50" t="inlineStr">
        <is>
          <t>NON</t>
        </is>
      </c>
      <c r="O489" s="45" t="inlineStr"/>
    </row>
    <row r="490" customFormat="1" s="3">
      <c r="A490" s="45" t="n"/>
      <c r="B490" s="46" t="inlineStr">
        <is>
          <t>21505</t>
        </is>
      </c>
      <c r="C490" s="46">
        <f>LEFT(Tableau1[[#This Row],[Formacode]],3)</f>
        <v/>
      </c>
      <c r="D490" s="47" t="n">
        <v>41679</v>
      </c>
      <c r="E490" s="48">
        <f>"RNCP"&amp;D490</f>
        <v/>
      </c>
      <c r="F490" s="48" t="inlineStr">
        <is>
          <t>CQP Agent de maintenance du secteur alimentaire</t>
        </is>
      </c>
      <c r="G490" s="49">
        <f>E490&amp;" - "&amp;F490</f>
        <v/>
      </c>
      <c r="H490" s="36" t="inlineStr">
        <is>
          <t>RAS</t>
        </is>
      </c>
      <c r="I490" s="45" t="inlineStr"/>
      <c r="J490" s="45" t="inlineStr">
        <is>
          <t>RNCP41679</t>
        </is>
      </c>
      <c r="K490" s="45" t="inlineStr">
        <is>
          <t>CQP Agent de maintenance du secteur alimentaire</t>
        </is>
      </c>
      <c r="L490" s="45" t="inlineStr">
        <is>
          <t>27/11/2030</t>
        </is>
      </c>
      <c r="M490" s="45" t="inlineStr">
        <is>
          <t>31624 (Maintenance industrielle) ; 21554 (Agroalimentaire)</t>
        </is>
      </c>
      <c r="N490" s="50" t="inlineStr">
        <is>
          <t>NON</t>
        </is>
      </c>
      <c r="O490" s="45" t="inlineStr"/>
    </row>
    <row r="491" ht="28.8" customFormat="1" customHeight="1" s="3">
      <c r="A491" s="45" t="n"/>
      <c r="B491" s="46" t="inlineStr">
        <is>
          <t>21506</t>
        </is>
      </c>
      <c r="C491" s="46">
        <f>LEFT(Tableau1[[#This Row],[Formacode]],3)</f>
        <v/>
      </c>
      <c r="D491" s="47" t="n">
        <v>37699</v>
      </c>
      <c r="E491" s="48">
        <f>"RNCP"&amp;D491</f>
        <v/>
      </c>
      <c r="F491" s="48" t="inlineStr">
        <is>
          <t>BAC PRO - Production en industries pharmaceutiques, alimentaires et cosmétiques (PIPAC)</t>
        </is>
      </c>
      <c r="G491" s="49">
        <f>E491&amp;" - "&amp;F491</f>
        <v/>
      </c>
      <c r="H491" s="36" t="inlineStr">
        <is>
          <t>RAS</t>
        </is>
      </c>
      <c r="I491" s="45" t="inlineStr"/>
      <c r="J491" s="45" t="inlineStr">
        <is>
          <t>RNCP37699</t>
        </is>
      </c>
      <c r="K491" s="45" t="inlineStr">
        <is>
          <t>Production en industries pharmaceutiques, alimentaires et cosmétiques (PIPAC)</t>
        </is>
      </c>
      <c r="L491" s="45" t="inlineStr">
        <is>
          <t>31/08/2028</t>
        </is>
      </c>
      <c r="M491" s="45" t="inlineStr">
        <is>
          <t>21554 (Agroalimentaire) ; 12081 (Biotechnologie)</t>
        </is>
      </c>
      <c r="N491" s="50" t="inlineStr">
        <is>
          <t>NON</t>
        </is>
      </c>
      <c r="O491" s="45" t="inlineStr"/>
    </row>
    <row r="492" customFormat="1" s="3">
      <c r="A492" s="45" t="n"/>
      <c r="B492" s="46" t="inlineStr">
        <is>
          <t>21506</t>
        </is>
      </c>
      <c r="C492" s="46">
        <f>LEFT(Tableau1[[#This Row],[Formacode]],3)</f>
        <v/>
      </c>
      <c r="D492" s="47" t="n">
        <v>39156</v>
      </c>
      <c r="E492" s="48">
        <f>"RNCP"&amp;D492</f>
        <v/>
      </c>
      <c r="F492" s="48" t="inlineStr">
        <is>
          <t>BP - Conducteur de ligne de production alimentaire</t>
        </is>
      </c>
      <c r="G492" s="49">
        <f>E492&amp;" - "&amp;F492</f>
        <v/>
      </c>
      <c r="H492" s="36" t="inlineStr">
        <is>
          <t>RAS</t>
        </is>
      </c>
      <c r="I492" s="45" t="inlineStr"/>
      <c r="J492" s="45" t="inlineStr">
        <is>
          <t>RNCP39156</t>
        </is>
      </c>
      <c r="K492" s="45" t="inlineStr">
        <is>
          <t>Conducteur de ligne de production alimentaire</t>
        </is>
      </c>
      <c r="L492" s="45" t="inlineStr">
        <is>
          <t>01/09/2029</t>
        </is>
      </c>
      <c r="M492" s="45" t="inlineStr">
        <is>
          <t>21554 (Agroalimentaire)</t>
        </is>
      </c>
      <c r="N492" s="50" t="inlineStr">
        <is>
          <t>NON</t>
        </is>
      </c>
      <c r="O492" s="45" t="inlineStr"/>
    </row>
    <row r="493" customFormat="1" s="3">
      <c r="A493" s="45" t="n"/>
      <c r="B493" s="46" t="inlineStr">
        <is>
          <t>21506</t>
        </is>
      </c>
      <c r="C493" s="46">
        <f>LEFT(Tableau1[[#This Row],[Formacode]],3)</f>
        <v/>
      </c>
      <c r="D493" s="47" t="n">
        <v>39966</v>
      </c>
      <c r="E493" s="48">
        <f>"RNCP"&amp;D493</f>
        <v/>
      </c>
      <c r="F493" s="48" t="inlineStr">
        <is>
          <t>CQP Conducteur de machines du secteur alimentaire</t>
        </is>
      </c>
      <c r="G493" s="49">
        <f>E493&amp;" - "&amp;F493</f>
        <v/>
      </c>
      <c r="H493" s="36" t="inlineStr">
        <is>
          <t>RAS</t>
        </is>
      </c>
      <c r="I493" s="45" t="inlineStr"/>
      <c r="J493" s="45" t="inlineStr">
        <is>
          <t>RNCP39966</t>
        </is>
      </c>
      <c r="K493" s="45" t="inlineStr">
        <is>
          <t>CQP Conducteur de machines du secteur alimentaire</t>
        </is>
      </c>
      <c r="L493" s="45" t="inlineStr">
        <is>
          <t>18/12/2029</t>
        </is>
      </c>
      <c r="M493" s="45" t="inlineStr">
        <is>
          <t>31620 (Conduite installation industrielle) ; 21554 (Agroalimentaire)</t>
        </is>
      </c>
      <c r="N493" s="50" t="inlineStr">
        <is>
          <t>NON</t>
        </is>
      </c>
      <c r="O493" s="45" t="inlineStr"/>
    </row>
    <row r="494" customFormat="1" s="3">
      <c r="A494" s="45" t="n"/>
      <c r="B494" s="46" t="inlineStr">
        <is>
          <t>21506</t>
        </is>
      </c>
      <c r="C494" s="46">
        <f>LEFT(Tableau1[[#This Row],[Formacode]],3)</f>
        <v/>
      </c>
      <c r="D494" s="47" t="n">
        <v>39967</v>
      </c>
      <c r="E494" s="48">
        <f>"RNCP"&amp;D494</f>
        <v/>
      </c>
      <c r="F494" s="48" t="inlineStr">
        <is>
          <t>CQP Conducteur de ligne du secteur alimentaire</t>
        </is>
      </c>
      <c r="G494" s="49">
        <f>E494&amp;" - "&amp;F494</f>
        <v/>
      </c>
      <c r="H494" s="36" t="inlineStr">
        <is>
          <t>RAS</t>
        </is>
      </c>
      <c r="I494" s="45" t="inlineStr"/>
      <c r="J494" s="45" t="inlineStr">
        <is>
          <t>RNCP39967</t>
        </is>
      </c>
      <c r="K494" s="45" t="inlineStr">
        <is>
          <t>CQP Conducteur de ligne du secteur alimentaire</t>
        </is>
      </c>
      <c r="L494" s="45" t="inlineStr">
        <is>
          <t>18/12/2029</t>
        </is>
      </c>
      <c r="M494" s="45" t="inlineStr">
        <is>
          <t>31620 (Conduite installation industrielle) ; 21554 (Agroalimentaire)</t>
        </is>
      </c>
      <c r="N494" s="50" t="inlineStr">
        <is>
          <t>NON</t>
        </is>
      </c>
      <c r="O494" s="45" t="inlineStr"/>
    </row>
    <row r="495" customFormat="1" s="3">
      <c r="A495" s="45" t="n"/>
      <c r="B495" s="46" t="inlineStr">
        <is>
          <t>21506</t>
        </is>
      </c>
      <c r="C495" s="46">
        <f>LEFT(Tableau1[[#This Row],[Formacode]],3)</f>
        <v/>
      </c>
      <c r="D495" s="47" t="n">
        <v>39968</v>
      </c>
      <c r="E495" s="48">
        <f>"RNCP"&amp;D495</f>
        <v/>
      </c>
      <c r="F495" s="48" t="inlineStr">
        <is>
          <t>CQP Opérateur de production du secteur alimentaire</t>
        </is>
      </c>
      <c r="G495" s="49">
        <f>E495&amp;" - "&amp;F495</f>
        <v/>
      </c>
      <c r="H495" s="36" t="inlineStr">
        <is>
          <t>RAS</t>
        </is>
      </c>
      <c r="I495" s="45" t="inlineStr"/>
      <c r="J495" s="45" t="inlineStr">
        <is>
          <t>RNCP39968</t>
        </is>
      </c>
      <c r="K495" s="45" t="inlineStr">
        <is>
          <t>CQP Opérateur de production du secteur alimentaire</t>
        </is>
      </c>
      <c r="L495" s="45" t="inlineStr">
        <is>
          <t>18/12/2029</t>
        </is>
      </c>
      <c r="M495" s="45" t="inlineStr">
        <is>
          <t>21554 (Agroalimentaire)</t>
        </is>
      </c>
      <c r="N495" s="50" t="inlineStr">
        <is>
          <t>NON</t>
        </is>
      </c>
      <c r="O495" s="45" t="inlineStr"/>
    </row>
    <row r="496" customFormat="1" s="3">
      <c r="A496" s="45" t="n"/>
      <c r="B496" s="46" t="inlineStr">
        <is>
          <t>21506</t>
        </is>
      </c>
      <c r="C496" s="46">
        <f>LEFT(Tableau1[[#This Row],[Formacode]],3)</f>
        <v/>
      </c>
      <c r="D496" s="47" t="n">
        <v>39971</v>
      </c>
      <c r="E496" s="48">
        <f>"RNCP"&amp;D496</f>
        <v/>
      </c>
      <c r="F496" s="48" t="inlineStr">
        <is>
          <t>CQP Technicien de maintenance du secteur alimentaire</t>
        </is>
      </c>
      <c r="G496" s="49">
        <f>E496&amp;" - "&amp;F496</f>
        <v/>
      </c>
      <c r="H496" s="36" t="inlineStr">
        <is>
          <t>RAS</t>
        </is>
      </c>
      <c r="I496" s="45" t="inlineStr"/>
      <c r="J496" s="45" t="inlineStr">
        <is>
          <t>RNCP39971</t>
        </is>
      </c>
      <c r="K496" s="45" t="inlineStr">
        <is>
          <t>CQP Technicien de maintenance du secteur alimentaire</t>
        </is>
      </c>
      <c r="L496" s="45" t="inlineStr">
        <is>
          <t>18/12/2029</t>
        </is>
      </c>
      <c r="M496" s="45" t="inlineStr">
        <is>
          <t>21554 (Agroalimentaire) ; 31624 (Maintenance industrielle)</t>
        </is>
      </c>
      <c r="N496" s="50" t="inlineStr">
        <is>
          <t>NON</t>
        </is>
      </c>
      <c r="O496" s="45" t="inlineStr"/>
    </row>
    <row r="497" customFormat="1" s="3">
      <c r="A497" s="45" t="n"/>
      <c r="B497" s="46" t="inlineStr">
        <is>
          <t>21506</t>
        </is>
      </c>
      <c r="C497" s="46">
        <f>LEFT(Tableau1[[#This Row],[Formacode]],3)</f>
        <v/>
      </c>
      <c r="D497" s="47" t="n">
        <v>39972</v>
      </c>
      <c r="E497" s="48">
        <f>"RNCP"&amp;D497</f>
        <v/>
      </c>
      <c r="F497" s="48" t="inlineStr">
        <is>
          <t>CQP Responsable d'équipe du secteur alimentaire</t>
        </is>
      </c>
      <c r="G497" s="49">
        <f>E497&amp;" - "&amp;F497</f>
        <v/>
      </c>
      <c r="H497" s="36" t="inlineStr">
        <is>
          <t>RAS</t>
        </is>
      </c>
      <c r="I497" s="45" t="inlineStr"/>
      <c r="J497" s="45" t="inlineStr">
        <is>
          <t>RNCP39972</t>
        </is>
      </c>
      <c r="K497" s="45" t="inlineStr">
        <is>
          <t>CQP Responsable d'équipe du secteur alimentaire</t>
        </is>
      </c>
      <c r="L497" s="45" t="inlineStr">
        <is>
          <t>18/12/2029</t>
        </is>
      </c>
      <c r="M497" s="45" t="inlineStr">
        <is>
          <t>32154 (Encadrement management) ; 21554 (Agroalimentaire)</t>
        </is>
      </c>
      <c r="N497" s="50" t="inlineStr">
        <is>
          <t>NON</t>
        </is>
      </c>
      <c r="O497" s="45" t="inlineStr"/>
    </row>
    <row r="498" customFormat="1" s="3">
      <c r="A498" s="45" t="n"/>
      <c r="B498" s="46" t="inlineStr">
        <is>
          <t>21506</t>
        </is>
      </c>
      <c r="C498" s="46">
        <f>LEFT(Tableau1[[#This Row],[Formacode]],3)</f>
        <v/>
      </c>
      <c r="D498" s="47" t="n">
        <v>41349</v>
      </c>
      <c r="E498" s="48">
        <f>"RNCP"&amp;D498</f>
        <v/>
      </c>
      <c r="F498" s="48" t="inlineStr">
        <is>
          <t>CQP Conducteur de process du secteur alimentaire</t>
        </is>
      </c>
      <c r="G498" s="49">
        <f>E498&amp;" - "&amp;F498</f>
        <v/>
      </c>
      <c r="H498" s="36" t="inlineStr">
        <is>
          <t>RAS</t>
        </is>
      </c>
      <c r="I498" s="45" t="inlineStr"/>
      <c r="J498" s="45" t="inlineStr">
        <is>
          <t>RNCP41349</t>
        </is>
      </c>
      <c r="K498" s="45" t="inlineStr">
        <is>
          <t>CQP Conducteur de process du secteur alimentaire</t>
        </is>
      </c>
      <c r="L498" s="45" t="inlineStr">
        <is>
          <t>24/09/2030</t>
        </is>
      </c>
      <c r="M498" s="45" t="inlineStr">
        <is>
          <t>32012 (Gestion processus) ; 21554 (Agroalimentaire)</t>
        </is>
      </c>
      <c r="N498" s="50" t="inlineStr">
        <is>
          <t>NON</t>
        </is>
      </c>
      <c r="O498" s="45" t="inlineStr"/>
    </row>
    <row r="499" customFormat="1" s="3">
      <c r="A499" s="45" t="n"/>
      <c r="B499" s="46" t="inlineStr">
        <is>
          <t>21506</t>
        </is>
      </c>
      <c r="C499" s="46">
        <f>LEFT(Tableau1[[#This Row],[Formacode]],3)</f>
        <v/>
      </c>
      <c r="D499" s="47" t="n">
        <v>41679</v>
      </c>
      <c r="E499" s="48">
        <f>"RNCP"&amp;D499</f>
        <v/>
      </c>
      <c r="F499" s="48" t="inlineStr">
        <is>
          <t>CQP Agent de maintenance du secteur alimentaire</t>
        </is>
      </c>
      <c r="G499" s="49">
        <f>E499&amp;" - "&amp;F499</f>
        <v/>
      </c>
      <c r="H499" s="36" t="inlineStr">
        <is>
          <t>RAS</t>
        </is>
      </c>
      <c r="I499" s="45" t="inlineStr"/>
      <c r="J499" s="45" t="inlineStr">
        <is>
          <t>RNCP41679</t>
        </is>
      </c>
      <c r="K499" s="45" t="inlineStr">
        <is>
          <t>CQP Agent de maintenance du secteur alimentaire</t>
        </is>
      </c>
      <c r="L499" s="45" t="inlineStr">
        <is>
          <t>27/11/2030</t>
        </is>
      </c>
      <c r="M499" s="45" t="inlineStr">
        <is>
          <t>31624 (Maintenance industrielle) ; 21554 (Agroalimentaire)</t>
        </is>
      </c>
      <c r="N499" s="50" t="inlineStr">
        <is>
          <t>NON</t>
        </is>
      </c>
      <c r="O499" s="45" t="inlineStr"/>
    </row>
    <row r="500" ht="28.8" customFormat="1" customHeight="1" s="3">
      <c r="A500" s="45" t="n"/>
      <c r="B500" s="46" t="inlineStr">
        <is>
          <t>21515</t>
        </is>
      </c>
      <c r="C500" s="46">
        <f>LEFT(Tableau1[[#This Row],[Formacode]],3)</f>
        <v/>
      </c>
      <c r="D500" s="47" t="n">
        <v>37699</v>
      </c>
      <c r="E500" s="48">
        <f>"RNCP"&amp;D500</f>
        <v/>
      </c>
      <c r="F500" s="48" t="inlineStr">
        <is>
          <t>BAC PRO - Production en industries pharmaceutiques, alimentaires et cosmétiques (PIPAC)</t>
        </is>
      </c>
      <c r="G500" s="49">
        <f>E500&amp;" - "&amp;F500</f>
        <v/>
      </c>
      <c r="H500" s="36" t="inlineStr">
        <is>
          <t>RAS</t>
        </is>
      </c>
      <c r="I500" s="45" t="inlineStr"/>
      <c r="J500" s="45" t="inlineStr">
        <is>
          <t>RNCP37699</t>
        </is>
      </c>
      <c r="K500" s="45" t="inlineStr">
        <is>
          <t>Production en industries pharmaceutiques, alimentaires et cosmétiques (PIPAC)</t>
        </is>
      </c>
      <c r="L500" s="45" t="inlineStr">
        <is>
          <t>31/08/2028</t>
        </is>
      </c>
      <c r="M500" s="45" t="inlineStr">
        <is>
          <t>21554 (Agroalimentaire) ; 12081 (Biotechnologie)</t>
        </is>
      </c>
      <c r="N500" s="50" t="inlineStr">
        <is>
          <t>NON</t>
        </is>
      </c>
      <c r="O500" s="45" t="inlineStr"/>
    </row>
    <row r="501" customFormat="1" s="3">
      <c r="A501" s="45" t="n"/>
      <c r="B501" s="46" t="inlineStr">
        <is>
          <t>21515</t>
        </is>
      </c>
      <c r="C501" s="46">
        <f>LEFT(Tableau1[[#This Row],[Formacode]],3)</f>
        <v/>
      </c>
      <c r="D501" s="47" t="n">
        <v>39156</v>
      </c>
      <c r="E501" s="48">
        <f>"RNCP"&amp;D501</f>
        <v/>
      </c>
      <c r="F501" s="48" t="inlineStr">
        <is>
          <t>BP - Conducteur de ligne de production alimentaire</t>
        </is>
      </c>
      <c r="G501" s="49">
        <f>E501&amp;" - "&amp;F501</f>
        <v/>
      </c>
      <c r="H501" s="36" t="inlineStr">
        <is>
          <t>RAS</t>
        </is>
      </c>
      <c r="I501" s="45" t="inlineStr"/>
      <c r="J501" s="45" t="inlineStr">
        <is>
          <t>RNCP39156</t>
        </is>
      </c>
      <c r="K501" s="45" t="inlineStr">
        <is>
          <t>Conducteur de ligne de production alimentaire</t>
        </is>
      </c>
      <c r="L501" s="45" t="inlineStr">
        <is>
          <t>01/09/2029</t>
        </is>
      </c>
      <c r="M501" s="45" t="inlineStr">
        <is>
          <t>21554 (Agroalimentaire)</t>
        </is>
      </c>
      <c r="N501" s="50" t="inlineStr">
        <is>
          <t>NON</t>
        </is>
      </c>
      <c r="O501" s="45" t="inlineStr"/>
    </row>
    <row r="502" customFormat="1" s="3">
      <c r="A502" s="45" t="n"/>
      <c r="B502" s="46" t="inlineStr">
        <is>
          <t>21515</t>
        </is>
      </c>
      <c r="C502" s="46">
        <f>LEFT(Tableau1[[#This Row],[Formacode]],3)</f>
        <v/>
      </c>
      <c r="D502" s="47" t="n">
        <v>39966</v>
      </c>
      <c r="E502" s="48">
        <f>"RNCP"&amp;D502</f>
        <v/>
      </c>
      <c r="F502" s="48" t="inlineStr">
        <is>
          <t>CQP Conducteur de machines du secteur alimentaire</t>
        </is>
      </c>
      <c r="G502" s="49">
        <f>E502&amp;" - "&amp;F502</f>
        <v/>
      </c>
      <c r="H502" s="36" t="inlineStr">
        <is>
          <t>RAS</t>
        </is>
      </c>
      <c r="I502" s="45" t="inlineStr"/>
      <c r="J502" s="45" t="inlineStr">
        <is>
          <t>RNCP39966</t>
        </is>
      </c>
      <c r="K502" s="45" t="inlineStr">
        <is>
          <t>CQP Conducteur de machines du secteur alimentaire</t>
        </is>
      </c>
      <c r="L502" s="45" t="inlineStr">
        <is>
          <t>18/12/2029</t>
        </is>
      </c>
      <c r="M502" s="45" t="inlineStr">
        <is>
          <t>31620 (Conduite installation industrielle) ; 21554 (Agroalimentaire)</t>
        </is>
      </c>
      <c r="N502" s="50" t="inlineStr">
        <is>
          <t>NON</t>
        </is>
      </c>
      <c r="O502" s="45" t="inlineStr"/>
    </row>
    <row r="503" customFormat="1" s="3">
      <c r="A503" s="45" t="n"/>
      <c r="B503" s="46" t="inlineStr">
        <is>
          <t>21515</t>
        </is>
      </c>
      <c r="C503" s="46">
        <f>LEFT(Tableau1[[#This Row],[Formacode]],3)</f>
        <v/>
      </c>
      <c r="D503" s="47" t="n">
        <v>39967</v>
      </c>
      <c r="E503" s="48">
        <f>"RNCP"&amp;D503</f>
        <v/>
      </c>
      <c r="F503" s="48" t="inlineStr">
        <is>
          <t>CQP Conducteur de ligne du secteur alimentaire</t>
        </is>
      </c>
      <c r="G503" s="49">
        <f>E503&amp;" - "&amp;F503</f>
        <v/>
      </c>
      <c r="H503" s="36" t="inlineStr">
        <is>
          <t>RAS</t>
        </is>
      </c>
      <c r="I503" s="45" t="inlineStr"/>
      <c r="J503" s="45" t="inlineStr">
        <is>
          <t>RNCP39967</t>
        </is>
      </c>
      <c r="K503" s="45" t="inlineStr">
        <is>
          <t>CQP Conducteur de ligne du secteur alimentaire</t>
        </is>
      </c>
      <c r="L503" s="45" t="inlineStr">
        <is>
          <t>18/12/2029</t>
        </is>
      </c>
      <c r="M503" s="45" t="inlineStr">
        <is>
          <t>31620 (Conduite installation industrielle) ; 21554 (Agroalimentaire)</t>
        </is>
      </c>
      <c r="N503" s="50" t="inlineStr">
        <is>
          <t>NON</t>
        </is>
      </c>
      <c r="O503" s="45" t="inlineStr"/>
    </row>
    <row r="504" customFormat="1" s="3">
      <c r="A504" s="45" t="n"/>
      <c r="B504" s="46" t="inlineStr">
        <is>
          <t>21515</t>
        </is>
      </c>
      <c r="C504" s="46">
        <f>LEFT(Tableau1[[#This Row],[Formacode]],3)</f>
        <v/>
      </c>
      <c r="D504" s="47" t="n">
        <v>39968</v>
      </c>
      <c r="E504" s="48">
        <f>"RNCP"&amp;D504</f>
        <v/>
      </c>
      <c r="F504" s="48" t="inlineStr">
        <is>
          <t>CQP Opérateur de production du secteur alimentaire</t>
        </is>
      </c>
      <c r="G504" s="49">
        <f>E504&amp;" - "&amp;F504</f>
        <v/>
      </c>
      <c r="H504" s="36" t="inlineStr">
        <is>
          <t>RAS</t>
        </is>
      </c>
      <c r="I504" s="45" t="inlineStr"/>
      <c r="J504" s="45" t="inlineStr">
        <is>
          <t>RNCP39968</t>
        </is>
      </c>
      <c r="K504" s="45" t="inlineStr">
        <is>
          <t>CQP Opérateur de production du secteur alimentaire</t>
        </is>
      </c>
      <c r="L504" s="45" t="inlineStr">
        <is>
          <t>18/12/2029</t>
        </is>
      </c>
      <c r="M504" s="45" t="inlineStr">
        <is>
          <t>21554 (Agroalimentaire)</t>
        </is>
      </c>
      <c r="N504" s="50" t="inlineStr">
        <is>
          <t>NON</t>
        </is>
      </c>
      <c r="O504" s="45" t="inlineStr"/>
    </row>
    <row r="505" customFormat="1" s="3">
      <c r="A505" s="45" t="n"/>
      <c r="B505" s="46" t="inlineStr">
        <is>
          <t>21515</t>
        </is>
      </c>
      <c r="C505" s="46">
        <f>LEFT(Tableau1[[#This Row],[Formacode]],3)</f>
        <v/>
      </c>
      <c r="D505" s="47" t="n">
        <v>39971</v>
      </c>
      <c r="E505" s="48">
        <f>"RNCP"&amp;D505</f>
        <v/>
      </c>
      <c r="F505" s="48" t="inlineStr">
        <is>
          <t>CQP Technicien de maintenance du secteur alimentaire</t>
        </is>
      </c>
      <c r="G505" s="49">
        <f>E505&amp;" - "&amp;F505</f>
        <v/>
      </c>
      <c r="H505" s="36" t="inlineStr">
        <is>
          <t>RAS</t>
        </is>
      </c>
      <c r="I505" s="45" t="inlineStr"/>
      <c r="J505" s="45" t="inlineStr">
        <is>
          <t>RNCP39971</t>
        </is>
      </c>
      <c r="K505" s="45" t="inlineStr">
        <is>
          <t>CQP Technicien de maintenance du secteur alimentaire</t>
        </is>
      </c>
      <c r="L505" s="45" t="inlineStr">
        <is>
          <t>18/12/2029</t>
        </is>
      </c>
      <c r="M505" s="45" t="inlineStr">
        <is>
          <t>21554 (Agroalimentaire) ; 31624 (Maintenance industrielle)</t>
        </is>
      </c>
      <c r="N505" s="50" t="inlineStr">
        <is>
          <t>NON</t>
        </is>
      </c>
      <c r="O505" s="45" t="inlineStr"/>
    </row>
    <row r="506" customFormat="1" s="3">
      <c r="A506" s="45" t="n"/>
      <c r="B506" s="46" t="inlineStr">
        <is>
          <t>21515</t>
        </is>
      </c>
      <c r="C506" s="46">
        <f>LEFT(Tableau1[[#This Row],[Formacode]],3)</f>
        <v/>
      </c>
      <c r="D506" s="47" t="n">
        <v>39972</v>
      </c>
      <c r="E506" s="48">
        <f>"RNCP"&amp;D506</f>
        <v/>
      </c>
      <c r="F506" s="48" t="inlineStr">
        <is>
          <t>CQP Responsable d'équipe du secteur alimentaire</t>
        </is>
      </c>
      <c r="G506" s="49">
        <f>E506&amp;" - "&amp;F506</f>
        <v/>
      </c>
      <c r="H506" s="36" t="inlineStr">
        <is>
          <t>RAS</t>
        </is>
      </c>
      <c r="I506" s="45" t="inlineStr"/>
      <c r="J506" s="45" t="inlineStr">
        <is>
          <t>RNCP39972</t>
        </is>
      </c>
      <c r="K506" s="45" t="inlineStr">
        <is>
          <t>CQP Responsable d'équipe du secteur alimentaire</t>
        </is>
      </c>
      <c r="L506" s="45" t="inlineStr">
        <is>
          <t>18/12/2029</t>
        </is>
      </c>
      <c r="M506" s="45" t="inlineStr">
        <is>
          <t>32154 (Encadrement management) ; 21554 (Agroalimentaire)</t>
        </is>
      </c>
      <c r="N506" s="50" t="inlineStr">
        <is>
          <t>NON</t>
        </is>
      </c>
      <c r="O506" s="45" t="inlineStr"/>
    </row>
    <row r="507" customFormat="1" s="3">
      <c r="A507" s="45" t="n"/>
      <c r="B507" s="46" t="inlineStr">
        <is>
          <t>21515</t>
        </is>
      </c>
      <c r="C507" s="46">
        <f>LEFT(Tableau1[[#This Row],[Formacode]],3)</f>
        <v/>
      </c>
      <c r="D507" s="47" t="n">
        <v>41349</v>
      </c>
      <c r="E507" s="48">
        <f>"RNCP"&amp;D507</f>
        <v/>
      </c>
      <c r="F507" s="48" t="inlineStr">
        <is>
          <t>CQP Conducteur de process du secteur alimentaire</t>
        </is>
      </c>
      <c r="G507" s="49">
        <f>E507&amp;" - "&amp;F507</f>
        <v/>
      </c>
      <c r="H507" s="36" t="inlineStr">
        <is>
          <t>RAS</t>
        </is>
      </c>
      <c r="I507" s="45" t="inlineStr"/>
      <c r="J507" s="45" t="inlineStr">
        <is>
          <t>RNCP41349</t>
        </is>
      </c>
      <c r="K507" s="45" t="inlineStr">
        <is>
          <t>CQP Conducteur de process du secteur alimentaire</t>
        </is>
      </c>
      <c r="L507" s="45" t="inlineStr">
        <is>
          <t>24/09/2030</t>
        </is>
      </c>
      <c r="M507" s="45" t="inlineStr">
        <is>
          <t>32012 (Gestion processus) ; 21554 (Agroalimentaire)</t>
        </is>
      </c>
      <c r="N507" s="50" t="inlineStr">
        <is>
          <t>NON</t>
        </is>
      </c>
      <c r="O507" s="45" t="inlineStr"/>
    </row>
    <row r="508" customFormat="1" s="3">
      <c r="A508" s="45" t="n"/>
      <c r="B508" s="46" t="inlineStr">
        <is>
          <t>21515</t>
        </is>
      </c>
      <c r="C508" s="46">
        <f>LEFT(Tableau1[[#This Row],[Formacode]],3)</f>
        <v/>
      </c>
      <c r="D508" s="47" t="n">
        <v>41679</v>
      </c>
      <c r="E508" s="48">
        <f>"RNCP"&amp;D508</f>
        <v/>
      </c>
      <c r="F508" s="48" t="inlineStr">
        <is>
          <t>CQP Agent de maintenance du secteur alimentaire</t>
        </is>
      </c>
      <c r="G508" s="49">
        <f>E508&amp;" - "&amp;F508</f>
        <v/>
      </c>
      <c r="H508" s="36" t="inlineStr">
        <is>
          <t>RAS</t>
        </is>
      </c>
      <c r="I508" s="45" t="inlineStr"/>
      <c r="J508" s="45" t="inlineStr">
        <is>
          <t>RNCP41679</t>
        </is>
      </c>
      <c r="K508" s="45" t="inlineStr">
        <is>
          <t>CQP Agent de maintenance du secteur alimentaire</t>
        </is>
      </c>
      <c r="L508" s="45" t="inlineStr">
        <is>
          <t>27/11/2030</t>
        </is>
      </c>
      <c r="M508" s="45" t="inlineStr">
        <is>
          <t>31624 (Maintenance industrielle) ; 21554 (Agroalimentaire)</t>
        </is>
      </c>
      <c r="N508" s="50" t="inlineStr">
        <is>
          <t>NON</t>
        </is>
      </c>
      <c r="O508" s="45" t="inlineStr"/>
    </row>
    <row r="509" ht="28.8" customFormat="1" customHeight="1" s="3">
      <c r="A509" s="45" t="n"/>
      <c r="B509" s="46" t="inlineStr">
        <is>
          <t>21516</t>
        </is>
      </c>
      <c r="C509" s="46">
        <f>LEFT(Tableau1[[#This Row],[Formacode]],3)</f>
        <v/>
      </c>
      <c r="D509" s="47" t="n">
        <v>37699</v>
      </c>
      <c r="E509" s="48">
        <f>"RNCP"&amp;D509</f>
        <v/>
      </c>
      <c r="F509" s="48" t="inlineStr">
        <is>
          <t>BAC PRO - Production en industries pharmaceutiques, alimentaires et cosmétiques (PIPAC)</t>
        </is>
      </c>
      <c r="G509" s="49">
        <f>E509&amp;" - "&amp;F509</f>
        <v/>
      </c>
      <c r="H509" s="36" t="inlineStr">
        <is>
          <t>RAS</t>
        </is>
      </c>
      <c r="I509" s="45" t="inlineStr"/>
      <c r="J509" s="45" t="inlineStr">
        <is>
          <t>RNCP37699</t>
        </is>
      </c>
      <c r="K509" s="45" t="inlineStr">
        <is>
          <t>Production en industries pharmaceutiques, alimentaires et cosmétiques (PIPAC)</t>
        </is>
      </c>
      <c r="L509" s="45" t="inlineStr">
        <is>
          <t>31/08/2028</t>
        </is>
      </c>
      <c r="M509" s="45" t="inlineStr">
        <is>
          <t>21554 (Agroalimentaire) ; 12081 (Biotechnologie)</t>
        </is>
      </c>
      <c r="N509" s="50" t="inlineStr">
        <is>
          <t>NON</t>
        </is>
      </c>
      <c r="O509" s="45" t="inlineStr"/>
    </row>
    <row r="510" customFormat="1" s="3">
      <c r="A510" s="45" t="n"/>
      <c r="B510" s="46" t="inlineStr">
        <is>
          <t>21516</t>
        </is>
      </c>
      <c r="C510" s="46">
        <f>LEFT(Tableau1[[#This Row],[Formacode]],3)</f>
        <v/>
      </c>
      <c r="D510" s="47" t="n">
        <v>39156</v>
      </c>
      <c r="E510" s="48">
        <f>"RNCP"&amp;D510</f>
        <v/>
      </c>
      <c r="F510" s="48" t="inlineStr">
        <is>
          <t>BP - Conducteur de ligne de production alimentaire</t>
        </is>
      </c>
      <c r="G510" s="49">
        <f>E510&amp;" - "&amp;F510</f>
        <v/>
      </c>
      <c r="H510" s="36" t="inlineStr">
        <is>
          <t>RAS</t>
        </is>
      </c>
      <c r="I510" s="45" t="inlineStr"/>
      <c r="J510" s="45" t="inlineStr">
        <is>
          <t>RNCP39156</t>
        </is>
      </c>
      <c r="K510" s="45" t="inlineStr">
        <is>
          <t>Conducteur de ligne de production alimentaire</t>
        </is>
      </c>
      <c r="L510" s="45" t="inlineStr">
        <is>
          <t>01/09/2029</t>
        </is>
      </c>
      <c r="M510" s="45" t="inlineStr">
        <is>
          <t>21554 (Agroalimentaire)</t>
        </is>
      </c>
      <c r="N510" s="50" t="inlineStr">
        <is>
          <t>NON</t>
        </is>
      </c>
      <c r="O510" s="45" t="inlineStr"/>
    </row>
    <row r="511" customFormat="1" s="3">
      <c r="A511" s="45" t="n"/>
      <c r="B511" s="46" t="inlineStr">
        <is>
          <t>21516</t>
        </is>
      </c>
      <c r="C511" s="46">
        <f>LEFT(Tableau1[[#This Row],[Formacode]],3)</f>
        <v/>
      </c>
      <c r="D511" s="47" t="n">
        <v>39966</v>
      </c>
      <c r="E511" s="48">
        <f>"RNCP"&amp;D511</f>
        <v/>
      </c>
      <c r="F511" s="48" t="inlineStr">
        <is>
          <t>CQP Conducteur de machines du secteur alimentaire</t>
        </is>
      </c>
      <c r="G511" s="49">
        <f>E511&amp;" - "&amp;F511</f>
        <v/>
      </c>
      <c r="H511" s="36" t="inlineStr">
        <is>
          <t>RAS</t>
        </is>
      </c>
      <c r="I511" s="45" t="inlineStr"/>
      <c r="J511" s="45" t="inlineStr">
        <is>
          <t>RNCP39966</t>
        </is>
      </c>
      <c r="K511" s="45" t="inlineStr">
        <is>
          <t>CQP Conducteur de machines du secteur alimentaire</t>
        </is>
      </c>
      <c r="L511" s="45" t="inlineStr">
        <is>
          <t>18/12/2029</t>
        </is>
      </c>
      <c r="M511" s="45" t="inlineStr">
        <is>
          <t>31620 (Conduite installation industrielle) ; 21554 (Agroalimentaire)</t>
        </is>
      </c>
      <c r="N511" s="50" t="inlineStr">
        <is>
          <t>NON</t>
        </is>
      </c>
      <c r="O511" s="45" t="inlineStr"/>
    </row>
    <row r="512" customFormat="1" s="3">
      <c r="A512" s="45" t="n"/>
      <c r="B512" s="46" t="inlineStr">
        <is>
          <t>21516</t>
        </is>
      </c>
      <c r="C512" s="46">
        <f>LEFT(Tableau1[[#This Row],[Formacode]],3)</f>
        <v/>
      </c>
      <c r="D512" s="47" t="n">
        <v>39967</v>
      </c>
      <c r="E512" s="48">
        <f>"RNCP"&amp;D512</f>
        <v/>
      </c>
      <c r="F512" s="48" t="inlineStr">
        <is>
          <t>CQP Conducteur de ligne du secteur alimentaire</t>
        </is>
      </c>
      <c r="G512" s="49">
        <f>E512&amp;" - "&amp;F512</f>
        <v/>
      </c>
      <c r="H512" s="36" t="inlineStr">
        <is>
          <t>RAS</t>
        </is>
      </c>
      <c r="I512" s="45" t="inlineStr"/>
      <c r="J512" s="45" t="inlineStr">
        <is>
          <t>RNCP39967</t>
        </is>
      </c>
      <c r="K512" s="45" t="inlineStr">
        <is>
          <t>CQP Conducteur de ligne du secteur alimentaire</t>
        </is>
      </c>
      <c r="L512" s="45" t="inlineStr">
        <is>
          <t>18/12/2029</t>
        </is>
      </c>
      <c r="M512" s="45" t="inlineStr">
        <is>
          <t>31620 (Conduite installation industrielle) ; 21554 (Agroalimentaire)</t>
        </is>
      </c>
      <c r="N512" s="50" t="inlineStr">
        <is>
          <t>NON</t>
        </is>
      </c>
      <c r="O512" s="45" t="inlineStr"/>
    </row>
    <row r="513" customFormat="1" s="3">
      <c r="A513" s="45" t="n"/>
      <c r="B513" s="46" t="inlineStr">
        <is>
          <t>21516</t>
        </is>
      </c>
      <c r="C513" s="46">
        <f>LEFT(Tableau1[[#This Row],[Formacode]],3)</f>
        <v/>
      </c>
      <c r="D513" s="47" t="n">
        <v>39968</v>
      </c>
      <c r="E513" s="48">
        <f>"RNCP"&amp;D513</f>
        <v/>
      </c>
      <c r="F513" s="48" t="inlineStr">
        <is>
          <t>CQP Opérateur de production du secteur alimentaire</t>
        </is>
      </c>
      <c r="G513" s="49">
        <f>E513&amp;" - "&amp;F513</f>
        <v/>
      </c>
      <c r="H513" s="36" t="inlineStr">
        <is>
          <t>RAS</t>
        </is>
      </c>
      <c r="I513" s="45" t="inlineStr"/>
      <c r="J513" s="45" t="inlineStr">
        <is>
          <t>RNCP39968</t>
        </is>
      </c>
      <c r="K513" s="45" t="inlineStr">
        <is>
          <t>CQP Opérateur de production du secteur alimentaire</t>
        </is>
      </c>
      <c r="L513" s="45" t="inlineStr">
        <is>
          <t>18/12/2029</t>
        </is>
      </c>
      <c r="M513" s="45" t="inlineStr">
        <is>
          <t>21554 (Agroalimentaire)</t>
        </is>
      </c>
      <c r="N513" s="50" t="inlineStr">
        <is>
          <t>NON</t>
        </is>
      </c>
      <c r="O513" s="45" t="inlineStr"/>
    </row>
    <row r="514" customFormat="1" s="3">
      <c r="A514" s="45" t="n"/>
      <c r="B514" s="46" t="inlineStr">
        <is>
          <t>21516</t>
        </is>
      </c>
      <c r="C514" s="46">
        <f>LEFT(Tableau1[[#This Row],[Formacode]],3)</f>
        <v/>
      </c>
      <c r="D514" s="47" t="n">
        <v>39971</v>
      </c>
      <c r="E514" s="48">
        <f>"RNCP"&amp;D514</f>
        <v/>
      </c>
      <c r="F514" s="48" t="inlineStr">
        <is>
          <t>CQP Technicien de maintenance du secteur alimentaire</t>
        </is>
      </c>
      <c r="G514" s="49">
        <f>E514&amp;" - "&amp;F514</f>
        <v/>
      </c>
      <c r="H514" s="36" t="inlineStr">
        <is>
          <t>RAS</t>
        </is>
      </c>
      <c r="I514" s="45" t="inlineStr"/>
      <c r="J514" s="45" t="inlineStr">
        <is>
          <t>RNCP39971</t>
        </is>
      </c>
      <c r="K514" s="45" t="inlineStr">
        <is>
          <t>CQP Technicien de maintenance du secteur alimentaire</t>
        </is>
      </c>
      <c r="L514" s="45" t="inlineStr">
        <is>
          <t>18/12/2029</t>
        </is>
      </c>
      <c r="M514" s="45" t="inlineStr">
        <is>
          <t>21554 (Agroalimentaire) ; 31624 (Maintenance industrielle)</t>
        </is>
      </c>
      <c r="N514" s="50" t="inlineStr">
        <is>
          <t>NON</t>
        </is>
      </c>
      <c r="O514" s="45" t="inlineStr"/>
    </row>
    <row r="515" customFormat="1" s="3">
      <c r="A515" s="45" t="n"/>
      <c r="B515" s="46" t="inlineStr">
        <is>
          <t>21516</t>
        </is>
      </c>
      <c r="C515" s="46">
        <f>LEFT(Tableau1[[#This Row],[Formacode]],3)</f>
        <v/>
      </c>
      <c r="D515" s="47" t="n">
        <v>39972</v>
      </c>
      <c r="E515" s="48">
        <f>"RNCP"&amp;D515</f>
        <v/>
      </c>
      <c r="F515" s="48" t="inlineStr">
        <is>
          <t>CQP Responsable d'équipe du secteur alimentaire</t>
        </is>
      </c>
      <c r="G515" s="49">
        <f>E515&amp;" - "&amp;F515</f>
        <v/>
      </c>
      <c r="H515" s="36" t="inlineStr">
        <is>
          <t>RAS</t>
        </is>
      </c>
      <c r="I515" s="45" t="inlineStr"/>
      <c r="J515" s="45" t="inlineStr">
        <is>
          <t>RNCP39972</t>
        </is>
      </c>
      <c r="K515" s="45" t="inlineStr">
        <is>
          <t>CQP Responsable d'équipe du secteur alimentaire</t>
        </is>
      </c>
      <c r="L515" s="45" t="inlineStr">
        <is>
          <t>18/12/2029</t>
        </is>
      </c>
      <c r="M515" s="45" t="inlineStr">
        <is>
          <t>32154 (Encadrement management) ; 21554 (Agroalimentaire)</t>
        </is>
      </c>
      <c r="N515" s="50" t="inlineStr">
        <is>
          <t>NON</t>
        </is>
      </c>
      <c r="O515" s="45" t="inlineStr"/>
    </row>
    <row r="516" customFormat="1" s="3">
      <c r="A516" s="45" t="n"/>
      <c r="B516" s="46" t="inlineStr">
        <is>
          <t>21516</t>
        </is>
      </c>
      <c r="C516" s="46">
        <f>LEFT(Tableau1[[#This Row],[Formacode]],3)</f>
        <v/>
      </c>
      <c r="D516" s="47" t="n">
        <v>41349</v>
      </c>
      <c r="E516" s="48">
        <f>"RNCP"&amp;D516</f>
        <v/>
      </c>
      <c r="F516" s="48" t="inlineStr">
        <is>
          <t>CQP Conducteur de process du secteur alimentaire</t>
        </is>
      </c>
      <c r="G516" s="49">
        <f>E516&amp;" - "&amp;F516</f>
        <v/>
      </c>
      <c r="H516" s="36" t="inlineStr">
        <is>
          <t>RAS</t>
        </is>
      </c>
      <c r="I516" s="45" t="inlineStr"/>
      <c r="J516" s="45" t="inlineStr">
        <is>
          <t>RNCP41349</t>
        </is>
      </c>
      <c r="K516" s="45" t="inlineStr">
        <is>
          <t>CQP Conducteur de process du secteur alimentaire</t>
        </is>
      </c>
      <c r="L516" s="45" t="inlineStr">
        <is>
          <t>24/09/2030</t>
        </is>
      </c>
      <c r="M516" s="45" t="inlineStr">
        <is>
          <t>32012 (Gestion processus) ; 21554 (Agroalimentaire)</t>
        </is>
      </c>
      <c r="N516" s="50" t="inlineStr">
        <is>
          <t>NON</t>
        </is>
      </c>
      <c r="O516" s="45" t="inlineStr"/>
    </row>
    <row r="517" customFormat="1" s="3">
      <c r="A517" s="45" t="n"/>
      <c r="B517" s="46" t="inlineStr">
        <is>
          <t>21516</t>
        </is>
      </c>
      <c r="C517" s="46">
        <f>LEFT(Tableau1[[#This Row],[Formacode]],3)</f>
        <v/>
      </c>
      <c r="D517" s="47" t="n">
        <v>41679</v>
      </c>
      <c r="E517" s="48">
        <f>"RNCP"&amp;D517</f>
        <v/>
      </c>
      <c r="F517" s="48" t="inlineStr">
        <is>
          <t>CQP Agent de maintenance du secteur alimentaire</t>
        </is>
      </c>
      <c r="G517" s="49">
        <f>E517&amp;" - "&amp;F517</f>
        <v/>
      </c>
      <c r="H517" s="36" t="inlineStr">
        <is>
          <t>RAS</t>
        </is>
      </c>
      <c r="I517" s="45" t="inlineStr"/>
      <c r="J517" s="45" t="inlineStr">
        <is>
          <t>RNCP41679</t>
        </is>
      </c>
      <c r="K517" s="45" t="inlineStr">
        <is>
          <t>CQP Agent de maintenance du secteur alimentaire</t>
        </is>
      </c>
      <c r="L517" s="45" t="inlineStr">
        <is>
          <t>27/11/2030</t>
        </is>
      </c>
      <c r="M517" s="45" t="inlineStr">
        <is>
          <t>31624 (Maintenance industrielle) ; 21554 (Agroalimentaire)</t>
        </is>
      </c>
      <c r="N517" s="50" t="inlineStr">
        <is>
          <t>NON</t>
        </is>
      </c>
      <c r="O517" s="45" t="inlineStr"/>
    </row>
    <row r="518" ht="28.8" customFormat="1" customHeight="1" s="3">
      <c r="A518" s="45" t="n"/>
      <c r="B518" s="46" t="inlineStr">
        <is>
          <t>21517</t>
        </is>
      </c>
      <c r="C518" s="46">
        <f>LEFT(Tableau1[[#This Row],[Formacode]],3)</f>
        <v/>
      </c>
      <c r="D518" s="47" t="n">
        <v>37699</v>
      </c>
      <c r="E518" s="48">
        <f>"RNCP"&amp;D518</f>
        <v/>
      </c>
      <c r="F518" s="48" t="inlineStr">
        <is>
          <t>BAC PRO - Production en industries pharmaceutiques, alimentaires et cosmétiques (PIPAC)</t>
        </is>
      </c>
      <c r="G518" s="49">
        <f>E518&amp;" - "&amp;F518</f>
        <v/>
      </c>
      <c r="H518" s="36" t="inlineStr">
        <is>
          <t>RAS</t>
        </is>
      </c>
      <c r="I518" s="45" t="inlineStr"/>
      <c r="J518" s="45" t="inlineStr">
        <is>
          <t>RNCP37699</t>
        </is>
      </c>
      <c r="K518" s="45" t="inlineStr">
        <is>
          <t>Production en industries pharmaceutiques, alimentaires et cosmétiques (PIPAC)</t>
        </is>
      </c>
      <c r="L518" s="45" t="inlineStr">
        <is>
          <t>31/08/2028</t>
        </is>
      </c>
      <c r="M518" s="45" t="inlineStr">
        <is>
          <t>21554 (Agroalimentaire) ; 12081 (Biotechnologie)</t>
        </is>
      </c>
      <c r="N518" s="50" t="inlineStr">
        <is>
          <t>NON</t>
        </is>
      </c>
      <c r="O518" s="45" t="inlineStr"/>
    </row>
    <row r="519" customFormat="1" s="3">
      <c r="A519" s="45" t="n"/>
      <c r="B519" s="46" t="inlineStr">
        <is>
          <t>21517</t>
        </is>
      </c>
      <c r="C519" s="46">
        <f>LEFT(Tableau1[[#This Row],[Formacode]],3)</f>
        <v/>
      </c>
      <c r="D519" s="47" t="n">
        <v>39156</v>
      </c>
      <c r="E519" s="48">
        <f>"RNCP"&amp;D519</f>
        <v/>
      </c>
      <c r="F519" s="48" t="inlineStr">
        <is>
          <t>BP - Conducteur de ligne de production alimentaire</t>
        </is>
      </c>
      <c r="G519" s="49">
        <f>E519&amp;" - "&amp;F519</f>
        <v/>
      </c>
      <c r="H519" s="36" t="inlineStr">
        <is>
          <t>RAS</t>
        </is>
      </c>
      <c r="I519" s="45" t="inlineStr"/>
      <c r="J519" s="45" t="inlineStr">
        <is>
          <t>RNCP39156</t>
        </is>
      </c>
      <c r="K519" s="45" t="inlineStr">
        <is>
          <t>Conducteur de ligne de production alimentaire</t>
        </is>
      </c>
      <c r="L519" s="45" t="inlineStr">
        <is>
          <t>01/09/2029</t>
        </is>
      </c>
      <c r="M519" s="45" t="inlineStr">
        <is>
          <t>21554 (Agroalimentaire)</t>
        </is>
      </c>
      <c r="N519" s="50" t="inlineStr">
        <is>
          <t>NON</t>
        </is>
      </c>
      <c r="O519" s="45" t="inlineStr"/>
    </row>
    <row r="520" customFormat="1" s="3">
      <c r="A520" s="45" t="n"/>
      <c r="B520" s="46" t="inlineStr">
        <is>
          <t>21517</t>
        </is>
      </c>
      <c r="C520" s="46">
        <f>LEFT(Tableau1[[#This Row],[Formacode]],3)</f>
        <v/>
      </c>
      <c r="D520" s="47" t="n">
        <v>39966</v>
      </c>
      <c r="E520" s="48">
        <f>"RNCP"&amp;D520</f>
        <v/>
      </c>
      <c r="F520" s="48" t="inlineStr">
        <is>
          <t>CQP Conducteur de machines du secteur alimentaire</t>
        </is>
      </c>
      <c r="G520" s="49">
        <f>E520&amp;" - "&amp;F520</f>
        <v/>
      </c>
      <c r="H520" s="36" t="inlineStr">
        <is>
          <t>RAS</t>
        </is>
      </c>
      <c r="I520" s="45" t="inlineStr"/>
      <c r="J520" s="45" t="inlineStr">
        <is>
          <t>RNCP39966</t>
        </is>
      </c>
      <c r="K520" s="45" t="inlineStr">
        <is>
          <t>CQP Conducteur de machines du secteur alimentaire</t>
        </is>
      </c>
      <c r="L520" s="45" t="inlineStr">
        <is>
          <t>18/12/2029</t>
        </is>
      </c>
      <c r="M520" s="45" t="inlineStr">
        <is>
          <t>31620 (Conduite installation industrielle) ; 21554 (Agroalimentaire)</t>
        </is>
      </c>
      <c r="N520" s="50" t="inlineStr">
        <is>
          <t>NON</t>
        </is>
      </c>
      <c r="O520" s="45" t="inlineStr"/>
    </row>
    <row r="521" customFormat="1" s="3">
      <c r="A521" s="45" t="n"/>
      <c r="B521" s="46" t="inlineStr">
        <is>
          <t>21517</t>
        </is>
      </c>
      <c r="C521" s="46">
        <f>LEFT(Tableau1[[#This Row],[Formacode]],3)</f>
        <v/>
      </c>
      <c r="D521" s="47" t="n">
        <v>39967</v>
      </c>
      <c r="E521" s="48">
        <f>"RNCP"&amp;D521</f>
        <v/>
      </c>
      <c r="F521" s="48" t="inlineStr">
        <is>
          <t>CQP Conducteur de ligne du secteur alimentaire</t>
        </is>
      </c>
      <c r="G521" s="49">
        <f>E521&amp;" - "&amp;F521</f>
        <v/>
      </c>
      <c r="H521" s="36" t="inlineStr">
        <is>
          <t>RAS</t>
        </is>
      </c>
      <c r="I521" s="45" t="inlineStr"/>
      <c r="J521" s="45" t="inlineStr">
        <is>
          <t>RNCP39967</t>
        </is>
      </c>
      <c r="K521" s="45" t="inlineStr">
        <is>
          <t>CQP Conducteur de ligne du secteur alimentaire</t>
        </is>
      </c>
      <c r="L521" s="45" t="inlineStr">
        <is>
          <t>18/12/2029</t>
        </is>
      </c>
      <c r="M521" s="45" t="inlineStr">
        <is>
          <t>31620 (Conduite installation industrielle) ; 21554 (Agroalimentaire)</t>
        </is>
      </c>
      <c r="N521" s="50" t="inlineStr">
        <is>
          <t>NON</t>
        </is>
      </c>
      <c r="O521" s="45" t="inlineStr"/>
    </row>
    <row r="522" customFormat="1" s="3">
      <c r="A522" s="45" t="n"/>
      <c r="B522" s="46" t="inlineStr">
        <is>
          <t>21517</t>
        </is>
      </c>
      <c r="C522" s="46">
        <f>LEFT(Tableau1[[#This Row],[Formacode]],3)</f>
        <v/>
      </c>
      <c r="D522" s="47" t="n">
        <v>39968</v>
      </c>
      <c r="E522" s="48">
        <f>"RNCP"&amp;D522</f>
        <v/>
      </c>
      <c r="F522" s="48" t="inlineStr">
        <is>
          <t>CQP Opérateur de production du secteur alimentaire</t>
        </is>
      </c>
      <c r="G522" s="49">
        <f>E522&amp;" - "&amp;F522</f>
        <v/>
      </c>
      <c r="H522" s="36" t="inlineStr">
        <is>
          <t>RAS</t>
        </is>
      </c>
      <c r="I522" s="45" t="inlineStr"/>
      <c r="J522" s="45" t="inlineStr">
        <is>
          <t>RNCP39968</t>
        </is>
      </c>
      <c r="K522" s="45" t="inlineStr">
        <is>
          <t>CQP Opérateur de production du secteur alimentaire</t>
        </is>
      </c>
      <c r="L522" s="45" t="inlineStr">
        <is>
          <t>18/12/2029</t>
        </is>
      </c>
      <c r="M522" s="45" t="inlineStr">
        <is>
          <t>21554 (Agroalimentaire)</t>
        </is>
      </c>
      <c r="N522" s="50" t="inlineStr">
        <is>
          <t>NON</t>
        </is>
      </c>
      <c r="O522" s="45" t="inlineStr"/>
    </row>
    <row r="523" customFormat="1" s="3">
      <c r="A523" s="45" t="n"/>
      <c r="B523" s="46" t="inlineStr">
        <is>
          <t>21517</t>
        </is>
      </c>
      <c r="C523" s="46">
        <f>LEFT(Tableau1[[#This Row],[Formacode]],3)</f>
        <v/>
      </c>
      <c r="D523" s="47" t="n">
        <v>39971</v>
      </c>
      <c r="E523" s="48">
        <f>"RNCP"&amp;D523</f>
        <v/>
      </c>
      <c r="F523" s="48" t="inlineStr">
        <is>
          <t>CQP Technicien de maintenance du secteur alimentaire</t>
        </is>
      </c>
      <c r="G523" s="49">
        <f>E523&amp;" - "&amp;F523</f>
        <v/>
      </c>
      <c r="H523" s="36" t="inlineStr">
        <is>
          <t>RAS</t>
        </is>
      </c>
      <c r="I523" s="45" t="inlineStr"/>
      <c r="J523" s="45" t="inlineStr">
        <is>
          <t>RNCP39971</t>
        </is>
      </c>
      <c r="K523" s="45" t="inlineStr">
        <is>
          <t>CQP Technicien de maintenance du secteur alimentaire</t>
        </is>
      </c>
      <c r="L523" s="45" t="inlineStr">
        <is>
          <t>18/12/2029</t>
        </is>
      </c>
      <c r="M523" s="45" t="inlineStr">
        <is>
          <t>21554 (Agroalimentaire) ; 31624 (Maintenance industrielle)</t>
        </is>
      </c>
      <c r="N523" s="50" t="inlineStr">
        <is>
          <t>NON</t>
        </is>
      </c>
      <c r="O523" s="45" t="inlineStr"/>
    </row>
    <row r="524" customFormat="1" s="3">
      <c r="A524" s="45" t="n"/>
      <c r="B524" s="46" t="inlineStr">
        <is>
          <t>21517</t>
        </is>
      </c>
      <c r="C524" s="46">
        <f>LEFT(Tableau1[[#This Row],[Formacode]],3)</f>
        <v/>
      </c>
      <c r="D524" s="47" t="n">
        <v>39972</v>
      </c>
      <c r="E524" s="48">
        <f>"RNCP"&amp;D524</f>
        <v/>
      </c>
      <c r="F524" s="48" t="inlineStr">
        <is>
          <t>CQP Responsable d'équipe du secteur alimentaire</t>
        </is>
      </c>
      <c r="G524" s="49">
        <f>E524&amp;" - "&amp;F524</f>
        <v/>
      </c>
      <c r="H524" s="36" t="inlineStr">
        <is>
          <t>RAS</t>
        </is>
      </c>
      <c r="I524" s="45" t="inlineStr"/>
      <c r="J524" s="45" t="inlineStr">
        <is>
          <t>RNCP39972</t>
        </is>
      </c>
      <c r="K524" s="45" t="inlineStr">
        <is>
          <t>CQP Responsable d'équipe du secteur alimentaire</t>
        </is>
      </c>
      <c r="L524" s="45" t="inlineStr">
        <is>
          <t>18/12/2029</t>
        </is>
      </c>
      <c r="M524" s="45" t="inlineStr">
        <is>
          <t>32154 (Encadrement management) ; 21554 (Agroalimentaire)</t>
        </is>
      </c>
      <c r="N524" s="50" t="inlineStr">
        <is>
          <t>NON</t>
        </is>
      </c>
      <c r="O524" s="45" t="inlineStr"/>
    </row>
    <row r="525" customFormat="1" s="3">
      <c r="A525" s="45" t="n"/>
      <c r="B525" s="46" t="inlineStr">
        <is>
          <t>21517</t>
        </is>
      </c>
      <c r="C525" s="46">
        <f>LEFT(Tableau1[[#This Row],[Formacode]],3)</f>
        <v/>
      </c>
      <c r="D525" s="47" t="n">
        <v>41349</v>
      </c>
      <c r="E525" s="48">
        <f>"RNCP"&amp;D525</f>
        <v/>
      </c>
      <c r="F525" s="48" t="inlineStr">
        <is>
          <t>CQP Conducteur de process du secteur alimentaire</t>
        </is>
      </c>
      <c r="G525" s="49">
        <f>E525&amp;" - "&amp;F525</f>
        <v/>
      </c>
      <c r="H525" s="36" t="inlineStr">
        <is>
          <t>RAS</t>
        </is>
      </c>
      <c r="I525" s="45" t="inlineStr"/>
      <c r="J525" s="45" t="inlineStr">
        <is>
          <t>RNCP41349</t>
        </is>
      </c>
      <c r="K525" s="45" t="inlineStr">
        <is>
          <t>CQP Conducteur de process du secteur alimentaire</t>
        </is>
      </c>
      <c r="L525" s="45" t="inlineStr">
        <is>
          <t>24/09/2030</t>
        </is>
      </c>
      <c r="M525" s="45" t="inlineStr">
        <is>
          <t>32012 (Gestion processus) ; 21554 (Agroalimentaire)</t>
        </is>
      </c>
      <c r="N525" s="50" t="inlineStr">
        <is>
          <t>NON</t>
        </is>
      </c>
      <c r="O525" s="45" t="inlineStr"/>
    </row>
    <row r="526" customFormat="1" s="3">
      <c r="A526" s="45" t="n"/>
      <c r="B526" s="46" t="inlineStr">
        <is>
          <t>21517</t>
        </is>
      </c>
      <c r="C526" s="46">
        <f>LEFT(Tableau1[[#This Row],[Formacode]],3)</f>
        <v/>
      </c>
      <c r="D526" s="47" t="n">
        <v>41679</v>
      </c>
      <c r="E526" s="48">
        <f>"RNCP"&amp;D526</f>
        <v/>
      </c>
      <c r="F526" s="48" t="inlineStr">
        <is>
          <t>CQP Agent de maintenance du secteur alimentaire</t>
        </is>
      </c>
      <c r="G526" s="49">
        <f>E526&amp;" - "&amp;F526</f>
        <v/>
      </c>
      <c r="H526" s="36" t="inlineStr">
        <is>
          <t>RAS</t>
        </is>
      </c>
      <c r="I526" s="45" t="inlineStr"/>
      <c r="J526" s="45" t="inlineStr">
        <is>
          <t>RNCP41679</t>
        </is>
      </c>
      <c r="K526" s="45" t="inlineStr">
        <is>
          <t>CQP Agent de maintenance du secteur alimentaire</t>
        </is>
      </c>
      <c r="L526" s="45" t="inlineStr">
        <is>
          <t>27/11/2030</t>
        </is>
      </c>
      <c r="M526" s="45" t="inlineStr">
        <is>
          <t>31624 (Maintenance industrielle) ; 21554 (Agroalimentaire)</t>
        </is>
      </c>
      <c r="N526" s="50" t="inlineStr">
        <is>
          <t>NON</t>
        </is>
      </c>
      <c r="O526" s="45" t="inlineStr"/>
    </row>
    <row r="527" ht="28.8" customFormat="1" customHeight="1" s="3">
      <c r="A527" s="45" t="n"/>
      <c r="B527" s="46" t="inlineStr">
        <is>
          <t>21523</t>
        </is>
      </c>
      <c r="C527" s="46">
        <f>LEFT(Tableau1[[#This Row],[Formacode]],3)</f>
        <v/>
      </c>
      <c r="D527" s="47" t="n">
        <v>37699</v>
      </c>
      <c r="E527" s="48">
        <f>"RNCP"&amp;D527</f>
        <v/>
      </c>
      <c r="F527" s="48" t="inlineStr">
        <is>
          <t>BAC PRO - Production en industries pharmaceutiques, alimentaires et cosmétiques (PIPAC)</t>
        </is>
      </c>
      <c r="G527" s="49">
        <f>E527&amp;" - "&amp;F527</f>
        <v/>
      </c>
      <c r="H527" s="36" t="inlineStr">
        <is>
          <t>RAS</t>
        </is>
      </c>
      <c r="I527" s="45" t="inlineStr"/>
      <c r="J527" s="45" t="inlineStr">
        <is>
          <t>RNCP37699</t>
        </is>
      </c>
      <c r="K527" s="45" t="inlineStr">
        <is>
          <t>Production en industries pharmaceutiques, alimentaires et cosmétiques (PIPAC)</t>
        </is>
      </c>
      <c r="L527" s="45" t="inlineStr">
        <is>
          <t>31/08/2028</t>
        </is>
      </c>
      <c r="M527" s="45" t="inlineStr">
        <is>
          <t>21554 (Agroalimentaire) ; 12081 (Biotechnologie)</t>
        </is>
      </c>
      <c r="N527" s="50" t="inlineStr">
        <is>
          <t>NON</t>
        </is>
      </c>
      <c r="O527" s="45" t="inlineStr"/>
    </row>
    <row r="528" customFormat="1" s="3">
      <c r="A528" s="45" t="n"/>
      <c r="B528" s="46" t="inlineStr">
        <is>
          <t>21523</t>
        </is>
      </c>
      <c r="C528" s="46">
        <f>LEFT(Tableau1[[#This Row],[Formacode]],3)</f>
        <v/>
      </c>
      <c r="D528" s="47" t="n">
        <v>39156</v>
      </c>
      <c r="E528" s="48">
        <f>"RNCP"&amp;D528</f>
        <v/>
      </c>
      <c r="F528" s="48" t="inlineStr">
        <is>
          <t>BP - Conducteur de ligne de production alimentaire</t>
        </is>
      </c>
      <c r="G528" s="49">
        <f>E528&amp;" - "&amp;F528</f>
        <v/>
      </c>
      <c r="H528" s="36" t="inlineStr">
        <is>
          <t>RAS</t>
        </is>
      </c>
      <c r="I528" s="45" t="inlineStr"/>
      <c r="J528" s="45" t="inlineStr">
        <is>
          <t>RNCP39156</t>
        </is>
      </c>
      <c r="K528" s="45" t="inlineStr">
        <is>
          <t>Conducteur de ligne de production alimentaire</t>
        </is>
      </c>
      <c r="L528" s="45" t="inlineStr">
        <is>
          <t>01/09/2029</t>
        </is>
      </c>
      <c r="M528" s="45" t="inlineStr">
        <is>
          <t>21554 (Agroalimentaire)</t>
        </is>
      </c>
      <c r="N528" s="50" t="inlineStr">
        <is>
          <t>NON</t>
        </is>
      </c>
      <c r="O528" s="45" t="inlineStr"/>
    </row>
    <row r="529" customFormat="1" s="3">
      <c r="A529" s="45" t="n"/>
      <c r="B529" s="46" t="inlineStr">
        <is>
          <t>21523</t>
        </is>
      </c>
      <c r="C529" s="46">
        <f>LEFT(Tableau1[[#This Row],[Formacode]],3)</f>
        <v/>
      </c>
      <c r="D529" s="47" t="n">
        <v>39966</v>
      </c>
      <c r="E529" s="48">
        <f>"RNCP"&amp;D529</f>
        <v/>
      </c>
      <c r="F529" s="48" t="inlineStr">
        <is>
          <t>CQP Conducteur de machines du secteur alimentaire</t>
        </is>
      </c>
      <c r="G529" s="49">
        <f>E529&amp;" - "&amp;F529</f>
        <v/>
      </c>
      <c r="H529" s="36" t="inlineStr">
        <is>
          <t>RAS</t>
        </is>
      </c>
      <c r="I529" s="45" t="inlineStr"/>
      <c r="J529" s="45" t="inlineStr">
        <is>
          <t>RNCP39966</t>
        </is>
      </c>
      <c r="K529" s="45" t="inlineStr">
        <is>
          <t>CQP Conducteur de machines du secteur alimentaire</t>
        </is>
      </c>
      <c r="L529" s="45" t="inlineStr">
        <is>
          <t>18/12/2029</t>
        </is>
      </c>
      <c r="M529" s="45" t="inlineStr">
        <is>
          <t>31620 (Conduite installation industrielle) ; 21554 (Agroalimentaire)</t>
        </is>
      </c>
      <c r="N529" s="50" t="inlineStr">
        <is>
          <t>NON</t>
        </is>
      </c>
      <c r="O529" s="45" t="inlineStr"/>
    </row>
    <row r="530" customFormat="1" s="3">
      <c r="A530" s="45" t="n"/>
      <c r="B530" s="46" t="inlineStr">
        <is>
          <t>21523</t>
        </is>
      </c>
      <c r="C530" s="46">
        <f>LEFT(Tableau1[[#This Row],[Formacode]],3)</f>
        <v/>
      </c>
      <c r="D530" s="47" t="n">
        <v>39967</v>
      </c>
      <c r="E530" s="48">
        <f>"RNCP"&amp;D530</f>
        <v/>
      </c>
      <c r="F530" s="48" t="inlineStr">
        <is>
          <t>CQP Conducteur de ligne du secteur alimentaire</t>
        </is>
      </c>
      <c r="G530" s="49">
        <f>E530&amp;" - "&amp;F530</f>
        <v/>
      </c>
      <c r="H530" s="36" t="inlineStr">
        <is>
          <t>RAS</t>
        </is>
      </c>
      <c r="I530" s="45" t="inlineStr"/>
      <c r="J530" s="45" t="inlineStr">
        <is>
          <t>RNCP39967</t>
        </is>
      </c>
      <c r="K530" s="45" t="inlineStr">
        <is>
          <t>CQP Conducteur de ligne du secteur alimentaire</t>
        </is>
      </c>
      <c r="L530" s="45" t="inlineStr">
        <is>
          <t>18/12/2029</t>
        </is>
      </c>
      <c r="M530" s="45" t="inlineStr">
        <is>
          <t>31620 (Conduite installation industrielle) ; 21554 (Agroalimentaire)</t>
        </is>
      </c>
      <c r="N530" s="50" t="inlineStr">
        <is>
          <t>NON</t>
        </is>
      </c>
      <c r="O530" s="45" t="inlineStr"/>
    </row>
    <row r="531" customFormat="1" s="3">
      <c r="A531" s="45" t="n"/>
      <c r="B531" s="46" t="inlineStr">
        <is>
          <t>21523</t>
        </is>
      </c>
      <c r="C531" s="46">
        <f>LEFT(Tableau1[[#This Row],[Formacode]],3)</f>
        <v/>
      </c>
      <c r="D531" s="47" t="n">
        <v>39968</v>
      </c>
      <c r="E531" s="48">
        <f>"RNCP"&amp;D531</f>
        <v/>
      </c>
      <c r="F531" s="48" t="inlineStr">
        <is>
          <t>CQP Opérateur de production du secteur alimentaire</t>
        </is>
      </c>
      <c r="G531" s="49">
        <f>E531&amp;" - "&amp;F531</f>
        <v/>
      </c>
      <c r="H531" s="36" t="inlineStr">
        <is>
          <t>RAS</t>
        </is>
      </c>
      <c r="I531" s="45" t="inlineStr"/>
      <c r="J531" s="45" t="inlineStr">
        <is>
          <t>RNCP39968</t>
        </is>
      </c>
      <c r="K531" s="45" t="inlineStr">
        <is>
          <t>CQP Opérateur de production du secteur alimentaire</t>
        </is>
      </c>
      <c r="L531" s="45" t="inlineStr">
        <is>
          <t>18/12/2029</t>
        </is>
      </c>
      <c r="M531" s="45" t="inlineStr">
        <is>
          <t>21554 (Agroalimentaire)</t>
        </is>
      </c>
      <c r="N531" s="50" t="inlineStr">
        <is>
          <t>NON</t>
        </is>
      </c>
      <c r="O531" s="45" t="inlineStr"/>
    </row>
    <row r="532" customFormat="1" s="3">
      <c r="A532" s="45" t="n"/>
      <c r="B532" s="46" t="inlineStr">
        <is>
          <t>21523</t>
        </is>
      </c>
      <c r="C532" s="46">
        <f>LEFT(Tableau1[[#This Row],[Formacode]],3)</f>
        <v/>
      </c>
      <c r="D532" s="47" t="n">
        <v>39971</v>
      </c>
      <c r="E532" s="48">
        <f>"RNCP"&amp;D532</f>
        <v/>
      </c>
      <c r="F532" s="48" t="inlineStr">
        <is>
          <t>CQP Technicien de maintenance du secteur alimentaire</t>
        </is>
      </c>
      <c r="G532" s="49">
        <f>E532&amp;" - "&amp;F532</f>
        <v/>
      </c>
      <c r="H532" s="36" t="inlineStr">
        <is>
          <t>RAS</t>
        </is>
      </c>
      <c r="I532" s="45" t="inlineStr"/>
      <c r="J532" s="45" t="inlineStr">
        <is>
          <t>RNCP39971</t>
        </is>
      </c>
      <c r="K532" s="45" t="inlineStr">
        <is>
          <t>CQP Technicien de maintenance du secteur alimentaire</t>
        </is>
      </c>
      <c r="L532" s="45" t="inlineStr">
        <is>
          <t>18/12/2029</t>
        </is>
      </c>
      <c r="M532" s="45" t="inlineStr">
        <is>
          <t>21554 (Agroalimentaire) ; 31624 (Maintenance industrielle)</t>
        </is>
      </c>
      <c r="N532" s="50" t="inlineStr">
        <is>
          <t>NON</t>
        </is>
      </c>
      <c r="O532" s="45" t="inlineStr"/>
    </row>
    <row r="533" customFormat="1" s="3">
      <c r="A533" s="45" t="n"/>
      <c r="B533" s="46" t="inlineStr">
        <is>
          <t>21523</t>
        </is>
      </c>
      <c r="C533" s="46">
        <f>LEFT(Tableau1[[#This Row],[Formacode]],3)</f>
        <v/>
      </c>
      <c r="D533" s="47" t="n">
        <v>39972</v>
      </c>
      <c r="E533" s="48">
        <f>"RNCP"&amp;D533</f>
        <v/>
      </c>
      <c r="F533" s="48" t="inlineStr">
        <is>
          <t>CQP Responsable d'équipe du secteur alimentaire</t>
        </is>
      </c>
      <c r="G533" s="49">
        <f>E533&amp;" - "&amp;F533</f>
        <v/>
      </c>
      <c r="H533" s="36" t="inlineStr">
        <is>
          <t>RAS</t>
        </is>
      </c>
      <c r="I533" s="45" t="inlineStr"/>
      <c r="J533" s="45" t="inlineStr">
        <is>
          <t>RNCP39972</t>
        </is>
      </c>
      <c r="K533" s="45" t="inlineStr">
        <is>
          <t>CQP Responsable d'équipe du secteur alimentaire</t>
        </is>
      </c>
      <c r="L533" s="45" t="inlineStr">
        <is>
          <t>18/12/2029</t>
        </is>
      </c>
      <c r="M533" s="45" t="inlineStr">
        <is>
          <t>32154 (Encadrement management) ; 21554 (Agroalimentaire)</t>
        </is>
      </c>
      <c r="N533" s="50" t="inlineStr">
        <is>
          <t>NON</t>
        </is>
      </c>
      <c r="O533" s="45" t="inlineStr"/>
    </row>
    <row r="534" customFormat="1" s="3">
      <c r="A534" s="45" t="n"/>
      <c r="B534" s="46" t="inlineStr">
        <is>
          <t>21523</t>
        </is>
      </c>
      <c r="C534" s="46">
        <f>LEFT(Tableau1[[#This Row],[Formacode]],3)</f>
        <v/>
      </c>
      <c r="D534" s="47" t="n">
        <v>41349</v>
      </c>
      <c r="E534" s="48">
        <f>"RNCP"&amp;D534</f>
        <v/>
      </c>
      <c r="F534" s="48" t="inlineStr">
        <is>
          <t>CQP Conducteur de process du secteur alimentaire</t>
        </is>
      </c>
      <c r="G534" s="49">
        <f>E534&amp;" - "&amp;F534</f>
        <v/>
      </c>
      <c r="H534" s="36" t="inlineStr">
        <is>
          <t>RAS</t>
        </is>
      </c>
      <c r="I534" s="45" t="inlineStr"/>
      <c r="J534" s="45" t="inlineStr">
        <is>
          <t>RNCP41349</t>
        </is>
      </c>
      <c r="K534" s="45" t="inlineStr">
        <is>
          <t>CQP Conducteur de process du secteur alimentaire</t>
        </is>
      </c>
      <c r="L534" s="45" t="inlineStr">
        <is>
          <t>24/09/2030</t>
        </is>
      </c>
      <c r="M534" s="45" t="inlineStr">
        <is>
          <t>32012 (Gestion processus) ; 21554 (Agroalimentaire)</t>
        </is>
      </c>
      <c r="N534" s="50" t="inlineStr">
        <is>
          <t>NON</t>
        </is>
      </c>
      <c r="O534" s="45" t="inlineStr"/>
    </row>
    <row r="535" customFormat="1" s="3">
      <c r="A535" s="45" t="n"/>
      <c r="B535" s="46" t="inlineStr">
        <is>
          <t>21523</t>
        </is>
      </c>
      <c r="C535" s="46">
        <f>LEFT(Tableau1[[#This Row],[Formacode]],3)</f>
        <v/>
      </c>
      <c r="D535" s="47" t="n">
        <v>41679</v>
      </c>
      <c r="E535" s="48">
        <f>"RNCP"&amp;D535</f>
        <v/>
      </c>
      <c r="F535" s="48" t="inlineStr">
        <is>
          <t>CQP Agent de maintenance du secteur alimentaire</t>
        </is>
      </c>
      <c r="G535" s="49">
        <f>E535&amp;" - "&amp;F535</f>
        <v/>
      </c>
      <c r="H535" s="36" t="inlineStr">
        <is>
          <t>RAS</t>
        </is>
      </c>
      <c r="I535" s="45" t="inlineStr"/>
      <c r="J535" s="45" t="inlineStr">
        <is>
          <t>RNCP41679</t>
        </is>
      </c>
      <c r="K535" s="45" t="inlineStr">
        <is>
          <t>CQP Agent de maintenance du secteur alimentaire</t>
        </is>
      </c>
      <c r="L535" s="45" t="inlineStr">
        <is>
          <t>27/11/2030</t>
        </is>
      </c>
      <c r="M535" s="45" t="inlineStr">
        <is>
          <t>31624 (Maintenance industrielle) ; 21554 (Agroalimentaire)</t>
        </is>
      </c>
      <c r="N535" s="50" t="inlineStr">
        <is>
          <t>NON</t>
        </is>
      </c>
      <c r="O535" s="45" t="inlineStr"/>
    </row>
    <row r="536" customFormat="1" s="3">
      <c r="A536" s="45" t="n"/>
      <c r="B536" s="46" t="inlineStr">
        <is>
          <t>21524</t>
        </is>
      </c>
      <c r="C536" s="46">
        <f>LEFT(Tableau1[[#This Row],[Formacode]],3)</f>
        <v/>
      </c>
      <c r="D536" s="47" t="n">
        <v>37533</v>
      </c>
      <c r="E536" s="48">
        <f>"RNCP"&amp;D536</f>
        <v/>
      </c>
      <c r="F536" s="48" t="inlineStr">
        <is>
          <t>CAP - Crémier fromager</t>
        </is>
      </c>
      <c r="G536" s="49">
        <f>E536&amp;" - "&amp;F536</f>
        <v/>
      </c>
      <c r="H536" s="36" t="inlineStr">
        <is>
          <t>RAS</t>
        </is>
      </c>
      <c r="I536" s="45" t="inlineStr"/>
      <c r="J536" s="45" t="inlineStr">
        <is>
          <t>RNCP37533</t>
        </is>
      </c>
      <c r="K536" s="45" t="inlineStr">
        <is>
          <t>Crémier fromager</t>
        </is>
      </c>
      <c r="L536" s="45" t="inlineStr">
        <is>
          <t>31/08/2028</t>
        </is>
      </c>
      <c r="M536" s="45" t="inlineStr">
        <is>
          <t>21504 (Fromage) ; 34516 (Vente produit laitier)</t>
        </is>
      </c>
      <c r="N536" s="50" t="inlineStr">
        <is>
          <t>NON</t>
        </is>
      </c>
      <c r="O536" s="45" t="inlineStr"/>
    </row>
    <row r="537" ht="28.8" customFormat="1" customHeight="1" s="3">
      <c r="A537" s="45" t="n"/>
      <c r="B537" s="46" t="inlineStr">
        <is>
          <t>21524</t>
        </is>
      </c>
      <c r="C537" s="46">
        <f>LEFT(Tableau1[[#This Row],[Formacode]],3)</f>
        <v/>
      </c>
      <c r="D537" s="47" t="n">
        <v>37699</v>
      </c>
      <c r="E537" s="48">
        <f>"RNCP"&amp;D537</f>
        <v/>
      </c>
      <c r="F537" s="48" t="inlineStr">
        <is>
          <t>BAC PRO - Production en industries pharmaceutiques, alimentaires et cosmétiques (PIPAC)</t>
        </is>
      </c>
      <c r="G537" s="49">
        <f>E537&amp;" - "&amp;F537</f>
        <v/>
      </c>
      <c r="H537" s="36" t="inlineStr">
        <is>
          <t>RAS</t>
        </is>
      </c>
      <c r="I537" s="45" t="inlineStr"/>
      <c r="J537" s="45" t="inlineStr">
        <is>
          <t>RNCP37699</t>
        </is>
      </c>
      <c r="K537" s="45" t="inlineStr">
        <is>
          <t>Production en industries pharmaceutiques, alimentaires et cosmétiques (PIPAC)</t>
        </is>
      </c>
      <c r="L537" s="45" t="inlineStr">
        <is>
          <t>31/08/2028</t>
        </is>
      </c>
      <c r="M537" s="45" t="inlineStr">
        <is>
          <t>21554 (Agroalimentaire) ; 12081 (Biotechnologie)</t>
        </is>
      </c>
      <c r="N537" s="50" t="inlineStr">
        <is>
          <t>NON</t>
        </is>
      </c>
      <c r="O537" s="45" t="inlineStr"/>
    </row>
    <row r="538" customFormat="1" s="3">
      <c r="A538" s="45" t="n"/>
      <c r="B538" s="46" t="inlineStr">
        <is>
          <t>21524</t>
        </is>
      </c>
      <c r="C538" s="46">
        <f>LEFT(Tableau1[[#This Row],[Formacode]],3)</f>
        <v/>
      </c>
      <c r="D538" s="47" t="n">
        <v>39156</v>
      </c>
      <c r="E538" s="48">
        <f>"RNCP"&amp;D538</f>
        <v/>
      </c>
      <c r="F538" s="48" t="inlineStr">
        <is>
          <t>BP - Conducteur de ligne de production alimentaire</t>
        </is>
      </c>
      <c r="G538" s="49">
        <f>E538&amp;" - "&amp;F538</f>
        <v/>
      </c>
      <c r="H538" s="36" t="inlineStr">
        <is>
          <t>RAS</t>
        </is>
      </c>
      <c r="I538" s="45" t="inlineStr"/>
      <c r="J538" s="45" t="inlineStr">
        <is>
          <t>RNCP39156</t>
        </is>
      </c>
      <c r="K538" s="45" t="inlineStr">
        <is>
          <t>Conducteur de ligne de production alimentaire</t>
        </is>
      </c>
      <c r="L538" s="45" t="inlineStr">
        <is>
          <t>01/09/2029</t>
        </is>
      </c>
      <c r="M538" s="45" t="inlineStr">
        <is>
          <t>21554 (Agroalimentaire)</t>
        </is>
      </c>
      <c r="N538" s="50" t="inlineStr">
        <is>
          <t>NON</t>
        </is>
      </c>
      <c r="O538" s="45" t="inlineStr"/>
    </row>
    <row r="539" customFormat="1" s="3">
      <c r="A539" s="45" t="n"/>
      <c r="B539" s="46" t="inlineStr">
        <is>
          <t>21524</t>
        </is>
      </c>
      <c r="C539" s="46">
        <f>LEFT(Tableau1[[#This Row],[Formacode]],3)</f>
        <v/>
      </c>
      <c r="D539" s="47" t="n">
        <v>39966</v>
      </c>
      <c r="E539" s="48">
        <f>"RNCP"&amp;D539</f>
        <v/>
      </c>
      <c r="F539" s="48" t="inlineStr">
        <is>
          <t>CQP Conducteur de machines du secteur alimentaire</t>
        </is>
      </c>
      <c r="G539" s="49">
        <f>E539&amp;" - "&amp;F539</f>
        <v/>
      </c>
      <c r="H539" s="36" t="inlineStr">
        <is>
          <t>RAS</t>
        </is>
      </c>
      <c r="I539" s="45" t="inlineStr"/>
      <c r="J539" s="45" t="inlineStr">
        <is>
          <t>RNCP39966</t>
        </is>
      </c>
      <c r="K539" s="45" t="inlineStr">
        <is>
          <t>CQP Conducteur de machines du secteur alimentaire</t>
        </is>
      </c>
      <c r="L539" s="45" t="inlineStr">
        <is>
          <t>18/12/2029</t>
        </is>
      </c>
      <c r="M539" s="45" t="inlineStr">
        <is>
          <t>31620 (Conduite installation industrielle) ; 21554 (Agroalimentaire)</t>
        </is>
      </c>
      <c r="N539" s="50" t="inlineStr">
        <is>
          <t>NON</t>
        </is>
      </c>
      <c r="O539" s="45" t="inlineStr"/>
    </row>
    <row r="540" customFormat="1" s="3">
      <c r="A540" s="45" t="n"/>
      <c r="B540" s="46" t="inlineStr">
        <is>
          <t>21524</t>
        </is>
      </c>
      <c r="C540" s="46">
        <f>LEFT(Tableau1[[#This Row],[Formacode]],3)</f>
        <v/>
      </c>
      <c r="D540" s="47" t="n">
        <v>39967</v>
      </c>
      <c r="E540" s="48">
        <f>"RNCP"&amp;D540</f>
        <v/>
      </c>
      <c r="F540" s="48" t="inlineStr">
        <is>
          <t>CQP Conducteur de ligne du secteur alimentaire</t>
        </is>
      </c>
      <c r="G540" s="49">
        <f>E540&amp;" - "&amp;F540</f>
        <v/>
      </c>
      <c r="H540" s="36" t="inlineStr">
        <is>
          <t>RAS</t>
        </is>
      </c>
      <c r="I540" s="45" t="inlineStr"/>
      <c r="J540" s="45" t="inlineStr">
        <is>
          <t>RNCP39967</t>
        </is>
      </c>
      <c r="K540" s="45" t="inlineStr">
        <is>
          <t>CQP Conducteur de ligne du secteur alimentaire</t>
        </is>
      </c>
      <c r="L540" s="45" t="inlineStr">
        <is>
          <t>18/12/2029</t>
        </is>
      </c>
      <c r="M540" s="45" t="inlineStr">
        <is>
          <t>31620 (Conduite installation industrielle) ; 21554 (Agroalimentaire)</t>
        </is>
      </c>
      <c r="N540" s="50" t="inlineStr">
        <is>
          <t>NON</t>
        </is>
      </c>
      <c r="O540" s="45" t="inlineStr"/>
    </row>
    <row r="541" customFormat="1" s="3">
      <c r="A541" s="45" t="n"/>
      <c r="B541" s="46" t="inlineStr">
        <is>
          <t>21524</t>
        </is>
      </c>
      <c r="C541" s="46">
        <f>LEFT(Tableau1[[#This Row],[Formacode]],3)</f>
        <v/>
      </c>
      <c r="D541" s="47" t="n">
        <v>39968</v>
      </c>
      <c r="E541" s="48">
        <f>"RNCP"&amp;D541</f>
        <v/>
      </c>
      <c r="F541" s="48" t="inlineStr">
        <is>
          <t>CQP Opérateur de production du secteur alimentaire</t>
        </is>
      </c>
      <c r="G541" s="49">
        <f>E541&amp;" - "&amp;F541</f>
        <v/>
      </c>
      <c r="H541" s="36" t="inlineStr">
        <is>
          <t>RAS</t>
        </is>
      </c>
      <c r="I541" s="45" t="inlineStr"/>
      <c r="J541" s="45" t="inlineStr">
        <is>
          <t>RNCP39968</t>
        </is>
      </c>
      <c r="K541" s="45" t="inlineStr">
        <is>
          <t>CQP Opérateur de production du secteur alimentaire</t>
        </is>
      </c>
      <c r="L541" s="45" t="inlineStr">
        <is>
          <t>18/12/2029</t>
        </is>
      </c>
      <c r="M541" s="45" t="inlineStr">
        <is>
          <t>21554 (Agroalimentaire)</t>
        </is>
      </c>
      <c r="N541" s="50" t="inlineStr">
        <is>
          <t>NON</t>
        </is>
      </c>
      <c r="O541" s="45" t="inlineStr"/>
    </row>
    <row r="542" customFormat="1" s="3">
      <c r="A542" s="45" t="n"/>
      <c r="B542" s="46" t="inlineStr">
        <is>
          <t>21524</t>
        </is>
      </c>
      <c r="C542" s="46">
        <f>LEFT(Tableau1[[#This Row],[Formacode]],3)</f>
        <v/>
      </c>
      <c r="D542" s="47" t="n">
        <v>39971</v>
      </c>
      <c r="E542" s="48">
        <f>"RNCP"&amp;D542</f>
        <v/>
      </c>
      <c r="F542" s="48" t="inlineStr">
        <is>
          <t>CQP Technicien de maintenance du secteur alimentaire</t>
        </is>
      </c>
      <c r="G542" s="49">
        <f>E542&amp;" - "&amp;F542</f>
        <v/>
      </c>
      <c r="H542" s="36" t="inlineStr">
        <is>
          <t>RAS</t>
        </is>
      </c>
      <c r="I542" s="45" t="inlineStr"/>
      <c r="J542" s="45" t="inlineStr">
        <is>
          <t>RNCP39971</t>
        </is>
      </c>
      <c r="K542" s="45" t="inlineStr">
        <is>
          <t>CQP Technicien de maintenance du secteur alimentaire</t>
        </is>
      </c>
      <c r="L542" s="45" t="inlineStr">
        <is>
          <t>18/12/2029</t>
        </is>
      </c>
      <c r="M542" s="45" t="inlineStr">
        <is>
          <t>21554 (Agroalimentaire) ; 31624 (Maintenance industrielle)</t>
        </is>
      </c>
      <c r="N542" s="50" t="inlineStr">
        <is>
          <t>NON</t>
        </is>
      </c>
      <c r="O542" s="45" t="inlineStr"/>
    </row>
    <row r="543" customFormat="1" s="3">
      <c r="A543" s="45" t="n"/>
      <c r="B543" s="46" t="inlineStr">
        <is>
          <t>21524</t>
        </is>
      </c>
      <c r="C543" s="46">
        <f>LEFT(Tableau1[[#This Row],[Formacode]],3)</f>
        <v/>
      </c>
      <c r="D543" s="47" t="n">
        <v>39972</v>
      </c>
      <c r="E543" s="48">
        <f>"RNCP"&amp;D543</f>
        <v/>
      </c>
      <c r="F543" s="48" t="inlineStr">
        <is>
          <t>CQP Responsable d'équipe du secteur alimentaire</t>
        </is>
      </c>
      <c r="G543" s="49">
        <f>E543&amp;" - "&amp;F543</f>
        <v/>
      </c>
      <c r="H543" s="36" t="inlineStr">
        <is>
          <t>RAS</t>
        </is>
      </c>
      <c r="I543" s="45" t="inlineStr"/>
      <c r="J543" s="45" t="inlineStr">
        <is>
          <t>RNCP39972</t>
        </is>
      </c>
      <c r="K543" s="45" t="inlineStr">
        <is>
          <t>CQP Responsable d'équipe du secteur alimentaire</t>
        </is>
      </c>
      <c r="L543" s="45" t="inlineStr">
        <is>
          <t>18/12/2029</t>
        </is>
      </c>
      <c r="M543" s="45" t="inlineStr">
        <is>
          <t>32154 (Encadrement management) ; 21554 (Agroalimentaire)</t>
        </is>
      </c>
      <c r="N543" s="50" t="inlineStr">
        <is>
          <t>NON</t>
        </is>
      </c>
      <c r="O543" s="45" t="inlineStr"/>
    </row>
    <row r="544" customFormat="1" s="3">
      <c r="A544" s="45" t="n"/>
      <c r="B544" s="46" t="inlineStr">
        <is>
          <t>21524</t>
        </is>
      </c>
      <c r="C544" s="46">
        <f>LEFT(Tableau1[[#This Row],[Formacode]],3)</f>
        <v/>
      </c>
      <c r="D544" s="47" t="n">
        <v>41349</v>
      </c>
      <c r="E544" s="48">
        <f>"RNCP"&amp;D544</f>
        <v/>
      </c>
      <c r="F544" s="48" t="inlineStr">
        <is>
          <t>CQP Conducteur de process du secteur alimentaire</t>
        </is>
      </c>
      <c r="G544" s="49">
        <f>E544&amp;" - "&amp;F544</f>
        <v/>
      </c>
      <c r="H544" s="36" t="inlineStr">
        <is>
          <t>RAS</t>
        </is>
      </c>
      <c r="I544" s="45" t="inlineStr"/>
      <c r="J544" s="45" t="inlineStr">
        <is>
          <t>RNCP41349</t>
        </is>
      </c>
      <c r="K544" s="45" t="inlineStr">
        <is>
          <t>CQP Conducteur de process du secteur alimentaire</t>
        </is>
      </c>
      <c r="L544" s="45" t="inlineStr">
        <is>
          <t>24/09/2030</t>
        </is>
      </c>
      <c r="M544" s="45" t="inlineStr">
        <is>
          <t>32012 (Gestion processus) ; 21554 (Agroalimentaire)</t>
        </is>
      </c>
      <c r="N544" s="50" t="inlineStr">
        <is>
          <t>NON</t>
        </is>
      </c>
      <c r="O544" s="45" t="inlineStr"/>
    </row>
    <row r="545" customFormat="1" s="3">
      <c r="A545" s="45" t="n"/>
      <c r="B545" s="46" t="inlineStr">
        <is>
          <t>21524</t>
        </is>
      </c>
      <c r="C545" s="46">
        <f>LEFT(Tableau1[[#This Row],[Formacode]],3)</f>
        <v/>
      </c>
      <c r="D545" s="47" t="n">
        <v>41679</v>
      </c>
      <c r="E545" s="48">
        <f>"RNCP"&amp;D545</f>
        <v/>
      </c>
      <c r="F545" s="48" t="inlineStr">
        <is>
          <t>CQP Agent de maintenance du secteur alimentaire</t>
        </is>
      </c>
      <c r="G545" s="49">
        <f>E545&amp;" - "&amp;F545</f>
        <v/>
      </c>
      <c r="H545" s="36" t="inlineStr">
        <is>
          <t>RAS</t>
        </is>
      </c>
      <c r="I545" s="45" t="inlineStr"/>
      <c r="J545" s="45" t="inlineStr">
        <is>
          <t>RNCP41679</t>
        </is>
      </c>
      <c r="K545" s="45" t="inlineStr">
        <is>
          <t>CQP Agent de maintenance du secteur alimentaire</t>
        </is>
      </c>
      <c r="L545" s="45" t="inlineStr">
        <is>
          <t>27/11/2030</t>
        </is>
      </c>
      <c r="M545" s="45" t="inlineStr">
        <is>
          <t>31624 (Maintenance industrielle) ; 21554 (Agroalimentaire)</t>
        </is>
      </c>
      <c r="N545" s="50" t="inlineStr">
        <is>
          <t>NON</t>
        </is>
      </c>
      <c r="O545" s="45" t="inlineStr"/>
    </row>
    <row r="546" ht="28.8" customFormat="1" customHeight="1" s="3">
      <c r="A546" s="45" t="n"/>
      <c r="B546" s="46" t="inlineStr">
        <is>
          <t>21527</t>
        </is>
      </c>
      <c r="C546" s="46">
        <f>LEFT(Tableau1[[#This Row],[Formacode]],3)</f>
        <v/>
      </c>
      <c r="D546" s="47" t="n">
        <v>37699</v>
      </c>
      <c r="E546" s="48">
        <f>"RNCP"&amp;D546</f>
        <v/>
      </c>
      <c r="F546" s="48" t="inlineStr">
        <is>
          <t>BAC PRO - Production en industries pharmaceutiques, alimentaires et cosmétiques (PIPAC)</t>
        </is>
      </c>
      <c r="G546" s="49">
        <f>E546&amp;" - "&amp;F546</f>
        <v/>
      </c>
      <c r="H546" s="36" t="inlineStr">
        <is>
          <t>RAS</t>
        </is>
      </c>
      <c r="I546" s="45" t="inlineStr"/>
      <c r="J546" s="45" t="inlineStr">
        <is>
          <t>RNCP37699</t>
        </is>
      </c>
      <c r="K546" s="45" t="inlineStr">
        <is>
          <t>Production en industries pharmaceutiques, alimentaires et cosmétiques (PIPAC)</t>
        </is>
      </c>
      <c r="L546" s="45" t="inlineStr">
        <is>
          <t>31/08/2028</t>
        </is>
      </c>
      <c r="M546" s="45" t="inlineStr">
        <is>
          <t>21554 (Agroalimentaire) ; 12081 (Biotechnologie)</t>
        </is>
      </c>
      <c r="N546" s="50" t="inlineStr">
        <is>
          <t>NON</t>
        </is>
      </c>
      <c r="O546" s="45" t="inlineStr"/>
    </row>
    <row r="547" customFormat="1" s="3">
      <c r="A547" s="45" t="n"/>
      <c r="B547" s="46" t="inlineStr">
        <is>
          <t>21527</t>
        </is>
      </c>
      <c r="C547" s="46">
        <f>LEFT(Tableau1[[#This Row],[Formacode]],3)</f>
        <v/>
      </c>
      <c r="D547" s="47" t="n">
        <v>39156</v>
      </c>
      <c r="E547" s="48">
        <f>"RNCP"&amp;D547</f>
        <v/>
      </c>
      <c r="F547" s="48" t="inlineStr">
        <is>
          <t>BP - Conducteur de ligne de production alimentaire</t>
        </is>
      </c>
      <c r="G547" s="49">
        <f>E547&amp;" - "&amp;F547</f>
        <v/>
      </c>
      <c r="H547" s="36" t="inlineStr">
        <is>
          <t>RAS</t>
        </is>
      </c>
      <c r="I547" s="45" t="inlineStr"/>
      <c r="J547" s="45" t="inlineStr">
        <is>
          <t>RNCP39156</t>
        </is>
      </c>
      <c r="K547" s="45" t="inlineStr">
        <is>
          <t>Conducteur de ligne de production alimentaire</t>
        </is>
      </c>
      <c r="L547" s="45" t="inlineStr">
        <is>
          <t>01/09/2029</t>
        </is>
      </c>
      <c r="M547" s="45" t="inlineStr">
        <is>
          <t>21554 (Agroalimentaire)</t>
        </is>
      </c>
      <c r="N547" s="50" t="inlineStr">
        <is>
          <t>NON</t>
        </is>
      </c>
      <c r="O547" s="45" t="inlineStr"/>
    </row>
    <row r="548" customFormat="1" s="3">
      <c r="A548" s="45" t="n"/>
      <c r="B548" s="46" t="inlineStr">
        <is>
          <t>21527</t>
        </is>
      </c>
      <c r="C548" s="46">
        <f>LEFT(Tableau1[[#This Row],[Formacode]],3)</f>
        <v/>
      </c>
      <c r="D548" s="47" t="n">
        <v>39966</v>
      </c>
      <c r="E548" s="48">
        <f>"RNCP"&amp;D548</f>
        <v/>
      </c>
      <c r="F548" s="48" t="inlineStr">
        <is>
          <t>CQP Conducteur de machines du secteur alimentaire</t>
        </is>
      </c>
      <c r="G548" s="49">
        <f>E548&amp;" - "&amp;F548</f>
        <v/>
      </c>
      <c r="H548" s="36" t="inlineStr">
        <is>
          <t>RAS</t>
        </is>
      </c>
      <c r="I548" s="45" t="inlineStr"/>
      <c r="J548" s="45" t="inlineStr">
        <is>
          <t>RNCP39966</t>
        </is>
      </c>
      <c r="K548" s="45" t="inlineStr">
        <is>
          <t>CQP Conducteur de machines du secteur alimentaire</t>
        </is>
      </c>
      <c r="L548" s="45" t="inlineStr">
        <is>
          <t>18/12/2029</t>
        </is>
      </c>
      <c r="M548" s="45" t="inlineStr">
        <is>
          <t>31620 (Conduite installation industrielle) ; 21554 (Agroalimentaire)</t>
        </is>
      </c>
      <c r="N548" s="50" t="inlineStr">
        <is>
          <t>NON</t>
        </is>
      </c>
      <c r="O548" s="45" t="inlineStr"/>
    </row>
    <row r="549" customFormat="1" s="3">
      <c r="A549" s="45" t="n"/>
      <c r="B549" s="46" t="inlineStr">
        <is>
          <t>21527</t>
        </is>
      </c>
      <c r="C549" s="46">
        <f>LEFT(Tableau1[[#This Row],[Formacode]],3)</f>
        <v/>
      </c>
      <c r="D549" s="47" t="n">
        <v>39967</v>
      </c>
      <c r="E549" s="48">
        <f>"RNCP"&amp;D549</f>
        <v/>
      </c>
      <c r="F549" s="48" t="inlineStr">
        <is>
          <t>CQP Conducteur de ligne du secteur alimentaire</t>
        </is>
      </c>
      <c r="G549" s="49">
        <f>E549&amp;" - "&amp;F549</f>
        <v/>
      </c>
      <c r="H549" s="36" t="inlineStr">
        <is>
          <t>RAS</t>
        </is>
      </c>
      <c r="I549" s="45" t="inlineStr"/>
      <c r="J549" s="45" t="inlineStr">
        <is>
          <t>RNCP39967</t>
        </is>
      </c>
      <c r="K549" s="45" t="inlineStr">
        <is>
          <t>CQP Conducteur de ligne du secteur alimentaire</t>
        </is>
      </c>
      <c r="L549" s="45" t="inlineStr">
        <is>
          <t>18/12/2029</t>
        </is>
      </c>
      <c r="M549" s="45" t="inlineStr">
        <is>
          <t>31620 (Conduite installation industrielle) ; 21554 (Agroalimentaire)</t>
        </is>
      </c>
      <c r="N549" s="50" t="inlineStr">
        <is>
          <t>NON</t>
        </is>
      </c>
      <c r="O549" s="45" t="inlineStr"/>
    </row>
    <row r="550" customFormat="1" s="3">
      <c r="A550" s="45" t="n"/>
      <c r="B550" s="46" t="inlineStr">
        <is>
          <t>21527</t>
        </is>
      </c>
      <c r="C550" s="46">
        <f>LEFT(Tableau1[[#This Row],[Formacode]],3)</f>
        <v/>
      </c>
      <c r="D550" s="47" t="n">
        <v>39968</v>
      </c>
      <c r="E550" s="48">
        <f>"RNCP"&amp;D550</f>
        <v/>
      </c>
      <c r="F550" s="48" t="inlineStr">
        <is>
          <t>CQP Opérateur de production du secteur alimentaire</t>
        </is>
      </c>
      <c r="G550" s="49">
        <f>E550&amp;" - "&amp;F550</f>
        <v/>
      </c>
      <c r="H550" s="36" t="inlineStr">
        <is>
          <t>RAS</t>
        </is>
      </c>
      <c r="I550" s="45" t="inlineStr"/>
      <c r="J550" s="45" t="inlineStr">
        <is>
          <t>RNCP39968</t>
        </is>
      </c>
      <c r="K550" s="45" t="inlineStr">
        <is>
          <t>CQP Opérateur de production du secteur alimentaire</t>
        </is>
      </c>
      <c r="L550" s="45" t="inlineStr">
        <is>
          <t>18/12/2029</t>
        </is>
      </c>
      <c r="M550" s="45" t="inlineStr">
        <is>
          <t>21554 (Agroalimentaire)</t>
        </is>
      </c>
      <c r="N550" s="50" t="inlineStr">
        <is>
          <t>NON</t>
        </is>
      </c>
      <c r="O550" s="45" t="inlineStr"/>
    </row>
    <row r="551" customFormat="1" s="3">
      <c r="A551" s="45" t="n"/>
      <c r="B551" s="46" t="inlineStr">
        <is>
          <t>21527</t>
        </is>
      </c>
      <c r="C551" s="46">
        <f>LEFT(Tableau1[[#This Row],[Formacode]],3)</f>
        <v/>
      </c>
      <c r="D551" s="47" t="n">
        <v>39971</v>
      </c>
      <c r="E551" s="48">
        <f>"RNCP"&amp;D551</f>
        <v/>
      </c>
      <c r="F551" s="48" t="inlineStr">
        <is>
          <t>CQP Technicien de maintenance du secteur alimentaire</t>
        </is>
      </c>
      <c r="G551" s="49">
        <f>E551&amp;" - "&amp;F551</f>
        <v/>
      </c>
      <c r="H551" s="36" t="inlineStr">
        <is>
          <t>RAS</t>
        </is>
      </c>
      <c r="I551" s="45" t="inlineStr"/>
      <c r="J551" s="45" t="inlineStr">
        <is>
          <t>RNCP39971</t>
        </is>
      </c>
      <c r="K551" s="45" t="inlineStr">
        <is>
          <t>CQP Technicien de maintenance du secteur alimentaire</t>
        </is>
      </c>
      <c r="L551" s="45" t="inlineStr">
        <is>
          <t>18/12/2029</t>
        </is>
      </c>
      <c r="M551" s="45" t="inlineStr">
        <is>
          <t>21554 (Agroalimentaire) ; 31624 (Maintenance industrielle)</t>
        </is>
      </c>
      <c r="N551" s="50" t="inlineStr">
        <is>
          <t>NON</t>
        </is>
      </c>
      <c r="O551" s="45" t="inlineStr"/>
    </row>
    <row r="552" customFormat="1" s="3">
      <c r="A552" s="45" t="n"/>
      <c r="B552" s="46" t="inlineStr">
        <is>
          <t>21527</t>
        </is>
      </c>
      <c r="C552" s="46">
        <f>LEFT(Tableau1[[#This Row],[Formacode]],3)</f>
        <v/>
      </c>
      <c r="D552" s="47" t="n">
        <v>39972</v>
      </c>
      <c r="E552" s="48">
        <f>"RNCP"&amp;D552</f>
        <v/>
      </c>
      <c r="F552" s="48" t="inlineStr">
        <is>
          <t>CQP Responsable d'équipe du secteur alimentaire</t>
        </is>
      </c>
      <c r="G552" s="49">
        <f>E552&amp;" - "&amp;F552</f>
        <v/>
      </c>
      <c r="H552" s="36" t="inlineStr">
        <is>
          <t>RAS</t>
        </is>
      </c>
      <c r="I552" s="45" t="inlineStr"/>
      <c r="J552" s="45" t="inlineStr">
        <is>
          <t>RNCP39972</t>
        </is>
      </c>
      <c r="K552" s="45" t="inlineStr">
        <is>
          <t>CQP Responsable d'équipe du secteur alimentaire</t>
        </is>
      </c>
      <c r="L552" s="45" t="inlineStr">
        <is>
          <t>18/12/2029</t>
        </is>
      </c>
      <c r="M552" s="45" t="inlineStr">
        <is>
          <t>32154 (Encadrement management) ; 21554 (Agroalimentaire)</t>
        </is>
      </c>
      <c r="N552" s="50" t="inlineStr">
        <is>
          <t>NON</t>
        </is>
      </c>
      <c r="O552" s="45" t="inlineStr"/>
    </row>
    <row r="553" customFormat="1" s="3">
      <c r="A553" s="45" t="n"/>
      <c r="B553" s="46" t="inlineStr">
        <is>
          <t>21527</t>
        </is>
      </c>
      <c r="C553" s="46">
        <f>LEFT(Tableau1[[#This Row],[Formacode]],3)</f>
        <v/>
      </c>
      <c r="D553" s="47" t="n">
        <v>41349</v>
      </c>
      <c r="E553" s="48">
        <f>"RNCP"&amp;D553</f>
        <v/>
      </c>
      <c r="F553" s="48" t="inlineStr">
        <is>
          <t>CQP Conducteur de process du secteur alimentaire</t>
        </is>
      </c>
      <c r="G553" s="49">
        <f>E553&amp;" - "&amp;F553</f>
        <v/>
      </c>
      <c r="H553" s="36" t="inlineStr">
        <is>
          <t>RAS</t>
        </is>
      </c>
      <c r="I553" s="45" t="inlineStr"/>
      <c r="J553" s="45" t="inlineStr">
        <is>
          <t>RNCP41349</t>
        </is>
      </c>
      <c r="K553" s="45" t="inlineStr">
        <is>
          <t>CQP Conducteur de process du secteur alimentaire</t>
        </is>
      </c>
      <c r="L553" s="45" t="inlineStr">
        <is>
          <t>24/09/2030</t>
        </is>
      </c>
      <c r="M553" s="45" t="inlineStr">
        <is>
          <t>32012 (Gestion processus) ; 21554 (Agroalimentaire)</t>
        </is>
      </c>
      <c r="N553" s="50" t="inlineStr">
        <is>
          <t>NON</t>
        </is>
      </c>
      <c r="O553" s="45" t="inlineStr"/>
    </row>
    <row r="554" customFormat="1" s="3">
      <c r="A554" s="45" t="n"/>
      <c r="B554" s="46" t="inlineStr">
        <is>
          <t>21527</t>
        </is>
      </c>
      <c r="C554" s="46">
        <f>LEFT(Tableau1[[#This Row],[Formacode]],3)</f>
        <v/>
      </c>
      <c r="D554" s="47" t="n">
        <v>41679</v>
      </c>
      <c r="E554" s="48">
        <f>"RNCP"&amp;D554</f>
        <v/>
      </c>
      <c r="F554" s="48" t="inlineStr">
        <is>
          <t>CQP Agent de maintenance du secteur alimentaire</t>
        </is>
      </c>
      <c r="G554" s="49">
        <f>E554&amp;" - "&amp;F554</f>
        <v/>
      </c>
      <c r="H554" s="36" t="inlineStr">
        <is>
          <t>RAS</t>
        </is>
      </c>
      <c r="I554" s="45" t="inlineStr"/>
      <c r="J554" s="45" t="inlineStr">
        <is>
          <t>RNCP41679</t>
        </is>
      </c>
      <c r="K554" s="45" t="inlineStr">
        <is>
          <t>CQP Agent de maintenance du secteur alimentaire</t>
        </is>
      </c>
      <c r="L554" s="45" t="inlineStr">
        <is>
          <t>27/11/2030</t>
        </is>
      </c>
      <c r="M554" s="45" t="inlineStr">
        <is>
          <t>31624 (Maintenance industrielle) ; 21554 (Agroalimentaire)</t>
        </is>
      </c>
      <c r="N554" s="50" t="inlineStr">
        <is>
          <t>NON</t>
        </is>
      </c>
      <c r="O554" s="45" t="inlineStr"/>
    </row>
    <row r="555" customFormat="1" s="3">
      <c r="A555" s="51" t="n"/>
      <c r="B555" s="52" t="inlineStr">
        <is>
          <t>21528</t>
        </is>
      </c>
      <c r="C555" s="52">
        <f>LEFT(Tableau1[[#This Row],[Formacode]],3)</f>
        <v/>
      </c>
      <c r="D555" s="53" t="n">
        <v>37534</v>
      </c>
      <c r="E555" s="54">
        <f>"RNCP"&amp;D555</f>
        <v/>
      </c>
      <c r="F555" s="54" t="inlineStr">
        <is>
          <t>Certificat d'aptitude professionnelle - Glacier fabricant</t>
        </is>
      </c>
      <c r="G555" s="55">
        <f>E555&amp;" - "&amp;F555</f>
        <v/>
      </c>
      <c r="H555" s="37" t="inlineStr">
        <is>
          <t>À vérifier</t>
        </is>
      </c>
      <c r="I555" s="51" t="inlineStr">
        <is>
          <t>Successeur déjà publié : RNCP41941 (Glacier fabricant) — préparer la bascule de l'offre CPF | Échéance le 31/08/2026 (dans 44 j)</t>
        </is>
      </c>
      <c r="J555" s="51" t="inlineStr">
        <is>
          <t>RNCP41941</t>
        </is>
      </c>
      <c r="K555" s="51" t="inlineStr">
        <is>
          <t>Glacier fabricant</t>
        </is>
      </c>
      <c r="L555" s="51" t="inlineStr">
        <is>
          <t>31/08/2026</t>
        </is>
      </c>
      <c r="M555" s="51" t="inlineStr">
        <is>
          <t>21529 (Glacerie)</t>
        </is>
      </c>
      <c r="N555" s="62" t="inlineStr">
        <is>
          <t>NON</t>
        </is>
      </c>
      <c r="O555" s="51" t="inlineStr"/>
    </row>
    <row r="556" ht="28.8" customFormat="1" customHeight="1" s="3">
      <c r="A556" s="45" t="n"/>
      <c r="B556" s="46" t="inlineStr">
        <is>
          <t>21528</t>
        </is>
      </c>
      <c r="C556" s="46">
        <f>LEFT(Tableau1[[#This Row],[Formacode]],3)</f>
        <v/>
      </c>
      <c r="D556" s="47" t="n">
        <v>37699</v>
      </c>
      <c r="E556" s="48">
        <f>"RNCP"&amp;D556</f>
        <v/>
      </c>
      <c r="F556" s="48" t="inlineStr">
        <is>
          <t>BAC PRO - Production en industries pharmaceutiques, alimentaires et cosmétiques (PIPAC)</t>
        </is>
      </c>
      <c r="G556" s="49">
        <f>E556&amp;" - "&amp;F556</f>
        <v/>
      </c>
      <c r="H556" s="36" t="inlineStr">
        <is>
          <t>RAS</t>
        </is>
      </c>
      <c r="I556" s="45" t="inlineStr"/>
      <c r="J556" s="45" t="inlineStr">
        <is>
          <t>RNCP37699</t>
        </is>
      </c>
      <c r="K556" s="45" t="inlineStr">
        <is>
          <t>Production en industries pharmaceutiques, alimentaires et cosmétiques (PIPAC)</t>
        </is>
      </c>
      <c r="L556" s="45" t="inlineStr">
        <is>
          <t>31/08/2028</t>
        </is>
      </c>
      <c r="M556" s="45" t="inlineStr">
        <is>
          <t>21554 (Agroalimentaire) ; 12081 (Biotechnologie)</t>
        </is>
      </c>
      <c r="N556" s="50" t="inlineStr">
        <is>
          <t>NON</t>
        </is>
      </c>
      <c r="O556" s="45" t="inlineStr"/>
    </row>
    <row r="557" customFormat="1" s="3">
      <c r="A557" s="45" t="n"/>
      <c r="B557" s="46" t="inlineStr">
        <is>
          <t>21528</t>
        </is>
      </c>
      <c r="C557" s="46">
        <f>LEFT(Tableau1[[#This Row],[Formacode]],3)</f>
        <v/>
      </c>
      <c r="D557" s="47" t="n">
        <v>37908</v>
      </c>
      <c r="E557" s="48">
        <f>"RNCP"&amp;D557</f>
        <v/>
      </c>
      <c r="F557" s="48" t="inlineStr">
        <is>
          <t>BAC PRO - Boulanger-pâtissier</t>
        </is>
      </c>
      <c r="G557" s="49">
        <f>E557&amp;" - "&amp;F557</f>
        <v/>
      </c>
      <c r="H557" s="36" t="inlineStr">
        <is>
          <t>RAS</t>
        </is>
      </c>
      <c r="I557" s="45" t="inlineStr"/>
      <c r="J557" s="45" t="inlineStr">
        <is>
          <t>RNCP37908</t>
        </is>
      </c>
      <c r="K557" s="45" t="inlineStr">
        <is>
          <t>Boulanger-pâtissier</t>
        </is>
      </c>
      <c r="L557" s="45" t="inlineStr">
        <is>
          <t>31/08/2028</t>
        </is>
      </c>
      <c r="M557" s="45" t="inlineStr">
        <is>
          <t>21538 (Boulangerie) ; 21528 (Pâtisserie) ; 34525 (Vente produit alimentaire)</t>
        </is>
      </c>
      <c r="N557" s="50" t="inlineStr">
        <is>
          <t>NON</t>
        </is>
      </c>
      <c r="O557" s="45" t="inlineStr"/>
    </row>
    <row r="558" customFormat="1" s="3">
      <c r="A558" s="45" t="n"/>
      <c r="B558" s="46" t="inlineStr">
        <is>
          <t>21528</t>
        </is>
      </c>
      <c r="C558" s="46">
        <f>LEFT(Tableau1[[#This Row],[Formacode]],3)</f>
        <v/>
      </c>
      <c r="D558" s="47" t="n">
        <v>38632</v>
      </c>
      <c r="E558" s="48">
        <f>"RNCP"&amp;D558</f>
        <v/>
      </c>
      <c r="F558" s="48" t="inlineStr">
        <is>
          <t>Certificat d'aptitude professionnelle - Chocolaterie-confiserie</t>
        </is>
      </c>
      <c r="G558" s="49">
        <f>E558&amp;" - "&amp;F558</f>
        <v/>
      </c>
      <c r="H558" s="36" t="inlineStr">
        <is>
          <t>RAS</t>
        </is>
      </c>
      <c r="I558" s="45" t="inlineStr"/>
      <c r="J558" s="45" t="inlineStr">
        <is>
          <t>RNCP38632</t>
        </is>
      </c>
      <c r="K558" s="45" t="inlineStr">
        <is>
          <t>Chocolaterie-confiserie</t>
        </is>
      </c>
      <c r="L558" s="45" t="inlineStr">
        <is>
          <t>31/08/2029</t>
        </is>
      </c>
      <c r="M558" s="45" t="inlineStr">
        <is>
          <t>21519 (Chocolaterie confiserie)</t>
        </is>
      </c>
      <c r="N558" s="50" t="inlineStr">
        <is>
          <t>NON</t>
        </is>
      </c>
      <c r="O558" s="45" t="inlineStr"/>
    </row>
    <row r="559" customFormat="1" s="3">
      <c r="A559" s="45" t="n"/>
      <c r="B559" s="46" t="inlineStr">
        <is>
          <t>21528</t>
        </is>
      </c>
      <c r="C559" s="46">
        <f>LEFT(Tableau1[[#This Row],[Formacode]],3)</f>
        <v/>
      </c>
      <c r="D559" s="47" t="n">
        <v>38761</v>
      </c>
      <c r="E559" s="48">
        <f>"RNCP"&amp;D559</f>
        <v/>
      </c>
      <c r="F559" s="48" t="inlineStr">
        <is>
          <t>Certificat de spécialisation - Pâtisserie de boutique</t>
        </is>
      </c>
      <c r="G559" s="49">
        <f>E559&amp;" - "&amp;F559</f>
        <v/>
      </c>
      <c r="H559" s="36" t="inlineStr">
        <is>
          <t>RAS</t>
        </is>
      </c>
      <c r="I559" s="45" t="inlineStr"/>
      <c r="J559" s="45" t="inlineStr">
        <is>
          <t>RNCP38761</t>
        </is>
      </c>
      <c r="K559" s="45" t="inlineStr">
        <is>
          <t>Pâtisserie de boutique</t>
        </is>
      </c>
      <c r="L559" s="45" t="inlineStr">
        <is>
          <t>31/08/2029</t>
        </is>
      </c>
      <c r="M559" s="45" t="inlineStr">
        <is>
          <t>21508 (Spécialisation pâtisserie)</t>
        </is>
      </c>
      <c r="N559" s="50" t="inlineStr">
        <is>
          <t>NON</t>
        </is>
      </c>
      <c r="O559" s="45" t="inlineStr"/>
    </row>
    <row r="560" customFormat="1" s="3">
      <c r="A560" s="45" t="n"/>
      <c r="B560" s="46" t="inlineStr">
        <is>
          <t>21528</t>
        </is>
      </c>
      <c r="C560" s="46">
        <f>LEFT(Tableau1[[#This Row],[Formacode]],3)</f>
        <v/>
      </c>
      <c r="D560" s="47" t="n">
        <v>38762</v>
      </c>
      <c r="E560" s="48">
        <f>"RNCP"&amp;D560</f>
        <v/>
      </c>
      <c r="F560" s="48" t="inlineStr">
        <is>
          <t>Certificat de spécialisation - Techniques du tour en boulangerie et en pâtisserie</t>
        </is>
      </c>
      <c r="G560" s="49">
        <f>E560&amp;" - "&amp;F560</f>
        <v/>
      </c>
      <c r="H560" s="36" t="inlineStr">
        <is>
          <t>RAS</t>
        </is>
      </c>
      <c r="I560" s="45" t="inlineStr"/>
      <c r="J560" s="45" t="inlineStr">
        <is>
          <t>RNCP38762</t>
        </is>
      </c>
      <c r="K560" s="45" t="inlineStr">
        <is>
          <t>Techniques du tour en boulangerie et en pâtisserie</t>
        </is>
      </c>
      <c r="L560" s="45" t="inlineStr">
        <is>
          <t>31/08/2029</t>
        </is>
      </c>
      <c r="M560" s="45" t="inlineStr">
        <is>
          <t>21539 (Spécialisation boulangerie) ; 21508 (Spécialisation pâtisserie)</t>
        </is>
      </c>
      <c r="N560" s="50" t="inlineStr">
        <is>
          <t>NON</t>
        </is>
      </c>
      <c r="O560" s="45" t="inlineStr"/>
    </row>
    <row r="561" customFormat="1" s="3">
      <c r="A561" s="45" t="n"/>
      <c r="B561" s="46" t="inlineStr">
        <is>
          <t>21528</t>
        </is>
      </c>
      <c r="C561" s="46">
        <f>LEFT(Tableau1[[#This Row],[Formacode]],3)</f>
        <v/>
      </c>
      <c r="D561" s="47" t="n">
        <v>38765</v>
      </c>
      <c r="E561" s="48">
        <f>"RNCP"&amp;D561</f>
        <v/>
      </c>
      <c r="F561" s="48" t="inlineStr">
        <is>
          <t>CAP - Pâtissier</t>
        </is>
      </c>
      <c r="G561" s="49">
        <f>E561&amp;" - "&amp;F561</f>
        <v/>
      </c>
      <c r="H561" s="36" t="inlineStr">
        <is>
          <t>RAS</t>
        </is>
      </c>
      <c r="I561" s="45" t="inlineStr"/>
      <c r="J561" s="45" t="inlineStr">
        <is>
          <t>RNCP38765</t>
        </is>
      </c>
      <c r="K561" s="45" t="inlineStr">
        <is>
          <t>Pâtissier</t>
        </is>
      </c>
      <c r="L561" s="45" t="inlineStr">
        <is>
          <t>31/08/2029</t>
        </is>
      </c>
      <c r="M561" s="45" t="inlineStr">
        <is>
          <t>21528 (Pâtisserie)</t>
        </is>
      </c>
      <c r="N561" s="50" t="inlineStr">
        <is>
          <t>NON</t>
        </is>
      </c>
      <c r="O561" s="45" t="inlineStr"/>
    </row>
    <row r="562" customFormat="1" s="3">
      <c r="A562" s="45" t="n"/>
      <c r="B562" s="46" t="inlineStr">
        <is>
          <t>21528</t>
        </is>
      </c>
      <c r="C562" s="46">
        <f>LEFT(Tableau1[[#This Row],[Formacode]],3)</f>
        <v/>
      </c>
      <c r="D562" s="47" t="n">
        <v>39156</v>
      </c>
      <c r="E562" s="48">
        <f>"RNCP"&amp;D562</f>
        <v/>
      </c>
      <c r="F562" s="48" t="inlineStr">
        <is>
          <t>BP - Conducteur de ligne de production alimentaire</t>
        </is>
      </c>
      <c r="G562" s="49">
        <f>E562&amp;" - "&amp;F562</f>
        <v/>
      </c>
      <c r="H562" s="36" t="inlineStr">
        <is>
          <t>RAS</t>
        </is>
      </c>
      <c r="I562" s="45" t="inlineStr"/>
      <c r="J562" s="45" t="inlineStr">
        <is>
          <t>RNCP39156</t>
        </is>
      </c>
      <c r="K562" s="45" t="inlineStr">
        <is>
          <t>Conducteur de ligne de production alimentaire</t>
        </is>
      </c>
      <c r="L562" s="45" t="inlineStr">
        <is>
          <t>01/09/2029</t>
        </is>
      </c>
      <c r="M562" s="45" t="inlineStr">
        <is>
          <t>21554 (Agroalimentaire)</t>
        </is>
      </c>
      <c r="N562" s="50" t="inlineStr">
        <is>
          <t>NON</t>
        </is>
      </c>
      <c r="O562" s="45" t="inlineStr"/>
    </row>
    <row r="563" customFormat="1" s="3">
      <c r="A563" s="45" t="n"/>
      <c r="B563" s="46" t="inlineStr">
        <is>
          <t>21528</t>
        </is>
      </c>
      <c r="C563" s="46">
        <f>LEFT(Tableau1[[#This Row],[Formacode]],3)</f>
        <v/>
      </c>
      <c r="D563" s="47" t="n">
        <v>39966</v>
      </c>
      <c r="E563" s="48">
        <f>"RNCP"&amp;D563</f>
        <v/>
      </c>
      <c r="F563" s="48" t="inlineStr">
        <is>
          <t>CQP Conducteur de machines du secteur alimentaire</t>
        </is>
      </c>
      <c r="G563" s="49">
        <f>E563&amp;" - "&amp;F563</f>
        <v/>
      </c>
      <c r="H563" s="36" t="inlineStr">
        <is>
          <t>RAS</t>
        </is>
      </c>
      <c r="I563" s="45" t="inlineStr"/>
      <c r="J563" s="45" t="inlineStr">
        <is>
          <t>RNCP39966</t>
        </is>
      </c>
      <c r="K563" s="45" t="inlineStr">
        <is>
          <t>CQP Conducteur de machines du secteur alimentaire</t>
        </is>
      </c>
      <c r="L563" s="45" t="inlineStr">
        <is>
          <t>18/12/2029</t>
        </is>
      </c>
      <c r="M563" s="45" t="inlineStr">
        <is>
          <t>31620 (Conduite installation industrielle) ; 21554 (Agroalimentaire)</t>
        </is>
      </c>
      <c r="N563" s="50" t="inlineStr">
        <is>
          <t>NON</t>
        </is>
      </c>
      <c r="O563" s="45" t="inlineStr"/>
    </row>
    <row r="564" customFormat="1" s="3">
      <c r="A564" s="45" t="n"/>
      <c r="B564" s="46" t="inlineStr">
        <is>
          <t>21528</t>
        </is>
      </c>
      <c r="C564" s="46">
        <f>LEFT(Tableau1[[#This Row],[Formacode]],3)</f>
        <v/>
      </c>
      <c r="D564" s="47" t="n">
        <v>39967</v>
      </c>
      <c r="E564" s="48">
        <f>"RNCP"&amp;D564</f>
        <v/>
      </c>
      <c r="F564" s="48" t="inlineStr">
        <is>
          <t>CQP Conducteur de ligne du secteur alimentaire</t>
        </is>
      </c>
      <c r="G564" s="49">
        <f>E564&amp;" - "&amp;F564</f>
        <v/>
      </c>
      <c r="H564" s="36" t="inlineStr">
        <is>
          <t>RAS</t>
        </is>
      </c>
      <c r="I564" s="45" t="inlineStr"/>
      <c r="J564" s="45" t="inlineStr">
        <is>
          <t>RNCP39967</t>
        </is>
      </c>
      <c r="K564" s="45" t="inlineStr">
        <is>
          <t>CQP Conducteur de ligne du secteur alimentaire</t>
        </is>
      </c>
      <c r="L564" s="45" t="inlineStr">
        <is>
          <t>18/12/2029</t>
        </is>
      </c>
      <c r="M564" s="45" t="inlineStr">
        <is>
          <t>31620 (Conduite installation industrielle) ; 21554 (Agroalimentaire)</t>
        </is>
      </c>
      <c r="N564" s="50" t="inlineStr">
        <is>
          <t>NON</t>
        </is>
      </c>
      <c r="O564" s="45" t="inlineStr"/>
    </row>
    <row r="565" customFormat="1" s="3">
      <c r="A565" s="45" t="n"/>
      <c r="B565" s="46" t="inlineStr">
        <is>
          <t>21528</t>
        </is>
      </c>
      <c r="C565" s="46">
        <f>LEFT(Tableau1[[#This Row],[Formacode]],3)</f>
        <v/>
      </c>
      <c r="D565" s="47" t="n">
        <v>39968</v>
      </c>
      <c r="E565" s="48">
        <f>"RNCP"&amp;D565</f>
        <v/>
      </c>
      <c r="F565" s="48" t="inlineStr">
        <is>
          <t>CQP Opérateur de production du secteur alimentaire</t>
        </is>
      </c>
      <c r="G565" s="49">
        <f>E565&amp;" - "&amp;F565</f>
        <v/>
      </c>
      <c r="H565" s="36" t="inlineStr">
        <is>
          <t>RAS</t>
        </is>
      </c>
      <c r="I565" s="45" t="inlineStr"/>
      <c r="J565" s="45" t="inlineStr">
        <is>
          <t>RNCP39968</t>
        </is>
      </c>
      <c r="K565" s="45" t="inlineStr">
        <is>
          <t>CQP Opérateur de production du secteur alimentaire</t>
        </is>
      </c>
      <c r="L565" s="45" t="inlineStr">
        <is>
          <t>18/12/2029</t>
        </is>
      </c>
      <c r="M565" s="45" t="inlineStr">
        <is>
          <t>21554 (Agroalimentaire)</t>
        </is>
      </c>
      <c r="N565" s="50" t="inlineStr">
        <is>
          <t>NON</t>
        </is>
      </c>
      <c r="O565" s="45" t="inlineStr"/>
    </row>
    <row r="566" customFormat="1" s="3">
      <c r="A566" s="45" t="n"/>
      <c r="B566" s="46" t="inlineStr">
        <is>
          <t>21528</t>
        </is>
      </c>
      <c r="C566" s="46">
        <f>LEFT(Tableau1[[#This Row],[Formacode]],3)</f>
        <v/>
      </c>
      <c r="D566" s="47" t="n">
        <v>39971</v>
      </c>
      <c r="E566" s="48">
        <f>"RNCP"&amp;D566</f>
        <v/>
      </c>
      <c r="F566" s="48" t="inlineStr">
        <is>
          <t>CQP Technicien de maintenance du secteur alimentaire</t>
        </is>
      </c>
      <c r="G566" s="49">
        <f>E566&amp;" - "&amp;F566</f>
        <v/>
      </c>
      <c r="H566" s="36" t="inlineStr">
        <is>
          <t>RAS</t>
        </is>
      </c>
      <c r="I566" s="45" t="inlineStr"/>
      <c r="J566" s="45" t="inlineStr">
        <is>
          <t>RNCP39971</t>
        </is>
      </c>
      <c r="K566" s="45" t="inlineStr">
        <is>
          <t>CQP Technicien de maintenance du secteur alimentaire</t>
        </is>
      </c>
      <c r="L566" s="45" t="inlineStr">
        <is>
          <t>18/12/2029</t>
        </is>
      </c>
      <c r="M566" s="45" t="inlineStr">
        <is>
          <t>21554 (Agroalimentaire) ; 31624 (Maintenance industrielle)</t>
        </is>
      </c>
      <c r="N566" s="50" t="inlineStr">
        <is>
          <t>NON</t>
        </is>
      </c>
      <c r="O566" s="45" t="inlineStr"/>
    </row>
    <row r="567" customFormat="1" s="3">
      <c r="A567" s="45" t="n"/>
      <c r="B567" s="46" t="inlineStr">
        <is>
          <t>21528</t>
        </is>
      </c>
      <c r="C567" s="46">
        <f>LEFT(Tableau1[[#This Row],[Formacode]],3)</f>
        <v/>
      </c>
      <c r="D567" s="47" t="n">
        <v>39972</v>
      </c>
      <c r="E567" s="48">
        <f>"RNCP"&amp;D567</f>
        <v/>
      </c>
      <c r="F567" s="48" t="inlineStr">
        <is>
          <t>CQP Responsable d'équipe du secteur alimentaire</t>
        </is>
      </c>
      <c r="G567" s="49">
        <f>E567&amp;" - "&amp;F567</f>
        <v/>
      </c>
      <c r="H567" s="36" t="inlineStr">
        <is>
          <t>RAS</t>
        </is>
      </c>
      <c r="I567" s="45" t="inlineStr"/>
      <c r="J567" s="45" t="inlineStr">
        <is>
          <t>RNCP39972</t>
        </is>
      </c>
      <c r="K567" s="45" t="inlineStr">
        <is>
          <t>CQP Responsable d'équipe du secteur alimentaire</t>
        </is>
      </c>
      <c r="L567" s="45" t="inlineStr">
        <is>
          <t>18/12/2029</t>
        </is>
      </c>
      <c r="M567" s="45" t="inlineStr">
        <is>
          <t>32154 (Encadrement management) ; 21554 (Agroalimentaire)</t>
        </is>
      </c>
      <c r="N567" s="50" t="inlineStr">
        <is>
          <t>NON</t>
        </is>
      </c>
      <c r="O567" s="45" t="inlineStr"/>
    </row>
    <row r="568" customFormat="1" s="3">
      <c r="A568" s="45" t="n"/>
      <c r="B568" s="46" t="inlineStr">
        <is>
          <t>21528</t>
        </is>
      </c>
      <c r="C568" s="46">
        <f>LEFT(Tableau1[[#This Row],[Formacode]],3)</f>
        <v/>
      </c>
      <c r="D568" s="47" t="n">
        <v>40683</v>
      </c>
      <c r="E568" s="48">
        <f>"RNCP"&amp;D568</f>
        <v/>
      </c>
      <c r="F568" s="48" t="inlineStr">
        <is>
          <t>Chocolatier-confiseur (BTM)</t>
        </is>
      </c>
      <c r="G568" s="49">
        <f>E568&amp;" - "&amp;F568</f>
        <v/>
      </c>
      <c r="H568" s="36" t="inlineStr">
        <is>
          <t>RAS</t>
        </is>
      </c>
      <c r="I568" s="45" t="inlineStr"/>
      <c r="J568" s="45" t="inlineStr">
        <is>
          <t>RNCP40683</t>
        </is>
      </c>
      <c r="K568" s="45" t="inlineStr">
        <is>
          <t>Chocolatier-confiseur (BTM)</t>
        </is>
      </c>
      <c r="L568" s="45" t="inlineStr">
        <is>
          <t>23/05/2027</t>
        </is>
      </c>
      <c r="M568" s="45" t="inlineStr">
        <is>
          <t>21519 (Chocolaterie confiserie)</t>
        </is>
      </c>
      <c r="N568" s="50" t="inlineStr">
        <is>
          <t>NON</t>
        </is>
      </c>
      <c r="O568" s="45" t="inlineStr"/>
    </row>
    <row r="569" customFormat="1" s="3">
      <c r="A569" s="45" t="n"/>
      <c r="B569" s="46" t="inlineStr">
        <is>
          <t>21528</t>
        </is>
      </c>
      <c r="C569" s="46">
        <f>LEFT(Tableau1[[#This Row],[Formacode]],3)</f>
        <v/>
      </c>
      <c r="D569" s="47" t="n">
        <v>41349</v>
      </c>
      <c r="E569" s="48">
        <f>"RNCP"&amp;D569</f>
        <v/>
      </c>
      <c r="F569" s="48" t="inlineStr">
        <is>
          <t>CQP Conducteur de process du secteur alimentaire</t>
        </is>
      </c>
      <c r="G569" s="49">
        <f>E569&amp;" - "&amp;F569</f>
        <v/>
      </c>
      <c r="H569" s="36" t="inlineStr">
        <is>
          <t>RAS</t>
        </is>
      </c>
      <c r="I569" s="45" t="inlineStr"/>
      <c r="J569" s="45" t="inlineStr">
        <is>
          <t>RNCP41349</t>
        </is>
      </c>
      <c r="K569" s="45" t="inlineStr">
        <is>
          <t>CQP Conducteur de process du secteur alimentaire</t>
        </is>
      </c>
      <c r="L569" s="45" t="inlineStr">
        <is>
          <t>24/09/2030</t>
        </is>
      </c>
      <c r="M569" s="45" t="inlineStr">
        <is>
          <t>32012 (Gestion processus) ; 21554 (Agroalimentaire)</t>
        </is>
      </c>
      <c r="N569" s="50" t="inlineStr">
        <is>
          <t>NON</t>
        </is>
      </c>
      <c r="O569" s="45" t="inlineStr"/>
    </row>
    <row r="570" customFormat="1" s="3">
      <c r="A570" s="45" t="n"/>
      <c r="B570" s="46" t="inlineStr">
        <is>
          <t>21528</t>
        </is>
      </c>
      <c r="C570" s="46">
        <f>LEFT(Tableau1[[#This Row],[Formacode]],3)</f>
        <v/>
      </c>
      <c r="D570" s="47" t="n">
        <v>41679</v>
      </c>
      <c r="E570" s="48">
        <f>"RNCP"&amp;D570</f>
        <v/>
      </c>
      <c r="F570" s="48" t="inlineStr">
        <is>
          <t>CQP Agent de maintenance du secteur alimentaire</t>
        </is>
      </c>
      <c r="G570" s="49">
        <f>E570&amp;" - "&amp;F570</f>
        <v/>
      </c>
      <c r="H570" s="36" t="inlineStr">
        <is>
          <t>RAS</t>
        </is>
      </c>
      <c r="I570" s="45" t="inlineStr"/>
      <c r="J570" s="45" t="inlineStr">
        <is>
          <t>RNCP41679</t>
        </is>
      </c>
      <c r="K570" s="45" t="inlineStr">
        <is>
          <t>CQP Agent de maintenance du secteur alimentaire</t>
        </is>
      </c>
      <c r="L570" s="45" t="inlineStr">
        <is>
          <t>27/11/2030</t>
        </is>
      </c>
      <c r="M570" s="45" t="inlineStr">
        <is>
          <t>31624 (Maintenance industrielle) ; 21554 (Agroalimentaire)</t>
        </is>
      </c>
      <c r="N570" s="50" t="inlineStr">
        <is>
          <t>NON</t>
        </is>
      </c>
      <c r="O570" s="45" t="inlineStr"/>
    </row>
    <row r="571" customFormat="1" s="3">
      <c r="A571" s="51" t="n"/>
      <c r="B571" s="52" t="inlineStr">
        <is>
          <t>21532</t>
        </is>
      </c>
      <c r="C571" s="52">
        <f>LEFT(Tableau1[[#This Row],[Formacode]],3)</f>
        <v/>
      </c>
      <c r="D571" s="53" t="n">
        <v>35863</v>
      </c>
      <c r="E571" s="54">
        <f>"RNCP"&amp;D571</f>
        <v/>
      </c>
      <c r="F571" s="54" t="inlineStr">
        <is>
          <t>Sommelier-conseil, caviste</t>
        </is>
      </c>
      <c r="G571" s="55">
        <f>E571&amp;" - "&amp;F571</f>
        <v/>
      </c>
      <c r="H571" s="37" t="inlineStr">
        <is>
          <t>À vérifier</t>
        </is>
      </c>
      <c r="I571" s="51" t="inlineStr">
        <is>
          <t>Échéance le 15/09/2026 (dans 59 j)</t>
        </is>
      </c>
      <c r="J571" s="51" t="inlineStr">
        <is>
          <t>RNCP35863</t>
        </is>
      </c>
      <c r="K571" s="51" t="inlineStr">
        <is>
          <t>Sommelier-conseil, caviste</t>
        </is>
      </c>
      <c r="L571" s="51" t="inlineStr">
        <is>
          <t>15/09/2026</t>
        </is>
      </c>
      <c r="M571" s="51" t="inlineStr">
        <is>
          <t>21511 (Dégustation vin) ; 21540 (Commercialisation vin spiritueux) ; 34513 (Vente vin spiritueux) ; 42739 (Sommellerie)</t>
        </is>
      </c>
      <c r="N571" s="62" t="inlineStr">
        <is>
          <t>NON</t>
        </is>
      </c>
      <c r="O571" s="51" t="inlineStr"/>
    </row>
    <row r="572" customFormat="1" s="3">
      <c r="A572" s="45" t="n"/>
      <c r="B572" s="46" t="inlineStr">
        <is>
          <t>21532</t>
        </is>
      </c>
      <c r="C572" s="46">
        <f>LEFT(Tableau1[[#This Row],[Formacode]],3)</f>
        <v/>
      </c>
      <c r="D572" s="47" t="n">
        <v>36002</v>
      </c>
      <c r="E572" s="48">
        <f>"RNCP"&amp;D572</f>
        <v/>
      </c>
      <c r="F572" s="48" t="inlineStr">
        <is>
          <t>BTSA - Viticulture-Œnologie</t>
        </is>
      </c>
      <c r="G572" s="49">
        <f>E572&amp;" - "&amp;F572</f>
        <v/>
      </c>
      <c r="H572" s="36" t="inlineStr">
        <is>
          <t>RAS</t>
        </is>
      </c>
      <c r="I572" s="45" t="inlineStr"/>
      <c r="J572" s="45" t="inlineStr">
        <is>
          <t>RNCP36002</t>
        </is>
      </c>
      <c r="K572" s="45" t="inlineStr">
        <is>
          <t>Viticulture-Œnologie</t>
        </is>
      </c>
      <c r="L572" s="45" t="inlineStr">
        <is>
          <t>31/08/2027</t>
        </is>
      </c>
      <c r="M572" s="45" t="inlineStr">
        <is>
          <t>21510 (Vinification oenologie) ; 21053 (Viticulture)</t>
        </is>
      </c>
      <c r="N572" s="50" t="inlineStr">
        <is>
          <t>NON</t>
        </is>
      </c>
      <c r="O572" s="45" t="inlineStr"/>
    </row>
    <row r="573" ht="28.8" customFormat="1" customHeight="1" s="3">
      <c r="A573" s="45" t="n"/>
      <c r="B573" s="46" t="inlineStr">
        <is>
          <t>21532</t>
        </is>
      </c>
      <c r="C573" s="46">
        <f>LEFT(Tableau1[[#This Row],[Formacode]],3)</f>
        <v/>
      </c>
      <c r="D573" s="47" t="n">
        <v>37699</v>
      </c>
      <c r="E573" s="48">
        <f>"RNCP"&amp;D573</f>
        <v/>
      </c>
      <c r="F573" s="48" t="inlineStr">
        <is>
          <t>BAC PRO - Production en industries pharmaceutiques, alimentaires et cosmétiques (PIPAC)</t>
        </is>
      </c>
      <c r="G573" s="49">
        <f>E573&amp;" - "&amp;F573</f>
        <v/>
      </c>
      <c r="H573" s="36" t="inlineStr">
        <is>
          <t>RAS</t>
        </is>
      </c>
      <c r="I573" s="45" t="inlineStr"/>
      <c r="J573" s="45" t="inlineStr">
        <is>
          <t>RNCP37699</t>
        </is>
      </c>
      <c r="K573" s="45" t="inlineStr">
        <is>
          <t>Production en industries pharmaceutiques, alimentaires et cosmétiques (PIPAC)</t>
        </is>
      </c>
      <c r="L573" s="45" t="inlineStr">
        <is>
          <t>31/08/2028</t>
        </is>
      </c>
      <c r="M573" s="45" t="inlineStr">
        <is>
          <t>21554 (Agroalimentaire) ; 12081 (Biotechnologie)</t>
        </is>
      </c>
      <c r="N573" s="50" t="inlineStr">
        <is>
          <t>NON</t>
        </is>
      </c>
      <c r="O573" s="45" t="inlineStr"/>
    </row>
    <row r="574" customFormat="1" s="3">
      <c r="A574" s="45" t="n"/>
      <c r="B574" s="46" t="inlineStr">
        <is>
          <t>21532</t>
        </is>
      </c>
      <c r="C574" s="46">
        <f>LEFT(Tableau1[[#This Row],[Formacode]],3)</f>
        <v/>
      </c>
      <c r="D574" s="47" t="n">
        <v>38853</v>
      </c>
      <c r="E574" s="48">
        <f>"RNCP"&amp;D574</f>
        <v/>
      </c>
      <c r="F574" s="48" t="inlineStr">
        <is>
          <t>CS - Commercialisation des vins</t>
        </is>
      </c>
      <c r="G574" s="49">
        <f>E574&amp;" - "&amp;F574</f>
        <v/>
      </c>
      <c r="H574" s="36" t="inlineStr">
        <is>
          <t>RAS</t>
        </is>
      </c>
      <c r="I574" s="45" t="inlineStr"/>
      <c r="J574" s="45" t="inlineStr">
        <is>
          <t>RNCP38853</t>
        </is>
      </c>
      <c r="K574" s="45" t="inlineStr">
        <is>
          <t>Commercialisation des vins</t>
        </is>
      </c>
      <c r="L574" s="45" t="inlineStr">
        <is>
          <t>01/01/2029</t>
        </is>
      </c>
      <c r="M574" s="45" t="inlineStr">
        <is>
          <t>21510 (Vinification oenologie) ; 21540 (Commercialisation vin spiritueux)</t>
        </is>
      </c>
      <c r="N574" s="50" t="inlineStr">
        <is>
          <t>NON</t>
        </is>
      </c>
      <c r="O574" s="45" t="inlineStr"/>
    </row>
    <row r="575" customFormat="1" s="3">
      <c r="A575" s="45" t="n"/>
      <c r="B575" s="46" t="inlineStr">
        <is>
          <t>21532</t>
        </is>
      </c>
      <c r="C575" s="46">
        <f>LEFT(Tableau1[[#This Row],[Formacode]],3)</f>
        <v/>
      </c>
      <c r="D575" s="47" t="n">
        <v>39156</v>
      </c>
      <c r="E575" s="48">
        <f>"RNCP"&amp;D575</f>
        <v/>
      </c>
      <c r="F575" s="48" t="inlineStr">
        <is>
          <t>BP - Conducteur de ligne de production alimentaire</t>
        </is>
      </c>
      <c r="G575" s="49">
        <f>E575&amp;" - "&amp;F575</f>
        <v/>
      </c>
      <c r="H575" s="36" t="inlineStr">
        <is>
          <t>RAS</t>
        </is>
      </c>
      <c r="I575" s="45" t="inlineStr"/>
      <c r="J575" s="45" t="inlineStr">
        <is>
          <t>RNCP39156</t>
        </is>
      </c>
      <c r="K575" s="45" t="inlineStr">
        <is>
          <t>Conducteur de ligne de production alimentaire</t>
        </is>
      </c>
      <c r="L575" s="45" t="inlineStr">
        <is>
          <t>01/09/2029</t>
        </is>
      </c>
      <c r="M575" s="45" t="inlineStr">
        <is>
          <t>21554 (Agroalimentaire)</t>
        </is>
      </c>
      <c r="N575" s="50" t="inlineStr">
        <is>
          <t>NON</t>
        </is>
      </c>
      <c r="O575" s="45" t="inlineStr"/>
    </row>
    <row r="576" customFormat="1" s="3">
      <c r="A576" s="45" t="n"/>
      <c r="B576" s="46" t="inlineStr">
        <is>
          <t>21532</t>
        </is>
      </c>
      <c r="C576" s="46">
        <f>LEFT(Tableau1[[#This Row],[Formacode]],3)</f>
        <v/>
      </c>
      <c r="D576" s="47" t="n">
        <v>39966</v>
      </c>
      <c r="E576" s="48">
        <f>"RNCP"&amp;D576</f>
        <v/>
      </c>
      <c r="F576" s="48" t="inlineStr">
        <is>
          <t>CQP Conducteur de machines du secteur alimentaire</t>
        </is>
      </c>
      <c r="G576" s="49">
        <f>E576&amp;" - "&amp;F576</f>
        <v/>
      </c>
      <c r="H576" s="36" t="inlineStr">
        <is>
          <t>RAS</t>
        </is>
      </c>
      <c r="I576" s="45" t="inlineStr"/>
      <c r="J576" s="45" t="inlineStr">
        <is>
          <t>RNCP39966</t>
        </is>
      </c>
      <c r="K576" s="45" t="inlineStr">
        <is>
          <t>CQP Conducteur de machines du secteur alimentaire</t>
        </is>
      </c>
      <c r="L576" s="45" t="inlineStr">
        <is>
          <t>18/12/2029</t>
        </is>
      </c>
      <c r="M576" s="45" t="inlineStr">
        <is>
          <t>31620 (Conduite installation industrielle) ; 21554 (Agroalimentaire)</t>
        </is>
      </c>
      <c r="N576" s="50" t="inlineStr">
        <is>
          <t>NON</t>
        </is>
      </c>
      <c r="O576" s="45" t="inlineStr"/>
    </row>
    <row r="577" customFormat="1" s="3">
      <c r="A577" s="45" t="n"/>
      <c r="B577" s="46" t="inlineStr">
        <is>
          <t>21532</t>
        </is>
      </c>
      <c r="C577" s="46">
        <f>LEFT(Tableau1[[#This Row],[Formacode]],3)</f>
        <v/>
      </c>
      <c r="D577" s="47" t="n">
        <v>39967</v>
      </c>
      <c r="E577" s="48">
        <f>"RNCP"&amp;D577</f>
        <v/>
      </c>
      <c r="F577" s="48" t="inlineStr">
        <is>
          <t>CQP Conducteur de ligne du secteur alimentaire</t>
        </is>
      </c>
      <c r="G577" s="49">
        <f>E577&amp;" - "&amp;F577</f>
        <v/>
      </c>
      <c r="H577" s="36" t="inlineStr">
        <is>
          <t>RAS</t>
        </is>
      </c>
      <c r="I577" s="45" t="inlineStr"/>
      <c r="J577" s="45" t="inlineStr">
        <is>
          <t>RNCP39967</t>
        </is>
      </c>
      <c r="K577" s="45" t="inlineStr">
        <is>
          <t>CQP Conducteur de ligne du secteur alimentaire</t>
        </is>
      </c>
      <c r="L577" s="45" t="inlineStr">
        <is>
          <t>18/12/2029</t>
        </is>
      </c>
      <c r="M577" s="45" t="inlineStr">
        <is>
          <t>31620 (Conduite installation industrielle) ; 21554 (Agroalimentaire)</t>
        </is>
      </c>
      <c r="N577" s="50" t="inlineStr">
        <is>
          <t>NON</t>
        </is>
      </c>
      <c r="O577" s="45" t="inlineStr"/>
    </row>
    <row r="578" customFormat="1" s="3">
      <c r="A578" s="45" t="n"/>
      <c r="B578" s="46" t="inlineStr">
        <is>
          <t>21532</t>
        </is>
      </c>
      <c r="C578" s="46">
        <f>LEFT(Tableau1[[#This Row],[Formacode]],3)</f>
        <v/>
      </c>
      <c r="D578" s="47" t="n">
        <v>39968</v>
      </c>
      <c r="E578" s="48">
        <f>"RNCP"&amp;D578</f>
        <v/>
      </c>
      <c r="F578" s="48" t="inlineStr">
        <is>
          <t>CQP Opérateur de production du secteur alimentaire</t>
        </is>
      </c>
      <c r="G578" s="49">
        <f>E578&amp;" - "&amp;F578</f>
        <v/>
      </c>
      <c r="H578" s="36" t="inlineStr">
        <is>
          <t>RAS</t>
        </is>
      </c>
      <c r="I578" s="45" t="inlineStr"/>
      <c r="J578" s="45" t="inlineStr">
        <is>
          <t>RNCP39968</t>
        </is>
      </c>
      <c r="K578" s="45" t="inlineStr">
        <is>
          <t>CQP Opérateur de production du secteur alimentaire</t>
        </is>
      </c>
      <c r="L578" s="45" t="inlineStr">
        <is>
          <t>18/12/2029</t>
        </is>
      </c>
      <c r="M578" s="45" t="inlineStr">
        <is>
          <t>21554 (Agroalimentaire)</t>
        </is>
      </c>
      <c r="N578" s="50" t="inlineStr">
        <is>
          <t>NON</t>
        </is>
      </c>
      <c r="O578" s="45" t="inlineStr"/>
    </row>
    <row r="579" customFormat="1" s="3">
      <c r="A579" s="45" t="n"/>
      <c r="B579" s="46" t="inlineStr">
        <is>
          <t>21532</t>
        </is>
      </c>
      <c r="C579" s="46">
        <f>LEFT(Tableau1[[#This Row],[Formacode]],3)</f>
        <v/>
      </c>
      <c r="D579" s="47" t="n">
        <v>39971</v>
      </c>
      <c r="E579" s="48">
        <f>"RNCP"&amp;D579</f>
        <v/>
      </c>
      <c r="F579" s="48" t="inlineStr">
        <is>
          <t>CQP Technicien de maintenance du secteur alimentaire</t>
        </is>
      </c>
      <c r="G579" s="49">
        <f>E579&amp;" - "&amp;F579</f>
        <v/>
      </c>
      <c r="H579" s="36" t="inlineStr">
        <is>
          <t>RAS</t>
        </is>
      </c>
      <c r="I579" s="45" t="inlineStr"/>
      <c r="J579" s="45" t="inlineStr">
        <is>
          <t>RNCP39971</t>
        </is>
      </c>
      <c r="K579" s="45" t="inlineStr">
        <is>
          <t>CQP Technicien de maintenance du secteur alimentaire</t>
        </is>
      </c>
      <c r="L579" s="45" t="inlineStr">
        <is>
          <t>18/12/2029</t>
        </is>
      </c>
      <c r="M579" s="45" t="inlineStr">
        <is>
          <t>21554 (Agroalimentaire) ; 31624 (Maintenance industrielle)</t>
        </is>
      </c>
      <c r="N579" s="50" t="inlineStr">
        <is>
          <t>NON</t>
        </is>
      </c>
      <c r="O579" s="45" t="inlineStr"/>
    </row>
    <row r="580" customFormat="1" s="3">
      <c r="A580" s="45" t="n"/>
      <c r="B580" s="46" t="inlineStr">
        <is>
          <t>21532</t>
        </is>
      </c>
      <c r="C580" s="46">
        <f>LEFT(Tableau1[[#This Row],[Formacode]],3)</f>
        <v/>
      </c>
      <c r="D580" s="47" t="n">
        <v>39972</v>
      </c>
      <c r="E580" s="48">
        <f>"RNCP"&amp;D580</f>
        <v/>
      </c>
      <c r="F580" s="48" t="inlineStr">
        <is>
          <t>CQP Responsable d'équipe du secteur alimentaire</t>
        </is>
      </c>
      <c r="G580" s="49">
        <f>E580&amp;" - "&amp;F580</f>
        <v/>
      </c>
      <c r="H580" s="36" t="inlineStr">
        <is>
          <t>RAS</t>
        </is>
      </c>
      <c r="I580" s="45" t="inlineStr"/>
      <c r="J580" s="45" t="inlineStr">
        <is>
          <t>RNCP39972</t>
        </is>
      </c>
      <c r="K580" s="45" t="inlineStr">
        <is>
          <t>CQP Responsable d'équipe du secteur alimentaire</t>
        </is>
      </c>
      <c r="L580" s="45" t="inlineStr">
        <is>
          <t>18/12/2029</t>
        </is>
      </c>
      <c r="M580" s="45" t="inlineStr">
        <is>
          <t>32154 (Encadrement management) ; 21554 (Agroalimentaire)</t>
        </is>
      </c>
      <c r="N580" s="50" t="inlineStr">
        <is>
          <t>NON</t>
        </is>
      </c>
      <c r="O580" s="45" t="inlineStr"/>
    </row>
    <row r="581" customFormat="1" s="3">
      <c r="A581" s="45" t="n"/>
      <c r="B581" s="46" t="inlineStr">
        <is>
          <t>21532</t>
        </is>
      </c>
      <c r="C581" s="46">
        <f>LEFT(Tableau1[[#This Row],[Formacode]],3)</f>
        <v/>
      </c>
      <c r="D581" s="47" t="n">
        <v>40852</v>
      </c>
      <c r="E581" s="48">
        <f>"RNCP"&amp;D581</f>
        <v/>
      </c>
      <c r="F581" s="48" t="inlineStr">
        <is>
          <t>CQP Agent viticole</t>
        </is>
      </c>
      <c r="G581" s="49">
        <f>E581&amp;" - "&amp;F581</f>
        <v/>
      </c>
      <c r="H581" s="36" t="inlineStr">
        <is>
          <t>RAS</t>
        </is>
      </c>
      <c r="I581" s="45" t="inlineStr"/>
      <c r="J581" s="45" t="inlineStr">
        <is>
          <t>RNCP40852</t>
        </is>
      </c>
      <c r="K581" s="45" t="inlineStr">
        <is>
          <t>CQP Agent viticole</t>
        </is>
      </c>
      <c r="L581" s="45" t="inlineStr">
        <is>
          <t>25/06/2028</t>
        </is>
      </c>
      <c r="M581" s="45" t="inlineStr">
        <is>
          <t>21053 (Viticulture) ; 21510 (Vinification oenologie)</t>
        </is>
      </c>
      <c r="N581" s="50" t="inlineStr">
        <is>
          <t>NON</t>
        </is>
      </c>
      <c r="O581" s="45" t="inlineStr"/>
    </row>
    <row r="582" customFormat="1" s="3">
      <c r="A582" s="45" t="n"/>
      <c r="B582" s="46" t="inlineStr">
        <is>
          <t>21532</t>
        </is>
      </c>
      <c r="C582" s="46">
        <f>LEFT(Tableau1[[#This Row],[Formacode]],3)</f>
        <v/>
      </c>
      <c r="D582" s="47" t="n">
        <v>41349</v>
      </c>
      <c r="E582" s="48">
        <f>"RNCP"&amp;D582</f>
        <v/>
      </c>
      <c r="F582" s="48" t="inlineStr">
        <is>
          <t>CQP Conducteur de process du secteur alimentaire</t>
        </is>
      </c>
      <c r="G582" s="49">
        <f>E582&amp;" - "&amp;F582</f>
        <v/>
      </c>
      <c r="H582" s="36" t="inlineStr">
        <is>
          <t>RAS</t>
        </is>
      </c>
      <c r="I582" s="45" t="inlineStr"/>
      <c r="J582" s="45" t="inlineStr">
        <is>
          <t>RNCP41349</t>
        </is>
      </c>
      <c r="K582" s="45" t="inlineStr">
        <is>
          <t>CQP Conducteur de process du secteur alimentaire</t>
        </is>
      </c>
      <c r="L582" s="45" t="inlineStr">
        <is>
          <t>24/09/2030</t>
        </is>
      </c>
      <c r="M582" s="45" t="inlineStr">
        <is>
          <t>32012 (Gestion processus) ; 21554 (Agroalimentaire)</t>
        </is>
      </c>
      <c r="N582" s="50" t="inlineStr">
        <is>
          <t>NON</t>
        </is>
      </c>
      <c r="O582" s="45" t="inlineStr"/>
    </row>
    <row r="583" customFormat="1" s="3">
      <c r="A583" s="45" t="n"/>
      <c r="B583" s="46" t="inlineStr">
        <is>
          <t>21532</t>
        </is>
      </c>
      <c r="C583" s="46">
        <f>LEFT(Tableau1[[#This Row],[Formacode]],3)</f>
        <v/>
      </c>
      <c r="D583" s="47" t="n">
        <v>41679</v>
      </c>
      <c r="E583" s="48">
        <f>"RNCP"&amp;D583</f>
        <v/>
      </c>
      <c r="F583" s="48" t="inlineStr">
        <is>
          <t>CQP Agent de maintenance du secteur alimentaire</t>
        </is>
      </c>
      <c r="G583" s="49">
        <f>E583&amp;" - "&amp;F583</f>
        <v/>
      </c>
      <c r="H583" s="36" t="inlineStr">
        <is>
          <t>RAS</t>
        </is>
      </c>
      <c r="I583" s="45" t="inlineStr"/>
      <c r="J583" s="45" t="inlineStr">
        <is>
          <t>RNCP41679</t>
        </is>
      </c>
      <c r="K583" s="45" t="inlineStr">
        <is>
          <t>CQP Agent de maintenance du secteur alimentaire</t>
        </is>
      </c>
      <c r="L583" s="45" t="inlineStr">
        <is>
          <t>27/11/2030</t>
        </is>
      </c>
      <c r="M583" s="45" t="inlineStr">
        <is>
          <t>31624 (Maintenance industrielle) ; 21554 (Agroalimentaire)</t>
        </is>
      </c>
      <c r="N583" s="50" t="inlineStr">
        <is>
          <t>NON</t>
        </is>
      </c>
      <c r="O583" s="45" t="inlineStr"/>
    </row>
    <row r="584" customFormat="1" s="3">
      <c r="A584" s="51" t="n"/>
      <c r="B584" s="52" t="inlineStr">
        <is>
          <t>21538</t>
        </is>
      </c>
      <c r="C584" s="52">
        <f>LEFT(Tableau1[[#This Row],[Formacode]],3)</f>
        <v/>
      </c>
      <c r="D584" s="53" t="n">
        <v>37313</v>
      </c>
      <c r="E584" s="54">
        <f>"RNCP"&amp;D584</f>
        <v/>
      </c>
      <c r="F584" s="54" t="inlineStr">
        <is>
          <t>CS - Boulangerie spécialisée</t>
        </is>
      </c>
      <c r="G584" s="55">
        <f>E584&amp;" - "&amp;F584</f>
        <v/>
      </c>
      <c r="H584" s="37" t="inlineStr">
        <is>
          <t>À vérifier</t>
        </is>
      </c>
      <c r="I584" s="51" t="inlineStr">
        <is>
          <t>Successeur déjà publié : RNCP42130 (Boulangerie spécialisée) — préparer la bascule de l'offre CPF | Échéance le 31/08/2026 (dans 44 j)</t>
        </is>
      </c>
      <c r="J584" s="51" t="inlineStr">
        <is>
          <t>RNCP42130</t>
        </is>
      </c>
      <c r="K584" s="51" t="inlineStr">
        <is>
          <t>Boulangerie spécialisée</t>
        </is>
      </c>
      <c r="L584" s="51" t="inlineStr">
        <is>
          <t>31/08/2026</t>
        </is>
      </c>
      <c r="M584" s="51" t="inlineStr">
        <is>
          <t>21539 (Spécialisation boulangerie)</t>
        </is>
      </c>
      <c r="N584" s="62" t="inlineStr">
        <is>
          <t>NON</t>
        </is>
      </c>
      <c r="O584" s="51" t="inlineStr"/>
    </row>
    <row r="585" customFormat="1" s="3">
      <c r="A585" s="63" t="n"/>
      <c r="B585" s="64" t="inlineStr">
        <is>
          <t>21538</t>
        </is>
      </c>
      <c r="C585" s="64">
        <f>LEFT(Tableau1[[#This Row],[Formacode]],3)</f>
        <v/>
      </c>
      <c r="D585" s="65" t="n">
        <v>37439</v>
      </c>
      <c r="E585" s="66">
        <f>"RNCP"&amp;D585</f>
        <v/>
      </c>
      <c r="F585" s="66" t="inlineStr">
        <is>
          <t>Boulanger</t>
        </is>
      </c>
      <c r="G585" s="67">
        <f>E585&amp;" - "&amp;F585</f>
        <v/>
      </c>
      <c r="H585" s="38" t="inlineStr">
        <is>
          <t>Expiré / remplacé</t>
        </is>
      </c>
      <c r="I585" s="63" t="inlineStr">
        <is>
          <t>Fiche inactive — remplacée par RNCP41743 (Boulanger)</t>
        </is>
      </c>
      <c r="J585" s="63" t="inlineStr">
        <is>
          <t>RNCP41743</t>
        </is>
      </c>
      <c r="K585" s="63" t="inlineStr">
        <is>
          <t>Boulanger</t>
        </is>
      </c>
      <c r="L585" s="63" t="inlineStr">
        <is>
          <t>27/03/2026</t>
        </is>
      </c>
      <c r="M585" s="63" t="inlineStr">
        <is>
          <t>21538 (Boulangerie)</t>
        </is>
      </c>
      <c r="N585" s="68" t="inlineStr">
        <is>
          <t>NON</t>
        </is>
      </c>
      <c r="O585" s="63" t="inlineStr"/>
    </row>
    <row r="586" customFormat="1" s="3">
      <c r="A586" s="51" t="n"/>
      <c r="B586" s="52" t="inlineStr">
        <is>
          <t>21538</t>
        </is>
      </c>
      <c r="C586" s="52">
        <f>LEFT(Tableau1[[#This Row],[Formacode]],3)</f>
        <v/>
      </c>
      <c r="D586" s="53" t="n">
        <v>37491</v>
      </c>
      <c r="E586" s="54">
        <f>"RNCP"&amp;D586</f>
        <v/>
      </c>
      <c r="F586" s="54" t="inlineStr">
        <is>
          <t>BP - Boulanger</t>
        </is>
      </c>
      <c r="G586" s="55">
        <f>E586&amp;" - "&amp;F586</f>
        <v/>
      </c>
      <c r="H586" s="37" t="inlineStr">
        <is>
          <t>À vérifier</t>
        </is>
      </c>
      <c r="I586" s="51" t="inlineStr">
        <is>
          <t>Successeur déjà publié : RNCP41937 (Boulanger) — préparer la bascule de l'offre CPF | Échéance le 31/08/2026 (dans 44 j)</t>
        </is>
      </c>
      <c r="J586" s="51" t="inlineStr">
        <is>
          <t>RNCP41937</t>
        </is>
      </c>
      <c r="K586" s="51" t="inlineStr">
        <is>
          <t>Boulanger</t>
        </is>
      </c>
      <c r="L586" s="51" t="inlineStr">
        <is>
          <t>31/08/2026</t>
        </is>
      </c>
      <c r="M586" s="51" t="inlineStr">
        <is>
          <t>21538 (Boulangerie)</t>
        </is>
      </c>
      <c r="N586" s="62" t="inlineStr">
        <is>
          <t>NON</t>
        </is>
      </c>
      <c r="O586" s="51" t="inlineStr"/>
    </row>
    <row r="587" customFormat="1" s="3">
      <c r="A587" s="51" t="n"/>
      <c r="B587" s="52" t="inlineStr">
        <is>
          <t>21538</t>
        </is>
      </c>
      <c r="C587" s="52">
        <f>LEFT(Tableau1[[#This Row],[Formacode]],3)</f>
        <v/>
      </c>
      <c r="D587" s="53" t="n">
        <v>37537</v>
      </c>
      <c r="E587" s="54">
        <f>"RNCP"&amp;D587</f>
        <v/>
      </c>
      <c r="F587" s="54" t="inlineStr">
        <is>
          <t>CAP - Boulanger</t>
        </is>
      </c>
      <c r="G587" s="55">
        <f>E587&amp;" - "&amp;F587</f>
        <v/>
      </c>
      <c r="H587" s="37" t="inlineStr">
        <is>
          <t>À vérifier</t>
        </is>
      </c>
      <c r="I587" s="51" t="inlineStr">
        <is>
          <t>Successeur déjà publié : RNCP42115 (Boulanger) — préparer la bascule de l'offre CPF | Échéance le 31/08/2026 (dans 44 j)</t>
        </is>
      </c>
      <c r="J587" s="51" t="inlineStr">
        <is>
          <t>RNCP42115</t>
        </is>
      </c>
      <c r="K587" s="51" t="inlineStr">
        <is>
          <t>Boulanger</t>
        </is>
      </c>
      <c r="L587" s="51" t="inlineStr">
        <is>
          <t>31/08/2026</t>
        </is>
      </c>
      <c r="M587" s="51" t="inlineStr">
        <is>
          <t>21538 (Boulangerie)</t>
        </is>
      </c>
      <c r="N587" s="62" t="inlineStr">
        <is>
          <t>NON</t>
        </is>
      </c>
      <c r="O587" s="51" t="inlineStr"/>
    </row>
    <row r="588" ht="28.8" customFormat="1" customHeight="1" s="3">
      <c r="A588" s="45" t="n"/>
      <c r="B588" s="46" t="inlineStr">
        <is>
          <t>21538</t>
        </is>
      </c>
      <c r="C588" s="46">
        <f>LEFT(Tableau1[[#This Row],[Formacode]],3)</f>
        <v/>
      </c>
      <c r="D588" s="47" t="n">
        <v>37699</v>
      </c>
      <c r="E588" s="48">
        <f>"RNCP"&amp;D588</f>
        <v/>
      </c>
      <c r="F588" s="48" t="inlineStr">
        <is>
          <t>BAC PRO - Production en industries pharmaceutiques, alimentaires et cosmétiques (PIPAC)</t>
        </is>
      </c>
      <c r="G588" s="49">
        <f>E588&amp;" - "&amp;F588</f>
        <v/>
      </c>
      <c r="H588" s="36" t="inlineStr">
        <is>
          <t>RAS</t>
        </is>
      </c>
      <c r="I588" s="45" t="inlineStr"/>
      <c r="J588" s="45" t="inlineStr">
        <is>
          <t>RNCP37699</t>
        </is>
      </c>
      <c r="K588" s="45" t="inlineStr">
        <is>
          <t>Production en industries pharmaceutiques, alimentaires et cosmétiques (PIPAC)</t>
        </is>
      </c>
      <c r="L588" s="45" t="inlineStr">
        <is>
          <t>31/08/2028</t>
        </is>
      </c>
      <c r="M588" s="45" t="inlineStr">
        <is>
          <t>21554 (Agroalimentaire) ; 12081 (Biotechnologie)</t>
        </is>
      </c>
      <c r="N588" s="50" t="inlineStr">
        <is>
          <t>NON</t>
        </is>
      </c>
      <c r="O588" s="45" t="inlineStr"/>
    </row>
    <row r="589" customFormat="1" s="3">
      <c r="A589" s="45" t="n"/>
      <c r="B589" s="46" t="inlineStr">
        <is>
          <t>21538</t>
        </is>
      </c>
      <c r="C589" s="46">
        <f>LEFT(Tableau1[[#This Row],[Formacode]],3)</f>
        <v/>
      </c>
      <c r="D589" s="47" t="n">
        <v>37908</v>
      </c>
      <c r="E589" s="48">
        <f>"RNCP"&amp;D589</f>
        <v/>
      </c>
      <c r="F589" s="48" t="inlineStr">
        <is>
          <t>BAC PRO - Boulanger-pâtissier</t>
        </is>
      </c>
      <c r="G589" s="49">
        <f>E589&amp;" - "&amp;F589</f>
        <v/>
      </c>
      <c r="H589" s="36" t="inlineStr">
        <is>
          <t>RAS</t>
        </is>
      </c>
      <c r="I589" s="45" t="inlineStr"/>
      <c r="J589" s="45" t="inlineStr">
        <is>
          <t>RNCP37908</t>
        </is>
      </c>
      <c r="K589" s="45" t="inlineStr">
        <is>
          <t>Boulanger-pâtissier</t>
        </is>
      </c>
      <c r="L589" s="45" t="inlineStr">
        <is>
          <t>31/08/2028</t>
        </is>
      </c>
      <c r="M589" s="45" t="inlineStr">
        <is>
          <t>21538 (Boulangerie) ; 21528 (Pâtisserie) ; 34525 (Vente produit alimentaire)</t>
        </is>
      </c>
      <c r="N589" s="50" t="inlineStr">
        <is>
          <t>NON</t>
        </is>
      </c>
      <c r="O589" s="45" t="inlineStr"/>
    </row>
    <row r="590" customFormat="1" s="3">
      <c r="A590" s="45" t="n"/>
      <c r="B590" s="46" t="inlineStr">
        <is>
          <t>21538</t>
        </is>
      </c>
      <c r="C590" s="46">
        <f>LEFT(Tableau1[[#This Row],[Formacode]],3)</f>
        <v/>
      </c>
      <c r="D590" s="47" t="n">
        <v>38762</v>
      </c>
      <c r="E590" s="48">
        <f>"RNCP"&amp;D590</f>
        <v/>
      </c>
      <c r="F590" s="48" t="inlineStr">
        <is>
          <t>Certificat de spécialisation - Techniques du tour en boulangerie et en pâtisserie</t>
        </is>
      </c>
      <c r="G590" s="49">
        <f>E590&amp;" - "&amp;F590</f>
        <v/>
      </c>
      <c r="H590" s="36" t="inlineStr">
        <is>
          <t>RAS</t>
        </is>
      </c>
      <c r="I590" s="45" t="inlineStr"/>
      <c r="J590" s="45" t="inlineStr">
        <is>
          <t>RNCP38762</t>
        </is>
      </c>
      <c r="K590" s="45" t="inlineStr">
        <is>
          <t>Techniques du tour en boulangerie et en pâtisserie</t>
        </is>
      </c>
      <c r="L590" s="45" t="inlineStr">
        <is>
          <t>31/08/2029</t>
        </is>
      </c>
      <c r="M590" s="45" t="inlineStr">
        <is>
          <t>21539 (Spécialisation boulangerie) ; 21508 (Spécialisation pâtisserie)</t>
        </is>
      </c>
      <c r="N590" s="50" t="inlineStr">
        <is>
          <t>NON</t>
        </is>
      </c>
      <c r="O590" s="45" t="inlineStr"/>
    </row>
    <row r="591" customFormat="1" s="3">
      <c r="A591" s="45" t="n"/>
      <c r="B591" s="46" t="inlineStr">
        <is>
          <t>21538</t>
        </is>
      </c>
      <c r="C591" s="46">
        <f>LEFT(Tableau1[[#This Row],[Formacode]],3)</f>
        <v/>
      </c>
      <c r="D591" s="47" t="n">
        <v>39156</v>
      </c>
      <c r="E591" s="48">
        <f>"RNCP"&amp;D591</f>
        <v/>
      </c>
      <c r="F591" s="48" t="inlineStr">
        <is>
          <t>BP - Conducteur de ligne de production alimentaire</t>
        </is>
      </c>
      <c r="G591" s="49">
        <f>E591&amp;" - "&amp;F591</f>
        <v/>
      </c>
      <c r="H591" s="36" t="inlineStr">
        <is>
          <t>RAS</t>
        </is>
      </c>
      <c r="I591" s="45" t="inlineStr"/>
      <c r="J591" s="45" t="inlineStr">
        <is>
          <t>RNCP39156</t>
        </is>
      </c>
      <c r="K591" s="45" t="inlineStr">
        <is>
          <t>Conducteur de ligne de production alimentaire</t>
        </is>
      </c>
      <c r="L591" s="45" t="inlineStr">
        <is>
          <t>01/09/2029</t>
        </is>
      </c>
      <c r="M591" s="45" t="inlineStr">
        <is>
          <t>21554 (Agroalimentaire)</t>
        </is>
      </c>
      <c r="N591" s="50" t="inlineStr">
        <is>
          <t>NON</t>
        </is>
      </c>
      <c r="O591" s="45" t="inlineStr"/>
    </row>
    <row r="592" customFormat="1" s="3">
      <c r="A592" s="45" t="n"/>
      <c r="B592" s="46" t="inlineStr">
        <is>
          <t>21538</t>
        </is>
      </c>
      <c r="C592" s="46">
        <f>LEFT(Tableau1[[#This Row],[Formacode]],3)</f>
        <v/>
      </c>
      <c r="D592" s="47" t="n">
        <v>39966</v>
      </c>
      <c r="E592" s="48">
        <f>"RNCP"&amp;D592</f>
        <v/>
      </c>
      <c r="F592" s="48" t="inlineStr">
        <is>
          <t>CQP Conducteur de machines du secteur alimentaire</t>
        </is>
      </c>
      <c r="G592" s="49">
        <f>E592&amp;" - "&amp;F592</f>
        <v/>
      </c>
      <c r="H592" s="36" t="inlineStr">
        <is>
          <t>RAS</t>
        </is>
      </c>
      <c r="I592" s="45" t="inlineStr"/>
      <c r="J592" s="45" t="inlineStr">
        <is>
          <t>RNCP39966</t>
        </is>
      </c>
      <c r="K592" s="45" t="inlineStr">
        <is>
          <t>CQP Conducteur de machines du secteur alimentaire</t>
        </is>
      </c>
      <c r="L592" s="45" t="inlineStr">
        <is>
          <t>18/12/2029</t>
        </is>
      </c>
      <c r="M592" s="45" t="inlineStr">
        <is>
          <t>31620 (Conduite installation industrielle) ; 21554 (Agroalimentaire)</t>
        </is>
      </c>
      <c r="N592" s="50" t="inlineStr">
        <is>
          <t>NON</t>
        </is>
      </c>
      <c r="O592" s="45" t="inlineStr"/>
    </row>
    <row r="593" customFormat="1" s="3">
      <c r="A593" s="45" t="n"/>
      <c r="B593" s="46" t="inlineStr">
        <is>
          <t>21538</t>
        </is>
      </c>
      <c r="C593" s="46">
        <f>LEFT(Tableau1[[#This Row],[Formacode]],3)</f>
        <v/>
      </c>
      <c r="D593" s="47" t="n">
        <v>39967</v>
      </c>
      <c r="E593" s="48">
        <f>"RNCP"&amp;D593</f>
        <v/>
      </c>
      <c r="F593" s="48" t="inlineStr">
        <is>
          <t>CQP Conducteur de ligne du secteur alimentaire</t>
        </is>
      </c>
      <c r="G593" s="49">
        <f>E593&amp;" - "&amp;F593</f>
        <v/>
      </c>
      <c r="H593" s="36" t="inlineStr">
        <is>
          <t>RAS</t>
        </is>
      </c>
      <c r="I593" s="45" t="inlineStr"/>
      <c r="J593" s="45" t="inlineStr">
        <is>
          <t>RNCP39967</t>
        </is>
      </c>
      <c r="K593" s="45" t="inlineStr">
        <is>
          <t>CQP Conducteur de ligne du secteur alimentaire</t>
        </is>
      </c>
      <c r="L593" s="45" t="inlineStr">
        <is>
          <t>18/12/2029</t>
        </is>
      </c>
      <c r="M593" s="45" t="inlineStr">
        <is>
          <t>31620 (Conduite installation industrielle) ; 21554 (Agroalimentaire)</t>
        </is>
      </c>
      <c r="N593" s="50" t="inlineStr">
        <is>
          <t>NON</t>
        </is>
      </c>
      <c r="O593" s="45" t="inlineStr"/>
    </row>
    <row r="594" customFormat="1" s="3">
      <c r="A594" s="45" t="n"/>
      <c r="B594" s="46" t="inlineStr">
        <is>
          <t>21538</t>
        </is>
      </c>
      <c r="C594" s="46">
        <f>LEFT(Tableau1[[#This Row],[Formacode]],3)</f>
        <v/>
      </c>
      <c r="D594" s="47" t="n">
        <v>39968</v>
      </c>
      <c r="E594" s="48">
        <f>"RNCP"&amp;D594</f>
        <v/>
      </c>
      <c r="F594" s="48" t="inlineStr">
        <is>
          <t>CQP Opérateur de production du secteur alimentaire</t>
        </is>
      </c>
      <c r="G594" s="49">
        <f>E594&amp;" - "&amp;F594</f>
        <v/>
      </c>
      <c r="H594" s="36" t="inlineStr">
        <is>
          <t>RAS</t>
        </is>
      </c>
      <c r="I594" s="45" t="inlineStr"/>
      <c r="J594" s="45" t="inlineStr">
        <is>
          <t>RNCP39968</t>
        </is>
      </c>
      <c r="K594" s="45" t="inlineStr">
        <is>
          <t>CQP Opérateur de production du secteur alimentaire</t>
        </is>
      </c>
      <c r="L594" s="45" t="inlineStr">
        <is>
          <t>18/12/2029</t>
        </is>
      </c>
      <c r="M594" s="45" t="inlineStr">
        <is>
          <t>21554 (Agroalimentaire)</t>
        </is>
      </c>
      <c r="N594" s="50" t="inlineStr">
        <is>
          <t>NON</t>
        </is>
      </c>
      <c r="O594" s="45" t="inlineStr"/>
    </row>
    <row r="595" customFormat="1" s="3">
      <c r="A595" s="45" t="n"/>
      <c r="B595" s="46" t="inlineStr">
        <is>
          <t>21538</t>
        </is>
      </c>
      <c r="C595" s="46">
        <f>LEFT(Tableau1[[#This Row],[Formacode]],3)</f>
        <v/>
      </c>
      <c r="D595" s="47" t="n">
        <v>39971</v>
      </c>
      <c r="E595" s="48">
        <f>"RNCP"&amp;D595</f>
        <v/>
      </c>
      <c r="F595" s="48" t="inlineStr">
        <is>
          <t>CQP Technicien de maintenance du secteur alimentaire</t>
        </is>
      </c>
      <c r="G595" s="49">
        <f>E595&amp;" - "&amp;F595</f>
        <v/>
      </c>
      <c r="H595" s="36" t="inlineStr">
        <is>
          <t>RAS</t>
        </is>
      </c>
      <c r="I595" s="45" t="inlineStr"/>
      <c r="J595" s="45" t="inlineStr">
        <is>
          <t>RNCP39971</t>
        </is>
      </c>
      <c r="K595" s="45" t="inlineStr">
        <is>
          <t>CQP Technicien de maintenance du secteur alimentaire</t>
        </is>
      </c>
      <c r="L595" s="45" t="inlineStr">
        <is>
          <t>18/12/2029</t>
        </is>
      </c>
      <c r="M595" s="45" t="inlineStr">
        <is>
          <t>21554 (Agroalimentaire) ; 31624 (Maintenance industrielle)</t>
        </is>
      </c>
      <c r="N595" s="50" t="inlineStr">
        <is>
          <t>NON</t>
        </is>
      </c>
      <c r="O595" s="45" t="inlineStr"/>
    </row>
    <row r="596" customFormat="1" s="3">
      <c r="A596" s="45" t="n"/>
      <c r="B596" s="46" t="inlineStr">
        <is>
          <t>21538</t>
        </is>
      </c>
      <c r="C596" s="46">
        <f>LEFT(Tableau1[[#This Row],[Formacode]],3)</f>
        <v/>
      </c>
      <c r="D596" s="47" t="n">
        <v>39972</v>
      </c>
      <c r="E596" s="48">
        <f>"RNCP"&amp;D596</f>
        <v/>
      </c>
      <c r="F596" s="48" t="inlineStr">
        <is>
          <t>CQP Responsable d'équipe du secteur alimentaire</t>
        </is>
      </c>
      <c r="G596" s="49">
        <f>E596&amp;" - "&amp;F596</f>
        <v/>
      </c>
      <c r="H596" s="36" t="inlineStr">
        <is>
          <t>RAS</t>
        </is>
      </c>
      <c r="I596" s="45" t="inlineStr"/>
      <c r="J596" s="45" t="inlineStr">
        <is>
          <t>RNCP39972</t>
        </is>
      </c>
      <c r="K596" s="45" t="inlineStr">
        <is>
          <t>CQP Responsable d'équipe du secteur alimentaire</t>
        </is>
      </c>
      <c r="L596" s="45" t="inlineStr">
        <is>
          <t>18/12/2029</t>
        </is>
      </c>
      <c r="M596" s="45" t="inlineStr">
        <is>
          <t>32154 (Encadrement management) ; 21554 (Agroalimentaire)</t>
        </is>
      </c>
      <c r="N596" s="50" t="inlineStr">
        <is>
          <t>NON</t>
        </is>
      </c>
      <c r="O596" s="45" t="inlineStr"/>
    </row>
    <row r="597" customFormat="1" s="3">
      <c r="A597" s="45" t="n"/>
      <c r="B597" s="46" t="inlineStr">
        <is>
          <t>21538</t>
        </is>
      </c>
      <c r="C597" s="46">
        <f>LEFT(Tableau1[[#This Row],[Formacode]],3)</f>
        <v/>
      </c>
      <c r="D597" s="47" t="n">
        <v>40920</v>
      </c>
      <c r="E597" s="48">
        <f>"RNCP"&amp;D597</f>
        <v/>
      </c>
      <c r="F597" s="48" t="inlineStr">
        <is>
          <t>Boulanger (BM)</t>
        </is>
      </c>
      <c r="G597" s="49">
        <f>E597&amp;" - "&amp;F597</f>
        <v/>
      </c>
      <c r="H597" s="36" t="inlineStr">
        <is>
          <t>RAS</t>
        </is>
      </c>
      <c r="I597" s="45" t="inlineStr"/>
      <c r="J597" s="45" t="inlineStr">
        <is>
          <t>RNCP40920</t>
        </is>
      </c>
      <c r="K597" s="45" t="inlineStr">
        <is>
          <t>Boulanger (BM)</t>
        </is>
      </c>
      <c r="L597" s="45" t="inlineStr">
        <is>
          <t>25/06/2028</t>
        </is>
      </c>
      <c r="M597" s="45" t="inlineStr">
        <is>
          <t>21538 (Boulangerie)</t>
        </is>
      </c>
      <c r="N597" s="50" t="inlineStr">
        <is>
          <t>NON</t>
        </is>
      </c>
      <c r="O597" s="45" t="inlineStr"/>
    </row>
    <row r="598" customFormat="1" s="3">
      <c r="A598" s="45" t="n"/>
      <c r="B598" s="46" t="inlineStr">
        <is>
          <t>21538</t>
        </is>
      </c>
      <c r="C598" s="46">
        <f>LEFT(Tableau1[[#This Row],[Formacode]],3)</f>
        <v/>
      </c>
      <c r="D598" s="47" t="n">
        <v>41349</v>
      </c>
      <c r="E598" s="48">
        <f>"RNCP"&amp;D598</f>
        <v/>
      </c>
      <c r="F598" s="48" t="inlineStr">
        <is>
          <t>CQP Conducteur de process du secteur alimentaire</t>
        </is>
      </c>
      <c r="G598" s="49">
        <f>E598&amp;" - "&amp;F598</f>
        <v/>
      </c>
      <c r="H598" s="36" t="inlineStr">
        <is>
          <t>RAS</t>
        </is>
      </c>
      <c r="I598" s="45" t="inlineStr"/>
      <c r="J598" s="45" t="inlineStr">
        <is>
          <t>RNCP41349</t>
        </is>
      </c>
      <c r="K598" s="45" t="inlineStr">
        <is>
          <t>CQP Conducteur de process du secteur alimentaire</t>
        </is>
      </c>
      <c r="L598" s="45" t="inlineStr">
        <is>
          <t>24/09/2030</t>
        </is>
      </c>
      <c r="M598" s="45" t="inlineStr">
        <is>
          <t>32012 (Gestion processus) ; 21554 (Agroalimentaire)</t>
        </is>
      </c>
      <c r="N598" s="50" t="inlineStr">
        <is>
          <t>NON</t>
        </is>
      </c>
      <c r="O598" s="45" t="inlineStr"/>
    </row>
    <row r="599" customFormat="1" s="3">
      <c r="A599" s="45" t="n"/>
      <c r="B599" s="46" t="inlineStr">
        <is>
          <t>21538</t>
        </is>
      </c>
      <c r="C599" s="46">
        <f>LEFT(Tableau1[[#This Row],[Formacode]],3)</f>
        <v/>
      </c>
      <c r="D599" s="47" t="n">
        <v>41679</v>
      </c>
      <c r="E599" s="48">
        <f>"RNCP"&amp;D599</f>
        <v/>
      </c>
      <c r="F599" s="48" t="inlineStr">
        <is>
          <t>CQP Agent de maintenance du secteur alimentaire</t>
        </is>
      </c>
      <c r="G599" s="49">
        <f>E599&amp;" - "&amp;F599</f>
        <v/>
      </c>
      <c r="H599" s="36" t="inlineStr">
        <is>
          <t>RAS</t>
        </is>
      </c>
      <c r="I599" s="45" t="inlineStr"/>
      <c r="J599" s="45" t="inlineStr">
        <is>
          <t>RNCP41679</t>
        </is>
      </c>
      <c r="K599" s="45" t="inlineStr">
        <is>
          <t>CQP Agent de maintenance du secteur alimentaire</t>
        </is>
      </c>
      <c r="L599" s="45" t="inlineStr">
        <is>
          <t>27/11/2030</t>
        </is>
      </c>
      <c r="M599" s="45" t="inlineStr">
        <is>
          <t>31624 (Maintenance industrielle) ; 21554 (Agroalimentaire)</t>
        </is>
      </c>
      <c r="N599" s="50" t="inlineStr">
        <is>
          <t>NON</t>
        </is>
      </c>
      <c r="O599" s="45" t="inlineStr"/>
    </row>
    <row r="600" customFormat="1" s="3">
      <c r="A600" s="45" t="n"/>
      <c r="B600" s="46" t="inlineStr">
        <is>
          <t>21538</t>
        </is>
      </c>
      <c r="C600" s="46">
        <f>LEFT(Tableau1[[#This Row],[Formacode]],3)</f>
        <v/>
      </c>
      <c r="D600" s="47" t="n">
        <v>41743</v>
      </c>
      <c r="E600" s="48">
        <f>"RNCP"&amp;D600</f>
        <v/>
      </c>
      <c r="F600" s="48" t="inlineStr">
        <is>
          <t>Boulanger</t>
        </is>
      </c>
      <c r="G600" s="49">
        <f>E600&amp;" - "&amp;F600</f>
        <v/>
      </c>
      <c r="H600" s="36" t="inlineStr">
        <is>
          <t>RAS</t>
        </is>
      </c>
      <c r="I600" s="45" t="inlineStr"/>
      <c r="J600" s="45" t="inlineStr">
        <is>
          <t>RNCP41743</t>
        </is>
      </c>
      <c r="K600" s="45" t="inlineStr">
        <is>
          <t>Boulanger</t>
        </is>
      </c>
      <c r="L600" s="45" t="inlineStr">
        <is>
          <t>27/11/2030</t>
        </is>
      </c>
      <c r="M600" s="45" t="inlineStr">
        <is>
          <t>21538 (Boulangerie)</t>
        </is>
      </c>
      <c r="N600" s="50" t="inlineStr">
        <is>
          <t>NON</t>
        </is>
      </c>
      <c r="O600" s="45" t="inlineStr"/>
    </row>
    <row r="601" ht="28.8" customFormat="1" customHeight="1" s="3">
      <c r="A601" s="45" t="n"/>
      <c r="B601" s="46" t="inlineStr">
        <is>
          <t>21542</t>
        </is>
      </c>
      <c r="C601" s="46">
        <f>LEFT(Tableau1[[#This Row],[Formacode]],3)</f>
        <v/>
      </c>
      <c r="D601" s="47" t="n">
        <v>37699</v>
      </c>
      <c r="E601" s="48">
        <f>"RNCP"&amp;D601</f>
        <v/>
      </c>
      <c r="F601" s="48" t="inlineStr">
        <is>
          <t>BAC PRO - Production en industries pharmaceutiques, alimentaires et cosmétiques (PIPAC)</t>
        </is>
      </c>
      <c r="G601" s="49">
        <f>E601&amp;" - "&amp;F601</f>
        <v/>
      </c>
      <c r="H601" s="36" t="inlineStr">
        <is>
          <t>RAS</t>
        </is>
      </c>
      <c r="I601" s="45" t="inlineStr"/>
      <c r="J601" s="45" t="inlineStr">
        <is>
          <t>RNCP37699</t>
        </is>
      </c>
      <c r="K601" s="45" t="inlineStr">
        <is>
          <t>Production en industries pharmaceutiques, alimentaires et cosmétiques (PIPAC)</t>
        </is>
      </c>
      <c r="L601" s="45" t="inlineStr">
        <is>
          <t>31/08/2028</t>
        </is>
      </c>
      <c r="M601" s="45" t="inlineStr">
        <is>
          <t>21554 (Agroalimentaire) ; 12081 (Biotechnologie)</t>
        </is>
      </c>
      <c r="N601" s="50" t="inlineStr">
        <is>
          <t>NON</t>
        </is>
      </c>
      <c r="O601" s="45" t="inlineStr"/>
    </row>
    <row r="602" customFormat="1" s="3">
      <c r="A602" s="45" t="n"/>
      <c r="B602" s="46" t="inlineStr">
        <is>
          <t>21542</t>
        </is>
      </c>
      <c r="C602" s="46">
        <f>LEFT(Tableau1[[#This Row],[Formacode]],3)</f>
        <v/>
      </c>
      <c r="D602" s="47" t="n">
        <v>39156</v>
      </c>
      <c r="E602" s="48">
        <f>"RNCP"&amp;D602</f>
        <v/>
      </c>
      <c r="F602" s="48" t="inlineStr">
        <is>
          <t>BP - Conducteur de ligne de production alimentaire</t>
        </is>
      </c>
      <c r="G602" s="49">
        <f>E602&amp;" - "&amp;F602</f>
        <v/>
      </c>
      <c r="H602" s="36" t="inlineStr">
        <is>
          <t>RAS</t>
        </is>
      </c>
      <c r="I602" s="45" t="inlineStr"/>
      <c r="J602" s="45" t="inlineStr">
        <is>
          <t>RNCP39156</t>
        </is>
      </c>
      <c r="K602" s="45" t="inlineStr">
        <is>
          <t>Conducteur de ligne de production alimentaire</t>
        </is>
      </c>
      <c r="L602" s="45" t="inlineStr">
        <is>
          <t>01/09/2029</t>
        </is>
      </c>
      <c r="M602" s="45" t="inlineStr">
        <is>
          <t>21554 (Agroalimentaire)</t>
        </is>
      </c>
      <c r="N602" s="50" t="inlineStr">
        <is>
          <t>NON</t>
        </is>
      </c>
      <c r="O602" s="45" t="inlineStr"/>
    </row>
    <row r="603" customFormat="1" s="3">
      <c r="A603" s="45" t="n"/>
      <c r="B603" s="46" t="inlineStr">
        <is>
          <t>21542</t>
        </is>
      </c>
      <c r="C603" s="46">
        <f>LEFT(Tableau1[[#This Row],[Formacode]],3)</f>
        <v/>
      </c>
      <c r="D603" s="47" t="n">
        <v>39966</v>
      </c>
      <c r="E603" s="48">
        <f>"RNCP"&amp;D603</f>
        <v/>
      </c>
      <c r="F603" s="48" t="inlineStr">
        <is>
          <t>CQP Conducteur de machines du secteur alimentaire</t>
        </is>
      </c>
      <c r="G603" s="49">
        <f>E603&amp;" - "&amp;F603</f>
        <v/>
      </c>
      <c r="H603" s="36" t="inlineStr">
        <is>
          <t>RAS</t>
        </is>
      </c>
      <c r="I603" s="45" t="inlineStr"/>
      <c r="J603" s="45" t="inlineStr">
        <is>
          <t>RNCP39966</t>
        </is>
      </c>
      <c r="K603" s="45" t="inlineStr">
        <is>
          <t>CQP Conducteur de machines du secteur alimentaire</t>
        </is>
      </c>
      <c r="L603" s="45" t="inlineStr">
        <is>
          <t>18/12/2029</t>
        </is>
      </c>
      <c r="M603" s="45" t="inlineStr">
        <is>
          <t>31620 (Conduite installation industrielle) ; 21554 (Agroalimentaire)</t>
        </is>
      </c>
      <c r="N603" s="50" t="inlineStr">
        <is>
          <t>NON</t>
        </is>
      </c>
      <c r="O603" s="45" t="inlineStr"/>
    </row>
    <row r="604" customFormat="1" s="3">
      <c r="A604" s="45" t="n"/>
      <c r="B604" s="46" t="inlineStr">
        <is>
          <t>21542</t>
        </is>
      </c>
      <c r="C604" s="46">
        <f>LEFT(Tableau1[[#This Row],[Formacode]],3)</f>
        <v/>
      </c>
      <c r="D604" s="47" t="n">
        <v>39967</v>
      </c>
      <c r="E604" s="48">
        <f>"RNCP"&amp;D604</f>
        <v/>
      </c>
      <c r="F604" s="48" t="inlineStr">
        <is>
          <t>CQP Conducteur de ligne du secteur alimentaire</t>
        </is>
      </c>
      <c r="G604" s="49">
        <f>E604&amp;" - "&amp;F604</f>
        <v/>
      </c>
      <c r="H604" s="36" t="inlineStr">
        <is>
          <t>RAS</t>
        </is>
      </c>
      <c r="I604" s="45" t="inlineStr"/>
      <c r="J604" s="45" t="inlineStr">
        <is>
          <t>RNCP39967</t>
        </is>
      </c>
      <c r="K604" s="45" t="inlineStr">
        <is>
          <t>CQP Conducteur de ligne du secteur alimentaire</t>
        </is>
      </c>
      <c r="L604" s="45" t="inlineStr">
        <is>
          <t>18/12/2029</t>
        </is>
      </c>
      <c r="M604" s="45" t="inlineStr">
        <is>
          <t>31620 (Conduite installation industrielle) ; 21554 (Agroalimentaire)</t>
        </is>
      </c>
      <c r="N604" s="50" t="inlineStr">
        <is>
          <t>NON</t>
        </is>
      </c>
      <c r="O604" s="45" t="inlineStr"/>
    </row>
    <row r="605" customFormat="1" s="3">
      <c r="A605" s="45" t="n"/>
      <c r="B605" s="46" t="inlineStr">
        <is>
          <t>21542</t>
        </is>
      </c>
      <c r="C605" s="46">
        <f>LEFT(Tableau1[[#This Row],[Formacode]],3)</f>
        <v/>
      </c>
      <c r="D605" s="47" t="n">
        <v>39968</v>
      </c>
      <c r="E605" s="48">
        <f>"RNCP"&amp;D605</f>
        <v/>
      </c>
      <c r="F605" s="48" t="inlineStr">
        <is>
          <t>CQP Opérateur de production du secteur alimentaire</t>
        </is>
      </c>
      <c r="G605" s="49">
        <f>E605&amp;" - "&amp;F605</f>
        <v/>
      </c>
      <c r="H605" s="36" t="inlineStr">
        <is>
          <t>RAS</t>
        </is>
      </c>
      <c r="I605" s="45" t="inlineStr"/>
      <c r="J605" s="45" t="inlineStr">
        <is>
          <t>RNCP39968</t>
        </is>
      </c>
      <c r="K605" s="45" t="inlineStr">
        <is>
          <t>CQP Opérateur de production du secteur alimentaire</t>
        </is>
      </c>
      <c r="L605" s="45" t="inlineStr">
        <is>
          <t>18/12/2029</t>
        </is>
      </c>
      <c r="M605" s="45" t="inlineStr">
        <is>
          <t>21554 (Agroalimentaire)</t>
        </is>
      </c>
      <c r="N605" s="50" t="inlineStr">
        <is>
          <t>NON</t>
        </is>
      </c>
      <c r="O605" s="45" t="inlineStr"/>
    </row>
    <row r="606" customFormat="1" s="3">
      <c r="A606" s="45" t="n"/>
      <c r="B606" s="46" t="inlineStr">
        <is>
          <t>21542</t>
        </is>
      </c>
      <c r="C606" s="46">
        <f>LEFT(Tableau1[[#This Row],[Formacode]],3)</f>
        <v/>
      </c>
      <c r="D606" s="47" t="n">
        <v>39971</v>
      </c>
      <c r="E606" s="48">
        <f>"RNCP"&amp;D606</f>
        <v/>
      </c>
      <c r="F606" s="48" t="inlineStr">
        <is>
          <t>CQP Technicien de maintenance du secteur alimentaire</t>
        </is>
      </c>
      <c r="G606" s="49">
        <f>E606&amp;" - "&amp;F606</f>
        <v/>
      </c>
      <c r="H606" s="36" t="inlineStr">
        <is>
          <t>RAS</t>
        </is>
      </c>
      <c r="I606" s="45" t="inlineStr"/>
      <c r="J606" s="45" t="inlineStr">
        <is>
          <t>RNCP39971</t>
        </is>
      </c>
      <c r="K606" s="45" t="inlineStr">
        <is>
          <t>CQP Technicien de maintenance du secteur alimentaire</t>
        </is>
      </c>
      <c r="L606" s="45" t="inlineStr">
        <is>
          <t>18/12/2029</t>
        </is>
      </c>
      <c r="M606" s="45" t="inlineStr">
        <is>
          <t>21554 (Agroalimentaire) ; 31624 (Maintenance industrielle)</t>
        </is>
      </c>
      <c r="N606" s="50" t="inlineStr">
        <is>
          <t>NON</t>
        </is>
      </c>
      <c r="O606" s="45" t="inlineStr"/>
    </row>
    <row r="607" customFormat="1" s="3">
      <c r="A607" s="45" t="n"/>
      <c r="B607" s="46" t="inlineStr">
        <is>
          <t>21542</t>
        </is>
      </c>
      <c r="C607" s="46">
        <f>LEFT(Tableau1[[#This Row],[Formacode]],3)</f>
        <v/>
      </c>
      <c r="D607" s="47" t="n">
        <v>39972</v>
      </c>
      <c r="E607" s="48">
        <f>"RNCP"&amp;D607</f>
        <v/>
      </c>
      <c r="F607" s="48" t="inlineStr">
        <is>
          <t>CQP Responsable d'équipe du secteur alimentaire</t>
        </is>
      </c>
      <c r="G607" s="49">
        <f>E607&amp;" - "&amp;F607</f>
        <v/>
      </c>
      <c r="H607" s="36" t="inlineStr">
        <is>
          <t>RAS</t>
        </is>
      </c>
      <c r="I607" s="45" t="inlineStr"/>
      <c r="J607" s="45" t="inlineStr">
        <is>
          <t>RNCP39972</t>
        </is>
      </c>
      <c r="K607" s="45" t="inlineStr">
        <is>
          <t>CQP Responsable d'équipe du secteur alimentaire</t>
        </is>
      </c>
      <c r="L607" s="45" t="inlineStr">
        <is>
          <t>18/12/2029</t>
        </is>
      </c>
      <c r="M607" s="45" t="inlineStr">
        <is>
          <t>32154 (Encadrement management) ; 21554 (Agroalimentaire)</t>
        </is>
      </c>
      <c r="N607" s="50" t="inlineStr">
        <is>
          <t>NON</t>
        </is>
      </c>
      <c r="O607" s="45" t="inlineStr"/>
    </row>
    <row r="608" customFormat="1" s="3">
      <c r="A608" s="45" t="n"/>
      <c r="B608" s="46" t="inlineStr">
        <is>
          <t>21542</t>
        </is>
      </c>
      <c r="C608" s="46">
        <f>LEFT(Tableau1[[#This Row],[Formacode]],3)</f>
        <v/>
      </c>
      <c r="D608" s="47" t="n">
        <v>41349</v>
      </c>
      <c r="E608" s="48">
        <f>"RNCP"&amp;D608</f>
        <v/>
      </c>
      <c r="F608" s="48" t="inlineStr">
        <is>
          <t>CQP Conducteur de process du secteur alimentaire</t>
        </is>
      </c>
      <c r="G608" s="49">
        <f>E608&amp;" - "&amp;F608</f>
        <v/>
      </c>
      <c r="H608" s="36" t="inlineStr">
        <is>
          <t>RAS</t>
        </is>
      </c>
      <c r="I608" s="45" t="inlineStr"/>
      <c r="J608" s="45" t="inlineStr">
        <is>
          <t>RNCP41349</t>
        </is>
      </c>
      <c r="K608" s="45" t="inlineStr">
        <is>
          <t>CQP Conducteur de process du secteur alimentaire</t>
        </is>
      </c>
      <c r="L608" s="45" t="inlineStr">
        <is>
          <t>24/09/2030</t>
        </is>
      </c>
      <c r="M608" s="45" t="inlineStr">
        <is>
          <t>32012 (Gestion processus) ; 21554 (Agroalimentaire)</t>
        </is>
      </c>
      <c r="N608" s="50" t="inlineStr">
        <is>
          <t>NON</t>
        </is>
      </c>
      <c r="O608" s="45" t="inlineStr"/>
    </row>
    <row r="609" customFormat="1" s="3">
      <c r="A609" s="45" t="n"/>
      <c r="B609" s="46" t="inlineStr">
        <is>
          <t>21542</t>
        </is>
      </c>
      <c r="C609" s="46">
        <f>LEFT(Tableau1[[#This Row],[Formacode]],3)</f>
        <v/>
      </c>
      <c r="D609" s="47" t="n">
        <v>41679</v>
      </c>
      <c r="E609" s="48">
        <f>"RNCP"&amp;D609</f>
        <v/>
      </c>
      <c r="F609" s="48" t="inlineStr">
        <is>
          <t>CQP Agent de maintenance du secteur alimentaire</t>
        </is>
      </c>
      <c r="G609" s="49">
        <f>E609&amp;" - "&amp;F609</f>
        <v/>
      </c>
      <c r="H609" s="36" t="inlineStr">
        <is>
          <t>RAS</t>
        </is>
      </c>
      <c r="I609" s="45" t="inlineStr"/>
      <c r="J609" s="45" t="inlineStr">
        <is>
          <t>RNCP41679</t>
        </is>
      </c>
      <c r="K609" s="45" t="inlineStr">
        <is>
          <t>CQP Agent de maintenance du secteur alimentaire</t>
        </is>
      </c>
      <c r="L609" s="45" t="inlineStr">
        <is>
          <t>27/11/2030</t>
        </is>
      </c>
      <c r="M609" s="45" t="inlineStr">
        <is>
          <t>31624 (Maintenance industrielle) ; 21554 (Agroalimentaire)</t>
        </is>
      </c>
      <c r="N609" s="50" t="inlineStr">
        <is>
          <t>NON</t>
        </is>
      </c>
      <c r="O609" s="45" t="inlineStr"/>
    </row>
    <row r="610" ht="28.8" customFormat="1" customHeight="1" s="3">
      <c r="A610" s="45" t="n"/>
      <c r="B610" s="46" t="inlineStr">
        <is>
          <t>21543</t>
        </is>
      </c>
      <c r="C610" s="46">
        <f>LEFT(Tableau1[[#This Row],[Formacode]],3)</f>
        <v/>
      </c>
      <c r="D610" s="47" t="n">
        <v>37699</v>
      </c>
      <c r="E610" s="48">
        <f>"RNCP"&amp;D610</f>
        <v/>
      </c>
      <c r="F610" s="48" t="inlineStr">
        <is>
          <t>BAC PRO - Production en industries pharmaceutiques, alimentaires et cosmétiques (PIPAC)</t>
        </is>
      </c>
      <c r="G610" s="49">
        <f>E610&amp;" - "&amp;F610</f>
        <v/>
      </c>
      <c r="H610" s="36" t="inlineStr">
        <is>
          <t>RAS</t>
        </is>
      </c>
      <c r="I610" s="45" t="inlineStr"/>
      <c r="J610" s="45" t="inlineStr">
        <is>
          <t>RNCP37699</t>
        </is>
      </c>
      <c r="K610" s="45" t="inlineStr">
        <is>
          <t>Production en industries pharmaceutiques, alimentaires et cosmétiques (PIPAC)</t>
        </is>
      </c>
      <c r="L610" s="45" t="inlineStr">
        <is>
          <t>31/08/2028</t>
        </is>
      </c>
      <c r="M610" s="45" t="inlineStr">
        <is>
          <t>21554 (Agroalimentaire) ; 12081 (Biotechnologie)</t>
        </is>
      </c>
      <c r="N610" s="50" t="inlineStr">
        <is>
          <t>NON</t>
        </is>
      </c>
      <c r="O610" s="45" t="inlineStr"/>
    </row>
    <row r="611" customFormat="1" s="3">
      <c r="A611" s="45" t="n"/>
      <c r="B611" s="46" t="inlineStr">
        <is>
          <t>21543</t>
        </is>
      </c>
      <c r="C611" s="46">
        <f>LEFT(Tableau1[[#This Row],[Formacode]],3)</f>
        <v/>
      </c>
      <c r="D611" s="47" t="n">
        <v>39156</v>
      </c>
      <c r="E611" s="48">
        <f>"RNCP"&amp;D611</f>
        <v/>
      </c>
      <c r="F611" s="48" t="inlineStr">
        <is>
          <t>BP - Conducteur de ligne de production alimentaire</t>
        </is>
      </c>
      <c r="G611" s="49">
        <f>E611&amp;" - "&amp;F611</f>
        <v/>
      </c>
      <c r="H611" s="36" t="inlineStr">
        <is>
          <t>RAS</t>
        </is>
      </c>
      <c r="I611" s="45" t="inlineStr"/>
      <c r="J611" s="45" t="inlineStr">
        <is>
          <t>RNCP39156</t>
        </is>
      </c>
      <c r="K611" s="45" t="inlineStr">
        <is>
          <t>Conducteur de ligne de production alimentaire</t>
        </is>
      </c>
      <c r="L611" s="45" t="inlineStr">
        <is>
          <t>01/09/2029</t>
        </is>
      </c>
      <c r="M611" s="45" t="inlineStr">
        <is>
          <t>21554 (Agroalimentaire)</t>
        </is>
      </c>
      <c r="N611" s="50" t="inlineStr">
        <is>
          <t>NON</t>
        </is>
      </c>
      <c r="O611" s="45" t="inlineStr"/>
    </row>
    <row r="612" customFormat="1" s="3">
      <c r="A612" s="45" t="n"/>
      <c r="B612" s="46" t="inlineStr">
        <is>
          <t>21543</t>
        </is>
      </c>
      <c r="C612" s="46">
        <f>LEFT(Tableau1[[#This Row],[Formacode]],3)</f>
        <v/>
      </c>
      <c r="D612" s="47" t="n">
        <v>39966</v>
      </c>
      <c r="E612" s="48">
        <f>"RNCP"&amp;D612</f>
        <v/>
      </c>
      <c r="F612" s="48" t="inlineStr">
        <is>
          <t>CQP Conducteur de machines du secteur alimentaire</t>
        </is>
      </c>
      <c r="G612" s="49">
        <f>E612&amp;" - "&amp;F612</f>
        <v/>
      </c>
      <c r="H612" s="36" t="inlineStr">
        <is>
          <t>RAS</t>
        </is>
      </c>
      <c r="I612" s="45" t="inlineStr"/>
      <c r="J612" s="45" t="inlineStr">
        <is>
          <t>RNCP39966</t>
        </is>
      </c>
      <c r="K612" s="45" t="inlineStr">
        <is>
          <t>CQP Conducteur de machines du secteur alimentaire</t>
        </is>
      </c>
      <c r="L612" s="45" t="inlineStr">
        <is>
          <t>18/12/2029</t>
        </is>
      </c>
      <c r="M612" s="45" t="inlineStr">
        <is>
          <t>31620 (Conduite installation industrielle) ; 21554 (Agroalimentaire)</t>
        </is>
      </c>
      <c r="N612" s="50" t="inlineStr">
        <is>
          <t>NON</t>
        </is>
      </c>
      <c r="O612" s="45" t="inlineStr"/>
    </row>
    <row r="613" customFormat="1" s="3">
      <c r="A613" s="45" t="n"/>
      <c r="B613" s="46" t="inlineStr">
        <is>
          <t>21543</t>
        </is>
      </c>
      <c r="C613" s="46">
        <f>LEFT(Tableau1[[#This Row],[Formacode]],3)</f>
        <v/>
      </c>
      <c r="D613" s="47" t="n">
        <v>39967</v>
      </c>
      <c r="E613" s="48">
        <f>"RNCP"&amp;D613</f>
        <v/>
      </c>
      <c r="F613" s="48" t="inlineStr">
        <is>
          <t>CQP Conducteur de ligne du secteur alimentaire</t>
        </is>
      </c>
      <c r="G613" s="49">
        <f>E613&amp;" - "&amp;F613</f>
        <v/>
      </c>
      <c r="H613" s="36" t="inlineStr">
        <is>
          <t>RAS</t>
        </is>
      </c>
      <c r="I613" s="45" t="inlineStr"/>
      <c r="J613" s="45" t="inlineStr">
        <is>
          <t>RNCP39967</t>
        </is>
      </c>
      <c r="K613" s="45" t="inlineStr">
        <is>
          <t>CQP Conducteur de ligne du secteur alimentaire</t>
        </is>
      </c>
      <c r="L613" s="45" t="inlineStr">
        <is>
          <t>18/12/2029</t>
        </is>
      </c>
      <c r="M613" s="45" t="inlineStr">
        <is>
          <t>31620 (Conduite installation industrielle) ; 21554 (Agroalimentaire)</t>
        </is>
      </c>
      <c r="N613" s="50" t="inlineStr">
        <is>
          <t>NON</t>
        </is>
      </c>
      <c r="O613" s="45" t="inlineStr"/>
    </row>
    <row r="614" customFormat="1" s="3">
      <c r="A614" s="45" t="n"/>
      <c r="B614" s="46" t="inlineStr">
        <is>
          <t>21543</t>
        </is>
      </c>
      <c r="C614" s="46">
        <f>LEFT(Tableau1[[#This Row],[Formacode]],3)</f>
        <v/>
      </c>
      <c r="D614" s="47" t="n">
        <v>39968</v>
      </c>
      <c r="E614" s="48">
        <f>"RNCP"&amp;D614</f>
        <v/>
      </c>
      <c r="F614" s="48" t="inlineStr">
        <is>
          <t>CQP Opérateur de production du secteur alimentaire</t>
        </is>
      </c>
      <c r="G614" s="49">
        <f>E614&amp;" - "&amp;F614</f>
        <v/>
      </c>
      <c r="H614" s="36" t="inlineStr">
        <is>
          <t>RAS</t>
        </is>
      </c>
      <c r="I614" s="45" t="inlineStr"/>
      <c r="J614" s="45" t="inlineStr">
        <is>
          <t>RNCP39968</t>
        </is>
      </c>
      <c r="K614" s="45" t="inlineStr">
        <is>
          <t>CQP Opérateur de production du secteur alimentaire</t>
        </is>
      </c>
      <c r="L614" s="45" t="inlineStr">
        <is>
          <t>18/12/2029</t>
        </is>
      </c>
      <c r="M614" s="45" t="inlineStr">
        <is>
          <t>21554 (Agroalimentaire)</t>
        </is>
      </c>
      <c r="N614" s="50" t="inlineStr">
        <is>
          <t>NON</t>
        </is>
      </c>
      <c r="O614" s="45" t="inlineStr"/>
    </row>
    <row r="615" customFormat="1" s="3">
      <c r="A615" s="45" t="n"/>
      <c r="B615" s="46" t="inlineStr">
        <is>
          <t>21543</t>
        </is>
      </c>
      <c r="C615" s="46">
        <f>LEFT(Tableau1[[#This Row],[Formacode]],3)</f>
        <v/>
      </c>
      <c r="D615" s="47" t="n">
        <v>39971</v>
      </c>
      <c r="E615" s="48">
        <f>"RNCP"&amp;D615</f>
        <v/>
      </c>
      <c r="F615" s="48" t="inlineStr">
        <is>
          <t>CQP Technicien de maintenance du secteur alimentaire</t>
        </is>
      </c>
      <c r="G615" s="49">
        <f>E615&amp;" - "&amp;F615</f>
        <v/>
      </c>
      <c r="H615" s="36" t="inlineStr">
        <is>
          <t>RAS</t>
        </is>
      </c>
      <c r="I615" s="45" t="inlineStr"/>
      <c r="J615" s="45" t="inlineStr">
        <is>
          <t>RNCP39971</t>
        </is>
      </c>
      <c r="K615" s="45" t="inlineStr">
        <is>
          <t>CQP Technicien de maintenance du secteur alimentaire</t>
        </is>
      </c>
      <c r="L615" s="45" t="inlineStr">
        <is>
          <t>18/12/2029</t>
        </is>
      </c>
      <c r="M615" s="45" t="inlineStr">
        <is>
          <t>21554 (Agroalimentaire) ; 31624 (Maintenance industrielle)</t>
        </is>
      </c>
      <c r="N615" s="50" t="inlineStr">
        <is>
          <t>NON</t>
        </is>
      </c>
      <c r="O615" s="45" t="inlineStr"/>
    </row>
    <row r="616" customFormat="1" s="3">
      <c r="A616" s="45" t="n"/>
      <c r="B616" s="46" t="inlineStr">
        <is>
          <t>21543</t>
        </is>
      </c>
      <c r="C616" s="46">
        <f>LEFT(Tableau1[[#This Row],[Formacode]],3)</f>
        <v/>
      </c>
      <c r="D616" s="47" t="n">
        <v>39972</v>
      </c>
      <c r="E616" s="48">
        <f>"RNCP"&amp;D616</f>
        <v/>
      </c>
      <c r="F616" s="48" t="inlineStr">
        <is>
          <t>CQP Responsable d'équipe du secteur alimentaire</t>
        </is>
      </c>
      <c r="G616" s="49">
        <f>E616&amp;" - "&amp;F616</f>
        <v/>
      </c>
      <c r="H616" s="36" t="inlineStr">
        <is>
          <t>RAS</t>
        </is>
      </c>
      <c r="I616" s="45" t="inlineStr"/>
      <c r="J616" s="45" t="inlineStr">
        <is>
          <t>RNCP39972</t>
        </is>
      </c>
      <c r="K616" s="45" t="inlineStr">
        <is>
          <t>CQP Responsable d'équipe du secteur alimentaire</t>
        </is>
      </c>
      <c r="L616" s="45" t="inlineStr">
        <is>
          <t>18/12/2029</t>
        </is>
      </c>
      <c r="M616" s="45" t="inlineStr">
        <is>
          <t>32154 (Encadrement management) ; 21554 (Agroalimentaire)</t>
        </is>
      </c>
      <c r="N616" s="50" t="inlineStr">
        <is>
          <t>NON</t>
        </is>
      </c>
      <c r="O616" s="45" t="inlineStr"/>
    </row>
    <row r="617" customFormat="1" s="3">
      <c r="A617" s="45" t="n"/>
      <c r="B617" s="46" t="inlineStr">
        <is>
          <t>21543</t>
        </is>
      </c>
      <c r="C617" s="46">
        <f>LEFT(Tableau1[[#This Row],[Formacode]],3)</f>
        <v/>
      </c>
      <c r="D617" s="47" t="n">
        <v>41043</v>
      </c>
      <c r="E617" s="48">
        <f>"RNCP"&amp;D617</f>
        <v/>
      </c>
      <c r="F617" s="48" t="inlineStr">
        <is>
          <t>BTS - Bioqualité</t>
        </is>
      </c>
      <c r="G617" s="49">
        <f>E617&amp;" - "&amp;F617</f>
        <v/>
      </c>
      <c r="H617" s="36" t="inlineStr">
        <is>
          <t>RAS</t>
        </is>
      </c>
      <c r="I617" s="45" t="inlineStr"/>
      <c r="J617" s="45" t="inlineStr">
        <is>
          <t>RNCP41043</t>
        </is>
      </c>
      <c r="K617" s="45" t="inlineStr">
        <is>
          <t>Bioqualité</t>
        </is>
      </c>
      <c r="L617" s="45" t="inlineStr">
        <is>
          <t>31/08/2030</t>
        </is>
      </c>
      <c r="M617" s="45" t="inlineStr">
        <is>
          <t>12065 (Qualité laboratoire) ; 12081 (Biotechnologie) ; 21543 (Laboratoire analyse agroalimentaire) ; 21570 (Qualité sécurité agroalimentaire)</t>
        </is>
      </c>
      <c r="N617" s="50" t="inlineStr">
        <is>
          <t>NON</t>
        </is>
      </c>
      <c r="O617" s="45" t="inlineStr"/>
    </row>
    <row r="618" customFormat="1" s="3">
      <c r="A618" s="45" t="n"/>
      <c r="B618" s="46" t="inlineStr">
        <is>
          <t>21543</t>
        </is>
      </c>
      <c r="C618" s="46">
        <f>LEFT(Tableau1[[#This Row],[Formacode]],3)</f>
        <v/>
      </c>
      <c r="D618" s="47" t="n">
        <v>41349</v>
      </c>
      <c r="E618" s="48">
        <f>"RNCP"&amp;D618</f>
        <v/>
      </c>
      <c r="F618" s="48" t="inlineStr">
        <is>
          <t>CQP Conducteur de process du secteur alimentaire</t>
        </is>
      </c>
      <c r="G618" s="49">
        <f>E618&amp;" - "&amp;F618</f>
        <v/>
      </c>
      <c r="H618" s="36" t="inlineStr">
        <is>
          <t>RAS</t>
        </is>
      </c>
      <c r="I618" s="45" t="inlineStr"/>
      <c r="J618" s="45" t="inlineStr">
        <is>
          <t>RNCP41349</t>
        </is>
      </c>
      <c r="K618" s="45" t="inlineStr">
        <is>
          <t>CQP Conducteur de process du secteur alimentaire</t>
        </is>
      </c>
      <c r="L618" s="45" t="inlineStr">
        <is>
          <t>24/09/2030</t>
        </is>
      </c>
      <c r="M618" s="45" t="inlineStr">
        <is>
          <t>32012 (Gestion processus) ; 21554 (Agroalimentaire)</t>
        </is>
      </c>
      <c r="N618" s="50" t="inlineStr">
        <is>
          <t>NON</t>
        </is>
      </c>
      <c r="O618" s="45" t="inlineStr"/>
    </row>
    <row r="619" customFormat="1" s="3">
      <c r="A619" s="45" t="n"/>
      <c r="B619" s="46" t="inlineStr">
        <is>
          <t>21543</t>
        </is>
      </c>
      <c r="C619" s="46">
        <f>LEFT(Tableau1[[#This Row],[Formacode]],3)</f>
        <v/>
      </c>
      <c r="D619" s="47" t="n">
        <v>41679</v>
      </c>
      <c r="E619" s="48">
        <f>"RNCP"&amp;D619</f>
        <v/>
      </c>
      <c r="F619" s="48" t="inlineStr">
        <is>
          <t>CQP Agent de maintenance du secteur alimentaire</t>
        </is>
      </c>
      <c r="G619" s="49">
        <f>E619&amp;" - "&amp;F619</f>
        <v/>
      </c>
      <c r="H619" s="36" t="inlineStr">
        <is>
          <t>RAS</t>
        </is>
      </c>
      <c r="I619" s="45" t="inlineStr"/>
      <c r="J619" s="45" t="inlineStr">
        <is>
          <t>RNCP41679</t>
        </is>
      </c>
      <c r="K619" s="45" t="inlineStr">
        <is>
          <t>CQP Agent de maintenance du secteur alimentaire</t>
        </is>
      </c>
      <c r="L619" s="45" t="inlineStr">
        <is>
          <t>27/11/2030</t>
        </is>
      </c>
      <c r="M619" s="45" t="inlineStr">
        <is>
          <t>31624 (Maintenance industrielle) ; 21554 (Agroalimentaire)</t>
        </is>
      </c>
      <c r="N619" s="50" t="inlineStr">
        <is>
          <t>NON</t>
        </is>
      </c>
      <c r="O619" s="45" t="inlineStr"/>
    </row>
    <row r="620" ht="28.8" customFormat="1" customHeight="1" s="3">
      <c r="A620" s="45" t="n"/>
      <c r="B620" s="46" t="inlineStr">
        <is>
          <t>21549</t>
        </is>
      </c>
      <c r="C620" s="46">
        <f>LEFT(Tableau1[[#This Row],[Formacode]],3)</f>
        <v/>
      </c>
      <c r="D620" s="47" t="n">
        <v>37699</v>
      </c>
      <c r="E620" s="48">
        <f>"RNCP"&amp;D620</f>
        <v/>
      </c>
      <c r="F620" s="48" t="inlineStr">
        <is>
          <t>BAC PRO - Production en industries pharmaceutiques, alimentaires et cosmétiques (PIPAC)</t>
        </is>
      </c>
      <c r="G620" s="49">
        <f>E620&amp;" - "&amp;F620</f>
        <v/>
      </c>
      <c r="H620" s="36" t="inlineStr">
        <is>
          <t>RAS</t>
        </is>
      </c>
      <c r="I620" s="45" t="inlineStr"/>
      <c r="J620" s="45" t="inlineStr">
        <is>
          <t>RNCP37699</t>
        </is>
      </c>
      <c r="K620" s="45" t="inlineStr">
        <is>
          <t>Production en industries pharmaceutiques, alimentaires et cosmétiques (PIPAC)</t>
        </is>
      </c>
      <c r="L620" s="45" t="inlineStr">
        <is>
          <t>31/08/2028</t>
        </is>
      </c>
      <c r="M620" s="45" t="inlineStr">
        <is>
          <t>21554 (Agroalimentaire) ; 12081 (Biotechnologie)</t>
        </is>
      </c>
      <c r="N620" s="50" t="inlineStr">
        <is>
          <t>NON</t>
        </is>
      </c>
      <c r="O620" s="45" t="inlineStr"/>
    </row>
    <row r="621" customFormat="1" s="3">
      <c r="A621" s="45" t="n"/>
      <c r="B621" s="46" t="inlineStr">
        <is>
          <t>21549</t>
        </is>
      </c>
      <c r="C621" s="46">
        <f>LEFT(Tableau1[[#This Row],[Formacode]],3)</f>
        <v/>
      </c>
      <c r="D621" s="47" t="n">
        <v>39156</v>
      </c>
      <c r="E621" s="48">
        <f>"RNCP"&amp;D621</f>
        <v/>
      </c>
      <c r="F621" s="48" t="inlineStr">
        <is>
          <t>BP - Conducteur de ligne de production alimentaire</t>
        </is>
      </c>
      <c r="G621" s="49">
        <f>E621&amp;" - "&amp;F621</f>
        <v/>
      </c>
      <c r="H621" s="36" t="inlineStr">
        <is>
          <t>RAS</t>
        </is>
      </c>
      <c r="I621" s="45" t="inlineStr"/>
      <c r="J621" s="45" t="inlineStr">
        <is>
          <t>RNCP39156</t>
        </is>
      </c>
      <c r="K621" s="45" t="inlineStr">
        <is>
          <t>Conducteur de ligne de production alimentaire</t>
        </is>
      </c>
      <c r="L621" s="45" t="inlineStr">
        <is>
          <t>01/09/2029</t>
        </is>
      </c>
      <c r="M621" s="45" t="inlineStr">
        <is>
          <t>21554 (Agroalimentaire)</t>
        </is>
      </c>
      <c r="N621" s="50" t="inlineStr">
        <is>
          <t>NON</t>
        </is>
      </c>
      <c r="O621" s="45" t="inlineStr"/>
    </row>
    <row r="622" customFormat="1" s="3">
      <c r="A622" s="45" t="n"/>
      <c r="B622" s="46" t="inlineStr">
        <is>
          <t>21549</t>
        </is>
      </c>
      <c r="C622" s="46">
        <f>LEFT(Tableau1[[#This Row],[Formacode]],3)</f>
        <v/>
      </c>
      <c r="D622" s="47" t="n">
        <v>39966</v>
      </c>
      <c r="E622" s="48">
        <f>"RNCP"&amp;D622</f>
        <v/>
      </c>
      <c r="F622" s="48" t="inlineStr">
        <is>
          <t>CQP Conducteur de machines du secteur alimentaire</t>
        </is>
      </c>
      <c r="G622" s="49">
        <f>E622&amp;" - "&amp;F622</f>
        <v/>
      </c>
      <c r="H622" s="36" t="inlineStr">
        <is>
          <t>RAS</t>
        </is>
      </c>
      <c r="I622" s="45" t="inlineStr"/>
      <c r="J622" s="45" t="inlineStr">
        <is>
          <t>RNCP39966</t>
        </is>
      </c>
      <c r="K622" s="45" t="inlineStr">
        <is>
          <t>CQP Conducteur de machines du secteur alimentaire</t>
        </is>
      </c>
      <c r="L622" s="45" t="inlineStr">
        <is>
          <t>18/12/2029</t>
        </is>
      </c>
      <c r="M622" s="45" t="inlineStr">
        <is>
          <t>31620 (Conduite installation industrielle) ; 21554 (Agroalimentaire)</t>
        </is>
      </c>
      <c r="N622" s="50" t="inlineStr">
        <is>
          <t>NON</t>
        </is>
      </c>
      <c r="O622" s="45" t="inlineStr"/>
    </row>
    <row r="623" customFormat="1" s="3">
      <c r="A623" s="45" t="n"/>
      <c r="B623" s="46" t="inlineStr">
        <is>
          <t>21549</t>
        </is>
      </c>
      <c r="C623" s="46">
        <f>LEFT(Tableau1[[#This Row],[Formacode]],3)</f>
        <v/>
      </c>
      <c r="D623" s="47" t="n">
        <v>39967</v>
      </c>
      <c r="E623" s="48">
        <f>"RNCP"&amp;D623</f>
        <v/>
      </c>
      <c r="F623" s="48" t="inlineStr">
        <is>
          <t>CQP Conducteur de ligne du secteur alimentaire</t>
        </is>
      </c>
      <c r="G623" s="49">
        <f>E623&amp;" - "&amp;F623</f>
        <v/>
      </c>
      <c r="H623" s="36" t="inlineStr">
        <is>
          <t>RAS</t>
        </is>
      </c>
      <c r="I623" s="45" t="inlineStr"/>
      <c r="J623" s="45" t="inlineStr">
        <is>
          <t>RNCP39967</t>
        </is>
      </c>
      <c r="K623" s="45" t="inlineStr">
        <is>
          <t>CQP Conducteur de ligne du secteur alimentaire</t>
        </is>
      </c>
      <c r="L623" s="45" t="inlineStr">
        <is>
          <t>18/12/2029</t>
        </is>
      </c>
      <c r="M623" s="45" t="inlineStr">
        <is>
          <t>31620 (Conduite installation industrielle) ; 21554 (Agroalimentaire)</t>
        </is>
      </c>
      <c r="N623" s="50" t="inlineStr">
        <is>
          <t>NON</t>
        </is>
      </c>
      <c r="O623" s="45" t="inlineStr"/>
    </row>
    <row r="624" customFormat="1" s="3">
      <c r="A624" s="45" t="n"/>
      <c r="B624" s="46" t="inlineStr">
        <is>
          <t>21549</t>
        </is>
      </c>
      <c r="C624" s="46">
        <f>LEFT(Tableau1[[#This Row],[Formacode]],3)</f>
        <v/>
      </c>
      <c r="D624" s="47" t="n">
        <v>39968</v>
      </c>
      <c r="E624" s="48">
        <f>"RNCP"&amp;D624</f>
        <v/>
      </c>
      <c r="F624" s="48" t="inlineStr">
        <is>
          <t>CQP Opérateur de production du secteur alimentaire</t>
        </is>
      </c>
      <c r="G624" s="49">
        <f>E624&amp;" - "&amp;F624</f>
        <v/>
      </c>
      <c r="H624" s="36" t="inlineStr">
        <is>
          <t>RAS</t>
        </is>
      </c>
      <c r="I624" s="45" t="inlineStr"/>
      <c r="J624" s="45" t="inlineStr">
        <is>
          <t>RNCP39968</t>
        </is>
      </c>
      <c r="K624" s="45" t="inlineStr">
        <is>
          <t>CQP Opérateur de production du secteur alimentaire</t>
        </is>
      </c>
      <c r="L624" s="45" t="inlineStr">
        <is>
          <t>18/12/2029</t>
        </is>
      </c>
      <c r="M624" s="45" t="inlineStr">
        <is>
          <t>21554 (Agroalimentaire)</t>
        </is>
      </c>
      <c r="N624" s="50" t="inlineStr">
        <is>
          <t>NON</t>
        </is>
      </c>
      <c r="O624" s="45" t="inlineStr"/>
    </row>
    <row r="625" customFormat="1" s="3">
      <c r="A625" s="45" t="n"/>
      <c r="B625" s="46" t="inlineStr">
        <is>
          <t>21549</t>
        </is>
      </c>
      <c r="C625" s="46">
        <f>LEFT(Tableau1[[#This Row],[Formacode]],3)</f>
        <v/>
      </c>
      <c r="D625" s="47" t="n">
        <v>39971</v>
      </c>
      <c r="E625" s="48">
        <f>"RNCP"&amp;D625</f>
        <v/>
      </c>
      <c r="F625" s="48" t="inlineStr">
        <is>
          <t>CQP Technicien de maintenance du secteur alimentaire</t>
        </is>
      </c>
      <c r="G625" s="49">
        <f>E625&amp;" - "&amp;F625</f>
        <v/>
      </c>
      <c r="H625" s="36" t="inlineStr">
        <is>
          <t>RAS</t>
        </is>
      </c>
      <c r="I625" s="45" t="inlineStr"/>
      <c r="J625" s="45" t="inlineStr">
        <is>
          <t>RNCP39971</t>
        </is>
      </c>
      <c r="K625" s="45" t="inlineStr">
        <is>
          <t>CQP Technicien de maintenance du secteur alimentaire</t>
        </is>
      </c>
      <c r="L625" s="45" t="inlineStr">
        <is>
          <t>18/12/2029</t>
        </is>
      </c>
      <c r="M625" s="45" t="inlineStr">
        <is>
          <t>21554 (Agroalimentaire) ; 31624 (Maintenance industrielle)</t>
        </is>
      </c>
      <c r="N625" s="50" t="inlineStr">
        <is>
          <t>NON</t>
        </is>
      </c>
      <c r="O625" s="45" t="inlineStr"/>
    </row>
    <row r="626" customFormat="1" s="3">
      <c r="A626" s="45" t="n"/>
      <c r="B626" s="46" t="inlineStr">
        <is>
          <t>21549</t>
        </is>
      </c>
      <c r="C626" s="46">
        <f>LEFT(Tableau1[[#This Row],[Formacode]],3)</f>
        <v/>
      </c>
      <c r="D626" s="47" t="n">
        <v>39972</v>
      </c>
      <c r="E626" s="48">
        <f>"RNCP"&amp;D626</f>
        <v/>
      </c>
      <c r="F626" s="48" t="inlineStr">
        <is>
          <t>CQP Responsable d'équipe du secteur alimentaire</t>
        </is>
      </c>
      <c r="G626" s="49">
        <f>E626&amp;" - "&amp;F626</f>
        <v/>
      </c>
      <c r="H626" s="36" t="inlineStr">
        <is>
          <t>RAS</t>
        </is>
      </c>
      <c r="I626" s="45" t="inlineStr"/>
      <c r="J626" s="45" t="inlineStr">
        <is>
          <t>RNCP39972</t>
        </is>
      </c>
      <c r="K626" s="45" t="inlineStr">
        <is>
          <t>CQP Responsable d'équipe du secteur alimentaire</t>
        </is>
      </c>
      <c r="L626" s="45" t="inlineStr">
        <is>
          <t>18/12/2029</t>
        </is>
      </c>
      <c r="M626" s="45" t="inlineStr">
        <is>
          <t>32154 (Encadrement management) ; 21554 (Agroalimentaire)</t>
        </is>
      </c>
      <c r="N626" s="50" t="inlineStr">
        <is>
          <t>NON</t>
        </is>
      </c>
      <c r="O626" s="45" t="inlineStr"/>
    </row>
    <row r="627" customFormat="1" s="3">
      <c r="A627" s="45" t="n"/>
      <c r="B627" s="46" t="inlineStr">
        <is>
          <t>21549</t>
        </is>
      </c>
      <c r="C627" s="46">
        <f>LEFT(Tableau1[[#This Row],[Formacode]],3)</f>
        <v/>
      </c>
      <c r="D627" s="47" t="n">
        <v>41349</v>
      </c>
      <c r="E627" s="48">
        <f>"RNCP"&amp;D627</f>
        <v/>
      </c>
      <c r="F627" s="48" t="inlineStr">
        <is>
          <t>CQP Conducteur de process du secteur alimentaire</t>
        </is>
      </c>
      <c r="G627" s="49">
        <f>E627&amp;" - "&amp;F627</f>
        <v/>
      </c>
      <c r="H627" s="36" t="inlineStr">
        <is>
          <t>RAS</t>
        </is>
      </c>
      <c r="I627" s="45" t="inlineStr"/>
      <c r="J627" s="45" t="inlineStr">
        <is>
          <t>RNCP41349</t>
        </is>
      </c>
      <c r="K627" s="45" t="inlineStr">
        <is>
          <t>CQP Conducteur de process du secteur alimentaire</t>
        </is>
      </c>
      <c r="L627" s="45" t="inlineStr">
        <is>
          <t>24/09/2030</t>
        </is>
      </c>
      <c r="M627" s="45" t="inlineStr">
        <is>
          <t>32012 (Gestion processus) ; 21554 (Agroalimentaire)</t>
        </is>
      </c>
      <c r="N627" s="50" t="inlineStr">
        <is>
          <t>NON</t>
        </is>
      </c>
      <c r="O627" s="45" t="inlineStr"/>
    </row>
    <row r="628" customFormat="1" s="3">
      <c r="A628" s="45" t="n"/>
      <c r="B628" s="46" t="inlineStr">
        <is>
          <t>21549</t>
        </is>
      </c>
      <c r="C628" s="46">
        <f>LEFT(Tableau1[[#This Row],[Formacode]],3)</f>
        <v/>
      </c>
      <c r="D628" s="47" t="n">
        <v>41679</v>
      </c>
      <c r="E628" s="48">
        <f>"RNCP"&amp;D628</f>
        <v/>
      </c>
      <c r="F628" s="48" t="inlineStr">
        <is>
          <t>CQP Agent de maintenance du secteur alimentaire</t>
        </is>
      </c>
      <c r="G628" s="49">
        <f>E628&amp;" - "&amp;F628</f>
        <v/>
      </c>
      <c r="H628" s="36" t="inlineStr">
        <is>
          <t>RAS</t>
        </is>
      </c>
      <c r="I628" s="45" t="inlineStr"/>
      <c r="J628" s="45" t="inlineStr">
        <is>
          <t>RNCP41679</t>
        </is>
      </c>
      <c r="K628" s="45" t="inlineStr">
        <is>
          <t>CQP Agent de maintenance du secteur alimentaire</t>
        </is>
      </c>
      <c r="L628" s="45" t="inlineStr">
        <is>
          <t>27/11/2030</t>
        </is>
      </c>
      <c r="M628" s="45" t="inlineStr">
        <is>
          <t>31624 (Maintenance industrielle) ; 21554 (Agroalimentaire)</t>
        </is>
      </c>
      <c r="N628" s="50" t="inlineStr">
        <is>
          <t>NON</t>
        </is>
      </c>
      <c r="O628" s="45" t="inlineStr"/>
    </row>
    <row r="629" customFormat="1" s="3">
      <c r="A629" s="51" t="n"/>
      <c r="B629" s="52" t="inlineStr">
        <is>
          <t>21551</t>
        </is>
      </c>
      <c r="C629" s="52">
        <f>LEFT(Tableau1[[#This Row],[Formacode]],3)</f>
        <v/>
      </c>
      <c r="D629" s="53" t="n">
        <v>35863</v>
      </c>
      <c r="E629" s="54">
        <f>"RNCP"&amp;D629</f>
        <v/>
      </c>
      <c r="F629" s="54" t="inlineStr">
        <is>
          <t>Sommelier-conseil, caviste</t>
        </is>
      </c>
      <c r="G629" s="55">
        <f>E629&amp;" - "&amp;F629</f>
        <v/>
      </c>
      <c r="H629" s="37" t="inlineStr">
        <is>
          <t>À vérifier</t>
        </is>
      </c>
      <c r="I629" s="51" t="inlineStr">
        <is>
          <t>Échéance le 15/09/2026 (dans 59 j)</t>
        </is>
      </c>
      <c r="J629" s="51" t="inlineStr">
        <is>
          <t>RNCP35863</t>
        </is>
      </c>
      <c r="K629" s="51" t="inlineStr">
        <is>
          <t>Sommelier-conseil, caviste</t>
        </is>
      </c>
      <c r="L629" s="51" t="inlineStr">
        <is>
          <t>15/09/2026</t>
        </is>
      </c>
      <c r="M629" s="51" t="inlineStr">
        <is>
          <t>21511 (Dégustation vin) ; 21540 (Commercialisation vin spiritueux) ; 34513 (Vente vin spiritueux) ; 42739 (Sommellerie)</t>
        </is>
      </c>
      <c r="N629" s="62" t="inlineStr">
        <is>
          <t>NON</t>
        </is>
      </c>
      <c r="O629" s="51" t="inlineStr"/>
    </row>
    <row r="630" ht="28.8" customFormat="1" customHeight="1" s="3">
      <c r="A630" s="45" t="n"/>
      <c r="B630" s="46" t="inlineStr">
        <is>
          <t>21551</t>
        </is>
      </c>
      <c r="C630" s="46">
        <f>LEFT(Tableau1[[#This Row],[Formacode]],3)</f>
        <v/>
      </c>
      <c r="D630" s="47" t="n">
        <v>37699</v>
      </c>
      <c r="E630" s="48">
        <f>"RNCP"&amp;D630</f>
        <v/>
      </c>
      <c r="F630" s="48" t="inlineStr">
        <is>
          <t>BAC PRO - Production en industries pharmaceutiques, alimentaires et cosmétiques (PIPAC)</t>
        </is>
      </c>
      <c r="G630" s="49">
        <f>E630&amp;" - "&amp;F630</f>
        <v/>
      </c>
      <c r="H630" s="36" t="inlineStr">
        <is>
          <t>RAS</t>
        </is>
      </c>
      <c r="I630" s="45" t="inlineStr"/>
      <c r="J630" s="45" t="inlineStr">
        <is>
          <t>RNCP37699</t>
        </is>
      </c>
      <c r="K630" s="45" t="inlineStr">
        <is>
          <t>Production en industries pharmaceutiques, alimentaires et cosmétiques (PIPAC)</t>
        </is>
      </c>
      <c r="L630" s="45" t="inlineStr">
        <is>
          <t>31/08/2028</t>
        </is>
      </c>
      <c r="M630" s="45" t="inlineStr">
        <is>
          <t>21554 (Agroalimentaire) ; 12081 (Biotechnologie)</t>
        </is>
      </c>
      <c r="N630" s="50" t="inlineStr">
        <is>
          <t>NON</t>
        </is>
      </c>
      <c r="O630" s="45" t="inlineStr"/>
    </row>
    <row r="631" customFormat="1" s="3">
      <c r="A631" s="45" t="n"/>
      <c r="B631" s="46" t="inlineStr">
        <is>
          <t>21551</t>
        </is>
      </c>
      <c r="C631" s="46">
        <f>LEFT(Tableau1[[#This Row],[Formacode]],3)</f>
        <v/>
      </c>
      <c r="D631" s="47" t="n">
        <v>38853</v>
      </c>
      <c r="E631" s="48">
        <f>"RNCP"&amp;D631</f>
        <v/>
      </c>
      <c r="F631" s="48" t="inlineStr">
        <is>
          <t>CS - Commercialisation des vins</t>
        </is>
      </c>
      <c r="G631" s="49">
        <f>E631&amp;" - "&amp;F631</f>
        <v/>
      </c>
      <c r="H631" s="36" t="inlineStr">
        <is>
          <t>RAS</t>
        </is>
      </c>
      <c r="I631" s="45" t="inlineStr"/>
      <c r="J631" s="45" t="inlineStr">
        <is>
          <t>RNCP38853</t>
        </is>
      </c>
      <c r="K631" s="45" t="inlineStr">
        <is>
          <t>Commercialisation des vins</t>
        </is>
      </c>
      <c r="L631" s="45" t="inlineStr">
        <is>
          <t>01/01/2029</t>
        </is>
      </c>
      <c r="M631" s="45" t="inlineStr">
        <is>
          <t>21510 (Vinification oenologie) ; 21540 (Commercialisation vin spiritueux)</t>
        </is>
      </c>
      <c r="N631" s="50" t="inlineStr">
        <is>
          <t>NON</t>
        </is>
      </c>
      <c r="O631" s="45" t="inlineStr"/>
    </row>
    <row r="632" customFormat="1" s="3">
      <c r="A632" s="45" t="n"/>
      <c r="B632" s="46" t="inlineStr">
        <is>
          <t>21551</t>
        </is>
      </c>
      <c r="C632" s="46">
        <f>LEFT(Tableau1[[#This Row],[Formacode]],3)</f>
        <v/>
      </c>
      <c r="D632" s="47" t="n">
        <v>39156</v>
      </c>
      <c r="E632" s="48">
        <f>"RNCP"&amp;D632</f>
        <v/>
      </c>
      <c r="F632" s="48" t="inlineStr">
        <is>
          <t>BP - Conducteur de ligne de production alimentaire</t>
        </is>
      </c>
      <c r="G632" s="49">
        <f>E632&amp;" - "&amp;F632</f>
        <v/>
      </c>
      <c r="H632" s="36" t="inlineStr">
        <is>
          <t>RAS</t>
        </is>
      </c>
      <c r="I632" s="45" t="inlineStr"/>
      <c r="J632" s="45" t="inlineStr">
        <is>
          <t>RNCP39156</t>
        </is>
      </c>
      <c r="K632" s="45" t="inlineStr">
        <is>
          <t>Conducteur de ligne de production alimentaire</t>
        </is>
      </c>
      <c r="L632" s="45" t="inlineStr">
        <is>
          <t>01/09/2029</t>
        </is>
      </c>
      <c r="M632" s="45" t="inlineStr">
        <is>
          <t>21554 (Agroalimentaire)</t>
        </is>
      </c>
      <c r="N632" s="50" t="inlineStr">
        <is>
          <t>NON</t>
        </is>
      </c>
      <c r="O632" s="45" t="inlineStr"/>
    </row>
    <row r="633" customFormat="1" s="3">
      <c r="A633" s="45" t="n"/>
      <c r="B633" s="46" t="inlineStr">
        <is>
          <t>21551</t>
        </is>
      </c>
      <c r="C633" s="46">
        <f>LEFT(Tableau1[[#This Row],[Formacode]],3)</f>
        <v/>
      </c>
      <c r="D633" s="47" t="n">
        <v>39683</v>
      </c>
      <c r="E633" s="48">
        <f>"RNCP"&amp;D633</f>
        <v/>
      </c>
      <c r="F633" s="48" t="inlineStr">
        <is>
          <t>CS - Conduite d’un élevage de production avicole</t>
        </is>
      </c>
      <c r="G633" s="49">
        <f>E633&amp;" - "&amp;F633</f>
        <v/>
      </c>
      <c r="H633" s="36" t="inlineStr">
        <is>
          <t>RAS</t>
        </is>
      </c>
      <c r="I633" s="45" t="inlineStr"/>
      <c r="J633" s="45" t="inlineStr">
        <is>
          <t>RNCP39683</t>
        </is>
      </c>
      <c r="K633" s="45" t="inlineStr">
        <is>
          <t>Conduite d’un élevage de production avicole</t>
        </is>
      </c>
      <c r="L633" s="45" t="inlineStr">
        <is>
          <t>31/12/2029</t>
        </is>
      </c>
      <c r="M633" s="45" t="inlineStr">
        <is>
          <t>21058 (Aviculture) ; 21551 (Commercialisation agroalimentaire)</t>
        </is>
      </c>
      <c r="N633" s="50" t="inlineStr">
        <is>
          <t>NON</t>
        </is>
      </c>
      <c r="O633" s="45" t="inlineStr"/>
    </row>
    <row r="634" customFormat="1" s="3">
      <c r="A634" s="45" t="n"/>
      <c r="B634" s="46" t="inlineStr">
        <is>
          <t>21551</t>
        </is>
      </c>
      <c r="C634" s="46">
        <f>LEFT(Tableau1[[#This Row],[Formacode]],3)</f>
        <v/>
      </c>
      <c r="D634" s="47" t="n">
        <v>39884</v>
      </c>
      <c r="E634" s="48">
        <f>"RNCP"&amp;D634</f>
        <v/>
      </c>
      <c r="F634" s="48" t="inlineStr">
        <is>
          <t>Manager du Développement Commercial</t>
        </is>
      </c>
      <c r="G634" s="49">
        <f>E634&amp;" - "&amp;F634</f>
        <v/>
      </c>
      <c r="H634" s="36" t="inlineStr">
        <is>
          <t>RAS</t>
        </is>
      </c>
      <c r="I634" s="45" t="inlineStr"/>
      <c r="J634" s="45" t="inlineStr">
        <is>
          <t>RNCP39884</t>
        </is>
      </c>
      <c r="K634" s="45" t="inlineStr">
        <is>
          <t>Manager du Développement Commercial</t>
        </is>
      </c>
      <c r="L634" s="45" t="inlineStr">
        <is>
          <t>28/11/2027</t>
        </is>
      </c>
      <c r="M634" s="45" t="inlineStr">
        <is>
          <t>34554 (Commerce) ; 21540 (Commercialisation vin spiritueux) ; 34085 (Stratégie commerciale)</t>
        </is>
      </c>
      <c r="N634" s="50" t="inlineStr">
        <is>
          <t>NON</t>
        </is>
      </c>
      <c r="O634" s="45" t="inlineStr"/>
    </row>
    <row r="635" customFormat="1" s="3">
      <c r="A635" s="45" t="n"/>
      <c r="B635" s="46" t="inlineStr">
        <is>
          <t>21551</t>
        </is>
      </c>
      <c r="C635" s="46">
        <f>LEFT(Tableau1[[#This Row],[Formacode]],3)</f>
        <v/>
      </c>
      <c r="D635" s="47" t="n">
        <v>39966</v>
      </c>
      <c r="E635" s="48">
        <f>"RNCP"&amp;D635</f>
        <v/>
      </c>
      <c r="F635" s="48" t="inlineStr">
        <is>
          <t>CQP Conducteur de machines du secteur alimentaire</t>
        </is>
      </c>
      <c r="G635" s="49">
        <f>E635&amp;" - "&amp;F635</f>
        <v/>
      </c>
      <c r="H635" s="36" t="inlineStr">
        <is>
          <t>RAS</t>
        </is>
      </c>
      <c r="I635" s="45" t="inlineStr"/>
      <c r="J635" s="45" t="inlineStr">
        <is>
          <t>RNCP39966</t>
        </is>
      </c>
      <c r="K635" s="45" t="inlineStr">
        <is>
          <t>CQP Conducteur de machines du secteur alimentaire</t>
        </is>
      </c>
      <c r="L635" s="45" t="inlineStr">
        <is>
          <t>18/12/2029</t>
        </is>
      </c>
      <c r="M635" s="45" t="inlineStr">
        <is>
          <t>31620 (Conduite installation industrielle) ; 21554 (Agroalimentaire)</t>
        </is>
      </c>
      <c r="N635" s="50" t="inlineStr">
        <is>
          <t>NON</t>
        </is>
      </c>
      <c r="O635" s="45" t="inlineStr"/>
    </row>
    <row r="636" customFormat="1" s="3">
      <c r="A636" s="45" t="n"/>
      <c r="B636" s="46" t="inlineStr">
        <is>
          <t>21551</t>
        </is>
      </c>
      <c r="C636" s="46">
        <f>LEFT(Tableau1[[#This Row],[Formacode]],3)</f>
        <v/>
      </c>
      <c r="D636" s="47" t="n">
        <v>39967</v>
      </c>
      <c r="E636" s="48">
        <f>"RNCP"&amp;D636</f>
        <v/>
      </c>
      <c r="F636" s="48" t="inlineStr">
        <is>
          <t>CQP Conducteur de ligne du secteur alimentaire</t>
        </is>
      </c>
      <c r="G636" s="49">
        <f>E636&amp;" - "&amp;F636</f>
        <v/>
      </c>
      <c r="H636" s="36" t="inlineStr">
        <is>
          <t>RAS</t>
        </is>
      </c>
      <c r="I636" s="45" t="inlineStr"/>
      <c r="J636" s="45" t="inlineStr">
        <is>
          <t>RNCP39967</t>
        </is>
      </c>
      <c r="K636" s="45" t="inlineStr">
        <is>
          <t>CQP Conducteur de ligne du secteur alimentaire</t>
        </is>
      </c>
      <c r="L636" s="45" t="inlineStr">
        <is>
          <t>18/12/2029</t>
        </is>
      </c>
      <c r="M636" s="45" t="inlineStr">
        <is>
          <t>31620 (Conduite installation industrielle) ; 21554 (Agroalimentaire)</t>
        </is>
      </c>
      <c r="N636" s="50" t="inlineStr">
        <is>
          <t>NON</t>
        </is>
      </c>
      <c r="O636" s="45" t="inlineStr"/>
    </row>
    <row r="637" customFormat="1" s="3">
      <c r="A637" s="45" t="n"/>
      <c r="B637" s="46" t="inlineStr">
        <is>
          <t>21551</t>
        </is>
      </c>
      <c r="C637" s="46">
        <f>LEFT(Tableau1[[#This Row],[Formacode]],3)</f>
        <v/>
      </c>
      <c r="D637" s="47" t="n">
        <v>39968</v>
      </c>
      <c r="E637" s="48">
        <f>"RNCP"&amp;D637</f>
        <v/>
      </c>
      <c r="F637" s="48" t="inlineStr">
        <is>
          <t>CQP Opérateur de production du secteur alimentaire</t>
        </is>
      </c>
      <c r="G637" s="49">
        <f>E637&amp;" - "&amp;F637</f>
        <v/>
      </c>
      <c r="H637" s="36" t="inlineStr">
        <is>
          <t>RAS</t>
        </is>
      </c>
      <c r="I637" s="45" t="inlineStr"/>
      <c r="J637" s="45" t="inlineStr">
        <is>
          <t>RNCP39968</t>
        </is>
      </c>
      <c r="K637" s="45" t="inlineStr">
        <is>
          <t>CQP Opérateur de production du secteur alimentaire</t>
        </is>
      </c>
      <c r="L637" s="45" t="inlineStr">
        <is>
          <t>18/12/2029</t>
        </is>
      </c>
      <c r="M637" s="45" t="inlineStr">
        <is>
          <t>21554 (Agroalimentaire)</t>
        </is>
      </c>
      <c r="N637" s="50" t="inlineStr">
        <is>
          <t>NON</t>
        </is>
      </c>
      <c r="O637" s="45" t="inlineStr"/>
    </row>
    <row r="638" customFormat="1" s="3">
      <c r="A638" s="45" t="n"/>
      <c r="B638" s="46" t="inlineStr">
        <is>
          <t>21551</t>
        </is>
      </c>
      <c r="C638" s="46">
        <f>LEFT(Tableau1[[#This Row],[Formacode]],3)</f>
        <v/>
      </c>
      <c r="D638" s="47" t="n">
        <v>39971</v>
      </c>
      <c r="E638" s="48">
        <f>"RNCP"&amp;D638</f>
        <v/>
      </c>
      <c r="F638" s="48" t="inlineStr">
        <is>
          <t>CQP Technicien de maintenance du secteur alimentaire</t>
        </is>
      </c>
      <c r="G638" s="49">
        <f>E638&amp;" - "&amp;F638</f>
        <v/>
      </c>
      <c r="H638" s="36" t="inlineStr">
        <is>
          <t>RAS</t>
        </is>
      </c>
      <c r="I638" s="45" t="inlineStr"/>
      <c r="J638" s="45" t="inlineStr">
        <is>
          <t>RNCP39971</t>
        </is>
      </c>
      <c r="K638" s="45" t="inlineStr">
        <is>
          <t>CQP Technicien de maintenance du secteur alimentaire</t>
        </is>
      </c>
      <c r="L638" s="45" t="inlineStr">
        <is>
          <t>18/12/2029</t>
        </is>
      </c>
      <c r="M638" s="45" t="inlineStr">
        <is>
          <t>21554 (Agroalimentaire) ; 31624 (Maintenance industrielle)</t>
        </is>
      </c>
      <c r="N638" s="50" t="inlineStr">
        <is>
          <t>NON</t>
        </is>
      </c>
      <c r="O638" s="45" t="inlineStr"/>
    </row>
    <row r="639" customFormat="1" s="3">
      <c r="A639" s="45" t="n"/>
      <c r="B639" s="46" t="inlineStr">
        <is>
          <t>21551</t>
        </is>
      </c>
      <c r="C639" s="46">
        <f>LEFT(Tableau1[[#This Row],[Formacode]],3)</f>
        <v/>
      </c>
      <c r="D639" s="47" t="n">
        <v>39972</v>
      </c>
      <c r="E639" s="48">
        <f>"RNCP"&amp;D639</f>
        <v/>
      </c>
      <c r="F639" s="48" t="inlineStr">
        <is>
          <t>CQP Responsable d'équipe du secteur alimentaire</t>
        </is>
      </c>
      <c r="G639" s="49">
        <f>E639&amp;" - "&amp;F639</f>
        <v/>
      </c>
      <c r="H639" s="36" t="inlineStr">
        <is>
          <t>RAS</t>
        </is>
      </c>
      <c r="I639" s="45" t="inlineStr"/>
      <c r="J639" s="45" t="inlineStr">
        <is>
          <t>RNCP39972</t>
        </is>
      </c>
      <c r="K639" s="45" t="inlineStr">
        <is>
          <t>CQP Responsable d'équipe du secteur alimentaire</t>
        </is>
      </c>
      <c r="L639" s="45" t="inlineStr">
        <is>
          <t>18/12/2029</t>
        </is>
      </c>
      <c r="M639" s="45" t="inlineStr">
        <is>
          <t>32154 (Encadrement management) ; 21554 (Agroalimentaire)</t>
        </is>
      </c>
      <c r="N639" s="50" t="inlineStr">
        <is>
          <t>NON</t>
        </is>
      </c>
      <c r="O639" s="45" t="inlineStr"/>
    </row>
    <row r="640" customFormat="1" s="3">
      <c r="A640" s="45" t="n"/>
      <c r="B640" s="46" t="inlineStr">
        <is>
          <t>21551</t>
        </is>
      </c>
      <c r="C640" s="46">
        <f>LEFT(Tableau1[[#This Row],[Formacode]],3)</f>
        <v/>
      </c>
      <c r="D640" s="47" t="n">
        <v>41349</v>
      </c>
      <c r="E640" s="48">
        <f>"RNCP"&amp;D640</f>
        <v/>
      </c>
      <c r="F640" s="48" t="inlineStr">
        <is>
          <t>CQP Conducteur de process du secteur alimentaire</t>
        </is>
      </c>
      <c r="G640" s="49">
        <f>E640&amp;" - "&amp;F640</f>
        <v/>
      </c>
      <c r="H640" s="36" t="inlineStr">
        <is>
          <t>RAS</t>
        </is>
      </c>
      <c r="I640" s="45" t="inlineStr"/>
      <c r="J640" s="45" t="inlineStr">
        <is>
          <t>RNCP41349</t>
        </is>
      </c>
      <c r="K640" s="45" t="inlineStr">
        <is>
          <t>CQP Conducteur de process du secteur alimentaire</t>
        </is>
      </c>
      <c r="L640" s="45" t="inlineStr">
        <is>
          <t>24/09/2030</t>
        </is>
      </c>
      <c r="M640" s="45" t="inlineStr">
        <is>
          <t>32012 (Gestion processus) ; 21554 (Agroalimentaire)</t>
        </is>
      </c>
      <c r="N640" s="50" t="inlineStr">
        <is>
          <t>NON</t>
        </is>
      </c>
      <c r="O640" s="45" t="inlineStr"/>
    </row>
    <row r="641" customFormat="1" s="3">
      <c r="A641" s="45" t="n"/>
      <c r="B641" s="46" t="inlineStr">
        <is>
          <t>21551</t>
        </is>
      </c>
      <c r="C641" s="46">
        <f>LEFT(Tableau1[[#This Row],[Formacode]],3)</f>
        <v/>
      </c>
      <c r="D641" s="47" t="n">
        <v>41679</v>
      </c>
      <c r="E641" s="48">
        <f>"RNCP"&amp;D641</f>
        <v/>
      </c>
      <c r="F641" s="48" t="inlineStr">
        <is>
          <t>CQP Agent de maintenance du secteur alimentaire</t>
        </is>
      </c>
      <c r="G641" s="49">
        <f>E641&amp;" - "&amp;F641</f>
        <v/>
      </c>
      <c r="H641" s="36" t="inlineStr">
        <is>
          <t>RAS</t>
        </is>
      </c>
      <c r="I641" s="45" t="inlineStr"/>
      <c r="J641" s="45" t="inlineStr">
        <is>
          <t>RNCP41679</t>
        </is>
      </c>
      <c r="K641" s="45" t="inlineStr">
        <is>
          <t>CQP Agent de maintenance du secteur alimentaire</t>
        </is>
      </c>
      <c r="L641" s="45" t="inlineStr">
        <is>
          <t>27/11/2030</t>
        </is>
      </c>
      <c r="M641" s="45" t="inlineStr">
        <is>
          <t>31624 (Maintenance industrielle) ; 21554 (Agroalimentaire)</t>
        </is>
      </c>
      <c r="N641" s="50" t="inlineStr">
        <is>
          <t>NON</t>
        </is>
      </c>
      <c r="O641" s="45" t="inlineStr"/>
    </row>
    <row r="642" ht="28.8" customFormat="1" customHeight="1" s="3">
      <c r="A642" s="45" t="n"/>
      <c r="B642" s="46" t="inlineStr">
        <is>
          <t>21558</t>
        </is>
      </c>
      <c r="C642" s="46">
        <f>LEFT(Tableau1[[#This Row],[Formacode]],3)</f>
        <v/>
      </c>
      <c r="D642" s="47" t="n">
        <v>37699</v>
      </c>
      <c r="E642" s="48">
        <f>"RNCP"&amp;D642</f>
        <v/>
      </c>
      <c r="F642" s="48" t="inlineStr">
        <is>
          <t>BAC PRO - Production en industries pharmaceutiques, alimentaires et cosmétiques (PIPAC)</t>
        </is>
      </c>
      <c r="G642" s="49">
        <f>E642&amp;" - "&amp;F642</f>
        <v/>
      </c>
      <c r="H642" s="36" t="inlineStr">
        <is>
          <t>RAS</t>
        </is>
      </c>
      <c r="I642" s="45" t="inlineStr"/>
      <c r="J642" s="45" t="inlineStr">
        <is>
          <t>RNCP37699</t>
        </is>
      </c>
      <c r="K642" s="45" t="inlineStr">
        <is>
          <t>Production en industries pharmaceutiques, alimentaires et cosmétiques (PIPAC)</t>
        </is>
      </c>
      <c r="L642" s="45" t="inlineStr">
        <is>
          <t>31/08/2028</t>
        </is>
      </c>
      <c r="M642" s="45" t="inlineStr">
        <is>
          <t>21554 (Agroalimentaire) ; 12081 (Biotechnologie)</t>
        </is>
      </c>
      <c r="N642" s="50" t="inlineStr">
        <is>
          <t>NON</t>
        </is>
      </c>
      <c r="O642" s="45" t="inlineStr"/>
    </row>
    <row r="643" customFormat="1" s="3">
      <c r="A643" s="45" t="n"/>
      <c r="B643" s="46" t="inlineStr">
        <is>
          <t>21558</t>
        </is>
      </c>
      <c r="C643" s="46">
        <f>LEFT(Tableau1[[#This Row],[Formacode]],3)</f>
        <v/>
      </c>
      <c r="D643" s="47" t="n">
        <v>39156</v>
      </c>
      <c r="E643" s="48">
        <f>"RNCP"&amp;D643</f>
        <v/>
      </c>
      <c r="F643" s="48" t="inlineStr">
        <is>
          <t>BP - Conducteur de ligne de production alimentaire</t>
        </is>
      </c>
      <c r="G643" s="49">
        <f>E643&amp;" - "&amp;F643</f>
        <v/>
      </c>
      <c r="H643" s="36" t="inlineStr">
        <is>
          <t>RAS</t>
        </is>
      </c>
      <c r="I643" s="45" t="inlineStr"/>
      <c r="J643" s="45" t="inlineStr">
        <is>
          <t>RNCP39156</t>
        </is>
      </c>
      <c r="K643" s="45" t="inlineStr">
        <is>
          <t>Conducteur de ligne de production alimentaire</t>
        </is>
      </c>
      <c r="L643" s="45" t="inlineStr">
        <is>
          <t>01/09/2029</t>
        </is>
      </c>
      <c r="M643" s="45" t="inlineStr">
        <is>
          <t>21554 (Agroalimentaire)</t>
        </is>
      </c>
      <c r="N643" s="50" t="inlineStr">
        <is>
          <t>NON</t>
        </is>
      </c>
      <c r="O643" s="45" t="inlineStr"/>
    </row>
    <row r="644" customFormat="1" s="3">
      <c r="A644" s="45" t="n"/>
      <c r="B644" s="46" t="inlineStr">
        <is>
          <t>21558</t>
        </is>
      </c>
      <c r="C644" s="46">
        <f>LEFT(Tableau1[[#This Row],[Formacode]],3)</f>
        <v/>
      </c>
      <c r="D644" s="47" t="n">
        <v>39966</v>
      </c>
      <c r="E644" s="48">
        <f>"RNCP"&amp;D644</f>
        <v/>
      </c>
      <c r="F644" s="48" t="inlineStr">
        <is>
          <t>CQP Conducteur de machines du secteur alimentaire</t>
        </is>
      </c>
      <c r="G644" s="49">
        <f>E644&amp;" - "&amp;F644</f>
        <v/>
      </c>
      <c r="H644" s="36" t="inlineStr">
        <is>
          <t>RAS</t>
        </is>
      </c>
      <c r="I644" s="45" t="inlineStr"/>
      <c r="J644" s="45" t="inlineStr">
        <is>
          <t>RNCP39966</t>
        </is>
      </c>
      <c r="K644" s="45" t="inlineStr">
        <is>
          <t>CQP Conducteur de machines du secteur alimentaire</t>
        </is>
      </c>
      <c r="L644" s="45" t="inlineStr">
        <is>
          <t>18/12/2029</t>
        </is>
      </c>
      <c r="M644" s="45" t="inlineStr">
        <is>
          <t>31620 (Conduite installation industrielle) ; 21554 (Agroalimentaire)</t>
        </is>
      </c>
      <c r="N644" s="50" t="inlineStr">
        <is>
          <t>NON</t>
        </is>
      </c>
      <c r="O644" s="45" t="inlineStr"/>
    </row>
    <row r="645" customFormat="1" s="3">
      <c r="A645" s="45" t="n"/>
      <c r="B645" s="46" t="inlineStr">
        <is>
          <t>21558</t>
        </is>
      </c>
      <c r="C645" s="46">
        <f>LEFT(Tableau1[[#This Row],[Formacode]],3)</f>
        <v/>
      </c>
      <c r="D645" s="47" t="n">
        <v>39967</v>
      </c>
      <c r="E645" s="48">
        <f>"RNCP"&amp;D645</f>
        <v/>
      </c>
      <c r="F645" s="48" t="inlineStr">
        <is>
          <t>CQP Conducteur de ligne du secteur alimentaire</t>
        </is>
      </c>
      <c r="G645" s="49">
        <f>E645&amp;" - "&amp;F645</f>
        <v/>
      </c>
      <c r="H645" s="36" t="inlineStr">
        <is>
          <t>RAS</t>
        </is>
      </c>
      <c r="I645" s="45" t="inlineStr"/>
      <c r="J645" s="45" t="inlineStr">
        <is>
          <t>RNCP39967</t>
        </is>
      </c>
      <c r="K645" s="45" t="inlineStr">
        <is>
          <t>CQP Conducteur de ligne du secteur alimentaire</t>
        </is>
      </c>
      <c r="L645" s="45" t="inlineStr">
        <is>
          <t>18/12/2029</t>
        </is>
      </c>
      <c r="M645" s="45" t="inlineStr">
        <is>
          <t>31620 (Conduite installation industrielle) ; 21554 (Agroalimentaire)</t>
        </is>
      </c>
      <c r="N645" s="50" t="inlineStr">
        <is>
          <t>NON</t>
        </is>
      </c>
      <c r="O645" s="45" t="inlineStr"/>
    </row>
    <row r="646" customFormat="1" s="3">
      <c r="A646" s="45" t="n"/>
      <c r="B646" s="46" t="inlineStr">
        <is>
          <t>21558</t>
        </is>
      </c>
      <c r="C646" s="46">
        <f>LEFT(Tableau1[[#This Row],[Formacode]],3)</f>
        <v/>
      </c>
      <c r="D646" s="47" t="n">
        <v>39968</v>
      </c>
      <c r="E646" s="48">
        <f>"RNCP"&amp;D646</f>
        <v/>
      </c>
      <c r="F646" s="48" t="inlineStr">
        <is>
          <t>CQP Opérateur de production du secteur alimentaire</t>
        </is>
      </c>
      <c r="G646" s="49">
        <f>E646&amp;" - "&amp;F646</f>
        <v/>
      </c>
      <c r="H646" s="36" t="inlineStr">
        <is>
          <t>RAS</t>
        </is>
      </c>
      <c r="I646" s="45" t="inlineStr"/>
      <c r="J646" s="45" t="inlineStr">
        <is>
          <t>RNCP39968</t>
        </is>
      </c>
      <c r="K646" s="45" t="inlineStr">
        <is>
          <t>CQP Opérateur de production du secteur alimentaire</t>
        </is>
      </c>
      <c r="L646" s="45" t="inlineStr">
        <is>
          <t>18/12/2029</t>
        </is>
      </c>
      <c r="M646" s="45" t="inlineStr">
        <is>
          <t>21554 (Agroalimentaire)</t>
        </is>
      </c>
      <c r="N646" s="50" t="inlineStr">
        <is>
          <t>NON</t>
        </is>
      </c>
      <c r="O646" s="45" t="inlineStr"/>
    </row>
    <row r="647" customFormat="1" s="3">
      <c r="A647" s="45" t="n"/>
      <c r="B647" s="46" t="inlineStr">
        <is>
          <t>21558</t>
        </is>
      </c>
      <c r="C647" s="46">
        <f>LEFT(Tableau1[[#This Row],[Formacode]],3)</f>
        <v/>
      </c>
      <c r="D647" s="47" t="n">
        <v>39971</v>
      </c>
      <c r="E647" s="48">
        <f>"RNCP"&amp;D647</f>
        <v/>
      </c>
      <c r="F647" s="48" t="inlineStr">
        <is>
          <t>CQP Technicien de maintenance du secteur alimentaire</t>
        </is>
      </c>
      <c r="G647" s="49">
        <f>E647&amp;" - "&amp;F647</f>
        <v/>
      </c>
      <c r="H647" s="36" t="inlineStr">
        <is>
          <t>RAS</t>
        </is>
      </c>
      <c r="I647" s="45" t="inlineStr"/>
      <c r="J647" s="45" t="inlineStr">
        <is>
          <t>RNCP39971</t>
        </is>
      </c>
      <c r="K647" s="45" t="inlineStr">
        <is>
          <t>CQP Technicien de maintenance du secteur alimentaire</t>
        </is>
      </c>
      <c r="L647" s="45" t="inlineStr">
        <is>
          <t>18/12/2029</t>
        </is>
      </c>
      <c r="M647" s="45" t="inlineStr">
        <is>
          <t>21554 (Agroalimentaire) ; 31624 (Maintenance industrielle)</t>
        </is>
      </c>
      <c r="N647" s="50" t="inlineStr">
        <is>
          <t>NON</t>
        </is>
      </c>
      <c r="O647" s="45" t="inlineStr"/>
    </row>
    <row r="648" customFormat="1" s="3">
      <c r="A648" s="45" t="n"/>
      <c r="B648" s="46" t="inlineStr">
        <is>
          <t>21558</t>
        </is>
      </c>
      <c r="C648" s="46">
        <f>LEFT(Tableau1[[#This Row],[Formacode]],3)</f>
        <v/>
      </c>
      <c r="D648" s="47" t="n">
        <v>39972</v>
      </c>
      <c r="E648" s="48">
        <f>"RNCP"&amp;D648</f>
        <v/>
      </c>
      <c r="F648" s="48" t="inlineStr">
        <is>
          <t>CQP Responsable d'équipe du secteur alimentaire</t>
        </is>
      </c>
      <c r="G648" s="49">
        <f>E648&amp;" - "&amp;F648</f>
        <v/>
      </c>
      <c r="H648" s="36" t="inlineStr">
        <is>
          <t>RAS</t>
        </is>
      </c>
      <c r="I648" s="45" t="inlineStr"/>
      <c r="J648" s="45" t="inlineStr">
        <is>
          <t>RNCP39972</t>
        </is>
      </c>
      <c r="K648" s="45" t="inlineStr">
        <is>
          <t>CQP Responsable d'équipe du secteur alimentaire</t>
        </is>
      </c>
      <c r="L648" s="45" t="inlineStr">
        <is>
          <t>18/12/2029</t>
        </is>
      </c>
      <c r="M648" s="45" t="inlineStr">
        <is>
          <t>32154 (Encadrement management) ; 21554 (Agroalimentaire)</t>
        </is>
      </c>
      <c r="N648" s="50" t="inlineStr">
        <is>
          <t>NON</t>
        </is>
      </c>
      <c r="O648" s="45" t="inlineStr"/>
    </row>
    <row r="649" customFormat="1" s="3">
      <c r="A649" s="45" t="n"/>
      <c r="B649" s="46" t="inlineStr">
        <is>
          <t>21558</t>
        </is>
      </c>
      <c r="C649" s="46">
        <f>LEFT(Tableau1[[#This Row],[Formacode]],3)</f>
        <v/>
      </c>
      <c r="D649" s="47" t="n">
        <v>41349</v>
      </c>
      <c r="E649" s="48">
        <f>"RNCP"&amp;D649</f>
        <v/>
      </c>
      <c r="F649" s="48" t="inlineStr">
        <is>
          <t>CQP Conducteur de process du secteur alimentaire</t>
        </is>
      </c>
      <c r="G649" s="49">
        <f>E649&amp;" - "&amp;F649</f>
        <v/>
      </c>
      <c r="H649" s="36" t="inlineStr">
        <is>
          <t>RAS</t>
        </is>
      </c>
      <c r="I649" s="45" t="inlineStr"/>
      <c r="J649" s="45" t="inlineStr">
        <is>
          <t>RNCP41349</t>
        </is>
      </c>
      <c r="K649" s="45" t="inlineStr">
        <is>
          <t>CQP Conducteur de process du secteur alimentaire</t>
        </is>
      </c>
      <c r="L649" s="45" t="inlineStr">
        <is>
          <t>24/09/2030</t>
        </is>
      </c>
      <c r="M649" s="45" t="inlineStr">
        <is>
          <t>32012 (Gestion processus) ; 21554 (Agroalimentaire)</t>
        </is>
      </c>
      <c r="N649" s="50" t="inlineStr">
        <is>
          <t>NON</t>
        </is>
      </c>
      <c r="O649" s="45" t="inlineStr"/>
    </row>
    <row r="650" customFormat="1" s="3">
      <c r="A650" s="45" t="n"/>
      <c r="B650" s="46" t="inlineStr">
        <is>
          <t>21558</t>
        </is>
      </c>
      <c r="C650" s="46">
        <f>LEFT(Tableau1[[#This Row],[Formacode]],3)</f>
        <v/>
      </c>
      <c r="D650" s="47" t="n">
        <v>41679</v>
      </c>
      <c r="E650" s="48">
        <f>"RNCP"&amp;D650</f>
        <v/>
      </c>
      <c r="F650" s="48" t="inlineStr">
        <is>
          <t>CQP Agent de maintenance du secteur alimentaire</t>
        </is>
      </c>
      <c r="G650" s="49">
        <f>E650&amp;" - "&amp;F650</f>
        <v/>
      </c>
      <c r="H650" s="36" t="inlineStr">
        <is>
          <t>RAS</t>
        </is>
      </c>
      <c r="I650" s="45" t="inlineStr"/>
      <c r="J650" s="45" t="inlineStr">
        <is>
          <t>RNCP41679</t>
        </is>
      </c>
      <c r="K650" s="45" t="inlineStr">
        <is>
          <t>CQP Agent de maintenance du secteur alimentaire</t>
        </is>
      </c>
      <c r="L650" s="45" t="inlineStr">
        <is>
          <t>27/11/2030</t>
        </is>
      </c>
      <c r="M650" s="45" t="inlineStr">
        <is>
          <t>31624 (Maintenance industrielle) ; 21554 (Agroalimentaire)</t>
        </is>
      </c>
      <c r="N650" s="50" t="inlineStr">
        <is>
          <t>NON</t>
        </is>
      </c>
      <c r="O650" s="45" t="inlineStr"/>
    </row>
    <row r="651" customFormat="1" s="3">
      <c r="A651" s="51" t="n"/>
      <c r="B651" s="52" t="inlineStr">
        <is>
          <t>21567</t>
        </is>
      </c>
      <c r="C651" s="52">
        <f>LEFT(Tableau1[[#This Row],[Formacode]],3)</f>
        <v/>
      </c>
      <c r="D651" s="53" t="n">
        <v>37383</v>
      </c>
      <c r="E651" s="54">
        <f>"RNCP"&amp;D651</f>
        <v/>
      </c>
      <c r="F651" s="54" t="inlineStr">
        <is>
          <t>CAP - Poissonnier- écailler</t>
        </is>
      </c>
      <c r="G651" s="55">
        <f>E651&amp;" - "&amp;F651</f>
        <v/>
      </c>
      <c r="H651" s="37" t="inlineStr">
        <is>
          <t>À vérifier</t>
        </is>
      </c>
      <c r="I651" s="51" t="inlineStr">
        <is>
          <t>Successeur déjà publié : RNCP42137 (Poissonnier écailler) — préparer la bascule de l'offre CPF | Échéance le 31/08/2026 (dans 44 j)</t>
        </is>
      </c>
      <c r="J651" s="51" t="inlineStr">
        <is>
          <t>RNCP42137</t>
        </is>
      </c>
      <c r="K651" s="51" t="inlineStr">
        <is>
          <t>Poissonnier écailler</t>
        </is>
      </c>
      <c r="L651" s="51" t="inlineStr">
        <is>
          <t>31/08/2026</t>
        </is>
      </c>
      <c r="M651" s="51" t="inlineStr">
        <is>
          <t>21567 (Transformation produits de la mer) ; 34506 (Vente produit mer)</t>
        </is>
      </c>
      <c r="N651" s="62" t="inlineStr">
        <is>
          <t>NON</t>
        </is>
      </c>
      <c r="O651" s="51" t="inlineStr"/>
    </row>
    <row r="652" customFormat="1" s="3">
      <c r="A652" s="51" t="n"/>
      <c r="B652" s="52" t="inlineStr">
        <is>
          <t>21567</t>
        </is>
      </c>
      <c r="C652" s="52">
        <f>LEFT(Tableau1[[#This Row],[Formacode]],3)</f>
        <v/>
      </c>
      <c r="D652" s="53" t="n">
        <v>37536</v>
      </c>
      <c r="E652" s="54">
        <f>"RNCP"&amp;D652</f>
        <v/>
      </c>
      <c r="F652" s="54" t="inlineStr">
        <is>
          <t>Certificat d'aptitude professionnelle - Mareyage</t>
        </is>
      </c>
      <c r="G652" s="55">
        <f>E652&amp;" - "&amp;F652</f>
        <v/>
      </c>
      <c r="H652" s="37" t="inlineStr">
        <is>
          <t>À vérifier</t>
        </is>
      </c>
      <c r="I652" s="51" t="inlineStr">
        <is>
          <t>Successeur déjà publié : RNCP42116 (Mareyage) — préparer la bascule de l'offre CPF | Échéance le 31/08/2026 (dans 44 j)</t>
        </is>
      </c>
      <c r="J652" s="51" t="inlineStr">
        <is>
          <t>RNCP42116</t>
        </is>
      </c>
      <c r="K652" s="51" t="inlineStr">
        <is>
          <t>Mareyage</t>
        </is>
      </c>
      <c r="L652" s="51" t="inlineStr">
        <is>
          <t>31/08/2026</t>
        </is>
      </c>
      <c r="M652" s="51" t="inlineStr">
        <is>
          <t>21376 (Mareyage) ; 21567 (Transformation produits de la mer) ; 21347 (Aquaculture)</t>
        </is>
      </c>
      <c r="N652" s="62" t="inlineStr">
        <is>
          <t>NON</t>
        </is>
      </c>
      <c r="O652" s="51" t="inlineStr"/>
    </row>
    <row r="653" ht="28.8" customFormat="1" customHeight="1" s="3">
      <c r="A653" s="45" t="n"/>
      <c r="B653" s="46" t="inlineStr">
        <is>
          <t>21567</t>
        </is>
      </c>
      <c r="C653" s="46">
        <f>LEFT(Tableau1[[#This Row],[Formacode]],3)</f>
        <v/>
      </c>
      <c r="D653" s="47" t="n">
        <v>37699</v>
      </c>
      <c r="E653" s="48">
        <f>"RNCP"&amp;D653</f>
        <v/>
      </c>
      <c r="F653" s="48" t="inlineStr">
        <is>
          <t>BAC PRO - Production en industries pharmaceutiques, alimentaires et cosmétiques (PIPAC)</t>
        </is>
      </c>
      <c r="G653" s="49">
        <f>E653&amp;" - "&amp;F653</f>
        <v/>
      </c>
      <c r="H653" s="36" t="inlineStr">
        <is>
          <t>RAS</t>
        </is>
      </c>
      <c r="I653" s="45" t="inlineStr"/>
      <c r="J653" s="45" t="inlineStr">
        <is>
          <t>RNCP37699</t>
        </is>
      </c>
      <c r="K653" s="45" t="inlineStr">
        <is>
          <t>Production en industries pharmaceutiques, alimentaires et cosmétiques (PIPAC)</t>
        </is>
      </c>
      <c r="L653" s="45" t="inlineStr">
        <is>
          <t>31/08/2028</t>
        </is>
      </c>
      <c r="M653" s="45" t="inlineStr">
        <is>
          <t>21554 (Agroalimentaire) ; 12081 (Biotechnologie)</t>
        </is>
      </c>
      <c r="N653" s="50" t="inlineStr">
        <is>
          <t>NON</t>
        </is>
      </c>
      <c r="O653" s="45" t="inlineStr"/>
    </row>
    <row r="654" customFormat="1" s="3">
      <c r="A654" s="45" t="n"/>
      <c r="B654" s="46" t="inlineStr">
        <is>
          <t>21567</t>
        </is>
      </c>
      <c r="C654" s="46">
        <f>LEFT(Tableau1[[#This Row],[Formacode]],3)</f>
        <v/>
      </c>
      <c r="D654" s="47" t="n">
        <v>39156</v>
      </c>
      <c r="E654" s="48">
        <f>"RNCP"&amp;D654</f>
        <v/>
      </c>
      <c r="F654" s="48" t="inlineStr">
        <is>
          <t>BP - Conducteur de ligne de production alimentaire</t>
        </is>
      </c>
      <c r="G654" s="49">
        <f>E654&amp;" - "&amp;F654</f>
        <v/>
      </c>
      <c r="H654" s="36" t="inlineStr">
        <is>
          <t>RAS</t>
        </is>
      </c>
      <c r="I654" s="45" t="inlineStr"/>
      <c r="J654" s="45" t="inlineStr">
        <is>
          <t>RNCP39156</t>
        </is>
      </c>
      <c r="K654" s="45" t="inlineStr">
        <is>
          <t>Conducteur de ligne de production alimentaire</t>
        </is>
      </c>
      <c r="L654" s="45" t="inlineStr">
        <is>
          <t>01/09/2029</t>
        </is>
      </c>
      <c r="M654" s="45" t="inlineStr">
        <is>
          <t>21554 (Agroalimentaire)</t>
        </is>
      </c>
      <c r="N654" s="50" t="inlineStr">
        <is>
          <t>NON</t>
        </is>
      </c>
      <c r="O654" s="45" t="inlineStr"/>
    </row>
    <row r="655" customFormat="1" s="3">
      <c r="A655" s="45" t="n"/>
      <c r="B655" s="46" t="inlineStr">
        <is>
          <t>21567</t>
        </is>
      </c>
      <c r="C655" s="46">
        <f>LEFT(Tableau1[[#This Row],[Formacode]],3)</f>
        <v/>
      </c>
      <c r="D655" s="47" t="n">
        <v>39966</v>
      </c>
      <c r="E655" s="48">
        <f>"RNCP"&amp;D655</f>
        <v/>
      </c>
      <c r="F655" s="48" t="inlineStr">
        <is>
          <t>CQP Conducteur de machines du secteur alimentaire</t>
        </is>
      </c>
      <c r="G655" s="49">
        <f>E655&amp;" - "&amp;F655</f>
        <v/>
      </c>
      <c r="H655" s="36" t="inlineStr">
        <is>
          <t>RAS</t>
        </is>
      </c>
      <c r="I655" s="45" t="inlineStr"/>
      <c r="J655" s="45" t="inlineStr">
        <is>
          <t>RNCP39966</t>
        </is>
      </c>
      <c r="K655" s="45" t="inlineStr">
        <is>
          <t>CQP Conducteur de machines du secteur alimentaire</t>
        </is>
      </c>
      <c r="L655" s="45" t="inlineStr">
        <is>
          <t>18/12/2029</t>
        </is>
      </c>
      <c r="M655" s="45" t="inlineStr">
        <is>
          <t>31620 (Conduite installation industrielle) ; 21554 (Agroalimentaire)</t>
        </is>
      </c>
      <c r="N655" s="50" t="inlineStr">
        <is>
          <t>NON</t>
        </is>
      </c>
      <c r="O655" s="45" t="inlineStr"/>
    </row>
    <row r="656" customFormat="1" s="3">
      <c r="A656" s="45" t="n"/>
      <c r="B656" s="46" t="inlineStr">
        <is>
          <t>21567</t>
        </is>
      </c>
      <c r="C656" s="46">
        <f>LEFT(Tableau1[[#This Row],[Formacode]],3)</f>
        <v/>
      </c>
      <c r="D656" s="47" t="n">
        <v>39967</v>
      </c>
      <c r="E656" s="48">
        <f>"RNCP"&amp;D656</f>
        <v/>
      </c>
      <c r="F656" s="48" t="inlineStr">
        <is>
          <t>CQP Conducteur de ligne du secteur alimentaire</t>
        </is>
      </c>
      <c r="G656" s="49">
        <f>E656&amp;" - "&amp;F656</f>
        <v/>
      </c>
      <c r="H656" s="36" t="inlineStr">
        <is>
          <t>RAS</t>
        </is>
      </c>
      <c r="I656" s="45" t="inlineStr"/>
      <c r="J656" s="45" t="inlineStr">
        <is>
          <t>RNCP39967</t>
        </is>
      </c>
      <c r="K656" s="45" t="inlineStr">
        <is>
          <t>CQP Conducteur de ligne du secteur alimentaire</t>
        </is>
      </c>
      <c r="L656" s="45" t="inlineStr">
        <is>
          <t>18/12/2029</t>
        </is>
      </c>
      <c r="M656" s="45" t="inlineStr">
        <is>
          <t>31620 (Conduite installation industrielle) ; 21554 (Agroalimentaire)</t>
        </is>
      </c>
      <c r="N656" s="50" t="inlineStr">
        <is>
          <t>NON</t>
        </is>
      </c>
      <c r="O656" s="45" t="inlineStr"/>
    </row>
    <row r="657" customFormat="1" s="3">
      <c r="A657" s="45" t="n"/>
      <c r="B657" s="46" t="inlineStr">
        <is>
          <t>21567</t>
        </is>
      </c>
      <c r="C657" s="46">
        <f>LEFT(Tableau1[[#This Row],[Formacode]],3)</f>
        <v/>
      </c>
      <c r="D657" s="47" t="n">
        <v>39968</v>
      </c>
      <c r="E657" s="48">
        <f>"RNCP"&amp;D657</f>
        <v/>
      </c>
      <c r="F657" s="48" t="inlineStr">
        <is>
          <t>CQP Opérateur de production du secteur alimentaire</t>
        </is>
      </c>
      <c r="G657" s="49">
        <f>E657&amp;" - "&amp;F657</f>
        <v/>
      </c>
      <c r="H657" s="36" t="inlineStr">
        <is>
          <t>RAS</t>
        </is>
      </c>
      <c r="I657" s="45" t="inlineStr"/>
      <c r="J657" s="45" t="inlineStr">
        <is>
          <t>RNCP39968</t>
        </is>
      </c>
      <c r="K657" s="45" t="inlineStr">
        <is>
          <t>CQP Opérateur de production du secteur alimentaire</t>
        </is>
      </c>
      <c r="L657" s="45" t="inlineStr">
        <is>
          <t>18/12/2029</t>
        </is>
      </c>
      <c r="M657" s="45" t="inlineStr">
        <is>
          <t>21554 (Agroalimentaire)</t>
        </is>
      </c>
      <c r="N657" s="50" t="inlineStr">
        <is>
          <t>NON</t>
        </is>
      </c>
      <c r="O657" s="45" t="inlineStr"/>
    </row>
    <row r="658" customFormat="1" s="3">
      <c r="A658" s="45" t="n"/>
      <c r="B658" s="46" t="inlineStr">
        <is>
          <t>21567</t>
        </is>
      </c>
      <c r="C658" s="46">
        <f>LEFT(Tableau1[[#This Row],[Formacode]],3)</f>
        <v/>
      </c>
      <c r="D658" s="47" t="n">
        <v>39971</v>
      </c>
      <c r="E658" s="48">
        <f>"RNCP"&amp;D658</f>
        <v/>
      </c>
      <c r="F658" s="48" t="inlineStr">
        <is>
          <t>CQP Technicien de maintenance du secteur alimentaire</t>
        </is>
      </c>
      <c r="G658" s="49">
        <f>E658&amp;" - "&amp;F658</f>
        <v/>
      </c>
      <c r="H658" s="36" t="inlineStr">
        <is>
          <t>RAS</t>
        </is>
      </c>
      <c r="I658" s="45" t="inlineStr"/>
      <c r="J658" s="45" t="inlineStr">
        <is>
          <t>RNCP39971</t>
        </is>
      </c>
      <c r="K658" s="45" t="inlineStr">
        <is>
          <t>CQP Technicien de maintenance du secteur alimentaire</t>
        </is>
      </c>
      <c r="L658" s="45" t="inlineStr">
        <is>
          <t>18/12/2029</t>
        </is>
      </c>
      <c r="M658" s="45" t="inlineStr">
        <is>
          <t>21554 (Agroalimentaire) ; 31624 (Maintenance industrielle)</t>
        </is>
      </c>
      <c r="N658" s="50" t="inlineStr">
        <is>
          <t>NON</t>
        </is>
      </c>
      <c r="O658" s="45" t="inlineStr"/>
    </row>
    <row r="659" customFormat="1" s="3">
      <c r="A659" s="45" t="n"/>
      <c r="B659" s="46" t="inlineStr">
        <is>
          <t>21567</t>
        </is>
      </c>
      <c r="C659" s="46">
        <f>LEFT(Tableau1[[#This Row],[Formacode]],3)</f>
        <v/>
      </c>
      <c r="D659" s="47" t="n">
        <v>39972</v>
      </c>
      <c r="E659" s="48">
        <f>"RNCP"&amp;D659</f>
        <v/>
      </c>
      <c r="F659" s="48" t="inlineStr">
        <is>
          <t>CQP Responsable d'équipe du secteur alimentaire</t>
        </is>
      </c>
      <c r="G659" s="49">
        <f>E659&amp;" - "&amp;F659</f>
        <v/>
      </c>
      <c r="H659" s="36" t="inlineStr">
        <is>
          <t>RAS</t>
        </is>
      </c>
      <c r="I659" s="45" t="inlineStr"/>
      <c r="J659" s="45" t="inlineStr">
        <is>
          <t>RNCP39972</t>
        </is>
      </c>
      <c r="K659" s="45" t="inlineStr">
        <is>
          <t>CQP Responsable d'équipe du secteur alimentaire</t>
        </is>
      </c>
      <c r="L659" s="45" t="inlineStr">
        <is>
          <t>18/12/2029</t>
        </is>
      </c>
      <c r="M659" s="45" t="inlineStr">
        <is>
          <t>32154 (Encadrement management) ; 21554 (Agroalimentaire)</t>
        </is>
      </c>
      <c r="N659" s="50" t="inlineStr">
        <is>
          <t>NON</t>
        </is>
      </c>
      <c r="O659" s="45" t="inlineStr"/>
    </row>
    <row r="660" customFormat="1" s="3">
      <c r="A660" s="45" t="n"/>
      <c r="B660" s="46" t="inlineStr">
        <is>
          <t>21567</t>
        </is>
      </c>
      <c r="C660" s="46">
        <f>LEFT(Tableau1[[#This Row],[Formacode]],3)</f>
        <v/>
      </c>
      <c r="D660" s="47" t="n">
        <v>41349</v>
      </c>
      <c r="E660" s="48">
        <f>"RNCP"&amp;D660</f>
        <v/>
      </c>
      <c r="F660" s="48" t="inlineStr">
        <is>
          <t>CQP Conducteur de process du secteur alimentaire</t>
        </is>
      </c>
      <c r="G660" s="49">
        <f>E660&amp;" - "&amp;F660</f>
        <v/>
      </c>
      <c r="H660" s="36" t="inlineStr">
        <is>
          <t>RAS</t>
        </is>
      </c>
      <c r="I660" s="45" t="inlineStr"/>
      <c r="J660" s="45" t="inlineStr">
        <is>
          <t>RNCP41349</t>
        </is>
      </c>
      <c r="K660" s="45" t="inlineStr">
        <is>
          <t>CQP Conducteur de process du secteur alimentaire</t>
        </is>
      </c>
      <c r="L660" s="45" t="inlineStr">
        <is>
          <t>24/09/2030</t>
        </is>
      </c>
      <c r="M660" s="45" t="inlineStr">
        <is>
          <t>32012 (Gestion processus) ; 21554 (Agroalimentaire)</t>
        </is>
      </c>
      <c r="N660" s="50" t="inlineStr">
        <is>
          <t>NON</t>
        </is>
      </c>
      <c r="O660" s="45" t="inlineStr"/>
    </row>
    <row r="661" customFormat="1" s="3">
      <c r="A661" s="45" t="n"/>
      <c r="B661" s="46" t="inlineStr">
        <is>
          <t>21567</t>
        </is>
      </c>
      <c r="C661" s="46">
        <f>LEFT(Tableau1[[#This Row],[Formacode]],3)</f>
        <v/>
      </c>
      <c r="D661" s="47" t="n">
        <v>41679</v>
      </c>
      <c r="E661" s="48">
        <f>"RNCP"&amp;D661</f>
        <v/>
      </c>
      <c r="F661" s="48" t="inlineStr">
        <is>
          <t>CQP Agent de maintenance du secteur alimentaire</t>
        </is>
      </c>
      <c r="G661" s="49">
        <f>E661&amp;" - "&amp;F661</f>
        <v/>
      </c>
      <c r="H661" s="36" t="inlineStr">
        <is>
          <t>RAS</t>
        </is>
      </c>
      <c r="I661" s="45" t="inlineStr"/>
      <c r="J661" s="45" t="inlineStr">
        <is>
          <t>RNCP41679</t>
        </is>
      </c>
      <c r="K661" s="45" t="inlineStr">
        <is>
          <t>CQP Agent de maintenance du secteur alimentaire</t>
        </is>
      </c>
      <c r="L661" s="45" t="inlineStr">
        <is>
          <t>27/11/2030</t>
        </is>
      </c>
      <c r="M661" s="45" t="inlineStr">
        <is>
          <t>31624 (Maintenance industrielle) ; 21554 (Agroalimentaire)</t>
        </is>
      </c>
      <c r="N661" s="50" t="inlineStr">
        <is>
          <t>NON</t>
        </is>
      </c>
      <c r="O661" s="45" t="inlineStr"/>
    </row>
    <row r="662" ht="28.8" customFormat="1" customHeight="1" s="3">
      <c r="A662" s="45" t="n"/>
      <c r="B662" s="46" t="inlineStr">
        <is>
          <t>21570</t>
        </is>
      </c>
      <c r="C662" s="46">
        <f>LEFT(Tableau1[[#This Row],[Formacode]],3)</f>
        <v/>
      </c>
      <c r="D662" s="47" t="n">
        <v>36772</v>
      </c>
      <c r="E662" s="48">
        <f>"RNCP"&amp;D662</f>
        <v/>
      </c>
      <c r="F662" s="48" t="inlineStr">
        <is>
          <t>BTSA - Analyses biologiques, biotechnologiques, agricoles et environnementales (ANABIOTEC)</t>
        </is>
      </c>
      <c r="G662" s="49">
        <f>E662&amp;" - "&amp;F662</f>
        <v/>
      </c>
      <c r="H662" s="36" t="inlineStr">
        <is>
          <t>RAS</t>
        </is>
      </c>
      <c r="I662" s="45" t="inlineStr"/>
      <c r="J662" s="45" t="inlineStr">
        <is>
          <t>RNCP36772</t>
        </is>
      </c>
      <c r="K662" s="45" t="inlineStr">
        <is>
          <t>Analyses biologiques, biotechnologiques, agricoles et environnementales (ANABIOTEC)</t>
        </is>
      </c>
      <c r="L662" s="45" t="inlineStr">
        <is>
          <t>31/08/2028</t>
        </is>
      </c>
      <c r="M662" s="45" t="inlineStr">
        <is>
          <t>12081 (Biotechnologie) ; 12003 (Biologie végétale) ; 21007 (Recherche agronomique) ; 21547 (Bonnes pratiques hygiène agroalimentaire)</t>
        </is>
      </c>
      <c r="N662" s="50" t="inlineStr">
        <is>
          <t>NON</t>
        </is>
      </c>
      <c r="O662" s="45" t="inlineStr"/>
    </row>
    <row r="663" customFormat="1" s="3">
      <c r="A663" s="45" t="n"/>
      <c r="B663" s="46" t="inlineStr">
        <is>
          <t>21570</t>
        </is>
      </c>
      <c r="C663" s="46">
        <f>LEFT(Tableau1[[#This Row],[Formacode]],3)</f>
        <v/>
      </c>
      <c r="D663" s="47" t="n">
        <v>36937</v>
      </c>
      <c r="E663" s="48">
        <f>"RNCP"&amp;D663</f>
        <v/>
      </c>
      <c r="F663" s="48" t="inlineStr">
        <is>
          <t>BTSA - Qualité, alimentation, innovation et maîtrise sanitaire (BIOQUALIM)</t>
        </is>
      </c>
      <c r="G663" s="49">
        <f>E663&amp;" - "&amp;F663</f>
        <v/>
      </c>
      <c r="H663" s="36" t="inlineStr">
        <is>
          <t>RAS</t>
        </is>
      </c>
      <c r="I663" s="45" t="inlineStr"/>
      <c r="J663" s="45" t="inlineStr">
        <is>
          <t>RNCP36937</t>
        </is>
      </c>
      <c r="K663" s="45" t="inlineStr">
        <is>
          <t>Qualité, alimentation, innovation et maîtrise sanitaire (BIOQUALIM)</t>
        </is>
      </c>
      <c r="L663" s="45" t="inlineStr">
        <is>
          <t>31/08/2027</t>
        </is>
      </c>
      <c r="M663" s="45" t="inlineStr">
        <is>
          <t>21570 (Qualité sécurité agroalimentaire)</t>
        </is>
      </c>
      <c r="N663" s="50" t="inlineStr">
        <is>
          <t>NON</t>
        </is>
      </c>
      <c r="O663" s="45" t="inlineStr"/>
    </row>
    <row r="664" ht="28.8" customFormat="1" customHeight="1" s="3">
      <c r="A664" s="45" t="n"/>
      <c r="B664" s="46" t="inlineStr">
        <is>
          <t>21570</t>
        </is>
      </c>
      <c r="C664" s="46">
        <f>LEFT(Tableau1[[#This Row],[Formacode]],3)</f>
        <v/>
      </c>
      <c r="D664" s="47" t="n">
        <v>37699</v>
      </c>
      <c r="E664" s="48">
        <f>"RNCP"&amp;D664</f>
        <v/>
      </c>
      <c r="F664" s="48" t="inlineStr">
        <is>
          <t>BAC PRO - Production en industries pharmaceutiques, alimentaires et cosmétiques (PIPAC)</t>
        </is>
      </c>
      <c r="G664" s="49">
        <f>E664&amp;" - "&amp;F664</f>
        <v/>
      </c>
      <c r="H664" s="36" t="inlineStr">
        <is>
          <t>RAS</t>
        </is>
      </c>
      <c r="I664" s="45" t="inlineStr"/>
      <c r="J664" s="45" t="inlineStr">
        <is>
          <t>RNCP37699</t>
        </is>
      </c>
      <c r="K664" s="45" t="inlineStr">
        <is>
          <t>Production en industries pharmaceutiques, alimentaires et cosmétiques (PIPAC)</t>
        </is>
      </c>
      <c r="L664" s="45" t="inlineStr">
        <is>
          <t>31/08/2028</t>
        </is>
      </c>
      <c r="M664" s="45" t="inlineStr">
        <is>
          <t>21554 (Agroalimentaire) ; 12081 (Biotechnologie)</t>
        </is>
      </c>
      <c r="N664" s="50" t="inlineStr">
        <is>
          <t>NON</t>
        </is>
      </c>
      <c r="O664" s="45" t="inlineStr"/>
    </row>
    <row r="665" customFormat="1" s="3">
      <c r="A665" s="45" t="n"/>
      <c r="B665" s="46" t="inlineStr">
        <is>
          <t>21570</t>
        </is>
      </c>
      <c r="C665" s="46">
        <f>LEFT(Tableau1[[#This Row],[Formacode]],3)</f>
        <v/>
      </c>
      <c r="D665" s="47" t="n">
        <v>38374</v>
      </c>
      <c r="E665" s="48">
        <f>"RNCP"&amp;D665</f>
        <v/>
      </c>
      <c r="F665" s="48" t="inlineStr">
        <is>
          <t>TP - Conducteur d'équipements agroalimentaires</t>
        </is>
      </c>
      <c r="G665" s="49">
        <f>E665&amp;" - "&amp;F665</f>
        <v/>
      </c>
      <c r="H665" s="36" t="inlineStr">
        <is>
          <t>RAS</t>
        </is>
      </c>
      <c r="I665" s="45" t="inlineStr"/>
      <c r="J665" s="45" t="inlineStr">
        <is>
          <t>RNCP38374</t>
        </is>
      </c>
      <c r="K665" s="45" t="inlineStr">
        <is>
          <t>Conducteur d'équipements agroalimentaires</t>
        </is>
      </c>
      <c r="L665" s="45" t="inlineStr">
        <is>
          <t>22/12/2028</t>
        </is>
      </c>
      <c r="M665" s="45" t="inlineStr">
        <is>
          <t>21546 (Méthode haccp) ; 21547 (Bonnes pratiques hygiène agroalimentaire) ; 21575 (Conditionnement agroalimentaire) ; 32154 (Encadrement management) ; 32062 (Recherche développement)</t>
        </is>
      </c>
      <c r="N665" s="50" t="inlineStr">
        <is>
          <t>NON</t>
        </is>
      </c>
      <c r="O665" s="45" t="inlineStr"/>
    </row>
    <row r="666" customFormat="1" s="3">
      <c r="A666" s="45" t="n"/>
      <c r="B666" s="46" t="inlineStr">
        <is>
          <t>21570</t>
        </is>
      </c>
      <c r="C666" s="46">
        <f>LEFT(Tableau1[[#This Row],[Formacode]],3)</f>
        <v/>
      </c>
      <c r="D666" s="47" t="n">
        <v>38876</v>
      </c>
      <c r="E666" s="48">
        <f>"RNCP"&amp;D666</f>
        <v/>
      </c>
      <c r="F666" s="48" t="inlineStr">
        <is>
          <t>CAPA - Opérateur en industries agroalimentaires</t>
        </is>
      </c>
      <c r="G666" s="49">
        <f>E666&amp;" - "&amp;F666</f>
        <v/>
      </c>
      <c r="H666" s="36" t="inlineStr">
        <is>
          <t>RAS</t>
        </is>
      </c>
      <c r="I666" s="45" t="inlineStr"/>
      <c r="J666" s="45" t="inlineStr">
        <is>
          <t>RNCP38876</t>
        </is>
      </c>
      <c r="K666" s="45" t="inlineStr">
        <is>
          <t>Opérateur en industries agroalimentaires</t>
        </is>
      </c>
      <c r="L666" s="45" t="inlineStr">
        <is>
          <t>31/12/2028</t>
        </is>
      </c>
      <c r="M666" s="45" t="inlineStr">
        <is>
          <t>21575 (Conditionnement agroalimentaire) ; 21573 (Conservation alimentaire) ; 21570 (Qualité sécurité agroalimentaire)</t>
        </is>
      </c>
      <c r="N666" s="50" t="inlineStr">
        <is>
          <t>NON</t>
        </is>
      </c>
      <c r="O666" s="45" t="inlineStr"/>
    </row>
    <row r="667" customFormat="1" s="3">
      <c r="A667" s="45" t="n"/>
      <c r="B667" s="46" t="inlineStr">
        <is>
          <t>21570</t>
        </is>
      </c>
      <c r="C667" s="46">
        <f>LEFT(Tableau1[[#This Row],[Formacode]],3)</f>
        <v/>
      </c>
      <c r="D667" s="47" t="n">
        <v>39156</v>
      </c>
      <c r="E667" s="48">
        <f>"RNCP"&amp;D667</f>
        <v/>
      </c>
      <c r="F667" s="48" t="inlineStr">
        <is>
          <t>BP - Conducteur de ligne de production alimentaire</t>
        </is>
      </c>
      <c r="G667" s="49">
        <f>E667&amp;" - "&amp;F667</f>
        <v/>
      </c>
      <c r="H667" s="36" t="inlineStr">
        <is>
          <t>RAS</t>
        </is>
      </c>
      <c r="I667" s="45" t="inlineStr"/>
      <c r="J667" s="45" t="inlineStr">
        <is>
          <t>RNCP39156</t>
        </is>
      </c>
      <c r="K667" s="45" t="inlineStr">
        <is>
          <t>Conducteur de ligne de production alimentaire</t>
        </is>
      </c>
      <c r="L667" s="45" t="inlineStr">
        <is>
          <t>01/09/2029</t>
        </is>
      </c>
      <c r="M667" s="45" t="inlineStr">
        <is>
          <t>21554 (Agroalimentaire)</t>
        </is>
      </c>
      <c r="N667" s="50" t="inlineStr">
        <is>
          <t>NON</t>
        </is>
      </c>
      <c r="O667" s="45" t="inlineStr"/>
    </row>
    <row r="668" customFormat="1" s="3">
      <c r="A668" s="45" t="n"/>
      <c r="B668" s="46" t="inlineStr">
        <is>
          <t>21570</t>
        </is>
      </c>
      <c r="C668" s="46">
        <f>LEFT(Tableau1[[#This Row],[Formacode]],3)</f>
        <v/>
      </c>
      <c r="D668" s="47" t="n">
        <v>39966</v>
      </c>
      <c r="E668" s="48">
        <f>"RNCP"&amp;D668</f>
        <v/>
      </c>
      <c r="F668" s="48" t="inlineStr">
        <is>
          <t>CQP Conducteur de machines du secteur alimentaire</t>
        </is>
      </c>
      <c r="G668" s="49">
        <f>E668&amp;" - "&amp;F668</f>
        <v/>
      </c>
      <c r="H668" s="36" t="inlineStr">
        <is>
          <t>RAS</t>
        </is>
      </c>
      <c r="I668" s="45" t="inlineStr"/>
      <c r="J668" s="45" t="inlineStr">
        <is>
          <t>RNCP39966</t>
        </is>
      </c>
      <c r="K668" s="45" t="inlineStr">
        <is>
          <t>CQP Conducteur de machines du secteur alimentaire</t>
        </is>
      </c>
      <c r="L668" s="45" t="inlineStr">
        <is>
          <t>18/12/2029</t>
        </is>
      </c>
      <c r="M668" s="45" t="inlineStr">
        <is>
          <t>31620 (Conduite installation industrielle) ; 21554 (Agroalimentaire)</t>
        </is>
      </c>
      <c r="N668" s="50" t="inlineStr">
        <is>
          <t>NON</t>
        </is>
      </c>
      <c r="O668" s="45" t="inlineStr"/>
    </row>
    <row r="669" customFormat="1" s="3">
      <c r="A669" s="45" t="n"/>
      <c r="B669" s="46" t="inlineStr">
        <is>
          <t>21570</t>
        </is>
      </c>
      <c r="C669" s="46">
        <f>LEFT(Tableau1[[#This Row],[Formacode]],3)</f>
        <v/>
      </c>
      <c r="D669" s="47" t="n">
        <v>39967</v>
      </c>
      <c r="E669" s="48">
        <f>"RNCP"&amp;D669</f>
        <v/>
      </c>
      <c r="F669" s="48" t="inlineStr">
        <is>
          <t>CQP Conducteur de ligne du secteur alimentaire</t>
        </is>
      </c>
      <c r="G669" s="49">
        <f>E669&amp;" - "&amp;F669</f>
        <v/>
      </c>
      <c r="H669" s="36" t="inlineStr">
        <is>
          <t>RAS</t>
        </is>
      </c>
      <c r="I669" s="45" t="inlineStr"/>
      <c r="J669" s="45" t="inlineStr">
        <is>
          <t>RNCP39967</t>
        </is>
      </c>
      <c r="K669" s="45" t="inlineStr">
        <is>
          <t>CQP Conducteur de ligne du secteur alimentaire</t>
        </is>
      </c>
      <c r="L669" s="45" t="inlineStr">
        <is>
          <t>18/12/2029</t>
        </is>
      </c>
      <c r="M669" s="45" t="inlineStr">
        <is>
          <t>31620 (Conduite installation industrielle) ; 21554 (Agroalimentaire)</t>
        </is>
      </c>
      <c r="N669" s="50" t="inlineStr">
        <is>
          <t>NON</t>
        </is>
      </c>
      <c r="O669" s="45" t="inlineStr"/>
    </row>
    <row r="670" customFormat="1" s="3">
      <c r="A670" s="45" t="n"/>
      <c r="B670" s="46" t="inlineStr">
        <is>
          <t>21570</t>
        </is>
      </c>
      <c r="C670" s="46">
        <f>LEFT(Tableau1[[#This Row],[Formacode]],3)</f>
        <v/>
      </c>
      <c r="D670" s="47" t="n">
        <v>39968</v>
      </c>
      <c r="E670" s="48">
        <f>"RNCP"&amp;D670</f>
        <v/>
      </c>
      <c r="F670" s="48" t="inlineStr">
        <is>
          <t>CQP Opérateur de production du secteur alimentaire</t>
        </is>
      </c>
      <c r="G670" s="49">
        <f>E670&amp;" - "&amp;F670</f>
        <v/>
      </c>
      <c r="H670" s="36" t="inlineStr">
        <is>
          <t>RAS</t>
        </is>
      </c>
      <c r="I670" s="45" t="inlineStr"/>
      <c r="J670" s="45" t="inlineStr">
        <is>
          <t>RNCP39968</t>
        </is>
      </c>
      <c r="K670" s="45" t="inlineStr">
        <is>
          <t>CQP Opérateur de production du secteur alimentaire</t>
        </is>
      </c>
      <c r="L670" s="45" t="inlineStr">
        <is>
          <t>18/12/2029</t>
        </is>
      </c>
      <c r="M670" s="45" t="inlineStr">
        <is>
          <t>21554 (Agroalimentaire)</t>
        </is>
      </c>
      <c r="N670" s="50" t="inlineStr">
        <is>
          <t>NON</t>
        </is>
      </c>
      <c r="O670" s="45" t="inlineStr"/>
    </row>
    <row r="671" customFormat="1" s="3">
      <c r="A671" s="45" t="n"/>
      <c r="B671" s="46" t="inlineStr">
        <is>
          <t>21570</t>
        </is>
      </c>
      <c r="C671" s="46">
        <f>LEFT(Tableau1[[#This Row],[Formacode]],3)</f>
        <v/>
      </c>
      <c r="D671" s="47" t="n">
        <v>39971</v>
      </c>
      <c r="E671" s="48">
        <f>"RNCP"&amp;D671</f>
        <v/>
      </c>
      <c r="F671" s="48" t="inlineStr">
        <is>
          <t>CQP Technicien de maintenance du secteur alimentaire</t>
        </is>
      </c>
      <c r="G671" s="49">
        <f>E671&amp;" - "&amp;F671</f>
        <v/>
      </c>
      <c r="H671" s="36" t="inlineStr">
        <is>
          <t>RAS</t>
        </is>
      </c>
      <c r="I671" s="45" t="inlineStr"/>
      <c r="J671" s="45" t="inlineStr">
        <is>
          <t>RNCP39971</t>
        </is>
      </c>
      <c r="K671" s="45" t="inlineStr">
        <is>
          <t>CQP Technicien de maintenance du secteur alimentaire</t>
        </is>
      </c>
      <c r="L671" s="45" t="inlineStr">
        <is>
          <t>18/12/2029</t>
        </is>
      </c>
      <c r="M671" s="45" t="inlineStr">
        <is>
          <t>21554 (Agroalimentaire) ; 31624 (Maintenance industrielle)</t>
        </is>
      </c>
      <c r="N671" s="50" t="inlineStr">
        <is>
          <t>NON</t>
        </is>
      </c>
      <c r="O671" s="45" t="inlineStr"/>
    </row>
    <row r="672" customFormat="1" s="3">
      <c r="A672" s="45" t="n"/>
      <c r="B672" s="46" t="inlineStr">
        <is>
          <t>21570</t>
        </is>
      </c>
      <c r="C672" s="46">
        <f>LEFT(Tableau1[[#This Row],[Formacode]],3)</f>
        <v/>
      </c>
      <c r="D672" s="47" t="n">
        <v>39972</v>
      </c>
      <c r="E672" s="48">
        <f>"RNCP"&amp;D672</f>
        <v/>
      </c>
      <c r="F672" s="48" t="inlineStr">
        <is>
          <t>CQP Responsable d'équipe du secteur alimentaire</t>
        </is>
      </c>
      <c r="G672" s="49">
        <f>E672&amp;" - "&amp;F672</f>
        <v/>
      </c>
      <c r="H672" s="36" t="inlineStr">
        <is>
          <t>RAS</t>
        </is>
      </c>
      <c r="I672" s="45" t="inlineStr"/>
      <c r="J672" s="45" t="inlineStr">
        <is>
          <t>RNCP39972</t>
        </is>
      </c>
      <c r="K672" s="45" t="inlineStr">
        <is>
          <t>CQP Responsable d'équipe du secteur alimentaire</t>
        </is>
      </c>
      <c r="L672" s="45" t="inlineStr">
        <is>
          <t>18/12/2029</t>
        </is>
      </c>
      <c r="M672" s="45" t="inlineStr">
        <is>
          <t>32154 (Encadrement management) ; 21554 (Agroalimentaire)</t>
        </is>
      </c>
      <c r="N672" s="50" t="inlineStr">
        <is>
          <t>NON</t>
        </is>
      </c>
      <c r="O672" s="45" t="inlineStr"/>
    </row>
    <row r="673" customFormat="1" s="3">
      <c r="A673" s="45" t="n"/>
      <c r="B673" s="46" t="inlineStr">
        <is>
          <t>21570</t>
        </is>
      </c>
      <c r="C673" s="46">
        <f>LEFT(Tableau1[[#This Row],[Formacode]],3)</f>
        <v/>
      </c>
      <c r="D673" s="47" t="n">
        <v>41043</v>
      </c>
      <c r="E673" s="48">
        <f>"RNCP"&amp;D673</f>
        <v/>
      </c>
      <c r="F673" s="48" t="inlineStr">
        <is>
          <t>BTS - Bioqualité</t>
        </is>
      </c>
      <c r="G673" s="49">
        <f>E673&amp;" - "&amp;F673</f>
        <v/>
      </c>
      <c r="H673" s="36" t="inlineStr">
        <is>
          <t>RAS</t>
        </is>
      </c>
      <c r="I673" s="45" t="inlineStr"/>
      <c r="J673" s="45" t="inlineStr">
        <is>
          <t>RNCP41043</t>
        </is>
      </c>
      <c r="K673" s="45" t="inlineStr">
        <is>
          <t>Bioqualité</t>
        </is>
      </c>
      <c r="L673" s="45" t="inlineStr">
        <is>
          <t>31/08/2030</t>
        </is>
      </c>
      <c r="M673" s="45" t="inlineStr">
        <is>
          <t>12065 (Qualité laboratoire) ; 12081 (Biotechnologie) ; 21543 (Laboratoire analyse agroalimentaire) ; 21570 (Qualité sécurité agroalimentaire)</t>
        </is>
      </c>
      <c r="N673" s="50" t="inlineStr">
        <is>
          <t>NON</t>
        </is>
      </c>
      <c r="O673" s="45" t="inlineStr"/>
    </row>
    <row r="674" customFormat="1" s="3">
      <c r="A674" s="45" t="n"/>
      <c r="B674" s="46" t="inlineStr">
        <is>
          <t>21570</t>
        </is>
      </c>
      <c r="C674" s="46">
        <f>LEFT(Tableau1[[#This Row],[Formacode]],3)</f>
        <v/>
      </c>
      <c r="D674" s="47" t="n">
        <v>41349</v>
      </c>
      <c r="E674" s="48">
        <f>"RNCP"&amp;D674</f>
        <v/>
      </c>
      <c r="F674" s="48" t="inlineStr">
        <is>
          <t>CQP Conducteur de process du secteur alimentaire</t>
        </is>
      </c>
      <c r="G674" s="49">
        <f>E674&amp;" - "&amp;F674</f>
        <v/>
      </c>
      <c r="H674" s="36" t="inlineStr">
        <is>
          <t>RAS</t>
        </is>
      </c>
      <c r="I674" s="45" t="inlineStr"/>
      <c r="J674" s="45" t="inlineStr">
        <is>
          <t>RNCP41349</t>
        </is>
      </c>
      <c r="K674" s="45" t="inlineStr">
        <is>
          <t>CQP Conducteur de process du secteur alimentaire</t>
        </is>
      </c>
      <c r="L674" s="45" t="inlineStr">
        <is>
          <t>24/09/2030</t>
        </is>
      </c>
      <c r="M674" s="45" t="inlineStr">
        <is>
          <t>32012 (Gestion processus) ; 21554 (Agroalimentaire)</t>
        </is>
      </c>
      <c r="N674" s="50" t="inlineStr">
        <is>
          <t>NON</t>
        </is>
      </c>
      <c r="O674" s="45" t="inlineStr"/>
    </row>
    <row r="675" customFormat="1" s="3">
      <c r="A675" s="45" t="n"/>
      <c r="B675" s="46" t="inlineStr">
        <is>
          <t>21570</t>
        </is>
      </c>
      <c r="C675" s="46">
        <f>LEFT(Tableau1[[#This Row],[Formacode]],3)</f>
        <v/>
      </c>
      <c r="D675" s="47" t="n">
        <v>41679</v>
      </c>
      <c r="E675" s="48">
        <f>"RNCP"&amp;D675</f>
        <v/>
      </c>
      <c r="F675" s="48" t="inlineStr">
        <is>
          <t>CQP Agent de maintenance du secteur alimentaire</t>
        </is>
      </c>
      <c r="G675" s="49">
        <f>E675&amp;" - "&amp;F675</f>
        <v/>
      </c>
      <c r="H675" s="36" t="inlineStr">
        <is>
          <t>RAS</t>
        </is>
      </c>
      <c r="I675" s="45" t="inlineStr"/>
      <c r="J675" s="45" t="inlineStr">
        <is>
          <t>RNCP41679</t>
        </is>
      </c>
      <c r="K675" s="45" t="inlineStr">
        <is>
          <t>CQP Agent de maintenance du secteur alimentaire</t>
        </is>
      </c>
      <c r="L675" s="45" t="inlineStr">
        <is>
          <t>27/11/2030</t>
        </is>
      </c>
      <c r="M675" s="45" t="inlineStr">
        <is>
          <t>31624 (Maintenance industrielle) ; 21554 (Agroalimentaire)</t>
        </is>
      </c>
      <c r="N675" s="50" t="inlineStr">
        <is>
          <t>NON</t>
        </is>
      </c>
      <c r="O675" s="45" t="inlineStr"/>
    </row>
    <row r="676" ht="28.8" customFormat="1" customHeight="1" s="3">
      <c r="A676" s="45" t="n"/>
      <c r="B676" s="46" t="inlineStr">
        <is>
          <t>21573</t>
        </is>
      </c>
      <c r="C676" s="46">
        <f>LEFT(Tableau1[[#This Row],[Formacode]],3)</f>
        <v/>
      </c>
      <c r="D676" s="47" t="n">
        <v>37699</v>
      </c>
      <c r="E676" s="48">
        <f>"RNCP"&amp;D676</f>
        <v/>
      </c>
      <c r="F676" s="48" t="inlineStr">
        <is>
          <t>BAC PRO - Production en industries pharmaceutiques, alimentaires et cosmétiques (PIPAC)</t>
        </is>
      </c>
      <c r="G676" s="49">
        <f>E676&amp;" - "&amp;F676</f>
        <v/>
      </c>
      <c r="H676" s="36" t="inlineStr">
        <is>
          <t>RAS</t>
        </is>
      </c>
      <c r="I676" s="45" t="inlineStr"/>
      <c r="J676" s="45" t="inlineStr">
        <is>
          <t>RNCP37699</t>
        </is>
      </c>
      <c r="K676" s="45" t="inlineStr">
        <is>
          <t>Production en industries pharmaceutiques, alimentaires et cosmétiques (PIPAC)</t>
        </is>
      </c>
      <c r="L676" s="45" t="inlineStr">
        <is>
          <t>31/08/2028</t>
        </is>
      </c>
      <c r="M676" s="45" t="inlineStr">
        <is>
          <t>21554 (Agroalimentaire) ; 12081 (Biotechnologie)</t>
        </is>
      </c>
      <c r="N676" s="50" t="inlineStr">
        <is>
          <t>NON</t>
        </is>
      </c>
      <c r="O676" s="45" t="inlineStr"/>
    </row>
    <row r="677" customFormat="1" s="3">
      <c r="A677" s="45" t="n"/>
      <c r="B677" s="46" t="inlineStr">
        <is>
          <t>21573</t>
        </is>
      </c>
      <c r="C677" s="46">
        <f>LEFT(Tableau1[[#This Row],[Formacode]],3)</f>
        <v/>
      </c>
      <c r="D677" s="47" t="n">
        <v>38876</v>
      </c>
      <c r="E677" s="48">
        <f>"RNCP"&amp;D677</f>
        <v/>
      </c>
      <c r="F677" s="48" t="inlineStr">
        <is>
          <t>CAPA - Opérateur en industries agroalimentaires</t>
        </is>
      </c>
      <c r="G677" s="49">
        <f>E677&amp;" - "&amp;F677</f>
        <v/>
      </c>
      <c r="H677" s="36" t="inlineStr">
        <is>
          <t>RAS</t>
        </is>
      </c>
      <c r="I677" s="45" t="inlineStr"/>
      <c r="J677" s="45" t="inlineStr">
        <is>
          <t>RNCP38876</t>
        </is>
      </c>
      <c r="K677" s="45" t="inlineStr">
        <is>
          <t>Opérateur en industries agroalimentaires</t>
        </is>
      </c>
      <c r="L677" s="45" t="inlineStr">
        <is>
          <t>31/12/2028</t>
        </is>
      </c>
      <c r="M677" s="45" t="inlineStr">
        <is>
          <t>21575 (Conditionnement agroalimentaire) ; 21573 (Conservation alimentaire) ; 21570 (Qualité sécurité agroalimentaire)</t>
        </is>
      </c>
      <c r="N677" s="50" t="inlineStr">
        <is>
          <t>NON</t>
        </is>
      </c>
      <c r="O677" s="45" t="inlineStr"/>
    </row>
    <row r="678" customFormat="1" s="3">
      <c r="A678" s="45" t="n"/>
      <c r="B678" s="46" t="inlineStr">
        <is>
          <t>21573</t>
        </is>
      </c>
      <c r="C678" s="46">
        <f>LEFT(Tableau1[[#This Row],[Formacode]],3)</f>
        <v/>
      </c>
      <c r="D678" s="47" t="n">
        <v>39156</v>
      </c>
      <c r="E678" s="48">
        <f>"RNCP"&amp;D678</f>
        <v/>
      </c>
      <c r="F678" s="48" t="inlineStr">
        <is>
          <t>BP - Conducteur de ligne de production alimentaire</t>
        </is>
      </c>
      <c r="G678" s="49">
        <f>E678&amp;" - "&amp;F678</f>
        <v/>
      </c>
      <c r="H678" s="36" t="inlineStr">
        <is>
          <t>RAS</t>
        </is>
      </c>
      <c r="I678" s="45" t="inlineStr"/>
      <c r="J678" s="45" t="inlineStr">
        <is>
          <t>RNCP39156</t>
        </is>
      </c>
      <c r="K678" s="45" t="inlineStr">
        <is>
          <t>Conducteur de ligne de production alimentaire</t>
        </is>
      </c>
      <c r="L678" s="45" t="inlineStr">
        <is>
          <t>01/09/2029</t>
        </is>
      </c>
      <c r="M678" s="45" t="inlineStr">
        <is>
          <t>21554 (Agroalimentaire)</t>
        </is>
      </c>
      <c r="N678" s="50" t="inlineStr">
        <is>
          <t>NON</t>
        </is>
      </c>
      <c r="O678" s="45" t="inlineStr"/>
    </row>
    <row r="679" customFormat="1" s="3">
      <c r="A679" s="45" t="n"/>
      <c r="B679" s="46" t="inlineStr">
        <is>
          <t>21573</t>
        </is>
      </c>
      <c r="C679" s="46">
        <f>LEFT(Tableau1[[#This Row],[Formacode]],3)</f>
        <v/>
      </c>
      <c r="D679" s="47" t="n">
        <v>39966</v>
      </c>
      <c r="E679" s="48">
        <f>"RNCP"&amp;D679</f>
        <v/>
      </c>
      <c r="F679" s="48" t="inlineStr">
        <is>
          <t>CQP Conducteur de machines du secteur alimentaire</t>
        </is>
      </c>
      <c r="G679" s="49">
        <f>E679&amp;" - "&amp;F679</f>
        <v/>
      </c>
      <c r="H679" s="36" t="inlineStr">
        <is>
          <t>RAS</t>
        </is>
      </c>
      <c r="I679" s="45" t="inlineStr"/>
      <c r="J679" s="45" t="inlineStr">
        <is>
          <t>RNCP39966</t>
        </is>
      </c>
      <c r="K679" s="45" t="inlineStr">
        <is>
          <t>CQP Conducteur de machines du secteur alimentaire</t>
        </is>
      </c>
      <c r="L679" s="45" t="inlineStr">
        <is>
          <t>18/12/2029</t>
        </is>
      </c>
      <c r="M679" s="45" t="inlineStr">
        <is>
          <t>31620 (Conduite installation industrielle) ; 21554 (Agroalimentaire)</t>
        </is>
      </c>
      <c r="N679" s="50" t="inlineStr">
        <is>
          <t>NON</t>
        </is>
      </c>
      <c r="O679" s="45" t="inlineStr"/>
    </row>
    <row r="680" customFormat="1" s="3">
      <c r="A680" s="45" t="n"/>
      <c r="B680" s="46" t="inlineStr">
        <is>
          <t>21573</t>
        </is>
      </c>
      <c r="C680" s="46">
        <f>LEFT(Tableau1[[#This Row],[Formacode]],3)</f>
        <v/>
      </c>
      <c r="D680" s="47" t="n">
        <v>39967</v>
      </c>
      <c r="E680" s="48">
        <f>"RNCP"&amp;D680</f>
        <v/>
      </c>
      <c r="F680" s="48" t="inlineStr">
        <is>
          <t>CQP Conducteur de ligne du secteur alimentaire</t>
        </is>
      </c>
      <c r="G680" s="49">
        <f>E680&amp;" - "&amp;F680</f>
        <v/>
      </c>
      <c r="H680" s="36" t="inlineStr">
        <is>
          <t>RAS</t>
        </is>
      </c>
      <c r="I680" s="45" t="inlineStr"/>
      <c r="J680" s="45" t="inlineStr">
        <is>
          <t>RNCP39967</t>
        </is>
      </c>
      <c r="K680" s="45" t="inlineStr">
        <is>
          <t>CQP Conducteur de ligne du secteur alimentaire</t>
        </is>
      </c>
      <c r="L680" s="45" t="inlineStr">
        <is>
          <t>18/12/2029</t>
        </is>
      </c>
      <c r="M680" s="45" t="inlineStr">
        <is>
          <t>31620 (Conduite installation industrielle) ; 21554 (Agroalimentaire)</t>
        </is>
      </c>
      <c r="N680" s="50" t="inlineStr">
        <is>
          <t>NON</t>
        </is>
      </c>
      <c r="O680" s="45" t="inlineStr"/>
    </row>
    <row r="681" customFormat="1" s="3">
      <c r="A681" s="45" t="n"/>
      <c r="B681" s="46" t="inlineStr">
        <is>
          <t>21573</t>
        </is>
      </c>
      <c r="C681" s="46">
        <f>LEFT(Tableau1[[#This Row],[Formacode]],3)</f>
        <v/>
      </c>
      <c r="D681" s="47" t="n">
        <v>39968</v>
      </c>
      <c r="E681" s="48">
        <f>"RNCP"&amp;D681</f>
        <v/>
      </c>
      <c r="F681" s="48" t="inlineStr">
        <is>
          <t>CQP Opérateur de production du secteur alimentaire</t>
        </is>
      </c>
      <c r="G681" s="49">
        <f>E681&amp;" - "&amp;F681</f>
        <v/>
      </c>
      <c r="H681" s="36" t="inlineStr">
        <is>
          <t>RAS</t>
        </is>
      </c>
      <c r="I681" s="45" t="inlineStr"/>
      <c r="J681" s="45" t="inlineStr">
        <is>
          <t>RNCP39968</t>
        </is>
      </c>
      <c r="K681" s="45" t="inlineStr">
        <is>
          <t>CQP Opérateur de production du secteur alimentaire</t>
        </is>
      </c>
      <c r="L681" s="45" t="inlineStr">
        <is>
          <t>18/12/2029</t>
        </is>
      </c>
      <c r="M681" s="45" t="inlineStr">
        <is>
          <t>21554 (Agroalimentaire)</t>
        </is>
      </c>
      <c r="N681" s="50" t="inlineStr">
        <is>
          <t>NON</t>
        </is>
      </c>
      <c r="O681" s="45" t="inlineStr"/>
    </row>
    <row r="682" customFormat="1" s="3">
      <c r="A682" s="45" t="n"/>
      <c r="B682" s="46" t="inlineStr">
        <is>
          <t>21573</t>
        </is>
      </c>
      <c r="C682" s="46">
        <f>LEFT(Tableau1[[#This Row],[Formacode]],3)</f>
        <v/>
      </c>
      <c r="D682" s="47" t="n">
        <v>39971</v>
      </c>
      <c r="E682" s="48">
        <f>"RNCP"&amp;D682</f>
        <v/>
      </c>
      <c r="F682" s="48" t="inlineStr">
        <is>
          <t>CQP Technicien de maintenance du secteur alimentaire</t>
        </is>
      </c>
      <c r="G682" s="49">
        <f>E682&amp;" - "&amp;F682</f>
        <v/>
      </c>
      <c r="H682" s="36" t="inlineStr">
        <is>
          <t>RAS</t>
        </is>
      </c>
      <c r="I682" s="45" t="inlineStr"/>
      <c r="J682" s="45" t="inlineStr">
        <is>
          <t>RNCP39971</t>
        </is>
      </c>
      <c r="K682" s="45" t="inlineStr">
        <is>
          <t>CQP Technicien de maintenance du secteur alimentaire</t>
        </is>
      </c>
      <c r="L682" s="45" t="inlineStr">
        <is>
          <t>18/12/2029</t>
        </is>
      </c>
      <c r="M682" s="45" t="inlineStr">
        <is>
          <t>21554 (Agroalimentaire) ; 31624 (Maintenance industrielle)</t>
        </is>
      </c>
      <c r="N682" s="50" t="inlineStr">
        <is>
          <t>NON</t>
        </is>
      </c>
      <c r="O682" s="45" t="inlineStr"/>
    </row>
    <row r="683" customFormat="1" s="3">
      <c r="A683" s="45" t="n"/>
      <c r="B683" s="46" t="inlineStr">
        <is>
          <t>21573</t>
        </is>
      </c>
      <c r="C683" s="46">
        <f>LEFT(Tableau1[[#This Row],[Formacode]],3)</f>
        <v/>
      </c>
      <c r="D683" s="47" t="n">
        <v>39972</v>
      </c>
      <c r="E683" s="48">
        <f>"RNCP"&amp;D683</f>
        <v/>
      </c>
      <c r="F683" s="48" t="inlineStr">
        <is>
          <t>CQP Responsable d'équipe du secteur alimentaire</t>
        </is>
      </c>
      <c r="G683" s="49">
        <f>E683&amp;" - "&amp;F683</f>
        <v/>
      </c>
      <c r="H683" s="36" t="inlineStr">
        <is>
          <t>RAS</t>
        </is>
      </c>
      <c r="I683" s="45" t="inlineStr"/>
      <c r="J683" s="45" t="inlineStr">
        <is>
          <t>RNCP39972</t>
        </is>
      </c>
      <c r="K683" s="45" t="inlineStr">
        <is>
          <t>CQP Responsable d'équipe du secteur alimentaire</t>
        </is>
      </c>
      <c r="L683" s="45" t="inlineStr">
        <is>
          <t>18/12/2029</t>
        </is>
      </c>
      <c r="M683" s="45" t="inlineStr">
        <is>
          <t>32154 (Encadrement management) ; 21554 (Agroalimentaire)</t>
        </is>
      </c>
      <c r="N683" s="50" t="inlineStr">
        <is>
          <t>NON</t>
        </is>
      </c>
      <c r="O683" s="45" t="inlineStr"/>
    </row>
    <row r="684" customFormat="1" s="3">
      <c r="A684" s="45" t="n"/>
      <c r="B684" s="46" t="inlineStr">
        <is>
          <t>21573</t>
        </is>
      </c>
      <c r="C684" s="46">
        <f>LEFT(Tableau1[[#This Row],[Formacode]],3)</f>
        <v/>
      </c>
      <c r="D684" s="47" t="n">
        <v>41349</v>
      </c>
      <c r="E684" s="48">
        <f>"RNCP"&amp;D684</f>
        <v/>
      </c>
      <c r="F684" s="48" t="inlineStr">
        <is>
          <t>CQP Conducteur de process du secteur alimentaire</t>
        </is>
      </c>
      <c r="G684" s="49">
        <f>E684&amp;" - "&amp;F684</f>
        <v/>
      </c>
      <c r="H684" s="36" t="inlineStr">
        <is>
          <t>RAS</t>
        </is>
      </c>
      <c r="I684" s="45" t="inlineStr"/>
      <c r="J684" s="45" t="inlineStr">
        <is>
          <t>RNCP41349</t>
        </is>
      </c>
      <c r="K684" s="45" t="inlineStr">
        <is>
          <t>CQP Conducteur de process du secteur alimentaire</t>
        </is>
      </c>
      <c r="L684" s="45" t="inlineStr">
        <is>
          <t>24/09/2030</t>
        </is>
      </c>
      <c r="M684" s="45" t="inlineStr">
        <is>
          <t>32012 (Gestion processus) ; 21554 (Agroalimentaire)</t>
        </is>
      </c>
      <c r="N684" s="50" t="inlineStr">
        <is>
          <t>NON</t>
        </is>
      </c>
      <c r="O684" s="45" t="inlineStr"/>
    </row>
    <row r="685" customFormat="1" s="3">
      <c r="A685" s="45" t="n"/>
      <c r="B685" s="46" t="inlineStr">
        <is>
          <t>21573</t>
        </is>
      </c>
      <c r="C685" s="46">
        <f>LEFT(Tableau1[[#This Row],[Formacode]],3)</f>
        <v/>
      </c>
      <c r="D685" s="47" t="n">
        <v>41679</v>
      </c>
      <c r="E685" s="48">
        <f>"RNCP"&amp;D685</f>
        <v/>
      </c>
      <c r="F685" s="48" t="inlineStr">
        <is>
          <t>CQP Agent de maintenance du secteur alimentaire</t>
        </is>
      </c>
      <c r="G685" s="49">
        <f>E685&amp;" - "&amp;F685</f>
        <v/>
      </c>
      <c r="H685" s="36" t="inlineStr">
        <is>
          <t>RAS</t>
        </is>
      </c>
      <c r="I685" s="45" t="inlineStr"/>
      <c r="J685" s="45" t="inlineStr">
        <is>
          <t>RNCP41679</t>
        </is>
      </c>
      <c r="K685" s="45" t="inlineStr">
        <is>
          <t>CQP Agent de maintenance du secteur alimentaire</t>
        </is>
      </c>
      <c r="L685" s="45" t="inlineStr">
        <is>
          <t>27/11/2030</t>
        </is>
      </c>
      <c r="M685" s="45" t="inlineStr">
        <is>
          <t>31624 (Maintenance industrielle) ; 21554 (Agroalimentaire)</t>
        </is>
      </c>
      <c r="N685" s="50" t="inlineStr">
        <is>
          <t>NON</t>
        </is>
      </c>
      <c r="O685" s="45" t="inlineStr"/>
    </row>
    <row r="686" ht="28.8" customFormat="1" customHeight="1" s="3">
      <c r="A686" s="45" t="n"/>
      <c r="B686" s="46" t="inlineStr">
        <is>
          <t>21575</t>
        </is>
      </c>
      <c r="C686" s="46">
        <f>LEFT(Tableau1[[#This Row],[Formacode]],3)</f>
        <v/>
      </c>
      <c r="D686" s="47" t="n">
        <v>37699</v>
      </c>
      <c r="E686" s="48">
        <f>"RNCP"&amp;D686</f>
        <v/>
      </c>
      <c r="F686" s="48" t="inlineStr">
        <is>
          <t>BAC PRO - Production en industries pharmaceutiques, alimentaires et cosmétiques (PIPAC)</t>
        </is>
      </c>
      <c r="G686" s="49">
        <f>E686&amp;" - "&amp;F686</f>
        <v/>
      </c>
      <c r="H686" s="36" t="inlineStr">
        <is>
          <t>RAS</t>
        </is>
      </c>
      <c r="I686" s="45" t="inlineStr"/>
      <c r="J686" s="45" t="inlineStr">
        <is>
          <t>RNCP37699</t>
        </is>
      </c>
      <c r="K686" s="45" t="inlineStr">
        <is>
          <t>Production en industries pharmaceutiques, alimentaires et cosmétiques (PIPAC)</t>
        </is>
      </c>
      <c r="L686" s="45" t="inlineStr">
        <is>
          <t>31/08/2028</t>
        </is>
      </c>
      <c r="M686" s="45" t="inlineStr">
        <is>
          <t>21554 (Agroalimentaire) ; 12081 (Biotechnologie)</t>
        </is>
      </c>
      <c r="N686" s="50" t="inlineStr">
        <is>
          <t>NON</t>
        </is>
      </c>
      <c r="O686" s="45" t="inlineStr"/>
    </row>
    <row r="687" customFormat="1" s="3">
      <c r="A687" s="45" t="n"/>
      <c r="B687" s="46" t="inlineStr">
        <is>
          <t>21575</t>
        </is>
      </c>
      <c r="C687" s="46">
        <f>LEFT(Tableau1[[#This Row],[Formacode]],3)</f>
        <v/>
      </c>
      <c r="D687" s="47" t="n">
        <v>38374</v>
      </c>
      <c r="E687" s="48">
        <f>"RNCP"&amp;D687</f>
        <v/>
      </c>
      <c r="F687" s="48" t="inlineStr">
        <is>
          <t>TP - Conducteur d'équipements agroalimentaires</t>
        </is>
      </c>
      <c r="G687" s="49">
        <f>E687&amp;" - "&amp;F687</f>
        <v/>
      </c>
      <c r="H687" s="36" t="inlineStr">
        <is>
          <t>RAS</t>
        </is>
      </c>
      <c r="I687" s="45" t="inlineStr"/>
      <c r="J687" s="45" t="inlineStr">
        <is>
          <t>RNCP38374</t>
        </is>
      </c>
      <c r="K687" s="45" t="inlineStr">
        <is>
          <t>Conducteur d'équipements agroalimentaires</t>
        </is>
      </c>
      <c r="L687" s="45" t="inlineStr">
        <is>
          <t>22/12/2028</t>
        </is>
      </c>
      <c r="M687" s="45" t="inlineStr">
        <is>
          <t>21546 (Méthode haccp) ; 21547 (Bonnes pratiques hygiène agroalimentaire) ; 21575 (Conditionnement agroalimentaire) ; 32154 (Encadrement management) ; 32062 (Recherche développement)</t>
        </is>
      </c>
      <c r="N687" s="50" t="inlineStr">
        <is>
          <t>NON</t>
        </is>
      </c>
      <c r="O687" s="45" t="inlineStr"/>
    </row>
    <row r="688" customFormat="1" s="3">
      <c r="A688" s="45" t="n"/>
      <c r="B688" s="46" t="inlineStr">
        <is>
          <t>21575</t>
        </is>
      </c>
      <c r="C688" s="46">
        <f>LEFT(Tableau1[[#This Row],[Formacode]],3)</f>
        <v/>
      </c>
      <c r="D688" s="47" t="n">
        <v>38876</v>
      </c>
      <c r="E688" s="48">
        <f>"RNCP"&amp;D688</f>
        <v/>
      </c>
      <c r="F688" s="48" t="inlineStr">
        <is>
          <t>CAPA - Opérateur en industries agroalimentaires</t>
        </is>
      </c>
      <c r="G688" s="49">
        <f>E688&amp;" - "&amp;F688</f>
        <v/>
      </c>
      <c r="H688" s="36" t="inlineStr">
        <is>
          <t>RAS</t>
        </is>
      </c>
      <c r="I688" s="45" t="inlineStr"/>
      <c r="J688" s="45" t="inlineStr">
        <is>
          <t>RNCP38876</t>
        </is>
      </c>
      <c r="K688" s="45" t="inlineStr">
        <is>
          <t>Opérateur en industries agroalimentaires</t>
        </is>
      </c>
      <c r="L688" s="45" t="inlineStr">
        <is>
          <t>31/12/2028</t>
        </is>
      </c>
      <c r="M688" s="45" t="inlineStr">
        <is>
          <t>21575 (Conditionnement agroalimentaire) ; 21573 (Conservation alimentaire) ; 21570 (Qualité sécurité agroalimentaire)</t>
        </is>
      </c>
      <c r="N688" s="50" t="inlineStr">
        <is>
          <t>NON</t>
        </is>
      </c>
      <c r="O688" s="45" t="inlineStr"/>
    </row>
    <row r="689" customFormat="1" s="3">
      <c r="A689" s="45" t="n"/>
      <c r="B689" s="46" t="inlineStr">
        <is>
          <t>21575</t>
        </is>
      </c>
      <c r="C689" s="46">
        <f>LEFT(Tableau1[[#This Row],[Formacode]],3)</f>
        <v/>
      </c>
      <c r="D689" s="47" t="n">
        <v>39156</v>
      </c>
      <c r="E689" s="48">
        <f>"RNCP"&amp;D689</f>
        <v/>
      </c>
      <c r="F689" s="48" t="inlineStr">
        <is>
          <t>BP - Conducteur de ligne de production alimentaire</t>
        </is>
      </c>
      <c r="G689" s="49">
        <f>E689&amp;" - "&amp;F689</f>
        <v/>
      </c>
      <c r="H689" s="36" t="inlineStr">
        <is>
          <t>RAS</t>
        </is>
      </c>
      <c r="I689" s="45" t="inlineStr"/>
      <c r="J689" s="45" t="inlineStr">
        <is>
          <t>RNCP39156</t>
        </is>
      </c>
      <c r="K689" s="45" t="inlineStr">
        <is>
          <t>Conducteur de ligne de production alimentaire</t>
        </is>
      </c>
      <c r="L689" s="45" t="inlineStr">
        <is>
          <t>01/09/2029</t>
        </is>
      </c>
      <c r="M689" s="45" t="inlineStr">
        <is>
          <t>21554 (Agroalimentaire)</t>
        </is>
      </c>
      <c r="N689" s="50" t="inlineStr">
        <is>
          <t>NON</t>
        </is>
      </c>
      <c r="O689" s="45" t="inlineStr"/>
    </row>
    <row r="690" customFormat="1" s="3">
      <c r="A690" s="45" t="n"/>
      <c r="B690" s="46" t="inlineStr">
        <is>
          <t>21575</t>
        </is>
      </c>
      <c r="C690" s="46">
        <f>LEFT(Tableau1[[#This Row],[Formacode]],3)</f>
        <v/>
      </c>
      <c r="D690" s="47" t="n">
        <v>39966</v>
      </c>
      <c r="E690" s="48">
        <f>"RNCP"&amp;D690</f>
        <v/>
      </c>
      <c r="F690" s="48" t="inlineStr">
        <is>
          <t>CQP Conducteur de machines du secteur alimentaire</t>
        </is>
      </c>
      <c r="G690" s="49">
        <f>E690&amp;" - "&amp;F690</f>
        <v/>
      </c>
      <c r="H690" s="36" t="inlineStr">
        <is>
          <t>RAS</t>
        </is>
      </c>
      <c r="I690" s="45" t="inlineStr"/>
      <c r="J690" s="45" t="inlineStr">
        <is>
          <t>RNCP39966</t>
        </is>
      </c>
      <c r="K690" s="45" t="inlineStr">
        <is>
          <t>CQP Conducteur de machines du secteur alimentaire</t>
        </is>
      </c>
      <c r="L690" s="45" t="inlineStr">
        <is>
          <t>18/12/2029</t>
        </is>
      </c>
      <c r="M690" s="45" t="inlineStr">
        <is>
          <t>31620 (Conduite installation industrielle) ; 21554 (Agroalimentaire)</t>
        </is>
      </c>
      <c r="N690" s="50" t="inlineStr">
        <is>
          <t>NON</t>
        </is>
      </c>
      <c r="O690" s="45" t="inlineStr"/>
    </row>
    <row r="691" customFormat="1" s="3">
      <c r="A691" s="45" t="n"/>
      <c r="B691" s="46" t="inlineStr">
        <is>
          <t>21575</t>
        </is>
      </c>
      <c r="C691" s="46">
        <f>LEFT(Tableau1[[#This Row],[Formacode]],3)</f>
        <v/>
      </c>
      <c r="D691" s="47" t="n">
        <v>39967</v>
      </c>
      <c r="E691" s="48">
        <f>"RNCP"&amp;D691</f>
        <v/>
      </c>
      <c r="F691" s="48" t="inlineStr">
        <is>
          <t>CQP Conducteur de ligne du secteur alimentaire</t>
        </is>
      </c>
      <c r="G691" s="49">
        <f>E691&amp;" - "&amp;F691</f>
        <v/>
      </c>
      <c r="H691" s="36" t="inlineStr">
        <is>
          <t>RAS</t>
        </is>
      </c>
      <c r="I691" s="45" t="inlineStr"/>
      <c r="J691" s="45" t="inlineStr">
        <is>
          <t>RNCP39967</t>
        </is>
      </c>
      <c r="K691" s="45" t="inlineStr">
        <is>
          <t>CQP Conducteur de ligne du secteur alimentaire</t>
        </is>
      </c>
      <c r="L691" s="45" t="inlineStr">
        <is>
          <t>18/12/2029</t>
        </is>
      </c>
      <c r="M691" s="45" t="inlineStr">
        <is>
          <t>31620 (Conduite installation industrielle) ; 21554 (Agroalimentaire)</t>
        </is>
      </c>
      <c r="N691" s="50" t="inlineStr">
        <is>
          <t>NON</t>
        </is>
      </c>
      <c r="O691" s="45" t="inlineStr"/>
    </row>
    <row r="692" customFormat="1" s="3">
      <c r="A692" s="45" t="n"/>
      <c r="B692" s="46" t="inlineStr">
        <is>
          <t>21575</t>
        </is>
      </c>
      <c r="C692" s="46">
        <f>LEFT(Tableau1[[#This Row],[Formacode]],3)</f>
        <v/>
      </c>
      <c r="D692" s="47" t="n">
        <v>39968</v>
      </c>
      <c r="E692" s="48">
        <f>"RNCP"&amp;D692</f>
        <v/>
      </c>
      <c r="F692" s="48" t="inlineStr">
        <is>
          <t>CQP Opérateur de production du secteur alimentaire</t>
        </is>
      </c>
      <c r="G692" s="49">
        <f>E692&amp;" - "&amp;F692</f>
        <v/>
      </c>
      <c r="H692" s="36" t="inlineStr">
        <is>
          <t>RAS</t>
        </is>
      </c>
      <c r="I692" s="45" t="inlineStr"/>
      <c r="J692" s="45" t="inlineStr">
        <is>
          <t>RNCP39968</t>
        </is>
      </c>
      <c r="K692" s="45" t="inlineStr">
        <is>
          <t>CQP Opérateur de production du secteur alimentaire</t>
        </is>
      </c>
      <c r="L692" s="45" t="inlineStr">
        <is>
          <t>18/12/2029</t>
        </is>
      </c>
      <c r="M692" s="45" t="inlineStr">
        <is>
          <t>21554 (Agroalimentaire)</t>
        </is>
      </c>
      <c r="N692" s="50" t="inlineStr">
        <is>
          <t>NON</t>
        </is>
      </c>
      <c r="O692" s="45" t="inlineStr"/>
    </row>
    <row r="693" customFormat="1" s="3">
      <c r="A693" s="45" t="n"/>
      <c r="B693" s="46" t="inlineStr">
        <is>
          <t>21575</t>
        </is>
      </c>
      <c r="C693" s="46">
        <f>LEFT(Tableau1[[#This Row],[Formacode]],3)</f>
        <v/>
      </c>
      <c r="D693" s="47" t="n">
        <v>39971</v>
      </c>
      <c r="E693" s="48">
        <f>"RNCP"&amp;D693</f>
        <v/>
      </c>
      <c r="F693" s="48" t="inlineStr">
        <is>
          <t>CQP Technicien de maintenance du secteur alimentaire</t>
        </is>
      </c>
      <c r="G693" s="49">
        <f>E693&amp;" - "&amp;F693</f>
        <v/>
      </c>
      <c r="H693" s="36" t="inlineStr">
        <is>
          <t>RAS</t>
        </is>
      </c>
      <c r="I693" s="45" t="inlineStr"/>
      <c r="J693" s="45" t="inlineStr">
        <is>
          <t>RNCP39971</t>
        </is>
      </c>
      <c r="K693" s="45" t="inlineStr">
        <is>
          <t>CQP Technicien de maintenance du secteur alimentaire</t>
        </is>
      </c>
      <c r="L693" s="45" t="inlineStr">
        <is>
          <t>18/12/2029</t>
        </is>
      </c>
      <c r="M693" s="45" t="inlineStr">
        <is>
          <t>21554 (Agroalimentaire) ; 31624 (Maintenance industrielle)</t>
        </is>
      </c>
      <c r="N693" s="50" t="inlineStr">
        <is>
          <t>NON</t>
        </is>
      </c>
      <c r="O693" s="45" t="inlineStr"/>
    </row>
    <row r="694" customFormat="1" s="3">
      <c r="A694" s="45" t="n"/>
      <c r="B694" s="46" t="inlineStr">
        <is>
          <t>21575</t>
        </is>
      </c>
      <c r="C694" s="46">
        <f>LEFT(Tableau1[[#This Row],[Formacode]],3)</f>
        <v/>
      </c>
      <c r="D694" s="47" t="n">
        <v>39972</v>
      </c>
      <c r="E694" s="48">
        <f>"RNCP"&amp;D694</f>
        <v/>
      </c>
      <c r="F694" s="48" t="inlineStr">
        <is>
          <t>CQP Responsable d'équipe du secteur alimentaire</t>
        </is>
      </c>
      <c r="G694" s="49">
        <f>E694&amp;" - "&amp;F694</f>
        <v/>
      </c>
      <c r="H694" s="36" t="inlineStr">
        <is>
          <t>RAS</t>
        </is>
      </c>
      <c r="I694" s="45" t="inlineStr"/>
      <c r="J694" s="45" t="inlineStr">
        <is>
          <t>RNCP39972</t>
        </is>
      </c>
      <c r="K694" s="45" t="inlineStr">
        <is>
          <t>CQP Responsable d'équipe du secteur alimentaire</t>
        </is>
      </c>
      <c r="L694" s="45" t="inlineStr">
        <is>
          <t>18/12/2029</t>
        </is>
      </c>
      <c r="M694" s="45" t="inlineStr">
        <is>
          <t>32154 (Encadrement management) ; 21554 (Agroalimentaire)</t>
        </is>
      </c>
      <c r="N694" s="50" t="inlineStr">
        <is>
          <t>NON</t>
        </is>
      </c>
      <c r="O694" s="45" t="inlineStr"/>
    </row>
    <row r="695" customFormat="1" s="3">
      <c r="A695" s="45" t="n"/>
      <c r="B695" s="46" t="inlineStr">
        <is>
          <t>21575</t>
        </is>
      </c>
      <c r="C695" s="46">
        <f>LEFT(Tableau1[[#This Row],[Formacode]],3)</f>
        <v/>
      </c>
      <c r="D695" s="47" t="n">
        <v>41349</v>
      </c>
      <c r="E695" s="48">
        <f>"RNCP"&amp;D695</f>
        <v/>
      </c>
      <c r="F695" s="48" t="inlineStr">
        <is>
          <t>CQP Conducteur de process du secteur alimentaire</t>
        </is>
      </c>
      <c r="G695" s="49">
        <f>E695&amp;" - "&amp;F695</f>
        <v/>
      </c>
      <c r="H695" s="36" t="inlineStr">
        <is>
          <t>RAS</t>
        </is>
      </c>
      <c r="I695" s="45" t="inlineStr"/>
      <c r="J695" s="45" t="inlineStr">
        <is>
          <t>RNCP41349</t>
        </is>
      </c>
      <c r="K695" s="45" t="inlineStr">
        <is>
          <t>CQP Conducteur de process du secteur alimentaire</t>
        </is>
      </c>
      <c r="L695" s="45" t="inlineStr">
        <is>
          <t>24/09/2030</t>
        </is>
      </c>
      <c r="M695" s="45" t="inlineStr">
        <is>
          <t>32012 (Gestion processus) ; 21554 (Agroalimentaire)</t>
        </is>
      </c>
      <c r="N695" s="50" t="inlineStr">
        <is>
          <t>NON</t>
        </is>
      </c>
      <c r="O695" s="45" t="inlineStr"/>
    </row>
    <row r="696" customFormat="1" s="3">
      <c r="A696" s="45" t="n"/>
      <c r="B696" s="46" t="inlineStr">
        <is>
          <t>21575</t>
        </is>
      </c>
      <c r="C696" s="46">
        <f>LEFT(Tableau1[[#This Row],[Formacode]],3)</f>
        <v/>
      </c>
      <c r="D696" s="47" t="n">
        <v>41679</v>
      </c>
      <c r="E696" s="48">
        <f>"RNCP"&amp;D696</f>
        <v/>
      </c>
      <c r="F696" s="48" t="inlineStr">
        <is>
          <t>CQP Agent de maintenance du secteur alimentaire</t>
        </is>
      </c>
      <c r="G696" s="49">
        <f>E696&amp;" - "&amp;F696</f>
        <v/>
      </c>
      <c r="H696" s="36" t="inlineStr">
        <is>
          <t>RAS</t>
        </is>
      </c>
      <c r="I696" s="45" t="inlineStr"/>
      <c r="J696" s="45" t="inlineStr">
        <is>
          <t>RNCP41679</t>
        </is>
      </c>
      <c r="K696" s="45" t="inlineStr">
        <is>
          <t>CQP Agent de maintenance du secteur alimentaire</t>
        </is>
      </c>
      <c r="L696" s="45" t="inlineStr">
        <is>
          <t>27/11/2030</t>
        </is>
      </c>
      <c r="M696" s="45" t="inlineStr">
        <is>
          <t>31624 (Maintenance industrielle) ; 21554 (Agroalimentaire)</t>
        </is>
      </c>
      <c r="N696" s="50" t="inlineStr">
        <is>
          <t>NON</t>
        </is>
      </c>
      <c r="O696" s="45" t="inlineStr"/>
    </row>
    <row r="697" customFormat="1" s="3">
      <c r="A697" s="45" t="n"/>
      <c r="B697" s="46" t="inlineStr">
        <is>
          <t>21576</t>
        </is>
      </c>
      <c r="C697" s="46">
        <f>LEFT(Tableau1[[#This Row],[Formacode]],3)</f>
        <v/>
      </c>
      <c r="D697" s="47" t="n">
        <v>37559</v>
      </c>
      <c r="E697" s="48">
        <f>"RNCP"&amp;D697</f>
        <v/>
      </c>
      <c r="F697" s="48" t="inlineStr">
        <is>
          <t>Brevet professionnel - Charcutier - traiteur</t>
        </is>
      </c>
      <c r="G697" s="49">
        <f>E697&amp;" - "&amp;F697</f>
        <v/>
      </c>
      <c r="H697" s="36" t="inlineStr">
        <is>
          <t>RAS</t>
        </is>
      </c>
      <c r="I697" s="45" t="inlineStr"/>
      <c r="J697" s="45" t="inlineStr">
        <is>
          <t>RNCP37559</t>
        </is>
      </c>
      <c r="K697" s="45" t="inlineStr">
        <is>
          <t>Charcutier - traiteur</t>
        </is>
      </c>
      <c r="L697" s="45" t="inlineStr">
        <is>
          <t>31/08/2028</t>
        </is>
      </c>
      <c r="M697" s="45" t="inlineStr">
        <is>
          <t>21589 (Charcuterie) ; 21576 (Traiteur)</t>
        </is>
      </c>
      <c r="N697" s="50" t="inlineStr">
        <is>
          <t>NON</t>
        </is>
      </c>
      <c r="O697" s="45" t="inlineStr"/>
    </row>
    <row r="698" customFormat="1" s="3">
      <c r="A698" s="51" t="n"/>
      <c r="B698" s="52" t="inlineStr">
        <is>
          <t>21576</t>
        </is>
      </c>
      <c r="C698" s="52">
        <f>LEFT(Tableau1[[#This Row],[Formacode]],3)</f>
        <v/>
      </c>
      <c r="D698" s="53" t="n">
        <v>37566</v>
      </c>
      <c r="E698" s="54">
        <f>"RNCP"&amp;D698</f>
        <v/>
      </c>
      <c r="F698" s="54" t="inlineStr">
        <is>
          <t>CS - Employé traiteur</t>
        </is>
      </c>
      <c r="G698" s="55">
        <f>E698&amp;" - "&amp;F698</f>
        <v/>
      </c>
      <c r="H698" s="37" t="inlineStr">
        <is>
          <t>À vérifier</t>
        </is>
      </c>
      <c r="I698" s="51" t="inlineStr">
        <is>
          <t>Successeur déjà publié : RNCP41939 (Fabrication traiteur) — préparer la bascule de l'offre CPF | Échéance le 31/08/2026 (dans 44 j)</t>
        </is>
      </c>
      <c r="J698" s="51" t="inlineStr">
        <is>
          <t>RNCP41939</t>
        </is>
      </c>
      <c r="K698" s="51" t="inlineStr">
        <is>
          <t>Fabrication traiteur</t>
        </is>
      </c>
      <c r="L698" s="51" t="inlineStr">
        <is>
          <t>31/08/2026</t>
        </is>
      </c>
      <c r="M698" s="51" t="inlineStr">
        <is>
          <t>21576 (Traiteur)</t>
        </is>
      </c>
      <c r="N698" s="62" t="inlineStr">
        <is>
          <t>NON</t>
        </is>
      </c>
      <c r="O698" s="51" t="inlineStr"/>
    </row>
    <row r="699" customFormat="1" s="3">
      <c r="A699" s="45" t="n"/>
      <c r="B699" s="46" t="inlineStr">
        <is>
          <t>21576</t>
        </is>
      </c>
      <c r="C699" s="46">
        <f>LEFT(Tableau1[[#This Row],[Formacode]],3)</f>
        <v/>
      </c>
      <c r="D699" s="47" t="n">
        <v>37602</v>
      </c>
      <c r="E699" s="48">
        <f>"RNCP"&amp;D699</f>
        <v/>
      </c>
      <c r="F699" s="48" t="inlineStr">
        <is>
          <t>BAC PRO - Boucher-charcutier-traiteur</t>
        </is>
      </c>
      <c r="G699" s="49">
        <f>E699&amp;" - "&amp;F699</f>
        <v/>
      </c>
      <c r="H699" s="36" t="inlineStr">
        <is>
          <t>RAS</t>
        </is>
      </c>
      <c r="I699" s="45" t="inlineStr"/>
      <c r="J699" s="45" t="inlineStr">
        <is>
          <t>RNCP37602</t>
        </is>
      </c>
      <c r="K699" s="45" t="inlineStr">
        <is>
          <t>Boucher-charcutier-traiteur</t>
        </is>
      </c>
      <c r="L699" s="45" t="inlineStr">
        <is>
          <t>31/08/2028</t>
        </is>
      </c>
      <c r="M699" s="45" t="inlineStr">
        <is>
          <t>21599 (Boucherie) ; 21589 (Charcuterie) ; 21576 (Traiteur) ; 34525 (Vente produit alimentaire)</t>
        </is>
      </c>
      <c r="N699" s="50" t="inlineStr">
        <is>
          <t>NON</t>
        </is>
      </c>
      <c r="O699" s="45" t="inlineStr"/>
    </row>
    <row r="700" ht="28.8" customFormat="1" customHeight="1" s="3">
      <c r="A700" s="45" t="n"/>
      <c r="B700" s="46" t="inlineStr">
        <is>
          <t>21576</t>
        </is>
      </c>
      <c r="C700" s="46">
        <f>LEFT(Tableau1[[#This Row],[Formacode]],3)</f>
        <v/>
      </c>
      <c r="D700" s="47" t="n">
        <v>37699</v>
      </c>
      <c r="E700" s="48">
        <f>"RNCP"&amp;D700</f>
        <v/>
      </c>
      <c r="F700" s="48" t="inlineStr">
        <is>
          <t>BAC PRO - Production en industries pharmaceutiques, alimentaires et cosmétiques (PIPAC)</t>
        </is>
      </c>
      <c r="G700" s="49">
        <f>E700&amp;" - "&amp;F700</f>
        <v/>
      </c>
      <c r="H700" s="36" t="inlineStr">
        <is>
          <t>RAS</t>
        </is>
      </c>
      <c r="I700" s="45" t="inlineStr"/>
      <c r="J700" s="45" t="inlineStr">
        <is>
          <t>RNCP37699</t>
        </is>
      </c>
      <c r="K700" s="45" t="inlineStr">
        <is>
          <t>Production en industries pharmaceutiques, alimentaires et cosmétiques (PIPAC)</t>
        </is>
      </c>
      <c r="L700" s="45" t="inlineStr">
        <is>
          <t>31/08/2028</t>
        </is>
      </c>
      <c r="M700" s="45" t="inlineStr">
        <is>
          <t>21554 (Agroalimentaire) ; 12081 (Biotechnologie)</t>
        </is>
      </c>
      <c r="N700" s="50" t="inlineStr">
        <is>
          <t>NON</t>
        </is>
      </c>
      <c r="O700" s="45" t="inlineStr"/>
    </row>
    <row r="701" customFormat="1" s="3">
      <c r="A701" s="45" t="n"/>
      <c r="B701" s="46" t="inlineStr">
        <is>
          <t>21576</t>
        </is>
      </c>
      <c r="C701" s="46">
        <f>LEFT(Tableau1[[#This Row],[Formacode]],3)</f>
        <v/>
      </c>
      <c r="D701" s="47" t="n">
        <v>37927</v>
      </c>
      <c r="E701" s="48">
        <f>"RNCP"&amp;D701</f>
        <v/>
      </c>
      <c r="F701" s="48" t="inlineStr">
        <is>
          <t>BAC PRO - Poissonnier - écailler - traiteur</t>
        </is>
      </c>
      <c r="G701" s="49">
        <f>E701&amp;" - "&amp;F701</f>
        <v/>
      </c>
      <c r="H701" s="36" t="inlineStr">
        <is>
          <t>RAS</t>
        </is>
      </c>
      <c r="I701" s="45" t="inlineStr"/>
      <c r="J701" s="45" t="inlineStr">
        <is>
          <t>RNCP37927</t>
        </is>
      </c>
      <c r="K701" s="45" t="inlineStr">
        <is>
          <t>Poissonnier - écailler - traiteur</t>
        </is>
      </c>
      <c r="L701" s="45" t="inlineStr">
        <is>
          <t>31/08/2028</t>
        </is>
      </c>
      <c r="M701" s="45" t="inlineStr">
        <is>
          <t>21576 (Traiteur) ; 34506 (Vente produit mer) ; 42759 (Écailler) ; 42712 (Cuisine poisson)</t>
        </is>
      </c>
      <c r="N701" s="50" t="inlineStr">
        <is>
          <t>NON</t>
        </is>
      </c>
      <c r="O701" s="45" t="inlineStr"/>
    </row>
    <row r="702" customFormat="1" s="3">
      <c r="A702" s="45" t="n"/>
      <c r="B702" s="46" t="inlineStr">
        <is>
          <t>21576</t>
        </is>
      </c>
      <c r="C702" s="46">
        <f>LEFT(Tableau1[[#This Row],[Formacode]],3)</f>
        <v/>
      </c>
      <c r="D702" s="47" t="n">
        <v>38631</v>
      </c>
      <c r="E702" s="48">
        <f>"RNCP"&amp;D702</f>
        <v/>
      </c>
      <c r="F702" s="48" t="inlineStr">
        <is>
          <t>CAP - Charcuterie-traiteur</t>
        </is>
      </c>
      <c r="G702" s="49">
        <f>E702&amp;" - "&amp;F702</f>
        <v/>
      </c>
      <c r="H702" s="36" t="inlineStr">
        <is>
          <t>RAS</t>
        </is>
      </c>
      <c r="I702" s="45" t="inlineStr"/>
      <c r="J702" s="45" t="inlineStr">
        <is>
          <t>RNCP38631</t>
        </is>
      </c>
      <c r="K702" s="45" t="inlineStr">
        <is>
          <t>Charcuterie-traiteur</t>
        </is>
      </c>
      <c r="L702" s="45" t="inlineStr">
        <is>
          <t>31/07/2029</t>
        </is>
      </c>
      <c r="M702" s="45" t="inlineStr">
        <is>
          <t>21589 (Charcuterie) ; 21576 (Traiteur)</t>
        </is>
      </c>
      <c r="N702" s="50" t="inlineStr">
        <is>
          <t>NON</t>
        </is>
      </c>
      <c r="O702" s="45" t="inlineStr"/>
    </row>
    <row r="703" customFormat="1" s="3">
      <c r="A703" s="45" t="n"/>
      <c r="B703" s="46" t="inlineStr">
        <is>
          <t>21576</t>
        </is>
      </c>
      <c r="C703" s="46">
        <f>LEFT(Tableau1[[#This Row],[Formacode]],3)</f>
        <v/>
      </c>
      <c r="D703" s="47" t="n">
        <v>39156</v>
      </c>
      <c r="E703" s="48">
        <f>"RNCP"&amp;D703</f>
        <v/>
      </c>
      <c r="F703" s="48" t="inlineStr">
        <is>
          <t>BP - Conducteur de ligne de production alimentaire</t>
        </is>
      </c>
      <c r="G703" s="49">
        <f>E703&amp;" - "&amp;F703</f>
        <v/>
      </c>
      <c r="H703" s="36" t="inlineStr">
        <is>
          <t>RAS</t>
        </is>
      </c>
      <c r="I703" s="45" t="inlineStr"/>
      <c r="J703" s="45" t="inlineStr">
        <is>
          <t>RNCP39156</t>
        </is>
      </c>
      <c r="K703" s="45" t="inlineStr">
        <is>
          <t>Conducteur de ligne de production alimentaire</t>
        </is>
      </c>
      <c r="L703" s="45" t="inlineStr">
        <is>
          <t>01/09/2029</t>
        </is>
      </c>
      <c r="M703" s="45" t="inlineStr">
        <is>
          <t>21554 (Agroalimentaire)</t>
        </is>
      </c>
      <c r="N703" s="50" t="inlineStr">
        <is>
          <t>NON</t>
        </is>
      </c>
      <c r="O703" s="45" t="inlineStr"/>
    </row>
    <row r="704" customFormat="1" s="3">
      <c r="A704" s="45" t="n"/>
      <c r="B704" s="46" t="inlineStr">
        <is>
          <t>21576</t>
        </is>
      </c>
      <c r="C704" s="46">
        <f>LEFT(Tableau1[[#This Row],[Formacode]],3)</f>
        <v/>
      </c>
      <c r="D704" s="47" t="n">
        <v>39966</v>
      </c>
      <c r="E704" s="48">
        <f>"RNCP"&amp;D704</f>
        <v/>
      </c>
      <c r="F704" s="48" t="inlineStr">
        <is>
          <t>CQP Conducteur de machines du secteur alimentaire</t>
        </is>
      </c>
      <c r="G704" s="49">
        <f>E704&amp;" - "&amp;F704</f>
        <v/>
      </c>
      <c r="H704" s="36" t="inlineStr">
        <is>
          <t>RAS</t>
        </is>
      </c>
      <c r="I704" s="45" t="inlineStr"/>
      <c r="J704" s="45" t="inlineStr">
        <is>
          <t>RNCP39966</t>
        </is>
      </c>
      <c r="K704" s="45" t="inlineStr">
        <is>
          <t>CQP Conducteur de machines du secteur alimentaire</t>
        </is>
      </c>
      <c r="L704" s="45" t="inlineStr">
        <is>
          <t>18/12/2029</t>
        </is>
      </c>
      <c r="M704" s="45" t="inlineStr">
        <is>
          <t>31620 (Conduite installation industrielle) ; 21554 (Agroalimentaire)</t>
        </is>
      </c>
      <c r="N704" s="50" t="inlineStr">
        <is>
          <t>NON</t>
        </is>
      </c>
      <c r="O704" s="45" t="inlineStr"/>
    </row>
    <row r="705" customFormat="1" s="3">
      <c r="A705" s="45" t="n"/>
      <c r="B705" s="46" t="inlineStr">
        <is>
          <t>21576</t>
        </is>
      </c>
      <c r="C705" s="46">
        <f>LEFT(Tableau1[[#This Row],[Formacode]],3)</f>
        <v/>
      </c>
      <c r="D705" s="47" t="n">
        <v>39967</v>
      </c>
      <c r="E705" s="48">
        <f>"RNCP"&amp;D705</f>
        <v/>
      </c>
      <c r="F705" s="48" t="inlineStr">
        <is>
          <t>CQP Conducteur de ligne du secteur alimentaire</t>
        </is>
      </c>
      <c r="G705" s="49">
        <f>E705&amp;" - "&amp;F705</f>
        <v/>
      </c>
      <c r="H705" s="36" t="inlineStr">
        <is>
          <t>RAS</t>
        </is>
      </c>
      <c r="I705" s="45" t="inlineStr"/>
      <c r="J705" s="45" t="inlineStr">
        <is>
          <t>RNCP39967</t>
        </is>
      </c>
      <c r="K705" s="45" t="inlineStr">
        <is>
          <t>CQP Conducteur de ligne du secteur alimentaire</t>
        </is>
      </c>
      <c r="L705" s="45" t="inlineStr">
        <is>
          <t>18/12/2029</t>
        </is>
      </c>
      <c r="M705" s="45" t="inlineStr">
        <is>
          <t>31620 (Conduite installation industrielle) ; 21554 (Agroalimentaire)</t>
        </is>
      </c>
      <c r="N705" s="50" t="inlineStr">
        <is>
          <t>NON</t>
        </is>
      </c>
      <c r="O705" s="45" t="inlineStr"/>
    </row>
    <row r="706" customFormat="1" s="3">
      <c r="A706" s="45" t="n"/>
      <c r="B706" s="46" t="inlineStr">
        <is>
          <t>21576</t>
        </is>
      </c>
      <c r="C706" s="46">
        <f>LEFT(Tableau1[[#This Row],[Formacode]],3)</f>
        <v/>
      </c>
      <c r="D706" s="47" t="n">
        <v>39968</v>
      </c>
      <c r="E706" s="48">
        <f>"RNCP"&amp;D706</f>
        <v/>
      </c>
      <c r="F706" s="48" t="inlineStr">
        <is>
          <t>CQP Opérateur de production du secteur alimentaire</t>
        </is>
      </c>
      <c r="G706" s="49">
        <f>E706&amp;" - "&amp;F706</f>
        <v/>
      </c>
      <c r="H706" s="36" t="inlineStr">
        <is>
          <t>RAS</t>
        </is>
      </c>
      <c r="I706" s="45" t="inlineStr"/>
      <c r="J706" s="45" t="inlineStr">
        <is>
          <t>RNCP39968</t>
        </is>
      </c>
      <c r="K706" s="45" t="inlineStr">
        <is>
          <t>CQP Opérateur de production du secteur alimentaire</t>
        </is>
      </c>
      <c r="L706" s="45" t="inlineStr">
        <is>
          <t>18/12/2029</t>
        </is>
      </c>
      <c r="M706" s="45" t="inlineStr">
        <is>
          <t>21554 (Agroalimentaire)</t>
        </is>
      </c>
      <c r="N706" s="50" t="inlineStr">
        <is>
          <t>NON</t>
        </is>
      </c>
      <c r="O706" s="45" t="inlineStr"/>
    </row>
    <row r="707" customFormat="1" s="3">
      <c r="A707" s="45" t="n"/>
      <c r="B707" s="46" t="inlineStr">
        <is>
          <t>21576</t>
        </is>
      </c>
      <c r="C707" s="46">
        <f>LEFT(Tableau1[[#This Row],[Formacode]],3)</f>
        <v/>
      </c>
      <c r="D707" s="47" t="n">
        <v>39971</v>
      </c>
      <c r="E707" s="48">
        <f>"RNCP"&amp;D707</f>
        <v/>
      </c>
      <c r="F707" s="48" t="inlineStr">
        <is>
          <t>CQP Technicien de maintenance du secteur alimentaire</t>
        </is>
      </c>
      <c r="G707" s="49">
        <f>E707&amp;" - "&amp;F707</f>
        <v/>
      </c>
      <c r="H707" s="36" t="inlineStr">
        <is>
          <t>RAS</t>
        </is>
      </c>
      <c r="I707" s="45" t="inlineStr"/>
      <c r="J707" s="45" t="inlineStr">
        <is>
          <t>RNCP39971</t>
        </is>
      </c>
      <c r="K707" s="45" t="inlineStr">
        <is>
          <t>CQP Technicien de maintenance du secteur alimentaire</t>
        </is>
      </c>
      <c r="L707" s="45" t="inlineStr">
        <is>
          <t>18/12/2029</t>
        </is>
      </c>
      <c r="M707" s="45" t="inlineStr">
        <is>
          <t>21554 (Agroalimentaire) ; 31624 (Maintenance industrielle)</t>
        </is>
      </c>
      <c r="N707" s="50" t="inlineStr">
        <is>
          <t>NON</t>
        </is>
      </c>
      <c r="O707" s="45" t="inlineStr"/>
    </row>
    <row r="708" customFormat="1" s="3">
      <c r="A708" s="45" t="n"/>
      <c r="B708" s="46" t="inlineStr">
        <is>
          <t>21576</t>
        </is>
      </c>
      <c r="C708" s="46">
        <f>LEFT(Tableau1[[#This Row],[Formacode]],3)</f>
        <v/>
      </c>
      <c r="D708" s="47" t="n">
        <v>39972</v>
      </c>
      <c r="E708" s="48">
        <f>"RNCP"&amp;D708</f>
        <v/>
      </c>
      <c r="F708" s="48" t="inlineStr">
        <is>
          <t>CQP Responsable d'équipe du secteur alimentaire</t>
        </is>
      </c>
      <c r="G708" s="49">
        <f>E708&amp;" - "&amp;F708</f>
        <v/>
      </c>
      <c r="H708" s="36" t="inlineStr">
        <is>
          <t>RAS</t>
        </is>
      </c>
      <c r="I708" s="45" t="inlineStr"/>
      <c r="J708" s="45" t="inlineStr">
        <is>
          <t>RNCP39972</t>
        </is>
      </c>
      <c r="K708" s="45" t="inlineStr">
        <is>
          <t>CQP Responsable d'équipe du secteur alimentaire</t>
        </is>
      </c>
      <c r="L708" s="45" t="inlineStr">
        <is>
          <t>18/12/2029</t>
        </is>
      </c>
      <c r="M708" s="45" t="inlineStr">
        <is>
          <t>32154 (Encadrement management) ; 21554 (Agroalimentaire)</t>
        </is>
      </c>
      <c r="N708" s="50" t="inlineStr">
        <is>
          <t>NON</t>
        </is>
      </c>
      <c r="O708" s="45" t="inlineStr"/>
    </row>
    <row r="709" customFormat="1" s="3">
      <c r="A709" s="45" t="n"/>
      <c r="B709" s="46" t="inlineStr">
        <is>
          <t>21576</t>
        </is>
      </c>
      <c r="C709" s="46">
        <f>LEFT(Tableau1[[#This Row],[Formacode]],3)</f>
        <v/>
      </c>
      <c r="D709" s="47" t="n">
        <v>41349</v>
      </c>
      <c r="E709" s="48">
        <f>"RNCP"&amp;D709</f>
        <v/>
      </c>
      <c r="F709" s="48" t="inlineStr">
        <is>
          <t>CQP Conducteur de process du secteur alimentaire</t>
        </is>
      </c>
      <c r="G709" s="49">
        <f>E709&amp;" - "&amp;F709</f>
        <v/>
      </c>
      <c r="H709" s="36" t="inlineStr">
        <is>
          <t>RAS</t>
        </is>
      </c>
      <c r="I709" s="45" t="inlineStr"/>
      <c r="J709" s="45" t="inlineStr">
        <is>
          <t>RNCP41349</t>
        </is>
      </c>
      <c r="K709" s="45" t="inlineStr">
        <is>
          <t>CQP Conducteur de process du secteur alimentaire</t>
        </is>
      </c>
      <c r="L709" s="45" t="inlineStr">
        <is>
          <t>24/09/2030</t>
        </is>
      </c>
      <c r="M709" s="45" t="inlineStr">
        <is>
          <t>32012 (Gestion processus) ; 21554 (Agroalimentaire)</t>
        </is>
      </c>
      <c r="N709" s="50" t="inlineStr">
        <is>
          <t>NON</t>
        </is>
      </c>
      <c r="O709" s="45" t="inlineStr"/>
    </row>
    <row r="710" customFormat="1" s="3">
      <c r="A710" s="45" t="n"/>
      <c r="B710" s="46" t="inlineStr">
        <is>
          <t>21576</t>
        </is>
      </c>
      <c r="C710" s="46">
        <f>LEFT(Tableau1[[#This Row],[Formacode]],3)</f>
        <v/>
      </c>
      <c r="D710" s="47" t="n">
        <v>41679</v>
      </c>
      <c r="E710" s="48">
        <f>"RNCP"&amp;D710</f>
        <v/>
      </c>
      <c r="F710" s="48" t="inlineStr">
        <is>
          <t>CQP Agent de maintenance du secteur alimentaire</t>
        </is>
      </c>
      <c r="G710" s="49">
        <f>E710&amp;" - "&amp;F710</f>
        <v/>
      </c>
      <c r="H710" s="36" t="inlineStr">
        <is>
          <t>RAS</t>
        </is>
      </c>
      <c r="I710" s="45" t="inlineStr"/>
      <c r="J710" s="45" t="inlineStr">
        <is>
          <t>RNCP41679</t>
        </is>
      </c>
      <c r="K710" s="45" t="inlineStr">
        <is>
          <t>CQP Agent de maintenance du secteur alimentaire</t>
        </is>
      </c>
      <c r="L710" s="45" t="inlineStr">
        <is>
          <t>27/11/2030</t>
        </is>
      </c>
      <c r="M710" s="45" t="inlineStr">
        <is>
          <t>31624 (Maintenance industrielle) ; 21554 (Agroalimentaire)</t>
        </is>
      </c>
      <c r="N710" s="50" t="inlineStr">
        <is>
          <t>NON</t>
        </is>
      </c>
      <c r="O710" s="45" t="inlineStr"/>
    </row>
    <row r="711" customFormat="1" s="3">
      <c r="A711" s="45" t="n"/>
      <c r="B711" s="46" t="inlineStr">
        <is>
          <t>21577</t>
        </is>
      </c>
      <c r="C711" s="46">
        <f>LEFT(Tableau1[[#This Row],[Formacode]],3)</f>
        <v/>
      </c>
      <c r="D711" s="47" t="n">
        <v>37535</v>
      </c>
      <c r="E711" s="48">
        <f>"RNCP"&amp;D711</f>
        <v/>
      </c>
      <c r="F711" s="48" t="inlineStr">
        <is>
          <t>CAP - Boucher</t>
        </is>
      </c>
      <c r="G711" s="49">
        <f>E711&amp;" - "&amp;F711</f>
        <v/>
      </c>
      <c r="H711" s="36" t="inlineStr">
        <is>
          <t>RAS</t>
        </is>
      </c>
      <c r="I711" s="45" t="inlineStr"/>
      <c r="J711" s="45" t="inlineStr">
        <is>
          <t>RNCP37535</t>
        </is>
      </c>
      <c r="K711" s="45" t="inlineStr">
        <is>
          <t>Boucher</t>
        </is>
      </c>
      <c r="L711" s="45" t="inlineStr">
        <is>
          <t>31/08/2028</t>
        </is>
      </c>
      <c r="M711" s="45" t="inlineStr">
        <is>
          <t>21599 (Boucherie)</t>
        </is>
      </c>
      <c r="N711" s="50" t="inlineStr">
        <is>
          <t>NON</t>
        </is>
      </c>
      <c r="O711" s="45" t="inlineStr"/>
    </row>
    <row r="712" customFormat="1" s="3">
      <c r="A712" s="45" t="n"/>
      <c r="B712" s="46" t="inlineStr">
        <is>
          <t>21577</t>
        </is>
      </c>
      <c r="C712" s="46">
        <f>LEFT(Tableau1[[#This Row],[Formacode]],3)</f>
        <v/>
      </c>
      <c r="D712" s="47" t="n">
        <v>37559</v>
      </c>
      <c r="E712" s="48">
        <f>"RNCP"&amp;D712</f>
        <v/>
      </c>
      <c r="F712" s="48" t="inlineStr">
        <is>
          <t>Brevet professionnel - Charcutier - traiteur</t>
        </is>
      </c>
      <c r="G712" s="49">
        <f>E712&amp;" - "&amp;F712</f>
        <v/>
      </c>
      <c r="H712" s="36" t="inlineStr">
        <is>
          <t>RAS</t>
        </is>
      </c>
      <c r="I712" s="45" t="inlineStr"/>
      <c r="J712" s="45" t="inlineStr">
        <is>
          <t>RNCP37559</t>
        </is>
      </c>
      <c r="K712" s="45" t="inlineStr">
        <is>
          <t>Charcutier - traiteur</t>
        </is>
      </c>
      <c r="L712" s="45" t="inlineStr">
        <is>
          <t>31/08/2028</t>
        </is>
      </c>
      <c r="M712" s="45" t="inlineStr">
        <is>
          <t>21589 (Charcuterie) ; 21576 (Traiteur)</t>
        </is>
      </c>
      <c r="N712" s="50" t="inlineStr">
        <is>
          <t>NON</t>
        </is>
      </c>
      <c r="O712" s="45" t="inlineStr"/>
    </row>
    <row r="713" customFormat="1" s="3">
      <c r="A713" s="45" t="n"/>
      <c r="B713" s="46" t="inlineStr">
        <is>
          <t>21577</t>
        </is>
      </c>
      <c r="C713" s="46">
        <f>LEFT(Tableau1[[#This Row],[Formacode]],3)</f>
        <v/>
      </c>
      <c r="D713" s="47" t="n">
        <v>37602</v>
      </c>
      <c r="E713" s="48">
        <f>"RNCP"&amp;D713</f>
        <v/>
      </c>
      <c r="F713" s="48" t="inlineStr">
        <is>
          <t>BAC PRO - Boucher-charcutier-traiteur</t>
        </is>
      </c>
      <c r="G713" s="49">
        <f>E713&amp;" - "&amp;F713</f>
        <v/>
      </c>
      <c r="H713" s="36" t="inlineStr">
        <is>
          <t>RAS</t>
        </is>
      </c>
      <c r="I713" s="45" t="inlineStr"/>
      <c r="J713" s="45" t="inlineStr">
        <is>
          <t>RNCP37602</t>
        </is>
      </c>
      <c r="K713" s="45" t="inlineStr">
        <is>
          <t>Boucher-charcutier-traiteur</t>
        </is>
      </c>
      <c r="L713" s="45" t="inlineStr">
        <is>
          <t>31/08/2028</t>
        </is>
      </c>
      <c r="M713" s="45" t="inlineStr">
        <is>
          <t>21599 (Boucherie) ; 21589 (Charcuterie) ; 21576 (Traiteur) ; 34525 (Vente produit alimentaire)</t>
        </is>
      </c>
      <c r="N713" s="50" t="inlineStr">
        <is>
          <t>NON</t>
        </is>
      </c>
      <c r="O713" s="45" t="inlineStr"/>
    </row>
    <row r="714" ht="28.8" customFormat="1" customHeight="1" s="3">
      <c r="A714" s="45" t="n"/>
      <c r="B714" s="46" t="inlineStr">
        <is>
          <t>21577</t>
        </is>
      </c>
      <c r="C714" s="46">
        <f>LEFT(Tableau1[[#This Row],[Formacode]],3)</f>
        <v/>
      </c>
      <c r="D714" s="47" t="n">
        <v>37699</v>
      </c>
      <c r="E714" s="48">
        <f>"RNCP"&amp;D714</f>
        <v/>
      </c>
      <c r="F714" s="48" t="inlineStr">
        <is>
          <t>BAC PRO - Production en industries pharmaceutiques, alimentaires et cosmétiques (PIPAC)</t>
        </is>
      </c>
      <c r="G714" s="49">
        <f>E714&amp;" - "&amp;F714</f>
        <v/>
      </c>
      <c r="H714" s="36" t="inlineStr">
        <is>
          <t>RAS</t>
        </is>
      </c>
      <c r="I714" s="45" t="inlineStr"/>
      <c r="J714" s="45" t="inlineStr">
        <is>
          <t>RNCP37699</t>
        </is>
      </c>
      <c r="K714" s="45" t="inlineStr">
        <is>
          <t>Production en industries pharmaceutiques, alimentaires et cosmétiques (PIPAC)</t>
        </is>
      </c>
      <c r="L714" s="45" t="inlineStr">
        <is>
          <t>31/08/2028</t>
        </is>
      </c>
      <c r="M714" s="45" t="inlineStr">
        <is>
          <t>21554 (Agroalimentaire) ; 12081 (Biotechnologie)</t>
        </is>
      </c>
      <c r="N714" s="50" t="inlineStr">
        <is>
          <t>NON</t>
        </is>
      </c>
      <c r="O714" s="45" t="inlineStr"/>
    </row>
    <row r="715" customFormat="1" s="3">
      <c r="A715" s="45" t="n"/>
      <c r="B715" s="46" t="inlineStr">
        <is>
          <t>21577</t>
        </is>
      </c>
      <c r="C715" s="46">
        <f>LEFT(Tableau1[[#This Row],[Formacode]],3)</f>
        <v/>
      </c>
      <c r="D715" s="47" t="n">
        <v>38631</v>
      </c>
      <c r="E715" s="48">
        <f>"RNCP"&amp;D715</f>
        <v/>
      </c>
      <c r="F715" s="48" t="inlineStr">
        <is>
          <t>CAP - Charcuterie-traiteur</t>
        </is>
      </c>
      <c r="G715" s="49">
        <f>E715&amp;" - "&amp;F715</f>
        <v/>
      </c>
      <c r="H715" s="36" t="inlineStr">
        <is>
          <t>RAS</t>
        </is>
      </c>
      <c r="I715" s="45" t="inlineStr"/>
      <c r="J715" s="45" t="inlineStr">
        <is>
          <t>RNCP38631</t>
        </is>
      </c>
      <c r="K715" s="45" t="inlineStr">
        <is>
          <t>Charcuterie-traiteur</t>
        </is>
      </c>
      <c r="L715" s="45" t="inlineStr">
        <is>
          <t>31/07/2029</t>
        </is>
      </c>
      <c r="M715" s="45" t="inlineStr">
        <is>
          <t>21589 (Charcuterie) ; 21576 (Traiteur)</t>
        </is>
      </c>
      <c r="N715" s="50" t="inlineStr">
        <is>
          <t>NON</t>
        </is>
      </c>
      <c r="O715" s="45" t="inlineStr"/>
    </row>
    <row r="716" customFormat="1" s="3">
      <c r="A716" s="45" t="n"/>
      <c r="B716" s="46" t="inlineStr">
        <is>
          <t>21577</t>
        </is>
      </c>
      <c r="C716" s="46">
        <f>LEFT(Tableau1[[#This Row],[Formacode]],3)</f>
        <v/>
      </c>
      <c r="D716" s="47" t="n">
        <v>38636</v>
      </c>
      <c r="E716" s="48">
        <f>"RNCP"&amp;D716</f>
        <v/>
      </c>
      <c r="F716" s="48" t="inlineStr">
        <is>
          <t>Certificat de spécialisation - Vente-conseil en boucherie</t>
        </is>
      </c>
      <c r="G716" s="49">
        <f>E716&amp;" - "&amp;F716</f>
        <v/>
      </c>
      <c r="H716" s="36" t="inlineStr">
        <is>
          <t>RAS</t>
        </is>
      </c>
      <c r="I716" s="45" t="inlineStr"/>
      <c r="J716" s="45" t="inlineStr">
        <is>
          <t>RNCP38636</t>
        </is>
      </c>
      <c r="K716" s="45" t="inlineStr">
        <is>
          <t>Vente-conseil en boucherie</t>
        </is>
      </c>
      <c r="L716" s="45" t="inlineStr">
        <is>
          <t>31/08/2029</t>
        </is>
      </c>
      <c r="M716" s="45" t="inlineStr">
        <is>
          <t>21599 (Boucherie) ; 21589 (Charcuterie) ; 34505 (Vente produit carné) ; 34519 (Étalage) ; 34076 (Gestion relation client)</t>
        </is>
      </c>
      <c r="N716" s="50" t="inlineStr">
        <is>
          <t>NON</t>
        </is>
      </c>
      <c r="O716" s="45" t="inlineStr"/>
    </row>
    <row r="717" customFormat="1" s="3">
      <c r="A717" s="45" t="n"/>
      <c r="B717" s="46" t="inlineStr">
        <is>
          <t>21577</t>
        </is>
      </c>
      <c r="C717" s="46">
        <f>LEFT(Tableau1[[#This Row],[Formacode]],3)</f>
        <v/>
      </c>
      <c r="D717" s="47" t="n">
        <v>39156</v>
      </c>
      <c r="E717" s="48">
        <f>"RNCP"&amp;D717</f>
        <v/>
      </c>
      <c r="F717" s="48" t="inlineStr">
        <is>
          <t>BP - Conducteur de ligne de production alimentaire</t>
        </is>
      </c>
      <c r="G717" s="49">
        <f>E717&amp;" - "&amp;F717</f>
        <v/>
      </c>
      <c r="H717" s="36" t="inlineStr">
        <is>
          <t>RAS</t>
        </is>
      </c>
      <c r="I717" s="45" t="inlineStr"/>
      <c r="J717" s="45" t="inlineStr">
        <is>
          <t>RNCP39156</t>
        </is>
      </c>
      <c r="K717" s="45" t="inlineStr">
        <is>
          <t>Conducteur de ligne de production alimentaire</t>
        </is>
      </c>
      <c r="L717" s="45" t="inlineStr">
        <is>
          <t>01/09/2029</t>
        </is>
      </c>
      <c r="M717" s="45" t="inlineStr">
        <is>
          <t>21554 (Agroalimentaire)</t>
        </is>
      </c>
      <c r="N717" s="50" t="inlineStr">
        <is>
          <t>NON</t>
        </is>
      </c>
      <c r="O717" s="45" t="inlineStr"/>
    </row>
    <row r="718" customFormat="1" s="3">
      <c r="A718" s="45" t="n"/>
      <c r="B718" s="46" t="inlineStr">
        <is>
          <t>21577</t>
        </is>
      </c>
      <c r="C718" s="46">
        <f>LEFT(Tableau1[[#This Row],[Formacode]],3)</f>
        <v/>
      </c>
      <c r="D718" s="47" t="n">
        <v>39966</v>
      </c>
      <c r="E718" s="48">
        <f>"RNCP"&amp;D718</f>
        <v/>
      </c>
      <c r="F718" s="48" t="inlineStr">
        <is>
          <t>CQP Conducteur de machines du secteur alimentaire</t>
        </is>
      </c>
      <c r="G718" s="49">
        <f>E718&amp;" - "&amp;F718</f>
        <v/>
      </c>
      <c r="H718" s="36" t="inlineStr">
        <is>
          <t>RAS</t>
        </is>
      </c>
      <c r="I718" s="45" t="inlineStr"/>
      <c r="J718" s="45" t="inlineStr">
        <is>
          <t>RNCP39966</t>
        </is>
      </c>
      <c r="K718" s="45" t="inlineStr">
        <is>
          <t>CQP Conducteur de machines du secteur alimentaire</t>
        </is>
      </c>
      <c r="L718" s="45" t="inlineStr">
        <is>
          <t>18/12/2029</t>
        </is>
      </c>
      <c r="M718" s="45" t="inlineStr">
        <is>
          <t>31620 (Conduite installation industrielle) ; 21554 (Agroalimentaire)</t>
        </is>
      </c>
      <c r="N718" s="50" t="inlineStr">
        <is>
          <t>NON</t>
        </is>
      </c>
      <c r="O718" s="45" t="inlineStr"/>
    </row>
    <row r="719" customFormat="1" s="3">
      <c r="A719" s="45" t="n"/>
      <c r="B719" s="46" t="inlineStr">
        <is>
          <t>21577</t>
        </is>
      </c>
      <c r="C719" s="46">
        <f>LEFT(Tableau1[[#This Row],[Formacode]],3)</f>
        <v/>
      </c>
      <c r="D719" s="47" t="n">
        <v>39967</v>
      </c>
      <c r="E719" s="48">
        <f>"RNCP"&amp;D719</f>
        <v/>
      </c>
      <c r="F719" s="48" t="inlineStr">
        <is>
          <t>CQP Conducteur de ligne du secteur alimentaire</t>
        </is>
      </c>
      <c r="G719" s="49">
        <f>E719&amp;" - "&amp;F719</f>
        <v/>
      </c>
      <c r="H719" s="36" t="inlineStr">
        <is>
          <t>RAS</t>
        </is>
      </c>
      <c r="I719" s="45" t="inlineStr"/>
      <c r="J719" s="45" t="inlineStr">
        <is>
          <t>RNCP39967</t>
        </is>
      </c>
      <c r="K719" s="45" t="inlineStr">
        <is>
          <t>CQP Conducteur de ligne du secteur alimentaire</t>
        </is>
      </c>
      <c r="L719" s="45" t="inlineStr">
        <is>
          <t>18/12/2029</t>
        </is>
      </c>
      <c r="M719" s="45" t="inlineStr">
        <is>
          <t>31620 (Conduite installation industrielle) ; 21554 (Agroalimentaire)</t>
        </is>
      </c>
      <c r="N719" s="50" t="inlineStr">
        <is>
          <t>NON</t>
        </is>
      </c>
      <c r="O719" s="45" t="inlineStr"/>
    </row>
    <row r="720" customFormat="1" s="3">
      <c r="A720" s="45" t="n"/>
      <c r="B720" s="46" t="inlineStr">
        <is>
          <t>21577</t>
        </is>
      </c>
      <c r="C720" s="46">
        <f>LEFT(Tableau1[[#This Row],[Formacode]],3)</f>
        <v/>
      </c>
      <c r="D720" s="47" t="n">
        <v>39968</v>
      </c>
      <c r="E720" s="48">
        <f>"RNCP"&amp;D720</f>
        <v/>
      </c>
      <c r="F720" s="48" t="inlineStr">
        <is>
          <t>CQP Opérateur de production du secteur alimentaire</t>
        </is>
      </c>
      <c r="G720" s="49">
        <f>E720&amp;" - "&amp;F720</f>
        <v/>
      </c>
      <c r="H720" s="36" t="inlineStr">
        <is>
          <t>RAS</t>
        </is>
      </c>
      <c r="I720" s="45" t="inlineStr"/>
      <c r="J720" s="45" t="inlineStr">
        <is>
          <t>RNCP39968</t>
        </is>
      </c>
      <c r="K720" s="45" t="inlineStr">
        <is>
          <t>CQP Opérateur de production du secteur alimentaire</t>
        </is>
      </c>
      <c r="L720" s="45" t="inlineStr">
        <is>
          <t>18/12/2029</t>
        </is>
      </c>
      <c r="M720" s="45" t="inlineStr">
        <is>
          <t>21554 (Agroalimentaire)</t>
        </is>
      </c>
      <c r="N720" s="50" t="inlineStr">
        <is>
          <t>NON</t>
        </is>
      </c>
      <c r="O720" s="45" t="inlineStr"/>
    </row>
    <row r="721" customFormat="1" s="3">
      <c r="A721" s="45" t="n"/>
      <c r="B721" s="46" t="inlineStr">
        <is>
          <t>21577</t>
        </is>
      </c>
      <c r="C721" s="46">
        <f>LEFT(Tableau1[[#This Row],[Formacode]],3)</f>
        <v/>
      </c>
      <c r="D721" s="47" t="n">
        <v>39971</v>
      </c>
      <c r="E721" s="48">
        <f>"RNCP"&amp;D721</f>
        <v/>
      </c>
      <c r="F721" s="48" t="inlineStr">
        <is>
          <t>CQP Technicien de maintenance du secteur alimentaire</t>
        </is>
      </c>
      <c r="G721" s="49">
        <f>E721&amp;" - "&amp;F721</f>
        <v/>
      </c>
      <c r="H721" s="36" t="inlineStr">
        <is>
          <t>RAS</t>
        </is>
      </c>
      <c r="I721" s="45" t="inlineStr"/>
      <c r="J721" s="45" t="inlineStr">
        <is>
          <t>RNCP39971</t>
        </is>
      </c>
      <c r="K721" s="45" t="inlineStr">
        <is>
          <t>CQP Technicien de maintenance du secteur alimentaire</t>
        </is>
      </c>
      <c r="L721" s="45" t="inlineStr">
        <is>
          <t>18/12/2029</t>
        </is>
      </c>
      <c r="M721" s="45" t="inlineStr">
        <is>
          <t>21554 (Agroalimentaire) ; 31624 (Maintenance industrielle)</t>
        </is>
      </c>
      <c r="N721" s="50" t="inlineStr">
        <is>
          <t>NON</t>
        </is>
      </c>
      <c r="O721" s="45" t="inlineStr"/>
    </row>
    <row r="722" customFormat="1" s="3">
      <c r="A722" s="45" t="n"/>
      <c r="B722" s="46" t="inlineStr">
        <is>
          <t>21577</t>
        </is>
      </c>
      <c r="C722" s="46">
        <f>LEFT(Tableau1[[#This Row],[Formacode]],3)</f>
        <v/>
      </c>
      <c r="D722" s="47" t="n">
        <v>39972</v>
      </c>
      <c r="E722" s="48">
        <f>"RNCP"&amp;D722</f>
        <v/>
      </c>
      <c r="F722" s="48" t="inlineStr">
        <is>
          <t>CQP Responsable d'équipe du secteur alimentaire</t>
        </is>
      </c>
      <c r="G722" s="49">
        <f>E722&amp;" - "&amp;F722</f>
        <v/>
      </c>
      <c r="H722" s="36" t="inlineStr">
        <is>
          <t>RAS</t>
        </is>
      </c>
      <c r="I722" s="45" t="inlineStr"/>
      <c r="J722" s="45" t="inlineStr">
        <is>
          <t>RNCP39972</t>
        </is>
      </c>
      <c r="K722" s="45" t="inlineStr">
        <is>
          <t>CQP Responsable d'équipe du secteur alimentaire</t>
        </is>
      </c>
      <c r="L722" s="45" t="inlineStr">
        <is>
          <t>18/12/2029</t>
        </is>
      </c>
      <c r="M722" s="45" t="inlineStr">
        <is>
          <t>32154 (Encadrement management) ; 21554 (Agroalimentaire)</t>
        </is>
      </c>
      <c r="N722" s="50" t="inlineStr">
        <is>
          <t>NON</t>
        </is>
      </c>
      <c r="O722" s="45" t="inlineStr"/>
    </row>
    <row r="723" customFormat="1" s="3">
      <c r="A723" s="45" t="n"/>
      <c r="B723" s="46" t="inlineStr">
        <is>
          <t>21577</t>
        </is>
      </c>
      <c r="C723" s="46">
        <f>LEFT(Tableau1[[#This Row],[Formacode]],3)</f>
        <v/>
      </c>
      <c r="D723" s="47" t="n">
        <v>41349</v>
      </c>
      <c r="E723" s="48">
        <f>"RNCP"&amp;D723</f>
        <v/>
      </c>
      <c r="F723" s="48" t="inlineStr">
        <is>
          <t>CQP Conducteur de process du secteur alimentaire</t>
        </is>
      </c>
      <c r="G723" s="49">
        <f>E723&amp;" - "&amp;F723</f>
        <v/>
      </c>
      <c r="H723" s="36" t="inlineStr">
        <is>
          <t>RAS</t>
        </is>
      </c>
      <c r="I723" s="45" t="inlineStr"/>
      <c r="J723" s="45" t="inlineStr">
        <is>
          <t>RNCP41349</t>
        </is>
      </c>
      <c r="K723" s="45" t="inlineStr">
        <is>
          <t>CQP Conducteur de process du secteur alimentaire</t>
        </is>
      </c>
      <c r="L723" s="45" t="inlineStr">
        <is>
          <t>24/09/2030</t>
        </is>
      </c>
      <c r="M723" s="45" t="inlineStr">
        <is>
          <t>32012 (Gestion processus) ; 21554 (Agroalimentaire)</t>
        </is>
      </c>
      <c r="N723" s="50" t="inlineStr">
        <is>
          <t>NON</t>
        </is>
      </c>
      <c r="O723" s="45" t="inlineStr"/>
    </row>
    <row r="724" customFormat="1" s="3">
      <c r="A724" s="45" t="n"/>
      <c r="B724" s="46" t="inlineStr">
        <is>
          <t>21577</t>
        </is>
      </c>
      <c r="C724" s="46">
        <f>LEFT(Tableau1[[#This Row],[Formacode]],3)</f>
        <v/>
      </c>
      <c r="D724" s="47" t="n">
        <v>41679</v>
      </c>
      <c r="E724" s="48">
        <f>"RNCP"&amp;D724</f>
        <v/>
      </c>
      <c r="F724" s="48" t="inlineStr">
        <is>
          <t>CQP Agent de maintenance du secteur alimentaire</t>
        </is>
      </c>
      <c r="G724" s="49">
        <f>E724&amp;" - "&amp;F724</f>
        <v/>
      </c>
      <c r="H724" s="36" t="inlineStr">
        <is>
          <t>RAS</t>
        </is>
      </c>
      <c r="I724" s="45" t="inlineStr"/>
      <c r="J724" s="45" t="inlineStr">
        <is>
          <t>RNCP41679</t>
        </is>
      </c>
      <c r="K724" s="45" t="inlineStr">
        <is>
          <t>CQP Agent de maintenance du secteur alimentaire</t>
        </is>
      </c>
      <c r="L724" s="45" t="inlineStr">
        <is>
          <t>27/11/2030</t>
        </is>
      </c>
      <c r="M724" s="45" t="inlineStr">
        <is>
          <t>31624 (Maintenance industrielle) ; 21554 (Agroalimentaire)</t>
        </is>
      </c>
      <c r="N724" s="50" t="inlineStr">
        <is>
          <t>NON</t>
        </is>
      </c>
      <c r="O724" s="45" t="inlineStr"/>
    </row>
    <row r="725" customFormat="1" s="3">
      <c r="A725" s="45" t="n"/>
      <c r="B725" s="46" t="inlineStr">
        <is>
          <t>21622</t>
        </is>
      </c>
      <c r="C725" s="46">
        <f>LEFT(Tableau1[[#This Row],[Formacode]],3)</f>
        <v/>
      </c>
      <c r="D725" s="47" t="n">
        <v>37962</v>
      </c>
      <c r="E725" s="48">
        <f>"RNCP"&amp;D725</f>
        <v/>
      </c>
      <c r="F725" s="48" t="inlineStr">
        <is>
          <t>BTS - Innovation textile (Option A : Structures ; Option B : Traitements)</t>
        </is>
      </c>
      <c r="G725" s="49">
        <f>E725&amp;" - "&amp;F725</f>
        <v/>
      </c>
      <c r="H725" s="36" t="inlineStr">
        <is>
          <t>RAS</t>
        </is>
      </c>
      <c r="I725" s="45" t="inlineStr"/>
      <c r="J725" s="45" t="inlineStr">
        <is>
          <t>RNCP37962</t>
        </is>
      </c>
      <c r="K725" s="45" t="inlineStr">
        <is>
          <t>Innovation textile (Option A : Structures ; Option B : Traitements)</t>
        </is>
      </c>
      <c r="L725" s="45" t="inlineStr">
        <is>
          <t>31/08/2028</t>
        </is>
      </c>
      <c r="M725" s="45" t="inlineStr">
        <is>
          <t>21654 (Textile)</t>
        </is>
      </c>
      <c r="N725" s="50" t="inlineStr">
        <is>
          <t>NON</t>
        </is>
      </c>
      <c r="O725" s="45" t="inlineStr"/>
    </row>
    <row r="726" customFormat="1" s="3">
      <c r="A726" s="51" t="n"/>
      <c r="B726" s="52" t="inlineStr">
        <is>
          <t>21625</t>
        </is>
      </c>
      <c r="C726" s="52">
        <f>LEFT(Tableau1[[#This Row],[Formacode]],3)</f>
        <v/>
      </c>
      <c r="D726" s="53" t="n">
        <v>35640</v>
      </c>
      <c r="E726" s="54">
        <f>"RNCP"&amp;D726</f>
        <v/>
      </c>
      <c r="F726" s="54" t="inlineStr">
        <is>
          <t>CAP - Arts de la dentelle, options fuseaux et aiguille</t>
        </is>
      </c>
      <c r="G726" s="55">
        <f>E726&amp;" - "&amp;F726</f>
        <v/>
      </c>
      <c r="H726" s="37" t="inlineStr">
        <is>
          <t>À vérifier</t>
        </is>
      </c>
      <c r="I726" s="51" t="inlineStr">
        <is>
          <t>Successeur déjà publié : RNCP42132 (Arts de la dentelle, options fuseaux et aiguille) — préparer la bascule de l'offre CPF | Échéance le 31/08/2026 (dans 44 j)</t>
        </is>
      </c>
      <c r="J726" s="51" t="inlineStr">
        <is>
          <t>RNCP42132</t>
        </is>
      </c>
      <c r="K726" s="51" t="inlineStr">
        <is>
          <t>Arts de la dentelle, options fuseaux et aiguille</t>
        </is>
      </c>
      <c r="L726" s="51" t="inlineStr">
        <is>
          <t>31/08/2026</t>
        </is>
      </c>
      <c r="M726" s="51" t="inlineStr">
        <is>
          <t>45531 (Dentellerie broderie artisanale) ; 31620 (Conduite installation industrielle) ; 21625 (Ennoblissement textile) ; 21650 (Machine filature) ; 21620 (Métier à tisser)</t>
        </is>
      </c>
      <c r="N726" s="62" t="inlineStr">
        <is>
          <t>NON</t>
        </is>
      </c>
      <c r="O726" s="51" t="inlineStr"/>
    </row>
    <row r="727" customFormat="1" s="3">
      <c r="A727" s="45" t="n"/>
      <c r="B727" s="46" t="inlineStr">
        <is>
          <t>21625</t>
        </is>
      </c>
      <c r="C727" s="46">
        <f>LEFT(Tableau1[[#This Row],[Formacode]],3)</f>
        <v/>
      </c>
      <c r="D727" s="47" t="n">
        <v>37962</v>
      </c>
      <c r="E727" s="48">
        <f>"RNCP"&amp;D727</f>
        <v/>
      </c>
      <c r="F727" s="48" t="inlineStr">
        <is>
          <t>BTS - Innovation textile (Option A : Structures ; Option B : Traitements)</t>
        </is>
      </c>
      <c r="G727" s="49">
        <f>E727&amp;" - "&amp;F727</f>
        <v/>
      </c>
      <c r="H727" s="36" t="inlineStr">
        <is>
          <t>RAS</t>
        </is>
      </c>
      <c r="I727" s="45" t="inlineStr"/>
      <c r="J727" s="45" t="inlineStr">
        <is>
          <t>RNCP37962</t>
        </is>
      </c>
      <c r="K727" s="45" t="inlineStr">
        <is>
          <t>Innovation textile (Option A : Structures ; Option B : Traitements)</t>
        </is>
      </c>
      <c r="L727" s="45" t="inlineStr">
        <is>
          <t>31/08/2028</t>
        </is>
      </c>
      <c r="M727" s="45" t="inlineStr">
        <is>
          <t>21654 (Textile)</t>
        </is>
      </c>
      <c r="N727" s="50" t="inlineStr">
        <is>
          <t>NON</t>
        </is>
      </c>
      <c r="O727" s="45" t="inlineStr"/>
    </row>
    <row r="728" customFormat="1" s="3">
      <c r="A728" s="51" t="n"/>
      <c r="B728" s="52" t="inlineStr">
        <is>
          <t>21627</t>
        </is>
      </c>
      <c r="C728" s="52">
        <f>LEFT(Tableau1[[#This Row],[Formacode]],3)</f>
        <v/>
      </c>
      <c r="D728" s="53" t="n">
        <v>37828</v>
      </c>
      <c r="E728" s="54">
        <f>"RNCP"&amp;D728</f>
        <v/>
      </c>
      <c r="F728" s="54" t="inlineStr">
        <is>
          <t>Designer créateur de produit de mode et textile</t>
        </is>
      </c>
      <c r="G728" s="55">
        <f>E728&amp;" - "&amp;F728</f>
        <v/>
      </c>
      <c r="H728" s="37" t="inlineStr">
        <is>
          <t>À vérifier</t>
        </is>
      </c>
      <c r="I728" s="51" t="inlineStr">
        <is>
          <t>Échéance le 19/07/2026 (dans 1 j)</t>
        </is>
      </c>
      <c r="J728" s="51" t="inlineStr">
        <is>
          <t>RNCP37828</t>
        </is>
      </c>
      <c r="K728" s="51" t="inlineStr">
        <is>
          <t>Designer créateur de produit de mode et textile</t>
        </is>
      </c>
      <c r="L728" s="51" t="inlineStr">
        <is>
          <t>19/07/2026</t>
        </is>
      </c>
      <c r="M728" s="51" t="inlineStr">
        <is>
          <t>21775 (Stylisme habillement) ; 21627 (Création textile) ; 21752 (Accessoire mode) ; 45027 (Art appliqué) ; 46081 (Création graphique)</t>
        </is>
      </c>
      <c r="N728" s="62" t="inlineStr">
        <is>
          <t>NON</t>
        </is>
      </c>
      <c r="O728" s="51" t="inlineStr"/>
    </row>
    <row r="729" customFormat="1" s="3">
      <c r="A729" s="45" t="n"/>
      <c r="B729" s="46" t="inlineStr">
        <is>
          <t>21627</t>
        </is>
      </c>
      <c r="C729" s="46">
        <f>LEFT(Tableau1[[#This Row],[Formacode]],3)</f>
        <v/>
      </c>
      <c r="D729" s="47" t="n">
        <v>37962</v>
      </c>
      <c r="E729" s="48">
        <f>"RNCP"&amp;D729</f>
        <v/>
      </c>
      <c r="F729" s="48" t="inlineStr">
        <is>
          <t>BTS - Innovation textile (Option A : Structures ; Option B : Traitements)</t>
        </is>
      </c>
      <c r="G729" s="49">
        <f>E729&amp;" - "&amp;F729</f>
        <v/>
      </c>
      <c r="H729" s="36" t="inlineStr">
        <is>
          <t>RAS</t>
        </is>
      </c>
      <c r="I729" s="45" t="inlineStr"/>
      <c r="J729" s="45" t="inlineStr">
        <is>
          <t>RNCP37962</t>
        </is>
      </c>
      <c r="K729" s="45" t="inlineStr">
        <is>
          <t>Innovation textile (Option A : Structures ; Option B : Traitements)</t>
        </is>
      </c>
      <c r="L729" s="45" t="inlineStr">
        <is>
          <t>31/08/2028</t>
        </is>
      </c>
      <c r="M729" s="45" t="inlineStr">
        <is>
          <t>21654 (Textile)</t>
        </is>
      </c>
      <c r="N729" s="50" t="inlineStr">
        <is>
          <t>NON</t>
        </is>
      </c>
      <c r="O729" s="45" t="inlineStr"/>
    </row>
    <row r="730" customFormat="1" s="3">
      <c r="A730" s="45" t="n"/>
      <c r="B730" s="46" t="inlineStr">
        <is>
          <t>21627</t>
        </is>
      </c>
      <c r="C730" s="46">
        <f>LEFT(Tableau1[[#This Row],[Formacode]],3)</f>
        <v/>
      </c>
      <c r="D730" s="47" t="n">
        <v>41387</v>
      </c>
      <c r="E730" s="48">
        <f>"RNCP"&amp;D730</f>
        <v/>
      </c>
      <c r="F730" s="48" t="inlineStr">
        <is>
          <t>Grade_Master - Designer textile</t>
        </is>
      </c>
      <c r="G730" s="49">
        <f>E730&amp;" - "&amp;F730</f>
        <v/>
      </c>
      <c r="H730" s="36" t="inlineStr">
        <is>
          <t>RAS</t>
        </is>
      </c>
      <c r="I730" s="45" t="inlineStr"/>
      <c r="J730" s="45" t="inlineStr">
        <is>
          <t>RNCP41387</t>
        </is>
      </c>
      <c r="K730" s="45" t="inlineStr">
        <is>
          <t>Designer textile</t>
        </is>
      </c>
      <c r="L730" s="45" t="inlineStr">
        <is>
          <t>28/08/2030</t>
        </is>
      </c>
      <c r="M730" s="45" t="inlineStr">
        <is>
          <t>21627 (Création textile) ; 12536 (Eco-conception) ; 21696 (Tissu) ; 21698 (Étoffe maille) ; 32062 (Recherche développement)</t>
        </is>
      </c>
      <c r="N730" s="50" t="inlineStr">
        <is>
          <t>NON</t>
        </is>
      </c>
      <c r="O730" s="45" t="inlineStr"/>
    </row>
    <row r="731" customFormat="1" s="3">
      <c r="A731" s="51" t="n"/>
      <c r="B731" s="52" t="inlineStr">
        <is>
          <t>21631</t>
        </is>
      </c>
      <c r="C731" s="52">
        <f>LEFT(Tableau1[[#This Row],[Formacode]],3)</f>
        <v/>
      </c>
      <c r="D731" s="53" t="n">
        <v>35640</v>
      </c>
      <c r="E731" s="54">
        <f>"RNCP"&amp;D731</f>
        <v/>
      </c>
      <c r="F731" s="54" t="inlineStr">
        <is>
          <t>CAP - Arts de la dentelle, options fuseaux et aiguille</t>
        </is>
      </c>
      <c r="G731" s="55">
        <f>E731&amp;" - "&amp;F731</f>
        <v/>
      </c>
      <c r="H731" s="37" t="inlineStr">
        <is>
          <t>À vérifier</t>
        </is>
      </c>
      <c r="I731" s="51" t="inlineStr">
        <is>
          <t>Successeur déjà publié : RNCP42132 (Arts de la dentelle, options fuseaux et aiguille) — préparer la bascule de l'offre CPF | Échéance le 31/08/2026 (dans 44 j)</t>
        </is>
      </c>
      <c r="J731" s="51" t="inlineStr">
        <is>
          <t>RNCP42132</t>
        </is>
      </c>
      <c r="K731" s="51" t="inlineStr">
        <is>
          <t>Arts de la dentelle, options fuseaux et aiguille</t>
        </is>
      </c>
      <c r="L731" s="51" t="inlineStr">
        <is>
          <t>31/08/2026</t>
        </is>
      </c>
      <c r="M731" s="51" t="inlineStr">
        <is>
          <t>45531 (Dentellerie broderie artisanale) ; 31620 (Conduite installation industrielle) ; 21625 (Ennoblissement textile) ; 21650 (Machine filature) ; 21620 (Métier à tisser)</t>
        </is>
      </c>
      <c r="N731" s="62" t="inlineStr">
        <is>
          <t>NON</t>
        </is>
      </c>
      <c r="O731" s="51" t="inlineStr"/>
    </row>
    <row r="732" customFormat="1" s="3">
      <c r="A732" s="45" t="n"/>
      <c r="B732" s="46" t="inlineStr">
        <is>
          <t>21631</t>
        </is>
      </c>
      <c r="C732" s="46">
        <f>LEFT(Tableau1[[#This Row],[Formacode]],3)</f>
        <v/>
      </c>
      <c r="D732" s="47" t="n">
        <v>37962</v>
      </c>
      <c r="E732" s="48">
        <f>"RNCP"&amp;D732</f>
        <v/>
      </c>
      <c r="F732" s="48" t="inlineStr">
        <is>
          <t>BTS - Innovation textile (Option A : Structures ; Option B : Traitements)</t>
        </is>
      </c>
      <c r="G732" s="49">
        <f>E732&amp;" - "&amp;F732</f>
        <v/>
      </c>
      <c r="H732" s="36" t="inlineStr">
        <is>
          <t>RAS</t>
        </is>
      </c>
      <c r="I732" s="45" t="inlineStr"/>
      <c r="J732" s="45" t="inlineStr">
        <is>
          <t>RNCP37962</t>
        </is>
      </c>
      <c r="K732" s="45" t="inlineStr">
        <is>
          <t>Innovation textile (Option A : Structures ; Option B : Traitements)</t>
        </is>
      </c>
      <c r="L732" s="45" t="inlineStr">
        <is>
          <t>31/08/2028</t>
        </is>
      </c>
      <c r="M732" s="45" t="inlineStr">
        <is>
          <t>21654 (Textile)</t>
        </is>
      </c>
      <c r="N732" s="50" t="inlineStr">
        <is>
          <t>NON</t>
        </is>
      </c>
      <c r="O732" s="45" t="inlineStr"/>
    </row>
    <row r="733" customFormat="1" s="3">
      <c r="A733" s="45" t="n"/>
      <c r="B733" s="46" t="inlineStr">
        <is>
          <t>21634</t>
        </is>
      </c>
      <c r="C733" s="46">
        <f>LEFT(Tableau1[[#This Row],[Formacode]],3)</f>
        <v/>
      </c>
      <c r="D733" s="47" t="n">
        <v>37962</v>
      </c>
      <c r="E733" s="48">
        <f>"RNCP"&amp;D733</f>
        <v/>
      </c>
      <c r="F733" s="48" t="inlineStr">
        <is>
          <t>BTS - Innovation textile (Option A : Structures ; Option B : Traitements)</t>
        </is>
      </c>
      <c r="G733" s="49">
        <f>E733&amp;" - "&amp;F733</f>
        <v/>
      </c>
      <c r="H733" s="36" t="inlineStr">
        <is>
          <t>RAS</t>
        </is>
      </c>
      <c r="I733" s="45" t="inlineStr"/>
      <c r="J733" s="45" t="inlineStr">
        <is>
          <t>RNCP37962</t>
        </is>
      </c>
      <c r="K733" s="45" t="inlineStr">
        <is>
          <t>Innovation textile (Option A : Structures ; Option B : Traitements)</t>
        </is>
      </c>
      <c r="L733" s="45" t="inlineStr">
        <is>
          <t>31/08/2028</t>
        </is>
      </c>
      <c r="M733" s="45" t="inlineStr">
        <is>
          <t>21654 (Textile)</t>
        </is>
      </c>
      <c r="N733" s="50" t="inlineStr">
        <is>
          <t>NON</t>
        </is>
      </c>
      <c r="O733" s="45" t="inlineStr"/>
    </row>
    <row r="734" customFormat="1" s="3">
      <c r="A734" s="45" t="n"/>
      <c r="B734" s="46" t="inlineStr">
        <is>
          <t>21638</t>
        </is>
      </c>
      <c r="C734" s="46">
        <f>LEFT(Tableau1[[#This Row],[Formacode]],3)</f>
        <v/>
      </c>
      <c r="D734" s="47" t="n">
        <v>37962</v>
      </c>
      <c r="E734" s="48">
        <f>"RNCP"&amp;D734</f>
        <v/>
      </c>
      <c r="F734" s="48" t="inlineStr">
        <is>
          <t>BTS - Innovation textile (Option A : Structures ; Option B : Traitements)</t>
        </is>
      </c>
      <c r="G734" s="49">
        <f>E734&amp;" - "&amp;F734</f>
        <v/>
      </c>
      <c r="H734" s="36" t="inlineStr">
        <is>
          <t>RAS</t>
        </is>
      </c>
      <c r="I734" s="45" t="inlineStr"/>
      <c r="J734" s="45" t="inlineStr">
        <is>
          <t>RNCP37962</t>
        </is>
      </c>
      <c r="K734" s="45" t="inlineStr">
        <is>
          <t>Innovation textile (Option A : Structures ; Option B : Traitements)</t>
        </is>
      </c>
      <c r="L734" s="45" t="inlineStr">
        <is>
          <t>31/08/2028</t>
        </is>
      </c>
      <c r="M734" s="45" t="inlineStr">
        <is>
          <t>21654 (Textile)</t>
        </is>
      </c>
      <c r="N734" s="50" t="inlineStr">
        <is>
          <t>NON</t>
        </is>
      </c>
      <c r="O734" s="45" t="inlineStr"/>
    </row>
    <row r="735" customFormat="1" s="3">
      <c r="A735" s="51" t="n"/>
      <c r="B735" s="52" t="inlineStr">
        <is>
          <t>21651</t>
        </is>
      </c>
      <c r="C735" s="52">
        <f>LEFT(Tableau1[[#This Row],[Formacode]],3)</f>
        <v/>
      </c>
      <c r="D735" s="53" t="n">
        <v>35640</v>
      </c>
      <c r="E735" s="54">
        <f>"RNCP"&amp;D735</f>
        <v/>
      </c>
      <c r="F735" s="54" t="inlineStr">
        <is>
          <t>CAP - Arts de la dentelle, options fuseaux et aiguille</t>
        </is>
      </c>
      <c r="G735" s="55">
        <f>E735&amp;" - "&amp;F735</f>
        <v/>
      </c>
      <c r="H735" s="37" t="inlineStr">
        <is>
          <t>À vérifier</t>
        </is>
      </c>
      <c r="I735" s="51" t="inlineStr">
        <is>
          <t>Successeur déjà publié : RNCP42132 (Arts de la dentelle, options fuseaux et aiguille) — préparer la bascule de l'offre CPF | Échéance le 31/08/2026 (dans 44 j)</t>
        </is>
      </c>
      <c r="J735" s="51" t="inlineStr">
        <is>
          <t>RNCP42132</t>
        </is>
      </c>
      <c r="K735" s="51" t="inlineStr">
        <is>
          <t>Arts de la dentelle, options fuseaux et aiguille</t>
        </is>
      </c>
      <c r="L735" s="51" t="inlineStr">
        <is>
          <t>31/08/2026</t>
        </is>
      </c>
      <c r="M735" s="51" t="inlineStr">
        <is>
          <t>45531 (Dentellerie broderie artisanale) ; 31620 (Conduite installation industrielle) ; 21625 (Ennoblissement textile) ; 21650 (Machine filature) ; 21620 (Métier à tisser)</t>
        </is>
      </c>
      <c r="N735" s="62" t="inlineStr">
        <is>
          <t>NON</t>
        </is>
      </c>
      <c r="O735" s="51" t="inlineStr"/>
    </row>
    <row r="736" customFormat="1" s="3">
      <c r="A736" s="45" t="n"/>
      <c r="B736" s="46" t="inlineStr">
        <is>
          <t>21651</t>
        </is>
      </c>
      <c r="C736" s="46">
        <f>LEFT(Tableau1[[#This Row],[Formacode]],3)</f>
        <v/>
      </c>
      <c r="D736" s="47" t="n">
        <v>37962</v>
      </c>
      <c r="E736" s="48">
        <f>"RNCP"&amp;D736</f>
        <v/>
      </c>
      <c r="F736" s="48" t="inlineStr">
        <is>
          <t>BTS - Innovation textile (Option A : Structures ; Option B : Traitements)</t>
        </is>
      </c>
      <c r="G736" s="49">
        <f>E736&amp;" - "&amp;F736</f>
        <v/>
      </c>
      <c r="H736" s="36" t="inlineStr">
        <is>
          <t>RAS</t>
        </is>
      </c>
      <c r="I736" s="45" t="inlineStr"/>
      <c r="J736" s="45" t="inlineStr">
        <is>
          <t>RNCP37962</t>
        </is>
      </c>
      <c r="K736" s="45" t="inlineStr">
        <is>
          <t>Innovation textile (Option A : Structures ; Option B : Traitements)</t>
        </is>
      </c>
      <c r="L736" s="45" t="inlineStr">
        <is>
          <t>31/08/2028</t>
        </is>
      </c>
      <c r="M736" s="45" t="inlineStr">
        <is>
          <t>21654 (Textile)</t>
        </is>
      </c>
      <c r="N736" s="50" t="inlineStr">
        <is>
          <t>NON</t>
        </is>
      </c>
      <c r="O736" s="45" t="inlineStr"/>
    </row>
    <row r="737" customFormat="1" s="3">
      <c r="A737" s="45" t="n"/>
      <c r="B737" s="46" t="inlineStr">
        <is>
          <t>21667</t>
        </is>
      </c>
      <c r="C737" s="46">
        <f>LEFT(Tableau1[[#This Row],[Formacode]],3)</f>
        <v/>
      </c>
      <c r="D737" s="47" t="n">
        <v>37962</v>
      </c>
      <c r="E737" s="48">
        <f>"RNCP"&amp;D737</f>
        <v/>
      </c>
      <c r="F737" s="48" t="inlineStr">
        <is>
          <t>BTS - Innovation textile (Option A : Structures ; Option B : Traitements)</t>
        </is>
      </c>
      <c r="G737" s="49">
        <f>E737&amp;" - "&amp;F737</f>
        <v/>
      </c>
      <c r="H737" s="36" t="inlineStr">
        <is>
          <t>RAS</t>
        </is>
      </c>
      <c r="I737" s="45" t="inlineStr"/>
      <c r="J737" s="45" t="inlineStr">
        <is>
          <t>RNCP37962</t>
        </is>
      </c>
      <c r="K737" s="45" t="inlineStr">
        <is>
          <t>Innovation textile (Option A : Structures ; Option B : Traitements)</t>
        </is>
      </c>
      <c r="L737" s="45" t="inlineStr">
        <is>
          <t>31/08/2028</t>
        </is>
      </c>
      <c r="M737" s="45" t="inlineStr">
        <is>
          <t>21654 (Textile)</t>
        </is>
      </c>
      <c r="N737" s="50" t="inlineStr">
        <is>
          <t>NON</t>
        </is>
      </c>
      <c r="O737" s="45" t="inlineStr"/>
    </row>
    <row r="738" customFormat="1" s="3">
      <c r="A738" s="45" t="n"/>
      <c r="B738" s="46" t="inlineStr">
        <is>
          <t>21674</t>
        </is>
      </c>
      <c r="C738" s="46">
        <f>LEFT(Tableau1[[#This Row],[Formacode]],3)</f>
        <v/>
      </c>
      <c r="D738" s="47" t="n">
        <v>37962</v>
      </c>
      <c r="E738" s="48">
        <f>"RNCP"&amp;D738</f>
        <v/>
      </c>
      <c r="F738" s="48" t="inlineStr">
        <is>
          <t>BTS - Innovation textile (Option A : Structures ; Option B : Traitements)</t>
        </is>
      </c>
      <c r="G738" s="49">
        <f>E738&amp;" - "&amp;F738</f>
        <v/>
      </c>
      <c r="H738" s="36" t="inlineStr">
        <is>
          <t>RAS</t>
        </is>
      </c>
      <c r="I738" s="45" t="inlineStr"/>
      <c r="J738" s="45" t="inlineStr">
        <is>
          <t>RNCP37962</t>
        </is>
      </c>
      <c r="K738" s="45" t="inlineStr">
        <is>
          <t>Innovation textile (Option A : Structures ; Option B : Traitements)</t>
        </is>
      </c>
      <c r="L738" s="45" t="inlineStr">
        <is>
          <t>31/08/2028</t>
        </is>
      </c>
      <c r="M738" s="45" t="inlineStr">
        <is>
          <t>21654 (Textile)</t>
        </is>
      </c>
      <c r="N738" s="50" t="inlineStr">
        <is>
          <t>NON</t>
        </is>
      </c>
      <c r="O738" s="45" t="inlineStr"/>
    </row>
    <row r="739" customFormat="1" s="3">
      <c r="A739" s="51" t="n"/>
      <c r="B739" s="52" t="inlineStr">
        <is>
          <t>21674</t>
        </is>
      </c>
      <c r="C739" s="52">
        <f>LEFT(Tableau1[[#This Row],[Formacode]],3)</f>
        <v/>
      </c>
      <c r="D739" s="53" t="n">
        <v>39706</v>
      </c>
      <c r="E739" s="54">
        <f>"RNCP"&amp;D739</f>
        <v/>
      </c>
      <c r="F739" s="54" t="inlineStr">
        <is>
          <t>CAP - Arts de la broderie</t>
        </is>
      </c>
      <c r="G739" s="55">
        <f>E739&amp;" - "&amp;F739</f>
        <v/>
      </c>
      <c r="H739" s="37" t="inlineStr">
        <is>
          <t>À vérifier</t>
        </is>
      </c>
      <c r="I739" s="51" t="inlineStr">
        <is>
          <t>Successeur déjà publié : RNCP42105 (Arts de la broderie) — préparer la bascule de l'offre CPF | Échéance le 31/08/2026 (dans 44 j)</t>
        </is>
      </c>
      <c r="J739" s="51" t="inlineStr">
        <is>
          <t>RNCP42105</t>
        </is>
      </c>
      <c r="K739" s="51" t="inlineStr">
        <is>
          <t>Arts de la broderie</t>
        </is>
      </c>
      <c r="L739" s="51" t="inlineStr">
        <is>
          <t>31/08/2026</t>
        </is>
      </c>
      <c r="M739" s="51" t="inlineStr">
        <is>
          <t>45531 (Dentellerie broderie artisanale)</t>
        </is>
      </c>
      <c r="N739" s="62" t="inlineStr">
        <is>
          <t>NON</t>
        </is>
      </c>
      <c r="O739" s="51" t="inlineStr"/>
    </row>
    <row r="740" customFormat="1" s="3">
      <c r="A740" s="51" t="n"/>
      <c r="B740" s="52" t="inlineStr">
        <is>
          <t>21674</t>
        </is>
      </c>
      <c r="C740" s="52">
        <f>LEFT(Tableau1[[#This Row],[Formacode]],3)</f>
        <v/>
      </c>
      <c r="D740" s="53" t="n">
        <v>39714</v>
      </c>
      <c r="E740" s="54">
        <f>"RNCP"&amp;D740</f>
        <v/>
      </c>
      <c r="F740" s="54" t="inlineStr">
        <is>
          <t>CAP - Arts du tapis et de la  tapisserie de lisse</t>
        </is>
      </c>
      <c r="G740" s="55">
        <f>E740&amp;" - "&amp;F740</f>
        <v/>
      </c>
      <c r="H740" s="37" t="inlineStr">
        <is>
          <t>À vérifier</t>
        </is>
      </c>
      <c r="I740" s="51" t="inlineStr">
        <is>
          <t>Successeur déjà publié : RNCP42113 (Arts du tapis et de la tapisserie de lisse) — préparer la bascule de l'offre CPF | Échéance le 31/08/2026 (dans 44 j)</t>
        </is>
      </c>
      <c r="J740" s="51" t="inlineStr">
        <is>
          <t>RNCP42113</t>
        </is>
      </c>
      <c r="K740" s="51" t="inlineStr">
        <is>
          <t>Arts du tapis et de la tapisserie de lisse</t>
        </is>
      </c>
      <c r="L740" s="51" t="inlineStr">
        <is>
          <t>31/08/2026</t>
        </is>
      </c>
      <c r="M740" s="51" t="inlineStr">
        <is>
          <t>45511 (Tapisserie lice) ; 21694 (Tapis)</t>
        </is>
      </c>
      <c r="N740" s="62" t="inlineStr">
        <is>
          <t>NON</t>
        </is>
      </c>
      <c r="O740" s="51" t="inlineStr"/>
    </row>
    <row r="741" customFormat="1" s="3">
      <c r="A741" s="45" t="n"/>
      <c r="B741" s="46" t="inlineStr">
        <is>
          <t>21674</t>
        </is>
      </c>
      <c r="C741" s="46">
        <f>LEFT(Tableau1[[#This Row],[Formacode]],3)</f>
        <v/>
      </c>
      <c r="D741" s="47" t="n">
        <v>41387</v>
      </c>
      <c r="E741" s="48">
        <f>"RNCP"&amp;D741</f>
        <v/>
      </c>
      <c r="F741" s="48" t="inlineStr">
        <is>
          <t>Grade_Master - Designer textile</t>
        </is>
      </c>
      <c r="G741" s="49">
        <f>E741&amp;" - "&amp;F741</f>
        <v/>
      </c>
      <c r="H741" s="36" t="inlineStr">
        <is>
          <t>RAS</t>
        </is>
      </c>
      <c r="I741" s="45" t="inlineStr"/>
      <c r="J741" s="45" t="inlineStr">
        <is>
          <t>RNCP41387</t>
        </is>
      </c>
      <c r="K741" s="45" t="inlineStr">
        <is>
          <t>Designer textile</t>
        </is>
      </c>
      <c r="L741" s="45" t="inlineStr">
        <is>
          <t>28/08/2030</t>
        </is>
      </c>
      <c r="M741" s="45" t="inlineStr">
        <is>
          <t>21627 (Création textile) ; 12536 (Eco-conception) ; 21696 (Tissu) ; 21698 (Étoffe maille) ; 32062 (Recherche développement)</t>
        </is>
      </c>
      <c r="N741" s="50" t="inlineStr">
        <is>
          <t>NON</t>
        </is>
      </c>
      <c r="O741" s="45" t="inlineStr"/>
    </row>
    <row r="742" customFormat="1" s="3">
      <c r="A742" s="45" t="n"/>
      <c r="B742" s="46" t="inlineStr">
        <is>
          <t>21676</t>
        </is>
      </c>
      <c r="C742" s="46">
        <f>LEFT(Tableau1[[#This Row],[Formacode]],3)</f>
        <v/>
      </c>
      <c r="D742" s="47" t="n">
        <v>37962</v>
      </c>
      <c r="E742" s="48">
        <f>"RNCP"&amp;D742</f>
        <v/>
      </c>
      <c r="F742" s="48" t="inlineStr">
        <is>
          <t>BTS - Innovation textile (Option A : Structures ; Option B : Traitements)</t>
        </is>
      </c>
      <c r="G742" s="49">
        <f>E742&amp;" - "&amp;F742</f>
        <v/>
      </c>
      <c r="H742" s="36" t="inlineStr">
        <is>
          <t>RAS</t>
        </is>
      </c>
      <c r="I742" s="45" t="inlineStr"/>
      <c r="J742" s="45" t="inlineStr">
        <is>
          <t>RNCP37962</t>
        </is>
      </c>
      <c r="K742" s="45" t="inlineStr">
        <is>
          <t>Innovation textile (Option A : Structures ; Option B : Traitements)</t>
        </is>
      </c>
      <c r="L742" s="45" t="inlineStr">
        <is>
          <t>31/08/2028</t>
        </is>
      </c>
      <c r="M742" s="45" t="inlineStr">
        <is>
          <t>21654 (Textile)</t>
        </is>
      </c>
      <c r="N742" s="50" t="inlineStr">
        <is>
          <t>NON</t>
        </is>
      </c>
      <c r="O742" s="45" t="inlineStr"/>
    </row>
    <row r="743" customFormat="1" s="3">
      <c r="A743" s="63" t="n"/>
      <c r="B743" s="64" t="inlineStr">
        <is>
          <t>21736</t>
        </is>
      </c>
      <c r="C743" s="64">
        <f>LEFT(Tableau1[[#This Row],[Formacode]],3)</f>
        <v/>
      </c>
      <c r="D743" s="65" t="n">
        <v>35228</v>
      </c>
      <c r="E743" s="66">
        <f>"RNCP"&amp;D743</f>
        <v/>
      </c>
      <c r="F743" s="66" t="inlineStr">
        <is>
          <t>TP - Couturier retoucheur</t>
        </is>
      </c>
      <c r="G743" s="67">
        <f>E743&amp;" - "&amp;F743</f>
        <v/>
      </c>
      <c r="H743" s="38" t="inlineStr">
        <is>
          <t>Expiré / remplacé</t>
        </is>
      </c>
      <c r="I743" s="63" t="inlineStr">
        <is>
          <t>Fiche inactive — remplacée par RNCP41914 (Couturier retoucheur réparateur)</t>
        </is>
      </c>
      <c r="J743" s="63" t="inlineStr">
        <is>
          <t>RNCP41914</t>
        </is>
      </c>
      <c r="K743" s="63" t="inlineStr">
        <is>
          <t>Couturier retoucheur réparateur</t>
        </is>
      </c>
      <c r="L743" s="63" t="inlineStr">
        <is>
          <t>24/03/2026</t>
        </is>
      </c>
      <c r="M743" s="63" t="inlineStr">
        <is>
          <t>21757 (Couture) ; 21736 (Vêtement) ; 21766 (Essayage retouche)</t>
        </is>
      </c>
      <c r="N743" s="68" t="inlineStr">
        <is>
          <t>NON</t>
        </is>
      </c>
      <c r="O743" s="63" t="inlineStr"/>
    </row>
    <row r="744" customFormat="1" s="3">
      <c r="A744" s="45" t="n"/>
      <c r="B744" s="46" t="inlineStr">
        <is>
          <t>21736</t>
        </is>
      </c>
      <c r="C744" s="46">
        <f>LEFT(Tableau1[[#This Row],[Formacode]],3)</f>
        <v/>
      </c>
      <c r="D744" s="47" t="n">
        <v>39006</v>
      </c>
      <c r="E744" s="48">
        <f>"RNCP"&amp;D744</f>
        <v/>
      </c>
      <c r="F744" s="48" t="inlineStr">
        <is>
          <t>TP - Couturier en atelier mode et luxe</t>
        </is>
      </c>
      <c r="G744" s="49">
        <f>E744&amp;" - "&amp;F744</f>
        <v/>
      </c>
      <c r="H744" s="36" t="inlineStr">
        <is>
          <t>RAS</t>
        </is>
      </c>
      <c r="I744" s="45" t="inlineStr"/>
      <c r="J744" s="45" t="inlineStr">
        <is>
          <t>RNCP39006</t>
        </is>
      </c>
      <c r="K744" s="45" t="inlineStr">
        <is>
          <t>Couturier en atelier mode et luxe</t>
        </is>
      </c>
      <c r="L744" s="45" t="inlineStr">
        <is>
          <t>24/05/2029</t>
        </is>
      </c>
      <c r="M744" s="45" t="inlineStr">
        <is>
          <t>21710 (Montage piquage confection) ; 21728 (Vêtement féminin) ; 21739 (Vêtement masculin)</t>
        </is>
      </c>
      <c r="N744" s="50" t="inlineStr">
        <is>
          <t>NON</t>
        </is>
      </c>
      <c r="O744" s="45" t="inlineStr"/>
    </row>
    <row r="745" customFormat="1" s="3">
      <c r="A745" s="45" t="n"/>
      <c r="B745" s="46" t="inlineStr">
        <is>
          <t>21742</t>
        </is>
      </c>
      <c r="C745" s="46">
        <f>LEFT(Tableau1[[#This Row],[Formacode]],3)</f>
        <v/>
      </c>
      <c r="D745" s="47" t="n">
        <v>37243</v>
      </c>
      <c r="E745" s="48">
        <f>"RNCP"&amp;D745</f>
        <v/>
      </c>
      <c r="F745" s="48" t="inlineStr">
        <is>
          <t>CAP - Fourrure</t>
        </is>
      </c>
      <c r="G745" s="49">
        <f>E745&amp;" - "&amp;F745</f>
        <v/>
      </c>
      <c r="H745" s="36" t="inlineStr">
        <is>
          <t>RAS</t>
        </is>
      </c>
      <c r="I745" s="45" t="inlineStr"/>
      <c r="J745" s="45" t="inlineStr">
        <is>
          <t>RNCP37243</t>
        </is>
      </c>
      <c r="K745" s="45" t="inlineStr">
        <is>
          <t>Fourrure</t>
        </is>
      </c>
      <c r="L745" s="45" t="inlineStr">
        <is>
          <t>26/07/2027</t>
        </is>
      </c>
      <c r="M745" s="45" t="inlineStr">
        <is>
          <t>21817 (Fourrure) ; 21842 (Tannerie mégisserie) ; 21742 (Confection)</t>
        </is>
      </c>
      <c r="N745" s="50" t="inlineStr">
        <is>
          <t>NON</t>
        </is>
      </c>
      <c r="O745" s="45" t="inlineStr"/>
    </row>
    <row r="746" customFormat="1" s="3">
      <c r="A746" s="51" t="n"/>
      <c r="B746" s="52" t="inlineStr">
        <is>
          <t>21742</t>
        </is>
      </c>
      <c r="C746" s="52">
        <f>LEFT(Tableau1[[#This Row],[Formacode]],3)</f>
        <v/>
      </c>
      <c r="D746" s="53" t="n">
        <v>37745</v>
      </c>
      <c r="E746" s="54">
        <f>"RNCP"&amp;D746</f>
        <v/>
      </c>
      <c r="F746" s="54" t="inlineStr">
        <is>
          <t>Modéliste international du vêtement</t>
        </is>
      </c>
      <c r="G746" s="55">
        <f>E746&amp;" - "&amp;F746</f>
        <v/>
      </c>
      <c r="H746" s="37" t="inlineStr">
        <is>
          <t>À vérifier</t>
        </is>
      </c>
      <c r="I746" s="51" t="inlineStr">
        <is>
          <t>Successeur déjà publié : RNCP42338 (Modéliste international du vêtement) — préparer la bascule de l'offre CPF | Échéance le 19/07/2026 (dans 1 j)</t>
        </is>
      </c>
      <c r="J746" s="51" t="inlineStr">
        <is>
          <t>RNCP42338</t>
        </is>
      </c>
      <c r="K746" s="51" t="inlineStr">
        <is>
          <t>Modéliste international du vêtement</t>
        </is>
      </c>
      <c r="L746" s="51" t="inlineStr">
        <is>
          <t>19/07/2026</t>
        </is>
      </c>
      <c r="M746" s="51" t="inlineStr">
        <is>
          <t>21783 (Modélisme habillement)</t>
        </is>
      </c>
      <c r="N746" s="62" t="inlineStr">
        <is>
          <t>NON</t>
        </is>
      </c>
      <c r="O746" s="51" t="inlineStr"/>
    </row>
    <row r="747" customFormat="1" s="3">
      <c r="A747" s="45" t="n"/>
      <c r="B747" s="46" t="inlineStr">
        <is>
          <t>21742</t>
        </is>
      </c>
      <c r="C747" s="46">
        <f>LEFT(Tableau1[[#This Row],[Formacode]],3)</f>
        <v/>
      </c>
      <c r="D747" s="47" t="n">
        <v>38729</v>
      </c>
      <c r="E747" s="48">
        <f>"RNCP"&amp;D747</f>
        <v/>
      </c>
      <c r="F747" s="48" t="inlineStr">
        <is>
          <t>BAC PRO - Métiers de la couture et de la confection</t>
        </is>
      </c>
      <c r="G747" s="49">
        <f>E747&amp;" - "&amp;F747</f>
        <v/>
      </c>
      <c r="H747" s="36" t="inlineStr">
        <is>
          <t>RAS</t>
        </is>
      </c>
      <c r="I747" s="45" t="inlineStr"/>
      <c r="J747" s="45" t="inlineStr">
        <is>
          <t>RNCP38729</t>
        </is>
      </c>
      <c r="K747" s="45" t="inlineStr">
        <is>
          <t>Métiers de la couture et de la confection</t>
        </is>
      </c>
      <c r="L747" s="45" t="inlineStr">
        <is>
          <t>31/08/2029</t>
        </is>
      </c>
      <c r="M747" s="45" t="inlineStr">
        <is>
          <t>21757 (Couture) ; 21742 (Confection) ; 21783 (Modélisme habillement) ; 21798 (Dessin mode)</t>
        </is>
      </c>
      <c r="N747" s="50" t="inlineStr">
        <is>
          <t>NON</t>
        </is>
      </c>
      <c r="O747" s="45" t="inlineStr"/>
    </row>
    <row r="748" customFormat="1" s="3">
      <c r="A748" s="45" t="n"/>
      <c r="B748" s="46" t="inlineStr">
        <is>
          <t>21742</t>
        </is>
      </c>
      <c r="C748" s="46">
        <f>LEFT(Tableau1[[#This Row],[Formacode]],3)</f>
        <v/>
      </c>
      <c r="D748" s="47" t="n">
        <v>39006</v>
      </c>
      <c r="E748" s="48">
        <f>"RNCP"&amp;D748</f>
        <v/>
      </c>
      <c r="F748" s="48" t="inlineStr">
        <is>
          <t>TP - Couturier en atelier mode et luxe</t>
        </is>
      </c>
      <c r="G748" s="49">
        <f>E748&amp;" - "&amp;F748</f>
        <v/>
      </c>
      <c r="H748" s="36" t="inlineStr">
        <is>
          <t>RAS</t>
        </is>
      </c>
      <c r="I748" s="45" t="inlineStr"/>
      <c r="J748" s="45" t="inlineStr">
        <is>
          <t>RNCP39006</t>
        </is>
      </c>
      <c r="K748" s="45" t="inlineStr">
        <is>
          <t>Couturier en atelier mode et luxe</t>
        </is>
      </c>
      <c r="L748" s="45" t="inlineStr">
        <is>
          <t>24/05/2029</t>
        </is>
      </c>
      <c r="M748" s="45" t="inlineStr">
        <is>
          <t>21710 (Montage piquage confection) ; 21728 (Vêtement féminin) ; 21739 (Vêtement masculin)</t>
        </is>
      </c>
      <c r="N748" s="50" t="inlineStr">
        <is>
          <t>NON</t>
        </is>
      </c>
      <c r="O748" s="45" t="inlineStr"/>
    </row>
    <row r="749" customFormat="1" s="3">
      <c r="A749" s="51" t="n"/>
      <c r="B749" s="52" t="inlineStr">
        <is>
          <t>21752</t>
        </is>
      </c>
      <c r="C749" s="52">
        <f>LEFT(Tableau1[[#This Row],[Formacode]],3)</f>
        <v/>
      </c>
      <c r="D749" s="53" t="n">
        <v>37244</v>
      </c>
      <c r="E749" s="54">
        <f>"RNCP"&amp;D749</f>
        <v/>
      </c>
      <c r="F749" s="54" t="inlineStr">
        <is>
          <t>CAP - Métiers de la mode chapelier modiste</t>
        </is>
      </c>
      <c r="G749" s="55">
        <f>E749&amp;" - "&amp;F749</f>
        <v/>
      </c>
      <c r="H749" s="37" t="inlineStr">
        <is>
          <t>À vérifier</t>
        </is>
      </c>
      <c r="I749" s="51" t="inlineStr">
        <is>
          <t>Successeur déjà publié : RNCP42123 (Métiers de la mode chapelier modiste) — préparer la bascule de l'offre CPF | Échéance le 31/08/2026 (dans 44 j)</t>
        </is>
      </c>
      <c r="J749" s="51" t="inlineStr">
        <is>
          <t>RNCP42123</t>
        </is>
      </c>
      <c r="K749" s="51" t="inlineStr">
        <is>
          <t>Métiers de la mode chapelier modiste</t>
        </is>
      </c>
      <c r="L749" s="51" t="inlineStr">
        <is>
          <t>31/08/2026</t>
        </is>
      </c>
      <c r="M749" s="51" t="inlineStr">
        <is>
          <t>21752 (Accessoire mode)</t>
        </is>
      </c>
      <c r="N749" s="62" t="inlineStr">
        <is>
          <t>NON</t>
        </is>
      </c>
      <c r="O749" s="51" t="inlineStr"/>
    </row>
    <row r="750" customFormat="1" s="3">
      <c r="A750" s="45" t="n"/>
      <c r="B750" s="46" t="inlineStr">
        <is>
          <t>21752</t>
        </is>
      </c>
      <c r="C750" s="46">
        <f>LEFT(Tableau1[[#This Row],[Formacode]],3)</f>
        <v/>
      </c>
      <c r="D750" s="47" t="n">
        <v>37381</v>
      </c>
      <c r="E750" s="48">
        <f>"RNCP"&amp;D750</f>
        <v/>
      </c>
      <c r="F750" s="48" t="inlineStr">
        <is>
          <t>CS - Bijoux de mode</t>
        </is>
      </c>
      <c r="G750" s="49">
        <f>E750&amp;" - "&amp;F750</f>
        <v/>
      </c>
      <c r="H750" s="36" t="inlineStr">
        <is>
          <t>RAS</t>
        </is>
      </c>
      <c r="I750" s="45" t="inlineStr"/>
      <c r="J750" s="45" t="inlineStr">
        <is>
          <t>RNCP37381</t>
        </is>
      </c>
      <c r="K750" s="45" t="inlineStr">
        <is>
          <t>Bijoux de mode</t>
        </is>
      </c>
      <c r="L750" s="45" t="inlineStr">
        <is>
          <t>31/08/2028</t>
        </is>
      </c>
      <c r="M750" s="45" t="inlineStr">
        <is>
          <t>45529 (BJO) ; 21752 (Accessoire mode)</t>
        </is>
      </c>
      <c r="N750" s="50" t="inlineStr">
        <is>
          <t>NON</t>
        </is>
      </c>
      <c r="O750" s="45" t="inlineStr"/>
    </row>
    <row r="751" customFormat="1" s="3">
      <c r="A751" s="51" t="n"/>
      <c r="B751" s="52" t="inlineStr">
        <is>
          <t>21752</t>
        </is>
      </c>
      <c r="C751" s="52">
        <f>LEFT(Tableau1[[#This Row],[Formacode]],3)</f>
        <v/>
      </c>
      <c r="D751" s="53" t="n">
        <v>37828</v>
      </c>
      <c r="E751" s="54">
        <f>"RNCP"&amp;D751</f>
        <v/>
      </c>
      <c r="F751" s="54" t="inlineStr">
        <is>
          <t>Designer créateur de produit de mode et textile</t>
        </is>
      </c>
      <c r="G751" s="55">
        <f>E751&amp;" - "&amp;F751</f>
        <v/>
      </c>
      <c r="H751" s="37" t="inlineStr">
        <is>
          <t>À vérifier</t>
        </is>
      </c>
      <c r="I751" s="51" t="inlineStr">
        <is>
          <t>Échéance le 19/07/2026 (dans 1 j)</t>
        </is>
      </c>
      <c r="J751" s="51" t="inlineStr">
        <is>
          <t>RNCP37828</t>
        </is>
      </c>
      <c r="K751" s="51" t="inlineStr">
        <is>
          <t>Designer créateur de produit de mode et textile</t>
        </is>
      </c>
      <c r="L751" s="51" t="inlineStr">
        <is>
          <t>19/07/2026</t>
        </is>
      </c>
      <c r="M751" s="51" t="inlineStr">
        <is>
          <t>21775 (Stylisme habillement) ; 21627 (Création textile) ; 21752 (Accessoire mode) ; 45027 (Art appliqué) ; 46081 (Création graphique)</t>
        </is>
      </c>
      <c r="N751" s="62" t="inlineStr">
        <is>
          <t>NON</t>
        </is>
      </c>
      <c r="O751" s="51" t="inlineStr"/>
    </row>
    <row r="752" customFormat="1" s="3">
      <c r="A752" s="45" t="n"/>
      <c r="B752" s="46" t="inlineStr">
        <is>
          <t>21752</t>
        </is>
      </c>
      <c r="C752" s="46">
        <f>LEFT(Tableau1[[#This Row],[Formacode]],3)</f>
        <v/>
      </c>
      <c r="D752" s="47" t="n">
        <v>38712</v>
      </c>
      <c r="E752" s="48">
        <f>"RNCP"&amp;D752</f>
        <v/>
      </c>
      <c r="F752" s="48" t="inlineStr">
        <is>
          <t>CAP - Maroquinerie</t>
        </is>
      </c>
      <c r="G752" s="49">
        <f>E752&amp;" - "&amp;F752</f>
        <v/>
      </c>
      <c r="H752" s="36" t="inlineStr">
        <is>
          <t>RAS</t>
        </is>
      </c>
      <c r="I752" s="45" t="inlineStr"/>
      <c r="J752" s="45" t="inlineStr">
        <is>
          <t>RNCP38712</t>
        </is>
      </c>
      <c r="K752" s="45" t="inlineStr">
        <is>
          <t>Maroquinerie</t>
        </is>
      </c>
      <c r="L752" s="45" t="inlineStr">
        <is>
          <t>31/08/2029</t>
        </is>
      </c>
      <c r="M752" s="45" t="inlineStr">
        <is>
          <t>21882 (Maroquinerie) ; 21752 (Accessoire mode)</t>
        </is>
      </c>
      <c r="N752" s="50" t="inlineStr">
        <is>
          <t>NON</t>
        </is>
      </c>
      <c r="O752" s="45" t="inlineStr"/>
    </row>
    <row r="753" customFormat="1" s="3">
      <c r="A753" s="45" t="n"/>
      <c r="B753" s="46" t="inlineStr">
        <is>
          <t>21752</t>
        </is>
      </c>
      <c r="C753" s="46">
        <f>LEFT(Tableau1[[#This Row],[Formacode]],3)</f>
        <v/>
      </c>
      <c r="D753" s="47" t="n">
        <v>39035</v>
      </c>
      <c r="E753" s="48">
        <f>"RNCP"&amp;D753</f>
        <v/>
      </c>
      <c r="F753" s="48" t="inlineStr">
        <is>
          <t>CAP - Fleuriste de mode</t>
        </is>
      </c>
      <c r="G753" s="49">
        <f>E753&amp;" - "&amp;F753</f>
        <v/>
      </c>
      <c r="H753" s="36" t="inlineStr">
        <is>
          <t>RAS</t>
        </is>
      </c>
      <c r="I753" s="45" t="inlineStr"/>
      <c r="J753" s="45" t="inlineStr">
        <is>
          <t>RNCP39035</t>
        </is>
      </c>
      <c r="K753" s="45" t="inlineStr">
        <is>
          <t>Fleuriste de mode</t>
        </is>
      </c>
      <c r="L753" s="45" t="inlineStr">
        <is>
          <t>31/08/2029</t>
        </is>
      </c>
      <c r="M753" s="45" t="inlineStr">
        <is>
          <t>34503 (Fleuriste) ; 21752 (Accessoire mode) ; 21794 (Costume spectacle)</t>
        </is>
      </c>
      <c r="N753" s="50" t="inlineStr">
        <is>
          <t>NON</t>
        </is>
      </c>
      <c r="O753" s="45" t="inlineStr"/>
    </row>
    <row r="754" customFormat="1" s="3">
      <c r="A754" s="45" t="n"/>
      <c r="B754" s="46" t="inlineStr">
        <is>
          <t>21752</t>
        </is>
      </c>
      <c r="C754" s="46">
        <f>LEFT(Tableau1[[#This Row],[Formacode]],3)</f>
        <v/>
      </c>
      <c r="D754" s="47" t="n">
        <v>39134</v>
      </c>
      <c r="E754" s="48">
        <f>"RNCP"&amp;D754</f>
        <v/>
      </c>
      <c r="F754" s="48" t="inlineStr">
        <is>
          <t>CAP - Plumasserie</t>
        </is>
      </c>
      <c r="G754" s="49">
        <f>E754&amp;" - "&amp;F754</f>
        <v/>
      </c>
      <c r="H754" s="36" t="inlineStr">
        <is>
          <t>RAS</t>
        </is>
      </c>
      <c r="I754" s="45" t="inlineStr"/>
      <c r="J754" s="45" t="inlineStr">
        <is>
          <t>RNCP39134</t>
        </is>
      </c>
      <c r="K754" s="45" t="inlineStr">
        <is>
          <t>Plumasserie</t>
        </is>
      </c>
      <c r="L754" s="45" t="inlineStr">
        <is>
          <t>31/08/2029</t>
        </is>
      </c>
      <c r="M754" s="45" t="inlineStr">
        <is>
          <t>21752 (Accessoire mode)</t>
        </is>
      </c>
      <c r="N754" s="50" t="inlineStr">
        <is>
          <t>NON</t>
        </is>
      </c>
      <c r="O754" s="45" t="inlineStr"/>
    </row>
    <row r="755" customFormat="1" s="3">
      <c r="A755" s="63" t="n"/>
      <c r="B755" s="64" t="inlineStr">
        <is>
          <t>21757</t>
        </is>
      </c>
      <c r="C755" s="64">
        <f>LEFT(Tableau1[[#This Row],[Formacode]],3)</f>
        <v/>
      </c>
      <c r="D755" s="65" t="n">
        <v>35228</v>
      </c>
      <c r="E755" s="66">
        <f>"RNCP"&amp;D755</f>
        <v/>
      </c>
      <c r="F755" s="66" t="inlineStr">
        <is>
          <t>TP - Couturier retoucheur</t>
        </is>
      </c>
      <c r="G755" s="67">
        <f>E755&amp;" - "&amp;F755</f>
        <v/>
      </c>
      <c r="H755" s="38" t="inlineStr">
        <is>
          <t>Expiré / remplacé</t>
        </is>
      </c>
      <c r="I755" s="63" t="inlineStr">
        <is>
          <t>Fiche inactive — remplacée par RNCP41914 (Couturier retoucheur réparateur)</t>
        </is>
      </c>
      <c r="J755" s="63" t="inlineStr">
        <is>
          <t>RNCP41914</t>
        </is>
      </c>
      <c r="K755" s="63" t="inlineStr">
        <is>
          <t>Couturier retoucheur réparateur</t>
        </is>
      </c>
      <c r="L755" s="63" t="inlineStr">
        <is>
          <t>24/03/2026</t>
        </is>
      </c>
      <c r="M755" s="63" t="inlineStr">
        <is>
          <t>21757 (Couture) ; 21736 (Vêtement) ; 21766 (Essayage retouche)</t>
        </is>
      </c>
      <c r="N755" s="68" t="inlineStr">
        <is>
          <t>NON</t>
        </is>
      </c>
      <c r="O755" s="63" t="inlineStr"/>
    </row>
    <row r="756" customFormat="1" s="3">
      <c r="A756" s="51" t="n"/>
      <c r="B756" s="52" t="inlineStr">
        <is>
          <t>21757</t>
        </is>
      </c>
      <c r="C756" s="52">
        <f>LEFT(Tableau1[[#This Row],[Formacode]],3)</f>
        <v/>
      </c>
      <c r="D756" s="53" t="n">
        <v>37245</v>
      </c>
      <c r="E756" s="54">
        <f>"RNCP"&amp;D756</f>
        <v/>
      </c>
      <c r="F756" s="54" t="inlineStr">
        <is>
          <t>CAP - Métiers de la mode vêtement flou</t>
        </is>
      </c>
      <c r="G756" s="55">
        <f>E756&amp;" - "&amp;F756</f>
        <v/>
      </c>
      <c r="H756" s="37" t="inlineStr">
        <is>
          <t>À vérifier</t>
        </is>
      </c>
      <c r="I756" s="51" t="inlineStr">
        <is>
          <t>Successeur déjà publié : RNCP42124 (Métiers de la mode vêtement flou) — préparer la bascule de l'offre CPF | Échéance le 31/08/2026 (dans 44 j)</t>
        </is>
      </c>
      <c r="J756" s="51" t="inlineStr">
        <is>
          <t>RNCP42124</t>
        </is>
      </c>
      <c r="K756" s="51" t="inlineStr">
        <is>
          <t>Métiers de la mode vêtement flou</t>
        </is>
      </c>
      <c r="L756" s="51" t="inlineStr">
        <is>
          <t>31/08/2026</t>
        </is>
      </c>
      <c r="M756" s="51" t="inlineStr">
        <is>
          <t>21759 (Couture flou)</t>
        </is>
      </c>
      <c r="N756" s="62" t="inlineStr">
        <is>
          <t>NON</t>
        </is>
      </c>
      <c r="O756" s="51" t="inlineStr"/>
    </row>
    <row r="757" customFormat="1" s="3">
      <c r="A757" s="51" t="n"/>
      <c r="B757" s="52" t="inlineStr">
        <is>
          <t>21757</t>
        </is>
      </c>
      <c r="C757" s="52">
        <f>LEFT(Tableau1[[#This Row],[Formacode]],3)</f>
        <v/>
      </c>
      <c r="D757" s="53" t="n">
        <v>37246</v>
      </c>
      <c r="E757" s="54">
        <f>"RNCP"&amp;D757</f>
        <v/>
      </c>
      <c r="F757" s="54" t="inlineStr">
        <is>
          <t>CAP - Métiers de la mode vêtement tailleur</t>
        </is>
      </c>
      <c r="G757" s="55">
        <f>E757&amp;" - "&amp;F757</f>
        <v/>
      </c>
      <c r="H757" s="37" t="inlineStr">
        <is>
          <t>À vérifier</t>
        </is>
      </c>
      <c r="I757" s="51" t="inlineStr">
        <is>
          <t>Successeur déjà publié : RNCP42125 (Métiers de la mode vêtement tailleur) — préparer la bascule de l'offre CPF | Échéance le 31/08/2026 (dans 44 j)</t>
        </is>
      </c>
      <c r="J757" s="51" t="inlineStr">
        <is>
          <t>RNCP42125</t>
        </is>
      </c>
      <c r="K757" s="51" t="inlineStr">
        <is>
          <t>Métiers de la mode vêtement tailleur</t>
        </is>
      </c>
      <c r="L757" s="51" t="inlineStr">
        <is>
          <t>31/08/2026</t>
        </is>
      </c>
      <c r="M757" s="51" t="inlineStr">
        <is>
          <t>21779 (Couture tailleur)</t>
        </is>
      </c>
      <c r="N757" s="62" t="inlineStr">
        <is>
          <t>NON</t>
        </is>
      </c>
      <c r="O757" s="51" t="inlineStr"/>
    </row>
    <row r="758" ht="28.8" customFormat="1" customHeight="1" s="3">
      <c r="A758" s="51" t="n"/>
      <c r="B758" s="52" t="inlineStr">
        <is>
          <t>21757</t>
        </is>
      </c>
      <c r="C758" s="52">
        <f>LEFT(Tableau1[[#This Row],[Formacode]],3)</f>
        <v/>
      </c>
      <c r="D758" s="53" t="n">
        <v>37937</v>
      </c>
      <c r="E758" s="54">
        <f>"RNCP"&amp;D758</f>
        <v/>
      </c>
      <c r="F758" s="54" t="inlineStr">
        <is>
          <t>BP - Vêtement sur mesure, option tailleur homme, option tailleur dame, option couture flou</t>
        </is>
      </c>
      <c r="G758" s="55">
        <f>E758&amp;" - "&amp;F758</f>
        <v/>
      </c>
      <c r="H758" s="37" t="inlineStr">
        <is>
          <t>À vérifier</t>
        </is>
      </c>
      <c r="I758" s="51" t="inlineStr">
        <is>
          <t>Échéance le 31/08/2026 (dans 44 j)</t>
        </is>
      </c>
      <c r="J758" s="51" t="inlineStr">
        <is>
          <t>RNCP37937</t>
        </is>
      </c>
      <c r="K758" s="51" t="inlineStr">
        <is>
          <t>Vêtement sur mesure, option tailleur homme, option tailleur dame, option couture flou</t>
        </is>
      </c>
      <c r="L758" s="51" t="inlineStr">
        <is>
          <t>31/08/2026</t>
        </is>
      </c>
      <c r="M758" s="51" t="inlineStr">
        <is>
          <t>21759 (Couture flou) ; 21779 (Couture tailleur)</t>
        </is>
      </c>
      <c r="N758" s="62" t="inlineStr">
        <is>
          <t>NON</t>
        </is>
      </c>
      <c r="O758" s="51" t="inlineStr"/>
    </row>
    <row r="759" customFormat="1" s="3">
      <c r="A759" s="45" t="n"/>
      <c r="B759" s="46" t="inlineStr">
        <is>
          <t>21757</t>
        </is>
      </c>
      <c r="C759" s="46">
        <f>LEFT(Tableau1[[#This Row],[Formacode]],3)</f>
        <v/>
      </c>
      <c r="D759" s="47" t="n">
        <v>38729</v>
      </c>
      <c r="E759" s="48">
        <f>"RNCP"&amp;D759</f>
        <v/>
      </c>
      <c r="F759" s="48" t="inlineStr">
        <is>
          <t>BAC PRO - Métiers de la couture et de la confection</t>
        </is>
      </c>
      <c r="G759" s="49">
        <f>E759&amp;" - "&amp;F759</f>
        <v/>
      </c>
      <c r="H759" s="36" t="inlineStr">
        <is>
          <t>RAS</t>
        </is>
      </c>
      <c r="I759" s="45" t="inlineStr"/>
      <c r="J759" s="45" t="inlineStr">
        <is>
          <t>RNCP38729</t>
        </is>
      </c>
      <c r="K759" s="45" t="inlineStr">
        <is>
          <t>Métiers de la couture et de la confection</t>
        </is>
      </c>
      <c r="L759" s="45" t="inlineStr">
        <is>
          <t>31/08/2029</t>
        </is>
      </c>
      <c r="M759" s="45" t="inlineStr">
        <is>
          <t>21757 (Couture) ; 21742 (Confection) ; 21783 (Modélisme habillement) ; 21798 (Dessin mode)</t>
        </is>
      </c>
      <c r="N759" s="50" t="inlineStr">
        <is>
          <t>NON</t>
        </is>
      </c>
      <c r="O759" s="45" t="inlineStr"/>
    </row>
    <row r="760" customFormat="1" s="3">
      <c r="A760" s="63" t="n"/>
      <c r="B760" s="64" t="inlineStr">
        <is>
          <t>21766</t>
        </is>
      </c>
      <c r="C760" s="64">
        <f>LEFT(Tableau1[[#This Row],[Formacode]],3)</f>
        <v/>
      </c>
      <c r="D760" s="65" t="n">
        <v>35228</v>
      </c>
      <c r="E760" s="66">
        <f>"RNCP"&amp;D760</f>
        <v/>
      </c>
      <c r="F760" s="66" t="inlineStr">
        <is>
          <t>TP - Couturier retoucheur</t>
        </is>
      </c>
      <c r="G760" s="67">
        <f>E760&amp;" - "&amp;F760</f>
        <v/>
      </c>
      <c r="H760" s="38" t="inlineStr">
        <is>
          <t>Expiré / remplacé</t>
        </is>
      </c>
      <c r="I760" s="63" t="inlineStr">
        <is>
          <t>Fiche inactive — remplacée par RNCP41914 (Couturier retoucheur réparateur)</t>
        </is>
      </c>
      <c r="J760" s="63" t="inlineStr">
        <is>
          <t>RNCP41914</t>
        </is>
      </c>
      <c r="K760" s="63" t="inlineStr">
        <is>
          <t>Couturier retoucheur réparateur</t>
        </is>
      </c>
      <c r="L760" s="63" t="inlineStr">
        <is>
          <t>24/03/2026</t>
        </is>
      </c>
      <c r="M760" s="63" t="inlineStr">
        <is>
          <t>21757 (Couture) ; 21736 (Vêtement) ; 21766 (Essayage retouche)</t>
        </is>
      </c>
      <c r="N760" s="68" t="inlineStr">
        <is>
          <t>NON</t>
        </is>
      </c>
      <c r="O760" s="63" t="inlineStr"/>
    </row>
    <row r="761" customFormat="1" s="3">
      <c r="A761" s="51" t="n"/>
      <c r="B761" s="52" t="inlineStr">
        <is>
          <t>21766</t>
        </is>
      </c>
      <c r="C761" s="52">
        <f>LEFT(Tableau1[[#This Row],[Formacode]],3)</f>
        <v/>
      </c>
      <c r="D761" s="53" t="n">
        <v>37234</v>
      </c>
      <c r="E761" s="54">
        <f>"RNCP"&amp;D761</f>
        <v/>
      </c>
      <c r="F761" s="54" t="inlineStr">
        <is>
          <t>Certificat de spécialisation - Essayage retouche vente</t>
        </is>
      </c>
      <c r="G761" s="55">
        <f>E761&amp;" - "&amp;F761</f>
        <v/>
      </c>
      <c r="H761" s="37" t="inlineStr">
        <is>
          <t>À vérifier</t>
        </is>
      </c>
      <c r="I761" s="51" t="inlineStr">
        <is>
          <t>Successeur déjà publié : RNCP42121 (Essayage retouche vente) — préparer la bascule de l'offre CPF | Échéance le 31/08/2026 (dans 44 j)</t>
        </is>
      </c>
      <c r="J761" s="51" t="inlineStr">
        <is>
          <t>RNCP42121</t>
        </is>
      </c>
      <c r="K761" s="51" t="inlineStr">
        <is>
          <t>Essayage retouche vente</t>
        </is>
      </c>
      <c r="L761" s="51" t="inlineStr">
        <is>
          <t>31/08/2026</t>
        </is>
      </c>
      <c r="M761" s="51" t="inlineStr">
        <is>
          <t>21766 (Essayage retouche)</t>
        </is>
      </c>
      <c r="N761" s="62" t="inlineStr">
        <is>
          <t>NON</t>
        </is>
      </c>
      <c r="O761" s="51" t="inlineStr"/>
    </row>
    <row r="762" customFormat="1" s="3">
      <c r="A762" s="45" t="n"/>
      <c r="B762" s="46" t="inlineStr">
        <is>
          <t>21775</t>
        </is>
      </c>
      <c r="C762" s="46">
        <f>LEFT(Tableau1[[#This Row],[Formacode]],3)</f>
        <v/>
      </c>
      <c r="D762" s="47" t="n">
        <v>36777</v>
      </c>
      <c r="E762" s="48">
        <f>"RNCP"&amp;D762</f>
        <v/>
      </c>
      <c r="F762" s="48" t="inlineStr">
        <is>
          <t>BTS - Métiers de la mode  – vêtements »</t>
        </is>
      </c>
      <c r="G762" s="49">
        <f>E762&amp;" - "&amp;F762</f>
        <v/>
      </c>
      <c r="H762" s="36" t="inlineStr">
        <is>
          <t>RAS</t>
        </is>
      </c>
      <c r="I762" s="45" t="inlineStr"/>
      <c r="J762" s="45" t="inlineStr">
        <is>
          <t>RNCP36777</t>
        </is>
      </c>
      <c r="K762" s="45" t="inlineStr">
        <is>
          <t>Métiers de la mode – vêtements »</t>
        </is>
      </c>
      <c r="L762" s="45" t="inlineStr">
        <is>
          <t>31/08/2027</t>
        </is>
      </c>
      <c r="M762" s="45" t="inlineStr">
        <is>
          <t>21783 (Modélisme habillement)</t>
        </is>
      </c>
      <c r="N762" s="50" t="inlineStr">
        <is>
          <t>NON</t>
        </is>
      </c>
      <c r="O762" s="45" t="inlineStr"/>
    </row>
    <row r="763" customFormat="1" s="3">
      <c r="A763" s="51" t="n"/>
      <c r="B763" s="52" t="inlineStr">
        <is>
          <t>21775</t>
        </is>
      </c>
      <c r="C763" s="52">
        <f>LEFT(Tableau1[[#This Row],[Formacode]],3)</f>
        <v/>
      </c>
      <c r="D763" s="53" t="n">
        <v>37745</v>
      </c>
      <c r="E763" s="54">
        <f>"RNCP"&amp;D763</f>
        <v/>
      </c>
      <c r="F763" s="54" t="inlineStr">
        <is>
          <t>Modéliste international du vêtement</t>
        </is>
      </c>
      <c r="G763" s="55">
        <f>E763&amp;" - "&amp;F763</f>
        <v/>
      </c>
      <c r="H763" s="37" t="inlineStr">
        <is>
          <t>À vérifier</t>
        </is>
      </c>
      <c r="I763" s="51" t="inlineStr">
        <is>
          <t>Successeur déjà publié : RNCP42338 (Modéliste international du vêtement) — préparer la bascule de l'offre CPF | Échéance le 19/07/2026 (dans 1 j)</t>
        </is>
      </c>
      <c r="J763" s="51" t="inlineStr">
        <is>
          <t>RNCP42338</t>
        </is>
      </c>
      <c r="K763" s="51" t="inlineStr">
        <is>
          <t>Modéliste international du vêtement</t>
        </is>
      </c>
      <c r="L763" s="51" t="inlineStr">
        <is>
          <t>19/07/2026</t>
        </is>
      </c>
      <c r="M763" s="51" t="inlineStr">
        <is>
          <t>21783 (Modélisme habillement)</t>
        </is>
      </c>
      <c r="N763" s="62" t="inlineStr">
        <is>
          <t>NON</t>
        </is>
      </c>
      <c r="O763" s="51" t="inlineStr"/>
    </row>
    <row r="764" customFormat="1" s="3">
      <c r="A764" s="51" t="n"/>
      <c r="B764" s="52" t="inlineStr">
        <is>
          <t>21775</t>
        </is>
      </c>
      <c r="C764" s="52">
        <f>LEFT(Tableau1[[#This Row],[Formacode]],3)</f>
        <v/>
      </c>
      <c r="D764" s="53" t="n">
        <v>37828</v>
      </c>
      <c r="E764" s="54">
        <f>"RNCP"&amp;D764</f>
        <v/>
      </c>
      <c r="F764" s="54" t="inlineStr">
        <is>
          <t>Designer créateur de produit de mode et textile</t>
        </is>
      </c>
      <c r="G764" s="55">
        <f>E764&amp;" - "&amp;F764</f>
        <v/>
      </c>
      <c r="H764" s="37" t="inlineStr">
        <is>
          <t>À vérifier</t>
        </is>
      </c>
      <c r="I764" s="51" t="inlineStr">
        <is>
          <t>Échéance le 19/07/2026 (dans 1 j)</t>
        </is>
      </c>
      <c r="J764" s="51" t="inlineStr">
        <is>
          <t>RNCP37828</t>
        </is>
      </c>
      <c r="K764" s="51" t="inlineStr">
        <is>
          <t>Designer créateur de produit de mode et textile</t>
        </is>
      </c>
      <c r="L764" s="51" t="inlineStr">
        <is>
          <t>19/07/2026</t>
        </is>
      </c>
      <c r="M764" s="51" t="inlineStr">
        <is>
          <t>21775 (Stylisme habillement) ; 21627 (Création textile) ; 21752 (Accessoire mode) ; 45027 (Art appliqué) ; 46081 (Création graphique)</t>
        </is>
      </c>
      <c r="N764" s="62" t="inlineStr">
        <is>
          <t>NON</t>
        </is>
      </c>
      <c r="O764" s="51" t="inlineStr"/>
    </row>
    <row r="765" customFormat="1" s="3">
      <c r="A765" s="45" t="n"/>
      <c r="B765" s="46" t="inlineStr">
        <is>
          <t>21775</t>
        </is>
      </c>
      <c r="C765" s="46">
        <f>LEFT(Tableau1[[#This Row],[Formacode]],3)</f>
        <v/>
      </c>
      <c r="D765" s="47" t="n">
        <v>38729</v>
      </c>
      <c r="E765" s="48">
        <f>"RNCP"&amp;D765</f>
        <v/>
      </c>
      <c r="F765" s="48" t="inlineStr">
        <is>
          <t>BAC PRO - Métiers de la couture et de la confection</t>
        </is>
      </c>
      <c r="G765" s="49">
        <f>E765&amp;" - "&amp;F765</f>
        <v/>
      </c>
      <c r="H765" s="36" t="inlineStr">
        <is>
          <t>RAS</t>
        </is>
      </c>
      <c r="I765" s="45" t="inlineStr"/>
      <c r="J765" s="45" t="inlineStr">
        <is>
          <t>RNCP38729</t>
        </is>
      </c>
      <c r="K765" s="45" t="inlineStr">
        <is>
          <t>Métiers de la couture et de la confection</t>
        </is>
      </c>
      <c r="L765" s="45" t="inlineStr">
        <is>
          <t>31/08/2029</t>
        </is>
      </c>
      <c r="M765" s="45" t="inlineStr">
        <is>
          <t>21757 (Couture) ; 21742 (Confection) ; 21783 (Modélisme habillement) ; 21798 (Dessin mode)</t>
        </is>
      </c>
      <c r="N765" s="50" t="inlineStr">
        <is>
          <t>NON</t>
        </is>
      </c>
      <c r="O765" s="45" t="inlineStr"/>
    </row>
    <row r="766" customFormat="1" s="3">
      <c r="A766" s="45" t="n"/>
      <c r="B766" s="46" t="inlineStr">
        <is>
          <t>21775</t>
        </is>
      </c>
      <c r="C766" s="46">
        <f>LEFT(Tableau1[[#This Row],[Formacode]],3)</f>
        <v/>
      </c>
      <c r="D766" s="47" t="n">
        <v>39035</v>
      </c>
      <c r="E766" s="48">
        <f>"RNCP"&amp;D766</f>
        <v/>
      </c>
      <c r="F766" s="48" t="inlineStr">
        <is>
          <t>CAP - Fleuriste de mode</t>
        </is>
      </c>
      <c r="G766" s="49">
        <f>E766&amp;" - "&amp;F766</f>
        <v/>
      </c>
      <c r="H766" s="36" t="inlineStr">
        <is>
          <t>RAS</t>
        </is>
      </c>
      <c r="I766" s="45" t="inlineStr"/>
      <c r="J766" s="45" t="inlineStr">
        <is>
          <t>RNCP39035</t>
        </is>
      </c>
      <c r="K766" s="45" t="inlineStr">
        <is>
          <t>Fleuriste de mode</t>
        </is>
      </c>
      <c r="L766" s="45" t="inlineStr">
        <is>
          <t>31/08/2029</t>
        </is>
      </c>
      <c r="M766" s="45" t="inlineStr">
        <is>
          <t>34503 (Fleuriste) ; 21752 (Accessoire mode) ; 21794 (Costume spectacle)</t>
        </is>
      </c>
      <c r="N766" s="50" t="inlineStr">
        <is>
          <t>NON</t>
        </is>
      </c>
      <c r="O766" s="45" t="inlineStr"/>
    </row>
    <row r="767" customFormat="1" s="3">
      <c r="A767" s="45" t="n"/>
      <c r="B767" s="46" t="inlineStr">
        <is>
          <t>21775</t>
        </is>
      </c>
      <c r="C767" s="46">
        <f>LEFT(Tableau1[[#This Row],[Formacode]],3)</f>
        <v/>
      </c>
      <c r="D767" s="47" t="n">
        <v>39212</v>
      </c>
      <c r="E767" s="48">
        <f>"RNCP"&amp;D767</f>
        <v/>
      </c>
      <c r="F767" s="48" t="inlineStr">
        <is>
          <t>Styliste designer de mode</t>
        </is>
      </c>
      <c r="G767" s="49">
        <f>E767&amp;" - "&amp;F767</f>
        <v/>
      </c>
      <c r="H767" s="36" t="inlineStr">
        <is>
          <t>RAS</t>
        </is>
      </c>
      <c r="I767" s="45" t="inlineStr"/>
      <c r="J767" s="45" t="inlineStr">
        <is>
          <t>RNCP39212</t>
        </is>
      </c>
      <c r="K767" s="45" t="inlineStr">
        <is>
          <t>Styliste designer de mode</t>
        </is>
      </c>
      <c r="L767" s="45" t="inlineStr">
        <is>
          <t>27/06/2027</t>
        </is>
      </c>
      <c r="M767" s="45" t="inlineStr">
        <is>
          <t>21775 (Stylisme habillement)</t>
        </is>
      </c>
      <c r="N767" s="50" t="inlineStr">
        <is>
          <t>NON</t>
        </is>
      </c>
      <c r="O767" s="45" t="inlineStr"/>
    </row>
    <row r="768" customFormat="1" s="3">
      <c r="A768" s="45" t="n"/>
      <c r="B768" s="46" t="inlineStr">
        <is>
          <t>21775</t>
        </is>
      </c>
      <c r="C768" s="46">
        <f>LEFT(Tableau1[[#This Row],[Formacode]],3)</f>
        <v/>
      </c>
      <c r="D768" s="47" t="n">
        <v>40156</v>
      </c>
      <c r="E768" s="48">
        <f>"RNCP"&amp;D768</f>
        <v/>
      </c>
      <c r="F768" s="48" t="inlineStr">
        <is>
          <t>Modéliste créateur en bureau d'études</t>
        </is>
      </c>
      <c r="G768" s="49">
        <f>E768&amp;" - "&amp;F768</f>
        <v/>
      </c>
      <c r="H768" s="36" t="inlineStr">
        <is>
          <t>RAS</t>
        </is>
      </c>
      <c r="I768" s="45" t="inlineStr"/>
      <c r="J768" s="45" t="inlineStr">
        <is>
          <t>RNCP40156</t>
        </is>
      </c>
      <c r="K768" s="45" t="inlineStr">
        <is>
          <t>Modéliste créateur en bureau d'études</t>
        </is>
      </c>
      <c r="L768" s="45" t="inlineStr">
        <is>
          <t>31/01/2030</t>
        </is>
      </c>
      <c r="M768" s="45" t="inlineStr">
        <is>
          <t>21783 (Modélisme habillement) ; 21796 (Collection vêtement)</t>
        </is>
      </c>
      <c r="N768" s="50" t="inlineStr">
        <is>
          <t>NON</t>
        </is>
      </c>
      <c r="O768" s="45" t="inlineStr"/>
    </row>
    <row r="769" customFormat="1" s="3">
      <c r="A769" s="45" t="n"/>
      <c r="B769" s="46" t="inlineStr">
        <is>
          <t>21775</t>
        </is>
      </c>
      <c r="C769" s="46">
        <f>LEFT(Tableau1[[#This Row],[Formacode]],3)</f>
        <v/>
      </c>
      <c r="D769" s="47" t="n">
        <v>40157</v>
      </c>
      <c r="E769" s="48">
        <f>"RNCP"&amp;D769</f>
        <v/>
      </c>
      <c r="F769" s="48" t="inlineStr">
        <is>
          <t>Styliste Modéliste</t>
        </is>
      </c>
      <c r="G769" s="49">
        <f>E769&amp;" - "&amp;F769</f>
        <v/>
      </c>
      <c r="H769" s="36" t="inlineStr">
        <is>
          <t>RAS</t>
        </is>
      </c>
      <c r="I769" s="45" t="inlineStr"/>
      <c r="J769" s="45" t="inlineStr">
        <is>
          <t>RNCP40157</t>
        </is>
      </c>
      <c r="K769" s="45" t="inlineStr">
        <is>
          <t>Styliste Modéliste</t>
        </is>
      </c>
      <c r="L769" s="45" t="inlineStr">
        <is>
          <t>31/01/2030</t>
        </is>
      </c>
      <c r="M769" s="45" t="inlineStr">
        <is>
          <t>21796 (Collection vêtement) ; 21798 (Dessin mode) ; 21783 (Modélisme habillement)</t>
        </is>
      </c>
      <c r="N769" s="50" t="inlineStr">
        <is>
          <t>NON</t>
        </is>
      </c>
      <c r="O769" s="45" t="inlineStr"/>
    </row>
    <row r="770" customFormat="1" s="3">
      <c r="A770" s="45" t="n"/>
      <c r="B770" s="46" t="inlineStr">
        <is>
          <t>21817</t>
        </is>
      </c>
      <c r="C770" s="46">
        <f>LEFT(Tableau1[[#This Row],[Formacode]],3)</f>
        <v/>
      </c>
      <c r="D770" s="47" t="n">
        <v>37243</v>
      </c>
      <c r="E770" s="48">
        <f>"RNCP"&amp;D770</f>
        <v/>
      </c>
      <c r="F770" s="48" t="inlineStr">
        <is>
          <t>CAP - Fourrure</t>
        </is>
      </c>
      <c r="G770" s="49">
        <f>E770&amp;" - "&amp;F770</f>
        <v/>
      </c>
      <c r="H770" s="36" t="inlineStr">
        <is>
          <t>RAS</t>
        </is>
      </c>
      <c r="I770" s="45" t="inlineStr"/>
      <c r="J770" s="45" t="inlineStr">
        <is>
          <t>RNCP37243</t>
        </is>
      </c>
      <c r="K770" s="45" t="inlineStr">
        <is>
          <t>Fourrure</t>
        </is>
      </c>
      <c r="L770" s="45" t="inlineStr">
        <is>
          <t>26/07/2027</t>
        </is>
      </c>
      <c r="M770" s="45" t="inlineStr">
        <is>
          <t>21817 (Fourrure) ; 21842 (Tannerie mégisserie) ; 21742 (Confection)</t>
        </is>
      </c>
      <c r="N770" s="50" t="inlineStr">
        <is>
          <t>NON</t>
        </is>
      </c>
      <c r="O770" s="45" t="inlineStr"/>
    </row>
    <row r="771" customFormat="1" s="3">
      <c r="A771" s="45" t="n"/>
      <c r="B771" s="46" t="inlineStr">
        <is>
          <t>21823</t>
        </is>
      </c>
      <c r="C771" s="46">
        <f>LEFT(Tableau1[[#This Row],[Formacode]],3)</f>
        <v/>
      </c>
      <c r="D771" s="47" t="n">
        <v>36776</v>
      </c>
      <c r="E771" s="48">
        <f>"RNCP"&amp;D771</f>
        <v/>
      </c>
      <c r="F771" s="48" t="inlineStr">
        <is>
          <t>BTS - Métiers de la mode  – chaussure et maroquinerie »</t>
        </is>
      </c>
      <c r="G771" s="49">
        <f>E771&amp;" - "&amp;F771</f>
        <v/>
      </c>
      <c r="H771" s="36" t="inlineStr">
        <is>
          <t>RAS</t>
        </is>
      </c>
      <c r="I771" s="45" t="inlineStr"/>
      <c r="J771" s="45" t="inlineStr">
        <is>
          <t>RNCP36776</t>
        </is>
      </c>
      <c r="K771" s="45" t="inlineStr">
        <is>
          <t>Métiers de la mode – chaussure et maroquinerie »</t>
        </is>
      </c>
      <c r="L771" s="45" t="inlineStr">
        <is>
          <t>31/08/2027</t>
        </is>
      </c>
      <c r="M771" s="45" t="inlineStr">
        <is>
          <t>21867 (Chaussure) ; 21882 (Maroquinerie) ; 21838 (Stylisme modélisme cuir) ; 21823 (Technique confection cuir)</t>
        </is>
      </c>
      <c r="N771" s="50" t="inlineStr">
        <is>
          <t>NON</t>
        </is>
      </c>
      <c r="O771" s="45" t="inlineStr"/>
    </row>
    <row r="772" customFormat="1" s="3">
      <c r="A772" s="45" t="n"/>
      <c r="B772" s="46" t="inlineStr">
        <is>
          <t>21823</t>
        </is>
      </c>
      <c r="C772" s="46">
        <f>LEFT(Tableau1[[#This Row],[Formacode]],3)</f>
        <v/>
      </c>
      <c r="D772" s="47" t="n">
        <v>37241</v>
      </c>
      <c r="E772" s="48">
        <f>"RNCP"&amp;D772</f>
        <v/>
      </c>
      <c r="F772" s="48" t="inlineStr">
        <is>
          <t>CAP - Chaussure</t>
        </is>
      </c>
      <c r="G772" s="49">
        <f>E772&amp;" - "&amp;F772</f>
        <v/>
      </c>
      <c r="H772" s="36" t="inlineStr">
        <is>
          <t>RAS</t>
        </is>
      </c>
      <c r="I772" s="45" t="inlineStr"/>
      <c r="J772" s="45" t="inlineStr">
        <is>
          <t>RNCP37241</t>
        </is>
      </c>
      <c r="K772" s="45" t="inlineStr">
        <is>
          <t>Chaussure</t>
        </is>
      </c>
      <c r="L772" s="45" t="inlineStr">
        <is>
          <t>31/08/2027</t>
        </is>
      </c>
      <c r="M772" s="45" t="inlineStr">
        <is>
          <t>21869 (Cordonnerie botterie) ; 21823 (Technique confection cuir)</t>
        </is>
      </c>
      <c r="N772" s="50" t="inlineStr">
        <is>
          <t>NON</t>
        </is>
      </c>
      <c r="O772" s="45" t="inlineStr"/>
    </row>
    <row r="773" customFormat="1" s="3">
      <c r="A773" s="45" t="n"/>
      <c r="B773" s="46" t="inlineStr">
        <is>
          <t>21823</t>
        </is>
      </c>
      <c r="C773" s="46">
        <f>LEFT(Tableau1[[#This Row],[Formacode]],3)</f>
        <v/>
      </c>
      <c r="D773" s="47" t="n">
        <v>37718</v>
      </c>
      <c r="E773" s="48">
        <f>"RNCP"&amp;D773</f>
        <v/>
      </c>
      <c r="F773" s="48" t="inlineStr">
        <is>
          <t>TP - Piqueur préparateur en maroquinerie</t>
        </is>
      </c>
      <c r="G773" s="49">
        <f>E773&amp;" - "&amp;F773</f>
        <v/>
      </c>
      <c r="H773" s="36" t="inlineStr">
        <is>
          <t>RAS</t>
        </is>
      </c>
      <c r="I773" s="45" t="inlineStr"/>
      <c r="J773" s="45" t="inlineStr">
        <is>
          <t>RNCP37718</t>
        </is>
      </c>
      <c r="K773" s="45" t="inlineStr">
        <is>
          <t>Piqueur préparateur en maroquinerie</t>
        </is>
      </c>
      <c r="L773" s="45" t="inlineStr">
        <is>
          <t>09/06/2028</t>
        </is>
      </c>
      <c r="M773" s="45" t="inlineStr">
        <is>
          <t>21804 (Piquage cuir) ; 21803 (Collage cuir) ; 21814 (Montage cuir)</t>
        </is>
      </c>
      <c r="N773" s="50" t="inlineStr">
        <is>
          <t>NON</t>
        </is>
      </c>
      <c r="O773" s="45" t="inlineStr"/>
    </row>
    <row r="774" customFormat="1" s="3">
      <c r="A774" s="45" t="n"/>
      <c r="B774" s="46" t="inlineStr">
        <is>
          <t>21838</t>
        </is>
      </c>
      <c r="C774" s="46">
        <f>LEFT(Tableau1[[#This Row],[Formacode]],3)</f>
        <v/>
      </c>
      <c r="D774" s="47" t="n">
        <v>36776</v>
      </c>
      <c r="E774" s="48">
        <f>"RNCP"&amp;D774</f>
        <v/>
      </c>
      <c r="F774" s="48" t="inlineStr">
        <is>
          <t>BTS - Métiers de la mode  – chaussure et maroquinerie »</t>
        </is>
      </c>
      <c r="G774" s="49">
        <f>E774&amp;" - "&amp;F774</f>
        <v/>
      </c>
      <c r="H774" s="36" t="inlineStr">
        <is>
          <t>RAS</t>
        </is>
      </c>
      <c r="I774" s="45" t="inlineStr"/>
      <c r="J774" s="45" t="inlineStr">
        <is>
          <t>RNCP36776</t>
        </is>
      </c>
      <c r="K774" s="45" t="inlineStr">
        <is>
          <t>Métiers de la mode – chaussure et maroquinerie »</t>
        </is>
      </c>
      <c r="L774" s="45" t="inlineStr">
        <is>
          <t>31/08/2027</t>
        </is>
      </c>
      <c r="M774" s="45" t="inlineStr">
        <is>
          <t>21867 (Chaussure) ; 21882 (Maroquinerie) ; 21838 (Stylisme modélisme cuir) ; 21823 (Technique confection cuir)</t>
        </is>
      </c>
      <c r="N774" s="50" t="inlineStr">
        <is>
          <t>NON</t>
        </is>
      </c>
      <c r="O774" s="45" t="inlineStr"/>
    </row>
    <row r="775" customFormat="1" s="3">
      <c r="A775" s="45" t="n"/>
      <c r="B775" s="46" t="inlineStr">
        <is>
          <t>21842</t>
        </is>
      </c>
      <c r="C775" s="46">
        <f>LEFT(Tableau1[[#This Row],[Formacode]],3)</f>
        <v/>
      </c>
      <c r="D775" s="47" t="n">
        <v>37243</v>
      </c>
      <c r="E775" s="48">
        <f>"RNCP"&amp;D775</f>
        <v/>
      </c>
      <c r="F775" s="48" t="inlineStr">
        <is>
          <t>CAP - Fourrure</t>
        </is>
      </c>
      <c r="G775" s="49">
        <f>E775&amp;" - "&amp;F775</f>
        <v/>
      </c>
      <c r="H775" s="36" t="inlineStr">
        <is>
          <t>RAS</t>
        </is>
      </c>
      <c r="I775" s="45" t="inlineStr"/>
      <c r="J775" s="45" t="inlineStr">
        <is>
          <t>RNCP37243</t>
        </is>
      </c>
      <c r="K775" s="45" t="inlineStr">
        <is>
          <t>Fourrure</t>
        </is>
      </c>
      <c r="L775" s="45" t="inlineStr">
        <is>
          <t>26/07/2027</t>
        </is>
      </c>
      <c r="M775" s="45" t="inlineStr">
        <is>
          <t>21817 (Fourrure) ; 21842 (Tannerie mégisserie) ; 21742 (Confection)</t>
        </is>
      </c>
      <c r="N775" s="50" t="inlineStr">
        <is>
          <t>NON</t>
        </is>
      </c>
      <c r="O775" s="45" t="inlineStr"/>
    </row>
    <row r="776" customFormat="1" s="3">
      <c r="A776" s="45" t="n"/>
      <c r="B776" s="46" t="inlineStr">
        <is>
          <t>21867</t>
        </is>
      </c>
      <c r="C776" s="46">
        <f>LEFT(Tableau1[[#This Row],[Formacode]],3)</f>
        <v/>
      </c>
      <c r="D776" s="47" t="n">
        <v>36776</v>
      </c>
      <c r="E776" s="48">
        <f>"RNCP"&amp;D776</f>
        <v/>
      </c>
      <c r="F776" s="48" t="inlineStr">
        <is>
          <t>BTS - Métiers de la mode  – chaussure et maroquinerie »</t>
        </is>
      </c>
      <c r="G776" s="49">
        <f>E776&amp;" - "&amp;F776</f>
        <v/>
      </c>
      <c r="H776" s="36" t="inlineStr">
        <is>
          <t>RAS</t>
        </is>
      </c>
      <c r="I776" s="45" t="inlineStr"/>
      <c r="J776" s="45" t="inlineStr">
        <is>
          <t>RNCP36776</t>
        </is>
      </c>
      <c r="K776" s="45" t="inlineStr">
        <is>
          <t>Métiers de la mode – chaussure et maroquinerie »</t>
        </is>
      </c>
      <c r="L776" s="45" t="inlineStr">
        <is>
          <t>31/08/2027</t>
        </is>
      </c>
      <c r="M776" s="45" t="inlineStr">
        <is>
          <t>21867 (Chaussure) ; 21882 (Maroquinerie) ; 21838 (Stylisme modélisme cuir) ; 21823 (Technique confection cuir)</t>
        </is>
      </c>
      <c r="N776" s="50" t="inlineStr">
        <is>
          <t>NON</t>
        </is>
      </c>
      <c r="O776" s="45" t="inlineStr"/>
    </row>
    <row r="777" ht="28.8" customFormat="1" customHeight="1" s="3">
      <c r="A777" s="45" t="n"/>
      <c r="B777" s="46" t="inlineStr">
        <is>
          <t>21867</t>
        </is>
      </c>
      <c r="C777" s="46">
        <f>LEFT(Tableau1[[#This Row],[Formacode]],3)</f>
        <v/>
      </c>
      <c r="D777" s="47" t="n">
        <v>37230</v>
      </c>
      <c r="E777" s="48">
        <f>"RNCP"&amp;D777</f>
        <v/>
      </c>
      <c r="F777" s="48" t="inlineStr">
        <is>
          <t>BAC PRO - Métiers du cuir option chaussures, option maroquinerie, option sellerie garnissage</t>
        </is>
      </c>
      <c r="G777" s="49">
        <f>E777&amp;" - "&amp;F777</f>
        <v/>
      </c>
      <c r="H777" s="36" t="inlineStr">
        <is>
          <t>RAS</t>
        </is>
      </c>
      <c r="I777" s="45" t="inlineStr"/>
      <c r="J777" s="45" t="inlineStr">
        <is>
          <t>RNCP37230</t>
        </is>
      </c>
      <c r="K777" s="45" t="inlineStr">
        <is>
          <t>Métiers du cuir option chaussures, option maroquinerie, option sellerie garnissage</t>
        </is>
      </c>
      <c r="L777" s="45" t="inlineStr">
        <is>
          <t>31/08/2027</t>
        </is>
      </c>
      <c r="M777" s="45" t="inlineStr">
        <is>
          <t>21882 (Maroquinerie) ; 21867 (Chaussure) ; 21895 (Sellerie garnissage)</t>
        </is>
      </c>
      <c r="N777" s="50" t="inlineStr">
        <is>
          <t>NON</t>
        </is>
      </c>
      <c r="O777" s="45" t="inlineStr"/>
    </row>
    <row r="778" customFormat="1" s="3">
      <c r="A778" s="45" t="n"/>
      <c r="B778" s="46" t="inlineStr">
        <is>
          <t>21867</t>
        </is>
      </c>
      <c r="C778" s="46">
        <f>LEFT(Tableau1[[#This Row],[Formacode]],3)</f>
        <v/>
      </c>
      <c r="D778" s="47" t="n">
        <v>37241</v>
      </c>
      <c r="E778" s="48">
        <f>"RNCP"&amp;D778</f>
        <v/>
      </c>
      <c r="F778" s="48" t="inlineStr">
        <is>
          <t>CAP - Chaussure</t>
        </is>
      </c>
      <c r="G778" s="49">
        <f>E778&amp;" - "&amp;F778</f>
        <v/>
      </c>
      <c r="H778" s="36" t="inlineStr">
        <is>
          <t>RAS</t>
        </is>
      </c>
      <c r="I778" s="45" t="inlineStr"/>
      <c r="J778" s="45" t="inlineStr">
        <is>
          <t>RNCP37241</t>
        </is>
      </c>
      <c r="K778" s="45" t="inlineStr">
        <is>
          <t>Chaussure</t>
        </is>
      </c>
      <c r="L778" s="45" t="inlineStr">
        <is>
          <t>31/08/2027</t>
        </is>
      </c>
      <c r="M778" s="45" t="inlineStr">
        <is>
          <t>21869 (Cordonnerie botterie) ; 21823 (Technique confection cuir)</t>
        </is>
      </c>
      <c r="N778" s="50" t="inlineStr">
        <is>
          <t>NON</t>
        </is>
      </c>
      <c r="O778" s="45" t="inlineStr"/>
    </row>
    <row r="779" customFormat="1" s="3">
      <c r="A779" s="51" t="n"/>
      <c r="B779" s="52" t="inlineStr">
        <is>
          <t>21867</t>
        </is>
      </c>
      <c r="C779" s="52">
        <f>LEFT(Tableau1[[#This Row],[Formacode]],3)</f>
        <v/>
      </c>
      <c r="D779" s="53" t="n">
        <v>37251</v>
      </c>
      <c r="E779" s="54">
        <f>"RNCP"&amp;D779</f>
        <v/>
      </c>
      <c r="F779" s="54" t="inlineStr">
        <is>
          <t>Certificat d'aptitude professionnelle - Cordonnerie multiservice</t>
        </is>
      </c>
      <c r="G779" s="55">
        <f>E779&amp;" - "&amp;F779</f>
        <v/>
      </c>
      <c r="H779" s="37" t="inlineStr">
        <is>
          <t>À vérifier</t>
        </is>
      </c>
      <c r="I779" s="51" t="inlineStr">
        <is>
          <t>Successeur déjà publié : RNCP42122 (Cordonnerie multiservice) — préparer la bascule de l'offre CPF | Échéance le 31/08/2026 (dans 44 j)</t>
        </is>
      </c>
      <c r="J779" s="51" t="inlineStr">
        <is>
          <t>RNCP42122</t>
        </is>
      </c>
      <c r="K779" s="51" t="inlineStr">
        <is>
          <t>Cordonnerie multiservice</t>
        </is>
      </c>
      <c r="L779" s="51" t="inlineStr">
        <is>
          <t>31/08/2026</t>
        </is>
      </c>
      <c r="M779" s="51" t="inlineStr">
        <is>
          <t>21889 (Cordonnerie réparation)</t>
        </is>
      </c>
      <c r="N779" s="62" t="inlineStr">
        <is>
          <t>NON</t>
        </is>
      </c>
      <c r="O779" s="51" t="inlineStr"/>
    </row>
    <row r="780" customFormat="1" s="3">
      <c r="A780" s="45" t="n"/>
      <c r="B780" s="46" t="inlineStr">
        <is>
          <t>21867</t>
        </is>
      </c>
      <c r="C780" s="46">
        <f>LEFT(Tableau1[[#This Row],[Formacode]],3)</f>
        <v/>
      </c>
      <c r="D780" s="47" t="n">
        <v>37366</v>
      </c>
      <c r="E780" s="48">
        <f>"RNCP"&amp;D780</f>
        <v/>
      </c>
      <c r="F780" s="48" t="inlineStr">
        <is>
          <t>CAP - Cordonnier bottier</t>
        </is>
      </c>
      <c r="G780" s="49">
        <f>E780&amp;" - "&amp;F780</f>
        <v/>
      </c>
      <c r="H780" s="36" t="inlineStr">
        <is>
          <t>RAS</t>
        </is>
      </c>
      <c r="I780" s="45" t="inlineStr"/>
      <c r="J780" s="45" t="inlineStr">
        <is>
          <t>RNCP37366</t>
        </is>
      </c>
      <c r="K780" s="45" t="inlineStr">
        <is>
          <t>Cordonnier bottier</t>
        </is>
      </c>
      <c r="L780" s="45" t="inlineStr">
        <is>
          <t>27/07/2027</t>
        </is>
      </c>
      <c r="M780" s="45" t="inlineStr">
        <is>
          <t>21869 (Cordonnerie botterie) ; 21889 (Cordonnerie réparation)</t>
        </is>
      </c>
      <c r="N780" s="50" t="inlineStr">
        <is>
          <t>NON</t>
        </is>
      </c>
      <c r="O780" s="45" t="inlineStr"/>
    </row>
    <row r="781" ht="28.8" customFormat="1" customHeight="1" s="3">
      <c r="A781" s="45" t="n"/>
      <c r="B781" s="46" t="inlineStr">
        <is>
          <t>21867</t>
        </is>
      </c>
      <c r="C781" s="46">
        <f>LEFT(Tableau1[[#This Row],[Formacode]],3)</f>
        <v/>
      </c>
      <c r="D781" s="47" t="n">
        <v>37486</v>
      </c>
      <c r="E781" s="48">
        <f>"RNCP"&amp;D781</f>
        <v/>
      </c>
      <c r="F781" s="48" t="inlineStr">
        <is>
          <t>Certificat d'aptitude professionnelle - Opérateur en appareillage orthopédique - Spécialité orthoprothèse</t>
        </is>
      </c>
      <c r="G781" s="49">
        <f>E781&amp;" - "&amp;F781</f>
        <v/>
      </c>
      <c r="H781" s="36" t="inlineStr">
        <is>
          <t>RAS</t>
        </is>
      </c>
      <c r="I781" s="45" t="inlineStr"/>
      <c r="J781" s="45" t="inlineStr">
        <is>
          <t>RNCP37486</t>
        </is>
      </c>
      <c r="K781" s="45" t="inlineStr">
        <is>
          <t>Opérateur en appareillage orthopédique - Spécialité orthoprothèse</t>
        </is>
      </c>
      <c r="L781" s="45" t="inlineStr">
        <is>
          <t>31/08/2028</t>
        </is>
      </c>
      <c r="M781" s="45" t="inlineStr">
        <is>
          <t>43484 (Prothèse) ; 21859 (Podo-orthèse)</t>
        </is>
      </c>
      <c r="N781" s="50" t="inlineStr">
        <is>
          <t>NON</t>
        </is>
      </c>
      <c r="O781" s="45" t="inlineStr"/>
    </row>
    <row r="782" ht="28.8" customFormat="1" customHeight="1" s="3">
      <c r="A782" s="45" t="n"/>
      <c r="B782" s="46" t="inlineStr">
        <is>
          <t>21867</t>
        </is>
      </c>
      <c r="C782" s="46">
        <f>LEFT(Tableau1[[#This Row],[Formacode]],3)</f>
        <v/>
      </c>
      <c r="D782" s="47" t="n">
        <v>37487</v>
      </c>
      <c r="E782" s="48">
        <f>"RNCP"&amp;D782</f>
        <v/>
      </c>
      <c r="F782" s="48" t="inlineStr">
        <is>
          <t>Certificat d'aptitude professionnelle - Opérateur en appareillage orthopédique Spécialité podo-orthèse</t>
        </is>
      </c>
      <c r="G782" s="49">
        <f>E782&amp;" - "&amp;F782</f>
        <v/>
      </c>
      <c r="H782" s="36" t="inlineStr">
        <is>
          <t>RAS</t>
        </is>
      </c>
      <c r="I782" s="45" t="inlineStr"/>
      <c r="J782" s="45" t="inlineStr">
        <is>
          <t>RNCP37487</t>
        </is>
      </c>
      <c r="K782" s="45" t="inlineStr">
        <is>
          <t>Opérateur en appareillage orthopédique Spécialité podo-orthèse</t>
        </is>
      </c>
      <c r="L782" s="45" t="inlineStr">
        <is>
          <t>31/08/2028</t>
        </is>
      </c>
      <c r="M782" s="45" t="inlineStr">
        <is>
          <t>21859 (Podo-orthèse)</t>
        </is>
      </c>
      <c r="N782" s="50" t="inlineStr">
        <is>
          <t>NON</t>
        </is>
      </c>
      <c r="O782" s="45" t="inlineStr"/>
    </row>
    <row r="783" customFormat="1" s="3">
      <c r="A783" s="45" t="n"/>
      <c r="B783" s="46" t="inlineStr">
        <is>
          <t>21867</t>
        </is>
      </c>
      <c r="C783" s="46">
        <f>LEFT(Tableau1[[#This Row],[Formacode]],3)</f>
        <v/>
      </c>
      <c r="D783" s="47" t="n">
        <v>38545</v>
      </c>
      <c r="E783" s="48">
        <f>"RNCP"&amp;D783</f>
        <v/>
      </c>
      <c r="F783" s="48" t="inlineStr">
        <is>
          <t>TP - Cordonnier multiservices</t>
        </is>
      </c>
      <c r="G783" s="49">
        <f>E783&amp;" - "&amp;F783</f>
        <v/>
      </c>
      <c r="H783" s="36" t="inlineStr">
        <is>
          <t>RAS</t>
        </is>
      </c>
      <c r="I783" s="45" t="inlineStr"/>
      <c r="J783" s="45" t="inlineStr">
        <is>
          <t>RNCP38545</t>
        </is>
      </c>
      <c r="K783" s="45" t="inlineStr">
        <is>
          <t>Cordonnier multiservices</t>
        </is>
      </c>
      <c r="L783" s="45" t="inlineStr">
        <is>
          <t>04/03/2029</t>
        </is>
      </c>
      <c r="M783" s="45" t="inlineStr">
        <is>
          <t>21889 (Cordonnerie réparation)</t>
        </is>
      </c>
      <c r="N783" s="50" t="inlineStr">
        <is>
          <t>NON</t>
        </is>
      </c>
      <c r="O783" s="45" t="inlineStr"/>
    </row>
    <row r="784" customFormat="1" s="3">
      <c r="A784" s="45" t="n"/>
      <c r="B784" s="46" t="inlineStr">
        <is>
          <t>21867</t>
        </is>
      </c>
      <c r="C784" s="46">
        <f>LEFT(Tableau1[[#This Row],[Formacode]],3)</f>
        <v/>
      </c>
      <c r="D784" s="47" t="n">
        <v>40039</v>
      </c>
      <c r="E784" s="48">
        <f>"RNCP"&amp;D784</f>
        <v/>
      </c>
      <c r="F784" s="48" t="inlineStr">
        <is>
          <t>Brevet de technicien supérieur - Podo-orthésiste</t>
        </is>
      </c>
      <c r="G784" s="49">
        <f>E784&amp;" - "&amp;F784</f>
        <v/>
      </c>
      <c r="H784" s="36" t="inlineStr">
        <is>
          <t>RAS</t>
        </is>
      </c>
      <c r="I784" s="45" t="inlineStr"/>
      <c r="J784" s="45" t="inlineStr">
        <is>
          <t>RNCP40039</t>
        </is>
      </c>
      <c r="K784" s="45" t="inlineStr">
        <is>
          <t>Podo-orthésiste</t>
        </is>
      </c>
      <c r="L784" s="45" t="inlineStr">
        <is>
          <t>31/12/2029</t>
        </is>
      </c>
      <c r="M784" s="45" t="inlineStr">
        <is>
          <t>21859 (Podo-orthèse)</t>
        </is>
      </c>
      <c r="N784" s="50" t="inlineStr">
        <is>
          <t>NON</t>
        </is>
      </c>
      <c r="O784" s="45" t="inlineStr"/>
    </row>
    <row r="785" customFormat="1" s="3">
      <c r="A785" s="45" t="n"/>
      <c r="B785" s="46" t="inlineStr">
        <is>
          <t>21871</t>
        </is>
      </c>
      <c r="C785" s="46">
        <f>LEFT(Tableau1[[#This Row],[Formacode]],3)</f>
        <v/>
      </c>
      <c r="D785" s="47" t="n">
        <v>39037</v>
      </c>
      <c r="E785" s="48">
        <f>"RNCP"&amp;D785</f>
        <v/>
      </c>
      <c r="F785" s="48" t="inlineStr">
        <is>
          <t>CAP - Sellerie générale</t>
        </is>
      </c>
      <c r="G785" s="49">
        <f>E785&amp;" - "&amp;F785</f>
        <v/>
      </c>
      <c r="H785" s="36" t="inlineStr">
        <is>
          <t>RAS</t>
        </is>
      </c>
      <c r="I785" s="45" t="inlineStr"/>
      <c r="J785" s="45" t="inlineStr">
        <is>
          <t>RNCP39037</t>
        </is>
      </c>
      <c r="K785" s="45" t="inlineStr">
        <is>
          <t>Sellerie générale</t>
        </is>
      </c>
      <c r="L785" s="45" t="inlineStr">
        <is>
          <t>31/08/2027</t>
        </is>
      </c>
      <c r="M785" s="45" t="inlineStr">
        <is>
          <t>21895 (Sellerie garnissage) ; 21871 (Cuir ameublement)</t>
        </is>
      </c>
      <c r="N785" s="50" t="inlineStr">
        <is>
          <t>NON</t>
        </is>
      </c>
      <c r="O785" s="45" t="inlineStr"/>
    </row>
    <row r="786" customFormat="1" s="3">
      <c r="A786" s="45" t="n"/>
      <c r="B786" s="46" t="inlineStr">
        <is>
          <t>21882</t>
        </is>
      </c>
      <c r="C786" s="46">
        <f>LEFT(Tableau1[[#This Row],[Formacode]],3)</f>
        <v/>
      </c>
      <c r="D786" s="47" t="n">
        <v>36776</v>
      </c>
      <c r="E786" s="48">
        <f>"RNCP"&amp;D786</f>
        <v/>
      </c>
      <c r="F786" s="48" t="inlineStr">
        <is>
          <t>BTS - Métiers de la mode  – chaussure et maroquinerie »</t>
        </is>
      </c>
      <c r="G786" s="49">
        <f>E786&amp;" - "&amp;F786</f>
        <v/>
      </c>
      <c r="H786" s="36" t="inlineStr">
        <is>
          <t>RAS</t>
        </is>
      </c>
      <c r="I786" s="45" t="inlineStr"/>
      <c r="J786" s="45" t="inlineStr">
        <is>
          <t>RNCP36776</t>
        </is>
      </c>
      <c r="K786" s="45" t="inlineStr">
        <is>
          <t>Métiers de la mode – chaussure et maroquinerie »</t>
        </is>
      </c>
      <c r="L786" s="45" t="inlineStr">
        <is>
          <t>31/08/2027</t>
        </is>
      </c>
      <c r="M786" s="45" t="inlineStr">
        <is>
          <t>21867 (Chaussure) ; 21882 (Maroquinerie) ; 21838 (Stylisme modélisme cuir) ; 21823 (Technique confection cuir)</t>
        </is>
      </c>
      <c r="N786" s="50" t="inlineStr">
        <is>
          <t>NON</t>
        </is>
      </c>
      <c r="O786" s="45" t="inlineStr"/>
    </row>
    <row r="787" ht="28.8" customFormat="1" customHeight="1" s="3">
      <c r="A787" s="45" t="n"/>
      <c r="B787" s="46" t="inlineStr">
        <is>
          <t>21882</t>
        </is>
      </c>
      <c r="C787" s="46">
        <f>LEFT(Tableau1[[#This Row],[Formacode]],3)</f>
        <v/>
      </c>
      <c r="D787" s="47" t="n">
        <v>37230</v>
      </c>
      <c r="E787" s="48">
        <f>"RNCP"&amp;D787</f>
        <v/>
      </c>
      <c r="F787" s="48" t="inlineStr">
        <is>
          <t>BAC PRO - Métiers du cuir option chaussures, option maroquinerie, option sellerie garnissage</t>
        </is>
      </c>
      <c r="G787" s="49">
        <f>E787&amp;" - "&amp;F787</f>
        <v/>
      </c>
      <c r="H787" s="36" t="inlineStr">
        <is>
          <t>RAS</t>
        </is>
      </c>
      <c r="I787" s="45" t="inlineStr"/>
      <c r="J787" s="45" t="inlineStr">
        <is>
          <t>RNCP37230</t>
        </is>
      </c>
      <c r="K787" s="45" t="inlineStr">
        <is>
          <t>Métiers du cuir option chaussures, option maroquinerie, option sellerie garnissage</t>
        </is>
      </c>
      <c r="L787" s="45" t="inlineStr">
        <is>
          <t>31/08/2027</t>
        </is>
      </c>
      <c r="M787" s="45" t="inlineStr">
        <is>
          <t>21882 (Maroquinerie) ; 21867 (Chaussure) ; 21895 (Sellerie garnissage)</t>
        </is>
      </c>
      <c r="N787" s="50" t="inlineStr">
        <is>
          <t>NON</t>
        </is>
      </c>
      <c r="O787" s="45" t="inlineStr"/>
    </row>
    <row r="788" customFormat="1" s="3">
      <c r="A788" s="45" t="n"/>
      <c r="B788" s="46" t="inlineStr">
        <is>
          <t>21882</t>
        </is>
      </c>
      <c r="C788" s="46">
        <f>LEFT(Tableau1[[#This Row],[Formacode]],3)</f>
        <v/>
      </c>
      <c r="D788" s="47" t="n">
        <v>38712</v>
      </c>
      <c r="E788" s="48">
        <f>"RNCP"&amp;D788</f>
        <v/>
      </c>
      <c r="F788" s="48" t="inlineStr">
        <is>
          <t>CAP - Maroquinerie</t>
        </is>
      </c>
      <c r="G788" s="49">
        <f>E788&amp;" - "&amp;F788</f>
        <v/>
      </c>
      <c r="H788" s="36" t="inlineStr">
        <is>
          <t>RAS</t>
        </is>
      </c>
      <c r="I788" s="45" t="inlineStr"/>
      <c r="J788" s="45" t="inlineStr">
        <is>
          <t>RNCP38712</t>
        </is>
      </c>
      <c r="K788" s="45" t="inlineStr">
        <is>
          <t>Maroquinerie</t>
        </is>
      </c>
      <c r="L788" s="45" t="inlineStr">
        <is>
          <t>31/08/2029</t>
        </is>
      </c>
      <c r="M788" s="45" t="inlineStr">
        <is>
          <t>21882 (Maroquinerie) ; 21752 (Accessoire mode)</t>
        </is>
      </c>
      <c r="N788" s="50" t="inlineStr">
        <is>
          <t>NON</t>
        </is>
      </c>
      <c r="O788" s="45" t="inlineStr"/>
    </row>
    <row r="789" ht="28.8" customFormat="1" customHeight="1" s="3">
      <c r="A789" s="45" t="n"/>
      <c r="B789" s="46" t="inlineStr">
        <is>
          <t>21884</t>
        </is>
      </c>
      <c r="C789" s="46">
        <f>LEFT(Tableau1[[#This Row],[Formacode]],3)</f>
        <v/>
      </c>
      <c r="D789" s="47" t="n">
        <v>37230</v>
      </c>
      <c r="E789" s="48">
        <f>"RNCP"&amp;D789</f>
        <v/>
      </c>
      <c r="F789" s="48" t="inlineStr">
        <is>
          <t>BAC PRO - Métiers du cuir option chaussures, option maroquinerie, option sellerie garnissage</t>
        </is>
      </c>
      <c r="G789" s="49">
        <f>E789&amp;" - "&amp;F789</f>
        <v/>
      </c>
      <c r="H789" s="36" t="inlineStr">
        <is>
          <t>RAS</t>
        </is>
      </c>
      <c r="I789" s="45" t="inlineStr"/>
      <c r="J789" s="45" t="inlineStr">
        <is>
          <t>RNCP37230</t>
        </is>
      </c>
      <c r="K789" s="45" t="inlineStr">
        <is>
          <t>Métiers du cuir option chaussures, option maroquinerie, option sellerie garnissage</t>
        </is>
      </c>
      <c r="L789" s="45" t="inlineStr">
        <is>
          <t>31/08/2027</t>
        </is>
      </c>
      <c r="M789" s="45" t="inlineStr">
        <is>
          <t>21882 (Maroquinerie) ; 21867 (Chaussure) ; 21895 (Sellerie garnissage)</t>
        </is>
      </c>
      <c r="N789" s="50" t="inlineStr">
        <is>
          <t>NON</t>
        </is>
      </c>
      <c r="O789" s="45" t="inlineStr"/>
    </row>
    <row r="790" customFormat="1" s="3">
      <c r="A790" s="45" t="n"/>
      <c r="B790" s="46" t="inlineStr">
        <is>
          <t>21884</t>
        </is>
      </c>
      <c r="C790" s="46">
        <f>LEFT(Tableau1[[#This Row],[Formacode]],3)</f>
        <v/>
      </c>
      <c r="D790" s="47" t="n">
        <v>37905</v>
      </c>
      <c r="E790" s="48">
        <f>"RNCP"&amp;D790</f>
        <v/>
      </c>
      <c r="F790" s="48" t="inlineStr">
        <is>
          <t>CAP - Sellier harnacheur</t>
        </is>
      </c>
      <c r="G790" s="49">
        <f>E790&amp;" - "&amp;F790</f>
        <v/>
      </c>
      <c r="H790" s="36" t="inlineStr">
        <is>
          <t>RAS</t>
        </is>
      </c>
      <c r="I790" s="45" t="inlineStr"/>
      <c r="J790" s="45" t="inlineStr">
        <is>
          <t>RNCP37905</t>
        </is>
      </c>
      <c r="K790" s="45" t="inlineStr">
        <is>
          <t>Sellier harnacheur</t>
        </is>
      </c>
      <c r="L790" s="45" t="inlineStr">
        <is>
          <t>31/08/2028</t>
        </is>
      </c>
      <c r="M790" s="45" t="inlineStr">
        <is>
          <t>21893 (Sellerie bourrellerie)</t>
        </is>
      </c>
      <c r="N790" s="50" t="inlineStr">
        <is>
          <t>NON</t>
        </is>
      </c>
      <c r="O790" s="45" t="inlineStr"/>
    </row>
    <row r="791" customFormat="1" s="3">
      <c r="A791" s="45" t="n"/>
      <c r="B791" s="46" t="inlineStr">
        <is>
          <t>21884</t>
        </is>
      </c>
      <c r="C791" s="46">
        <f>LEFT(Tableau1[[#This Row],[Formacode]],3)</f>
        <v/>
      </c>
      <c r="D791" s="47" t="n">
        <v>39037</v>
      </c>
      <c r="E791" s="48">
        <f>"RNCP"&amp;D791</f>
        <v/>
      </c>
      <c r="F791" s="48" t="inlineStr">
        <is>
          <t>CAP - Sellerie générale</t>
        </is>
      </c>
      <c r="G791" s="49">
        <f>E791&amp;" - "&amp;F791</f>
        <v/>
      </c>
      <c r="H791" s="36" t="inlineStr">
        <is>
          <t>RAS</t>
        </is>
      </c>
      <c r="I791" s="45" t="inlineStr"/>
      <c r="J791" s="45" t="inlineStr">
        <is>
          <t>RNCP39037</t>
        </is>
      </c>
      <c r="K791" s="45" t="inlineStr">
        <is>
          <t>Sellerie générale</t>
        </is>
      </c>
      <c r="L791" s="45" t="inlineStr">
        <is>
          <t>31/08/2027</t>
        </is>
      </c>
      <c r="M791" s="45" t="inlineStr">
        <is>
          <t>21895 (Sellerie garnissage) ; 21871 (Cuir ameublement)</t>
        </is>
      </c>
      <c r="N791" s="50" t="inlineStr">
        <is>
          <t>NON</t>
        </is>
      </c>
      <c r="O791" s="45" t="inlineStr"/>
    </row>
    <row r="792" customFormat="1" s="3">
      <c r="A792" s="45" t="n"/>
      <c r="B792" s="46" t="inlineStr">
        <is>
          <t>21884</t>
        </is>
      </c>
      <c r="C792" s="46">
        <f>LEFT(Tableau1[[#This Row],[Formacode]],3)</f>
        <v/>
      </c>
      <c r="D792" s="47" t="n">
        <v>40089</v>
      </c>
      <c r="E792" s="48">
        <f>"RNCP"&amp;D792</f>
        <v/>
      </c>
      <c r="F792" s="48" t="inlineStr">
        <is>
          <t>TP - Sellier garnisseur véhicule de prestige et de collection</t>
        </is>
      </c>
      <c r="G792" s="49">
        <f>E792&amp;" - "&amp;F792</f>
        <v/>
      </c>
      <c r="H792" s="36" t="inlineStr">
        <is>
          <t>RAS</t>
        </is>
      </c>
      <c r="I792" s="45" t="inlineStr"/>
      <c r="J792" s="45" t="inlineStr">
        <is>
          <t>RNCP40089</t>
        </is>
      </c>
      <c r="K792" s="45" t="inlineStr">
        <is>
          <t>Sellier garnisseur véhicule de prestige et de collection</t>
        </is>
      </c>
      <c r="L792" s="45" t="inlineStr">
        <is>
          <t>27/02/2030</t>
        </is>
      </c>
      <c r="M792" s="45" t="inlineStr">
        <is>
          <t>21895 (Sellerie garnissage)</t>
        </is>
      </c>
      <c r="N792" s="50" t="inlineStr">
        <is>
          <t>NON</t>
        </is>
      </c>
      <c r="O792" s="45" t="inlineStr"/>
    </row>
    <row r="793" customFormat="1" s="3">
      <c r="A793" s="45" t="n"/>
      <c r="B793" s="46" t="inlineStr">
        <is>
          <t>21884</t>
        </is>
      </c>
      <c r="C793" s="46">
        <f>LEFT(Tableau1[[#This Row],[Formacode]],3)</f>
        <v/>
      </c>
      <c r="D793" s="47" t="n">
        <v>40218</v>
      </c>
      <c r="E793" s="48">
        <f>"RNCP"&amp;D793</f>
        <v/>
      </c>
      <c r="F793" s="48" t="inlineStr">
        <is>
          <t>TP - Sellier garnisseur</t>
        </is>
      </c>
      <c r="G793" s="49">
        <f>E793&amp;" - "&amp;F793</f>
        <v/>
      </c>
      <c r="H793" s="36" t="inlineStr">
        <is>
          <t>RAS</t>
        </is>
      </c>
      <c r="I793" s="45" t="inlineStr"/>
      <c r="J793" s="45" t="inlineStr">
        <is>
          <t>RNCP40218</t>
        </is>
      </c>
      <c r="K793" s="45" t="inlineStr">
        <is>
          <t>Sellier garnisseur</t>
        </is>
      </c>
      <c r="L793" s="45" t="inlineStr">
        <is>
          <t>27/02/2030</t>
        </is>
      </c>
      <c r="M793" s="45" t="inlineStr">
        <is>
          <t>21895 (Sellerie garnissage)</t>
        </is>
      </c>
      <c r="N793" s="50" t="inlineStr">
        <is>
          <t>NON</t>
        </is>
      </c>
      <c r="O793" s="45" t="inlineStr"/>
    </row>
    <row r="794" customFormat="1" s="3">
      <c r="A794" s="51" t="n"/>
      <c r="B794" s="52" t="inlineStr">
        <is>
          <t>21886</t>
        </is>
      </c>
      <c r="C794" s="52">
        <f>LEFT(Tableau1[[#This Row],[Formacode]],3)</f>
        <v/>
      </c>
      <c r="D794" s="53" t="n">
        <v>37250</v>
      </c>
      <c r="E794" s="54">
        <f>"RNCP"&amp;D794</f>
        <v/>
      </c>
      <c r="F794" s="54" t="inlineStr">
        <is>
          <t>CAP - Vêtement de peau</t>
        </is>
      </c>
      <c r="G794" s="55">
        <f>E794&amp;" - "&amp;F794</f>
        <v/>
      </c>
      <c r="H794" s="37" t="inlineStr">
        <is>
          <t>À vérifier</t>
        </is>
      </c>
      <c r="I794" s="51" t="inlineStr">
        <is>
          <t>Successeur déjà publié : RNCP42126 (Vêtement de peau) — préparer la bascule de l'offre CPF | Échéance le 31/08/2026 (dans 44 j)</t>
        </is>
      </c>
      <c r="J794" s="51" t="inlineStr">
        <is>
          <t>RNCP42126</t>
        </is>
      </c>
      <c r="K794" s="51" t="inlineStr">
        <is>
          <t>Vêtement de peau</t>
        </is>
      </c>
      <c r="L794" s="51" t="inlineStr">
        <is>
          <t>31/08/2026</t>
        </is>
      </c>
      <c r="M794" s="51" t="inlineStr">
        <is>
          <t>21886 (Vêtement cuir)</t>
        </is>
      </c>
      <c r="N794" s="62" t="inlineStr">
        <is>
          <t>NON</t>
        </is>
      </c>
      <c r="O794" s="51" t="inlineStr"/>
    </row>
    <row r="795" customFormat="1" s="3">
      <c r="A795" s="51" t="n"/>
      <c r="B795" s="52" t="inlineStr">
        <is>
          <t>22002</t>
        </is>
      </c>
      <c r="C795" s="52">
        <f>LEFT(Tableau1[[#This Row],[Formacode]],3)</f>
        <v/>
      </c>
      <c r="D795" s="53" t="n">
        <v>35827</v>
      </c>
      <c r="E795" s="54">
        <f>"RNCP"&amp;D795</f>
        <v/>
      </c>
      <c r="F795" s="54" t="inlineStr">
        <is>
          <t>TP - Conducteur d'engins de grands terrassements</t>
        </is>
      </c>
      <c r="G795" s="55">
        <f>E795&amp;" - "&amp;F795</f>
        <v/>
      </c>
      <c r="H795" s="37" t="inlineStr">
        <is>
          <t>À vérifier</t>
        </is>
      </c>
      <c r="I795" s="51" t="inlineStr">
        <is>
          <t>Échéance le 12/10/2026 (dans 86 j)</t>
        </is>
      </c>
      <c r="J795" s="51" t="inlineStr">
        <is>
          <t>RNCP35827</t>
        </is>
      </c>
      <c r="K795" s="51" t="inlineStr">
        <is>
          <t>Conducteur d'engins de grands terrassements</t>
        </is>
      </c>
      <c r="L795" s="51" t="inlineStr">
        <is>
          <t>12/10/2026</t>
        </is>
      </c>
      <c r="M795" s="51" t="inlineStr">
        <is>
          <t>31717 (Engin chantier) ; 22002 (Terrassement)</t>
        </is>
      </c>
      <c r="N795" s="62" t="inlineStr">
        <is>
          <t>NON</t>
        </is>
      </c>
      <c r="O795" s="51" t="inlineStr"/>
    </row>
    <row r="796" customFormat="1" s="3">
      <c r="A796" s="45" t="n"/>
      <c r="B796" s="46" t="inlineStr">
        <is>
          <t>22002</t>
        </is>
      </c>
      <c r="C796" s="46">
        <f>LEFT(Tableau1[[#This Row],[Formacode]],3)</f>
        <v/>
      </c>
      <c r="D796" s="47" t="n">
        <v>37199</v>
      </c>
      <c r="E796" s="48">
        <f>"RNCP"&amp;D796</f>
        <v/>
      </c>
      <c r="F796" s="48" t="inlineStr">
        <is>
          <t>BTS - Travaux publics</t>
        </is>
      </c>
      <c r="G796" s="49">
        <f>E796&amp;" - "&amp;F796</f>
        <v/>
      </c>
      <c r="H796" s="36" t="inlineStr">
        <is>
          <t>RAS</t>
        </is>
      </c>
      <c r="I796" s="45" t="inlineStr"/>
      <c r="J796" s="45" t="inlineStr">
        <is>
          <t>RNCP37199</t>
        </is>
      </c>
      <c r="K796" s="45" t="inlineStr">
        <is>
          <t>Travaux publics</t>
        </is>
      </c>
      <c r="L796" s="45" t="inlineStr">
        <is>
          <t>31/08/2028</t>
        </is>
      </c>
      <c r="M796" s="45" t="inlineStr">
        <is>
          <t>22294 (Conduite chantier BTP) ; 22054 (Travaux publics)</t>
        </is>
      </c>
      <c r="N796" s="50" t="inlineStr">
        <is>
          <t>NON</t>
        </is>
      </c>
      <c r="O796" s="45" t="inlineStr"/>
    </row>
    <row r="797" customFormat="1" s="3">
      <c r="A797" s="45" t="n"/>
      <c r="B797" s="46" t="inlineStr">
        <is>
          <t>22002</t>
        </is>
      </c>
      <c r="C797" s="46">
        <f>LEFT(Tableau1[[#This Row],[Formacode]],3)</f>
        <v/>
      </c>
      <c r="D797" s="47" t="n">
        <v>37385</v>
      </c>
      <c r="E797" s="48">
        <f>"RNCP"&amp;D797</f>
        <v/>
      </c>
      <c r="F797" s="48" t="inlineStr">
        <is>
          <t>BAC PRO - Travaux publics</t>
        </is>
      </c>
      <c r="G797" s="49">
        <f>E797&amp;" - "&amp;F797</f>
        <v/>
      </c>
      <c r="H797" s="36" t="inlineStr">
        <is>
          <t>RAS</t>
        </is>
      </c>
      <c r="I797" s="45" t="inlineStr"/>
      <c r="J797" s="45" t="inlineStr">
        <is>
          <t>RNCP37385</t>
        </is>
      </c>
      <c r="K797" s="45" t="inlineStr">
        <is>
          <t>Travaux publics</t>
        </is>
      </c>
      <c r="L797" s="45" t="inlineStr">
        <is>
          <t>01/09/2028</t>
        </is>
      </c>
      <c r="M797" s="45" t="inlineStr">
        <is>
          <t>22054 (Travaux publics) ; 22294 (Conduite chantier BTP)</t>
        </is>
      </c>
      <c r="N797" s="50" t="inlineStr">
        <is>
          <t>NON</t>
        </is>
      </c>
      <c r="O797" s="45" t="inlineStr"/>
    </row>
    <row r="798" customFormat="1" s="3">
      <c r="A798" s="51" t="n"/>
      <c r="B798" s="52" t="inlineStr">
        <is>
          <t>22002</t>
        </is>
      </c>
      <c r="C798" s="52">
        <f>LEFT(Tableau1[[#This Row],[Formacode]],3)</f>
        <v/>
      </c>
      <c r="D798" s="53" t="n">
        <v>38715</v>
      </c>
      <c r="E798" s="54">
        <f>"RNCP"&amp;D798</f>
        <v/>
      </c>
      <c r="F798" s="54" t="inlineStr">
        <is>
          <t>BP - Conducteur d'engins : travaux publics et carrières</t>
        </is>
      </c>
      <c r="G798" s="55">
        <f>E798&amp;" - "&amp;F798</f>
        <v/>
      </c>
      <c r="H798" s="37" t="inlineStr">
        <is>
          <t>À vérifier</t>
        </is>
      </c>
      <c r="I798" s="51" t="inlineStr">
        <is>
          <t>Échéance le 31/12/2026 (dans 166 j)</t>
        </is>
      </c>
      <c r="J798" s="51" t="inlineStr">
        <is>
          <t>RNCP38715</t>
        </is>
      </c>
      <c r="K798" s="51" t="inlineStr">
        <is>
          <t>Conducteur d'engins : travaux publics et carrières</t>
        </is>
      </c>
      <c r="L798" s="51" t="inlineStr">
        <is>
          <t>31/12/2026</t>
        </is>
      </c>
      <c r="M798" s="51" t="inlineStr">
        <is>
          <t>22054 (Travaux publics) ; 31717 (Engin chantier)</t>
        </is>
      </c>
      <c r="N798" s="62" t="inlineStr">
        <is>
          <t>NON</t>
        </is>
      </c>
      <c r="O798" s="51" t="inlineStr"/>
    </row>
    <row r="799" customFormat="1" s="3">
      <c r="A799" s="51" t="n"/>
      <c r="B799" s="52" t="inlineStr">
        <is>
          <t>22002</t>
        </is>
      </c>
      <c r="C799" s="52">
        <f>LEFT(Tableau1[[#This Row],[Formacode]],3)</f>
        <v/>
      </c>
      <c r="D799" s="53" t="n">
        <v>40217</v>
      </c>
      <c r="E799" s="54">
        <f>"RNCP"&amp;D799</f>
        <v/>
      </c>
      <c r="F799" s="54" t="inlineStr">
        <is>
          <t>TP - Conducteur de travaux du bâtiment et du génie civil</t>
        </is>
      </c>
      <c r="G799" s="55">
        <f>E799&amp;" - "&amp;F799</f>
        <v/>
      </c>
      <c r="H799" s="37" t="inlineStr">
        <is>
          <t>À vérifier</t>
        </is>
      </c>
      <c r="I799" s="51" t="inlineStr">
        <is>
          <t>Échéance le 20/10/2026 (dans 94 j)</t>
        </is>
      </c>
      <c r="J799" s="51" t="inlineStr">
        <is>
          <t>RNCP40217</t>
        </is>
      </c>
      <c r="K799" s="51" t="inlineStr">
        <is>
          <t>Conducteur de travaux du bâtiment et du génie civil</t>
        </is>
      </c>
      <c r="L799" s="51" t="inlineStr">
        <is>
          <t>20/10/2026</t>
        </is>
      </c>
      <c r="M799" s="51" t="inlineStr">
        <is>
          <t>22293 (Conduite travaux BTP) ; 22054 (Travaux publics) ; 22354 (Bâtiment gros oeuvre)</t>
        </is>
      </c>
      <c r="N799" s="62" t="inlineStr">
        <is>
          <t>NON</t>
        </is>
      </c>
      <c r="O799" s="51" t="inlineStr"/>
    </row>
    <row r="800" customFormat="1" s="3">
      <c r="A800" s="45" t="n"/>
      <c r="B800" s="46" t="inlineStr">
        <is>
          <t>22013</t>
        </is>
      </c>
      <c r="C800" s="46">
        <f>LEFT(Tableau1[[#This Row],[Formacode]],3)</f>
        <v/>
      </c>
      <c r="D800" s="47" t="n">
        <v>36722</v>
      </c>
      <c r="E800" s="48">
        <f>"RNCP"&amp;D800</f>
        <v/>
      </c>
      <c r="F800" s="48" t="inlineStr">
        <is>
          <t>CQP Poseur de voies ferrées</t>
        </is>
      </c>
      <c r="G800" s="49">
        <f>E800&amp;" - "&amp;F800</f>
        <v/>
      </c>
      <c r="H800" s="36" t="inlineStr">
        <is>
          <t>RAS</t>
        </is>
      </c>
      <c r="I800" s="45" t="inlineStr"/>
      <c r="J800" s="45" t="inlineStr">
        <is>
          <t>RNCP36722</t>
        </is>
      </c>
      <c r="K800" s="45" t="inlineStr">
        <is>
          <t>CQP Poseur de voies ferrées</t>
        </is>
      </c>
      <c r="L800" s="45" t="inlineStr">
        <is>
          <t>20/07/2027</t>
        </is>
      </c>
      <c r="M800" s="45" t="inlineStr">
        <is>
          <t>22013 (Travaux ferroviaires)</t>
        </is>
      </c>
      <c r="N800" s="50" t="inlineStr">
        <is>
          <t>NON</t>
        </is>
      </c>
      <c r="O800" s="45" t="inlineStr"/>
    </row>
    <row r="801" customFormat="1" s="3">
      <c r="A801" s="45" t="n"/>
      <c r="B801" s="46" t="inlineStr">
        <is>
          <t>22013</t>
        </is>
      </c>
      <c r="C801" s="46">
        <f>LEFT(Tableau1[[#This Row],[Formacode]],3)</f>
        <v/>
      </c>
      <c r="D801" s="47" t="n">
        <v>37199</v>
      </c>
      <c r="E801" s="48">
        <f>"RNCP"&amp;D801</f>
        <v/>
      </c>
      <c r="F801" s="48" t="inlineStr">
        <is>
          <t>BTS - Travaux publics</t>
        </is>
      </c>
      <c r="G801" s="49">
        <f>E801&amp;" - "&amp;F801</f>
        <v/>
      </c>
      <c r="H801" s="36" t="inlineStr">
        <is>
          <t>RAS</t>
        </is>
      </c>
      <c r="I801" s="45" t="inlineStr"/>
      <c r="J801" s="45" t="inlineStr">
        <is>
          <t>RNCP37199</t>
        </is>
      </c>
      <c r="K801" s="45" t="inlineStr">
        <is>
          <t>Travaux publics</t>
        </is>
      </c>
      <c r="L801" s="45" t="inlineStr">
        <is>
          <t>31/08/2028</t>
        </is>
      </c>
      <c r="M801" s="45" t="inlineStr">
        <is>
          <t>22294 (Conduite chantier BTP) ; 22054 (Travaux publics)</t>
        </is>
      </c>
      <c r="N801" s="50" t="inlineStr">
        <is>
          <t>NON</t>
        </is>
      </c>
      <c r="O801" s="45" t="inlineStr"/>
    </row>
    <row r="802" customFormat="1" s="3">
      <c r="A802" s="45" t="n"/>
      <c r="B802" s="46" t="inlineStr">
        <is>
          <t>22013</t>
        </is>
      </c>
      <c r="C802" s="46">
        <f>LEFT(Tableau1[[#This Row],[Formacode]],3)</f>
        <v/>
      </c>
      <c r="D802" s="47" t="n">
        <v>37385</v>
      </c>
      <c r="E802" s="48">
        <f>"RNCP"&amp;D802</f>
        <v/>
      </c>
      <c r="F802" s="48" t="inlineStr">
        <is>
          <t>BAC PRO - Travaux publics</t>
        </is>
      </c>
      <c r="G802" s="49">
        <f>E802&amp;" - "&amp;F802</f>
        <v/>
      </c>
      <c r="H802" s="36" t="inlineStr">
        <is>
          <t>RAS</t>
        </is>
      </c>
      <c r="I802" s="45" t="inlineStr"/>
      <c r="J802" s="45" t="inlineStr">
        <is>
          <t>RNCP37385</t>
        </is>
      </c>
      <c r="K802" s="45" t="inlineStr">
        <is>
          <t>Travaux publics</t>
        </is>
      </c>
      <c r="L802" s="45" t="inlineStr">
        <is>
          <t>01/09/2028</t>
        </is>
      </c>
      <c r="M802" s="45" t="inlineStr">
        <is>
          <t>22054 (Travaux publics) ; 22294 (Conduite chantier BTP)</t>
        </is>
      </c>
      <c r="N802" s="50" t="inlineStr">
        <is>
          <t>NON</t>
        </is>
      </c>
      <c r="O802" s="45" t="inlineStr"/>
    </row>
    <row r="803" customFormat="1" s="3">
      <c r="A803" s="51" t="n"/>
      <c r="B803" s="52" t="inlineStr">
        <is>
          <t>22013</t>
        </is>
      </c>
      <c r="C803" s="52">
        <f>LEFT(Tableau1[[#This Row],[Formacode]],3)</f>
        <v/>
      </c>
      <c r="D803" s="53" t="n">
        <v>38715</v>
      </c>
      <c r="E803" s="54">
        <f>"RNCP"&amp;D803</f>
        <v/>
      </c>
      <c r="F803" s="54" t="inlineStr">
        <is>
          <t>BP - Conducteur d'engins : travaux publics et carrières</t>
        </is>
      </c>
      <c r="G803" s="55">
        <f>E803&amp;" - "&amp;F803</f>
        <v/>
      </c>
      <c r="H803" s="37" t="inlineStr">
        <is>
          <t>À vérifier</t>
        </is>
      </c>
      <c r="I803" s="51" t="inlineStr">
        <is>
          <t>Échéance le 31/12/2026 (dans 166 j)</t>
        </is>
      </c>
      <c r="J803" s="51" t="inlineStr">
        <is>
          <t>RNCP38715</t>
        </is>
      </c>
      <c r="K803" s="51" t="inlineStr">
        <is>
          <t>Conducteur d'engins : travaux publics et carrières</t>
        </is>
      </c>
      <c r="L803" s="51" t="inlineStr">
        <is>
          <t>31/12/2026</t>
        </is>
      </c>
      <c r="M803" s="51" t="inlineStr">
        <is>
          <t>22054 (Travaux publics) ; 31717 (Engin chantier)</t>
        </is>
      </c>
      <c r="N803" s="62" t="inlineStr">
        <is>
          <t>NON</t>
        </is>
      </c>
      <c r="O803" s="51" t="inlineStr"/>
    </row>
    <row r="804" customFormat="1" s="3">
      <c r="A804" s="51" t="n"/>
      <c r="B804" s="52" t="inlineStr">
        <is>
          <t>22013</t>
        </is>
      </c>
      <c r="C804" s="52">
        <f>LEFT(Tableau1[[#This Row],[Formacode]],3)</f>
        <v/>
      </c>
      <c r="D804" s="53" t="n">
        <v>40217</v>
      </c>
      <c r="E804" s="54">
        <f>"RNCP"&amp;D804</f>
        <v/>
      </c>
      <c r="F804" s="54" t="inlineStr">
        <is>
          <t>TP - Conducteur de travaux du bâtiment et du génie civil</t>
        </is>
      </c>
      <c r="G804" s="55">
        <f>E804&amp;" - "&amp;F804</f>
        <v/>
      </c>
      <c r="H804" s="37" t="inlineStr">
        <is>
          <t>À vérifier</t>
        </is>
      </c>
      <c r="I804" s="51" t="inlineStr">
        <is>
          <t>Échéance le 20/10/2026 (dans 94 j)</t>
        </is>
      </c>
      <c r="J804" s="51" t="inlineStr">
        <is>
          <t>RNCP40217</t>
        </is>
      </c>
      <c r="K804" s="51" t="inlineStr">
        <is>
          <t>Conducteur de travaux du bâtiment et du génie civil</t>
        </is>
      </c>
      <c r="L804" s="51" t="inlineStr">
        <is>
          <t>20/10/2026</t>
        </is>
      </c>
      <c r="M804" s="51" t="inlineStr">
        <is>
          <t>22293 (Conduite travaux BTP) ; 22054 (Travaux publics) ; 22354 (Bâtiment gros oeuvre)</t>
        </is>
      </c>
      <c r="N804" s="62" t="inlineStr">
        <is>
          <t>NON</t>
        </is>
      </c>
      <c r="O804" s="51" t="inlineStr"/>
    </row>
    <row r="805" customFormat="1" s="3">
      <c r="A805" s="45" t="n"/>
      <c r="B805" s="46" t="inlineStr">
        <is>
          <t>22022</t>
        </is>
      </c>
      <c r="C805" s="46">
        <f>LEFT(Tableau1[[#This Row],[Formacode]],3)</f>
        <v/>
      </c>
      <c r="D805" s="47" t="n">
        <v>36585</v>
      </c>
      <c r="E805" s="48">
        <f>"RNCP"&amp;D805</f>
        <v/>
      </c>
      <c r="F805" s="48" t="inlineStr">
        <is>
          <t>CQP Conducteur de raboteuse</t>
        </is>
      </c>
      <c r="G805" s="49">
        <f>E805&amp;" - "&amp;F805</f>
        <v/>
      </c>
      <c r="H805" s="36" t="inlineStr">
        <is>
          <t>RAS</t>
        </is>
      </c>
      <c r="I805" s="45" t="inlineStr"/>
      <c r="J805" s="45" t="inlineStr">
        <is>
          <t>RNCP36585</t>
        </is>
      </c>
      <c r="K805" s="45" t="inlineStr">
        <is>
          <t>CQP Conducteur de raboteuse</t>
        </is>
      </c>
      <c r="L805" s="45" t="inlineStr">
        <is>
          <t>01/07/2027</t>
        </is>
      </c>
      <c r="M805" s="45" t="inlineStr">
        <is>
          <t>22001 (Chaussée)</t>
        </is>
      </c>
      <c r="N805" s="50" t="inlineStr">
        <is>
          <t>NON</t>
        </is>
      </c>
      <c r="O805" s="45" t="inlineStr"/>
    </row>
    <row r="806" customFormat="1" s="3">
      <c r="A806" s="45" t="n"/>
      <c r="B806" s="46" t="inlineStr">
        <is>
          <t>22022</t>
        </is>
      </c>
      <c r="C806" s="46">
        <f>LEFT(Tableau1[[#This Row],[Formacode]],3)</f>
        <v/>
      </c>
      <c r="D806" s="47" t="n">
        <v>37199</v>
      </c>
      <c r="E806" s="48">
        <f>"RNCP"&amp;D806</f>
        <v/>
      </c>
      <c r="F806" s="48" t="inlineStr">
        <is>
          <t>BTS - Travaux publics</t>
        </is>
      </c>
      <c r="G806" s="49">
        <f>E806&amp;" - "&amp;F806</f>
        <v/>
      </c>
      <c r="H806" s="36" t="inlineStr">
        <is>
          <t>RAS</t>
        </is>
      </c>
      <c r="I806" s="45" t="inlineStr"/>
      <c r="J806" s="45" t="inlineStr">
        <is>
          <t>RNCP37199</t>
        </is>
      </c>
      <c r="K806" s="45" t="inlineStr">
        <is>
          <t>Travaux publics</t>
        </is>
      </c>
      <c r="L806" s="45" t="inlineStr">
        <is>
          <t>31/08/2028</t>
        </is>
      </c>
      <c r="M806" s="45" t="inlineStr">
        <is>
          <t>22294 (Conduite chantier BTP) ; 22054 (Travaux publics)</t>
        </is>
      </c>
      <c r="N806" s="50" t="inlineStr">
        <is>
          <t>NON</t>
        </is>
      </c>
      <c r="O806" s="45" t="inlineStr"/>
    </row>
    <row r="807" customFormat="1" s="3">
      <c r="A807" s="45" t="n"/>
      <c r="B807" s="46" t="inlineStr">
        <is>
          <t>22022</t>
        </is>
      </c>
      <c r="C807" s="46">
        <f>LEFT(Tableau1[[#This Row],[Formacode]],3)</f>
        <v/>
      </c>
      <c r="D807" s="47" t="n">
        <v>37385</v>
      </c>
      <c r="E807" s="48">
        <f>"RNCP"&amp;D807</f>
        <v/>
      </c>
      <c r="F807" s="48" t="inlineStr">
        <is>
          <t>BAC PRO - Travaux publics</t>
        </is>
      </c>
      <c r="G807" s="49">
        <f>E807&amp;" - "&amp;F807</f>
        <v/>
      </c>
      <c r="H807" s="36" t="inlineStr">
        <is>
          <t>RAS</t>
        </is>
      </c>
      <c r="I807" s="45" t="inlineStr"/>
      <c r="J807" s="45" t="inlineStr">
        <is>
          <t>RNCP37385</t>
        </is>
      </c>
      <c r="K807" s="45" t="inlineStr">
        <is>
          <t>Travaux publics</t>
        </is>
      </c>
      <c r="L807" s="45" t="inlineStr">
        <is>
          <t>01/09/2028</t>
        </is>
      </c>
      <c r="M807" s="45" t="inlineStr">
        <is>
          <t>22054 (Travaux publics) ; 22294 (Conduite chantier BTP)</t>
        </is>
      </c>
      <c r="N807" s="50" t="inlineStr">
        <is>
          <t>NON</t>
        </is>
      </c>
      <c r="O807" s="45" t="inlineStr"/>
    </row>
    <row r="808" customFormat="1" s="3">
      <c r="A808" s="45" t="n"/>
      <c r="B808" s="46" t="inlineStr">
        <is>
          <t>22022</t>
        </is>
      </c>
      <c r="C808" s="46">
        <f>LEFT(Tableau1[[#This Row],[Formacode]],3)</f>
        <v/>
      </c>
      <c r="D808" s="47" t="n">
        <v>38080</v>
      </c>
      <c r="E808" s="48">
        <f>"RNCP"&amp;D808</f>
        <v/>
      </c>
      <c r="F808" s="48" t="inlineStr">
        <is>
          <t>TP - Maçon en voirie et réseaux divers</t>
        </is>
      </c>
      <c r="G808" s="49">
        <f>E808&amp;" - "&amp;F808</f>
        <v/>
      </c>
      <c r="H808" s="36" t="inlineStr">
        <is>
          <t>RAS</t>
        </is>
      </c>
      <c r="I808" s="45" t="inlineStr"/>
      <c r="J808" s="45" t="inlineStr">
        <is>
          <t>RNCP38080</t>
        </is>
      </c>
      <c r="K808" s="45" t="inlineStr">
        <is>
          <t>Maçon en voirie et réseaux divers</t>
        </is>
      </c>
      <c r="L808" s="45" t="inlineStr">
        <is>
          <t>28/10/2028</t>
        </is>
      </c>
      <c r="M808" s="45" t="inlineStr">
        <is>
          <t>22062 (VRD) ; 22010 (Aménagement route) ; 22001 (Chaussée)</t>
        </is>
      </c>
      <c r="N808" s="50" t="inlineStr">
        <is>
          <t>NON</t>
        </is>
      </c>
      <c r="O808" s="45" t="inlineStr"/>
    </row>
    <row r="809" customFormat="1" s="3">
      <c r="A809" s="51" t="n"/>
      <c r="B809" s="52" t="inlineStr">
        <is>
          <t>22022</t>
        </is>
      </c>
      <c r="C809" s="52">
        <f>LEFT(Tableau1[[#This Row],[Formacode]],3)</f>
        <v/>
      </c>
      <c r="D809" s="53" t="n">
        <v>38715</v>
      </c>
      <c r="E809" s="54">
        <f>"RNCP"&amp;D809</f>
        <v/>
      </c>
      <c r="F809" s="54" t="inlineStr">
        <is>
          <t>BP - Conducteur d'engins : travaux publics et carrières</t>
        </is>
      </c>
      <c r="G809" s="55">
        <f>E809&amp;" - "&amp;F809</f>
        <v/>
      </c>
      <c r="H809" s="37" t="inlineStr">
        <is>
          <t>À vérifier</t>
        </is>
      </c>
      <c r="I809" s="51" t="inlineStr">
        <is>
          <t>Échéance le 31/12/2026 (dans 166 j)</t>
        </is>
      </c>
      <c r="J809" s="51" t="inlineStr">
        <is>
          <t>RNCP38715</t>
        </is>
      </c>
      <c r="K809" s="51" t="inlineStr">
        <is>
          <t>Conducteur d'engins : travaux publics et carrières</t>
        </is>
      </c>
      <c r="L809" s="51" t="inlineStr">
        <is>
          <t>31/12/2026</t>
        </is>
      </c>
      <c r="M809" s="51" t="inlineStr">
        <is>
          <t>22054 (Travaux publics) ; 31717 (Engin chantier)</t>
        </is>
      </c>
      <c r="N809" s="62" t="inlineStr">
        <is>
          <t>NON</t>
        </is>
      </c>
      <c r="O809" s="51" t="inlineStr"/>
    </row>
    <row r="810" customFormat="1" s="3">
      <c r="A810" s="51" t="n"/>
      <c r="B810" s="52" t="inlineStr">
        <is>
          <t>22022</t>
        </is>
      </c>
      <c r="C810" s="52">
        <f>LEFT(Tableau1[[#This Row],[Formacode]],3)</f>
        <v/>
      </c>
      <c r="D810" s="53" t="n">
        <v>40217</v>
      </c>
      <c r="E810" s="54">
        <f>"RNCP"&amp;D810</f>
        <v/>
      </c>
      <c r="F810" s="54" t="inlineStr">
        <is>
          <t>TP - Conducteur de travaux du bâtiment et du génie civil</t>
        </is>
      </c>
      <c r="G810" s="55">
        <f>E810&amp;" - "&amp;F810</f>
        <v/>
      </c>
      <c r="H810" s="37" t="inlineStr">
        <is>
          <t>À vérifier</t>
        </is>
      </c>
      <c r="I810" s="51" t="inlineStr">
        <is>
          <t>Échéance le 20/10/2026 (dans 94 j)</t>
        </is>
      </c>
      <c r="J810" s="51" t="inlineStr">
        <is>
          <t>RNCP40217</t>
        </is>
      </c>
      <c r="K810" s="51" t="inlineStr">
        <is>
          <t>Conducteur de travaux du bâtiment et du génie civil</t>
        </is>
      </c>
      <c r="L810" s="51" t="inlineStr">
        <is>
          <t>20/10/2026</t>
        </is>
      </c>
      <c r="M810" s="51" t="inlineStr">
        <is>
          <t>22293 (Conduite travaux BTP) ; 22054 (Travaux publics) ; 22354 (Bâtiment gros oeuvre)</t>
        </is>
      </c>
      <c r="N810" s="62" t="inlineStr">
        <is>
          <t>NON</t>
        </is>
      </c>
      <c r="O810" s="51" t="inlineStr"/>
    </row>
    <row r="811" customFormat="1" s="3">
      <c r="A811" s="45" t="n"/>
      <c r="B811" s="46" t="inlineStr">
        <is>
          <t>22022</t>
        </is>
      </c>
      <c r="C811" s="46">
        <f>LEFT(Tableau1[[#This Row],[Formacode]],3)</f>
        <v/>
      </c>
      <c r="D811" s="47" t="n">
        <v>40485</v>
      </c>
      <c r="E811" s="48">
        <f>"RNCP"&amp;D811</f>
        <v/>
      </c>
      <c r="F811" s="48" t="inlineStr">
        <is>
          <t>CAP - Constructeur de routes et d'aménagements urbains</t>
        </is>
      </c>
      <c r="G811" s="49">
        <f>E811&amp;" - "&amp;F811</f>
        <v/>
      </c>
      <c r="H811" s="36" t="inlineStr">
        <is>
          <t>RAS</t>
        </is>
      </c>
      <c r="I811" s="45" t="inlineStr"/>
      <c r="J811" s="45" t="inlineStr">
        <is>
          <t>RNCP40485</t>
        </is>
      </c>
      <c r="K811" s="45" t="inlineStr">
        <is>
          <t>Constructeur de routes et d'aménagements urbains</t>
        </is>
      </c>
      <c r="L811" s="45" t="inlineStr">
        <is>
          <t>31/08/2030</t>
        </is>
      </c>
      <c r="M811" s="45" t="inlineStr">
        <is>
          <t>22022 (Travaux routiers) ; 12512 (Aménagement urbain)</t>
        </is>
      </c>
      <c r="N811" s="50" t="inlineStr">
        <is>
          <t>NON</t>
        </is>
      </c>
      <c r="O811" s="45" t="inlineStr"/>
    </row>
    <row r="812" customFormat="1" s="3">
      <c r="A812" s="45" t="n"/>
      <c r="B812" s="46" t="inlineStr">
        <is>
          <t>22022</t>
        </is>
      </c>
      <c r="C812" s="46">
        <f>LEFT(Tableau1[[#This Row],[Formacode]],3)</f>
        <v/>
      </c>
      <c r="D812" s="47" t="n">
        <v>41368</v>
      </c>
      <c r="E812" s="48">
        <f>"RNCP"&amp;D812</f>
        <v/>
      </c>
      <c r="F812" s="48" t="inlineStr">
        <is>
          <t>TP - Chef de chantier en voirie et réseaux divers</t>
        </is>
      </c>
      <c r="G812" s="49">
        <f>E812&amp;" - "&amp;F812</f>
        <v/>
      </c>
      <c r="H812" s="36" t="inlineStr">
        <is>
          <t>RAS</t>
        </is>
      </c>
      <c r="I812" s="45" t="inlineStr"/>
      <c r="J812" s="45" t="inlineStr">
        <is>
          <t>RNCP41368</t>
        </is>
      </c>
      <c r="K812" s="45" t="inlineStr">
        <is>
          <t>Chef de chantier en voirie et réseaux divers</t>
        </is>
      </c>
      <c r="L812" s="45" t="inlineStr">
        <is>
          <t>20/10/2030</t>
        </is>
      </c>
      <c r="M812" s="45" t="inlineStr">
        <is>
          <t>22070 (Canalisation réseau extérieur) ; 22294 (Conduite chantier BTP) ; 22001 (Chaussée) ; 22010 (Aménagement route)</t>
        </is>
      </c>
      <c r="N812" s="50" t="inlineStr">
        <is>
          <t>NON</t>
        </is>
      </c>
      <c r="O812" s="45" t="inlineStr"/>
    </row>
    <row r="813" customFormat="1" s="3">
      <c r="A813" s="45" t="n"/>
      <c r="B813" s="46" t="inlineStr">
        <is>
          <t>22024</t>
        </is>
      </c>
      <c r="C813" s="46">
        <f>LEFT(Tableau1[[#This Row],[Formacode]],3)</f>
        <v/>
      </c>
      <c r="D813" s="47" t="n">
        <v>37199</v>
      </c>
      <c r="E813" s="48">
        <f>"RNCP"&amp;D813</f>
        <v/>
      </c>
      <c r="F813" s="48" t="inlineStr">
        <is>
          <t>BTS - Travaux publics</t>
        </is>
      </c>
      <c r="G813" s="49">
        <f>E813&amp;" - "&amp;F813</f>
        <v/>
      </c>
      <c r="H813" s="36" t="inlineStr">
        <is>
          <t>RAS</t>
        </is>
      </c>
      <c r="I813" s="45" t="inlineStr"/>
      <c r="J813" s="45" t="inlineStr">
        <is>
          <t>RNCP37199</t>
        </is>
      </c>
      <c r="K813" s="45" t="inlineStr">
        <is>
          <t>Travaux publics</t>
        </is>
      </c>
      <c r="L813" s="45" t="inlineStr">
        <is>
          <t>31/08/2028</t>
        </is>
      </c>
      <c r="M813" s="45" t="inlineStr">
        <is>
          <t>22294 (Conduite chantier BTP) ; 22054 (Travaux publics)</t>
        </is>
      </c>
      <c r="N813" s="50" t="inlineStr">
        <is>
          <t>NON</t>
        </is>
      </c>
      <c r="O813" s="45" t="inlineStr"/>
    </row>
    <row r="814" customFormat="1" s="3">
      <c r="A814" s="45" t="n"/>
      <c r="B814" s="46" t="inlineStr">
        <is>
          <t>22024</t>
        </is>
      </c>
      <c r="C814" s="46">
        <f>LEFT(Tableau1[[#This Row],[Formacode]],3)</f>
        <v/>
      </c>
      <c r="D814" s="47" t="n">
        <v>37385</v>
      </c>
      <c r="E814" s="48">
        <f>"RNCP"&amp;D814</f>
        <v/>
      </c>
      <c r="F814" s="48" t="inlineStr">
        <is>
          <t>BAC PRO - Travaux publics</t>
        </is>
      </c>
      <c r="G814" s="49">
        <f>E814&amp;" - "&amp;F814</f>
        <v/>
      </c>
      <c r="H814" s="36" t="inlineStr">
        <is>
          <t>RAS</t>
        </is>
      </c>
      <c r="I814" s="45" t="inlineStr"/>
      <c r="J814" s="45" t="inlineStr">
        <is>
          <t>RNCP37385</t>
        </is>
      </c>
      <c r="K814" s="45" t="inlineStr">
        <is>
          <t>Travaux publics</t>
        </is>
      </c>
      <c r="L814" s="45" t="inlineStr">
        <is>
          <t>01/09/2028</t>
        </is>
      </c>
      <c r="M814" s="45" t="inlineStr">
        <is>
          <t>22054 (Travaux publics) ; 22294 (Conduite chantier BTP)</t>
        </is>
      </c>
      <c r="N814" s="50" t="inlineStr">
        <is>
          <t>NON</t>
        </is>
      </c>
      <c r="O814" s="45" t="inlineStr"/>
    </row>
    <row r="815" customFormat="1" s="3">
      <c r="A815" s="51" t="n"/>
      <c r="B815" s="52" t="inlineStr">
        <is>
          <t>22024</t>
        </is>
      </c>
      <c r="C815" s="52">
        <f>LEFT(Tableau1[[#This Row],[Formacode]],3)</f>
        <v/>
      </c>
      <c r="D815" s="53" t="n">
        <v>38715</v>
      </c>
      <c r="E815" s="54">
        <f>"RNCP"&amp;D815</f>
        <v/>
      </c>
      <c r="F815" s="54" t="inlineStr">
        <is>
          <t>BP - Conducteur d'engins : travaux publics et carrières</t>
        </is>
      </c>
      <c r="G815" s="55">
        <f>E815&amp;" - "&amp;F815</f>
        <v/>
      </c>
      <c r="H815" s="37" t="inlineStr">
        <is>
          <t>À vérifier</t>
        </is>
      </c>
      <c r="I815" s="51" t="inlineStr">
        <is>
          <t>Échéance le 31/12/2026 (dans 166 j)</t>
        </is>
      </c>
      <c r="J815" s="51" t="inlineStr">
        <is>
          <t>RNCP38715</t>
        </is>
      </c>
      <c r="K815" s="51" t="inlineStr">
        <is>
          <t>Conducteur d'engins : travaux publics et carrières</t>
        </is>
      </c>
      <c r="L815" s="51" t="inlineStr">
        <is>
          <t>31/12/2026</t>
        </is>
      </c>
      <c r="M815" s="51" t="inlineStr">
        <is>
          <t>22054 (Travaux publics) ; 31717 (Engin chantier)</t>
        </is>
      </c>
      <c r="N815" s="62" t="inlineStr">
        <is>
          <t>NON</t>
        </is>
      </c>
      <c r="O815" s="51" t="inlineStr"/>
    </row>
    <row r="816" customFormat="1" s="3">
      <c r="A816" s="51" t="n"/>
      <c r="B816" s="52" t="inlineStr">
        <is>
          <t>22024</t>
        </is>
      </c>
      <c r="C816" s="52">
        <f>LEFT(Tableau1[[#This Row],[Formacode]],3)</f>
        <v/>
      </c>
      <c r="D816" s="53" t="n">
        <v>40217</v>
      </c>
      <c r="E816" s="54">
        <f>"RNCP"&amp;D816</f>
        <v/>
      </c>
      <c r="F816" s="54" t="inlineStr">
        <is>
          <t>TP - Conducteur de travaux du bâtiment et du génie civil</t>
        </is>
      </c>
      <c r="G816" s="55">
        <f>E816&amp;" - "&amp;F816</f>
        <v/>
      </c>
      <c r="H816" s="37" t="inlineStr">
        <is>
          <t>À vérifier</t>
        </is>
      </c>
      <c r="I816" s="51" t="inlineStr">
        <is>
          <t>Échéance le 20/10/2026 (dans 94 j)</t>
        </is>
      </c>
      <c r="J816" s="51" t="inlineStr">
        <is>
          <t>RNCP40217</t>
        </is>
      </c>
      <c r="K816" s="51" t="inlineStr">
        <is>
          <t>Conducteur de travaux du bâtiment et du génie civil</t>
        </is>
      </c>
      <c r="L816" s="51" t="inlineStr">
        <is>
          <t>20/10/2026</t>
        </is>
      </c>
      <c r="M816" s="51" t="inlineStr">
        <is>
          <t>22293 (Conduite travaux BTP) ; 22054 (Travaux publics) ; 22354 (Bâtiment gros oeuvre)</t>
        </is>
      </c>
      <c r="N816" s="62" t="inlineStr">
        <is>
          <t>NON</t>
        </is>
      </c>
      <c r="O816" s="51" t="inlineStr"/>
    </row>
    <row r="817" customFormat="1" s="3">
      <c r="A817" s="45" t="n"/>
      <c r="B817" s="46" t="inlineStr">
        <is>
          <t>22024</t>
        </is>
      </c>
      <c r="C817" s="46">
        <f>LEFT(Tableau1[[#This Row],[Formacode]],3)</f>
        <v/>
      </c>
      <c r="D817" s="47" t="n">
        <v>40400</v>
      </c>
      <c r="E817" s="48">
        <f>"RNCP"&amp;D817</f>
        <v/>
      </c>
      <c r="F817" s="48" t="inlineStr">
        <is>
          <t>Chef d'équipe travaux publics génie civil</t>
        </is>
      </c>
      <c r="G817" s="49">
        <f>E817&amp;" - "&amp;F817</f>
        <v/>
      </c>
      <c r="H817" s="36" t="inlineStr">
        <is>
          <t>RAS</t>
        </is>
      </c>
      <c r="I817" s="45" t="inlineStr"/>
      <c r="J817" s="45" t="inlineStr">
        <is>
          <t>RNCP40400</t>
        </is>
      </c>
      <c r="K817" s="45" t="inlineStr">
        <is>
          <t>Chef d'équipe travaux publics génie civil</t>
        </is>
      </c>
      <c r="L817" s="45" t="inlineStr">
        <is>
          <t>28/03/2028</t>
        </is>
      </c>
      <c r="M817" s="45" t="inlineStr">
        <is>
          <t>22293 (Conduite travaux BTP) ; 22024 (Génie civil)</t>
        </is>
      </c>
      <c r="N817" s="50" t="inlineStr">
        <is>
          <t>NON</t>
        </is>
      </c>
      <c r="O817" s="45" t="inlineStr"/>
    </row>
    <row r="818" customFormat="1" s="3">
      <c r="A818" s="45" t="n"/>
      <c r="B818" s="46" t="inlineStr">
        <is>
          <t>22028</t>
        </is>
      </c>
      <c r="C818" s="46">
        <f>LEFT(Tableau1[[#This Row],[Formacode]],3)</f>
        <v/>
      </c>
      <c r="D818" s="47" t="n">
        <v>37199</v>
      </c>
      <c r="E818" s="48">
        <f>"RNCP"&amp;D818</f>
        <v/>
      </c>
      <c r="F818" s="48" t="inlineStr">
        <is>
          <t>BTS - Travaux publics</t>
        </is>
      </c>
      <c r="G818" s="49">
        <f>E818&amp;" - "&amp;F818</f>
        <v/>
      </c>
      <c r="H818" s="36" t="inlineStr">
        <is>
          <t>RAS</t>
        </is>
      </c>
      <c r="I818" s="45" t="inlineStr"/>
      <c r="J818" s="45" t="inlineStr">
        <is>
          <t>RNCP37199</t>
        </is>
      </c>
      <c r="K818" s="45" t="inlineStr">
        <is>
          <t>Travaux publics</t>
        </is>
      </c>
      <c r="L818" s="45" t="inlineStr">
        <is>
          <t>31/08/2028</t>
        </is>
      </c>
      <c r="M818" s="45" t="inlineStr">
        <is>
          <t>22294 (Conduite chantier BTP) ; 22054 (Travaux publics)</t>
        </is>
      </c>
      <c r="N818" s="50" t="inlineStr">
        <is>
          <t>NON</t>
        </is>
      </c>
      <c r="O818" s="45" t="inlineStr"/>
    </row>
    <row r="819" customFormat="1" s="3">
      <c r="A819" s="45" t="n"/>
      <c r="B819" s="46" t="inlineStr">
        <is>
          <t>22028</t>
        </is>
      </c>
      <c r="C819" s="46">
        <f>LEFT(Tableau1[[#This Row],[Formacode]],3)</f>
        <v/>
      </c>
      <c r="D819" s="47" t="n">
        <v>37385</v>
      </c>
      <c r="E819" s="48">
        <f>"RNCP"&amp;D819</f>
        <v/>
      </c>
      <c r="F819" s="48" t="inlineStr">
        <is>
          <t>BAC PRO - Travaux publics</t>
        </is>
      </c>
      <c r="G819" s="49">
        <f>E819&amp;" - "&amp;F819</f>
        <v/>
      </c>
      <c r="H819" s="36" t="inlineStr">
        <is>
          <t>RAS</t>
        </is>
      </c>
      <c r="I819" s="45" t="inlineStr"/>
      <c r="J819" s="45" t="inlineStr">
        <is>
          <t>RNCP37385</t>
        </is>
      </c>
      <c r="K819" s="45" t="inlineStr">
        <is>
          <t>Travaux publics</t>
        </is>
      </c>
      <c r="L819" s="45" t="inlineStr">
        <is>
          <t>01/09/2028</t>
        </is>
      </c>
      <c r="M819" s="45" t="inlineStr">
        <is>
          <t>22054 (Travaux publics) ; 22294 (Conduite chantier BTP)</t>
        </is>
      </c>
      <c r="N819" s="50" t="inlineStr">
        <is>
          <t>NON</t>
        </is>
      </c>
      <c r="O819" s="45" t="inlineStr"/>
    </row>
    <row r="820" customFormat="1" s="3">
      <c r="A820" s="51" t="n"/>
      <c r="B820" s="52" t="inlineStr">
        <is>
          <t>22028</t>
        </is>
      </c>
      <c r="C820" s="52">
        <f>LEFT(Tableau1[[#This Row],[Formacode]],3)</f>
        <v/>
      </c>
      <c r="D820" s="53" t="n">
        <v>38715</v>
      </c>
      <c r="E820" s="54">
        <f>"RNCP"&amp;D820</f>
        <v/>
      </c>
      <c r="F820" s="54" t="inlineStr">
        <is>
          <t>BP - Conducteur d'engins : travaux publics et carrières</t>
        </is>
      </c>
      <c r="G820" s="55">
        <f>E820&amp;" - "&amp;F820</f>
        <v/>
      </c>
      <c r="H820" s="37" t="inlineStr">
        <is>
          <t>À vérifier</t>
        </is>
      </c>
      <c r="I820" s="51" t="inlineStr">
        <is>
          <t>Échéance le 31/12/2026 (dans 166 j)</t>
        </is>
      </c>
      <c r="J820" s="51" t="inlineStr">
        <is>
          <t>RNCP38715</t>
        </is>
      </c>
      <c r="K820" s="51" t="inlineStr">
        <is>
          <t>Conducteur d'engins : travaux publics et carrières</t>
        </is>
      </c>
      <c r="L820" s="51" t="inlineStr">
        <is>
          <t>31/12/2026</t>
        </is>
      </c>
      <c r="M820" s="51" t="inlineStr">
        <is>
          <t>22054 (Travaux publics) ; 31717 (Engin chantier)</t>
        </is>
      </c>
      <c r="N820" s="62" t="inlineStr">
        <is>
          <t>NON</t>
        </is>
      </c>
      <c r="O820" s="51" t="inlineStr"/>
    </row>
    <row r="821" customFormat="1" s="3">
      <c r="A821" s="51" t="n"/>
      <c r="B821" s="52" t="inlineStr">
        <is>
          <t>22028</t>
        </is>
      </c>
      <c r="C821" s="52">
        <f>LEFT(Tableau1[[#This Row],[Formacode]],3)</f>
        <v/>
      </c>
      <c r="D821" s="53" t="n">
        <v>40217</v>
      </c>
      <c r="E821" s="54">
        <f>"RNCP"&amp;D821</f>
        <v/>
      </c>
      <c r="F821" s="54" t="inlineStr">
        <is>
          <t>TP - Conducteur de travaux du bâtiment et du génie civil</t>
        </is>
      </c>
      <c r="G821" s="55">
        <f>E821&amp;" - "&amp;F821</f>
        <v/>
      </c>
      <c r="H821" s="37" t="inlineStr">
        <is>
          <t>À vérifier</t>
        </is>
      </c>
      <c r="I821" s="51" t="inlineStr">
        <is>
          <t>Échéance le 20/10/2026 (dans 94 j)</t>
        </is>
      </c>
      <c r="J821" s="51" t="inlineStr">
        <is>
          <t>RNCP40217</t>
        </is>
      </c>
      <c r="K821" s="51" t="inlineStr">
        <is>
          <t>Conducteur de travaux du bâtiment et du génie civil</t>
        </is>
      </c>
      <c r="L821" s="51" t="inlineStr">
        <is>
          <t>20/10/2026</t>
        </is>
      </c>
      <c r="M821" s="51" t="inlineStr">
        <is>
          <t>22293 (Conduite travaux BTP) ; 22054 (Travaux publics) ; 22354 (Bâtiment gros oeuvre)</t>
        </is>
      </c>
      <c r="N821" s="62" t="inlineStr">
        <is>
          <t>NON</t>
        </is>
      </c>
      <c r="O821" s="51" t="inlineStr"/>
    </row>
    <row r="822" customFormat="1" s="3">
      <c r="A822" s="45" t="n"/>
      <c r="B822" s="46" t="inlineStr">
        <is>
          <t>22028</t>
        </is>
      </c>
      <c r="C822" s="46">
        <f>LEFT(Tableau1[[#This Row],[Formacode]],3)</f>
        <v/>
      </c>
      <c r="D822" s="47" t="n">
        <v>40283</v>
      </c>
      <c r="E822" s="48">
        <f>"RNCP"&amp;D822</f>
        <v/>
      </c>
      <c r="F822" s="48" t="inlineStr">
        <is>
          <t>CQP Technicien protection risques naturels</t>
        </is>
      </c>
      <c r="G822" s="49">
        <f>E822&amp;" - "&amp;F822</f>
        <v/>
      </c>
      <c r="H822" s="36" t="inlineStr">
        <is>
          <t>RAS</t>
        </is>
      </c>
      <c r="I822" s="45" t="inlineStr"/>
      <c r="J822" s="45" t="inlineStr">
        <is>
          <t>RNCP40283</t>
        </is>
      </c>
      <c r="K822" s="45" t="inlineStr">
        <is>
          <t>CQP Technicien protection risques naturels</t>
        </is>
      </c>
      <c r="L822" s="45" t="inlineStr">
        <is>
          <t>28/02/2030</t>
        </is>
      </c>
      <c r="M822" s="45" t="inlineStr">
        <is>
          <t>42883 (Risque naturel) ; 22028 (Réhabilitation travaux publics)</t>
        </is>
      </c>
      <c r="N822" s="50" t="inlineStr">
        <is>
          <t>NON</t>
        </is>
      </c>
      <c r="O822" s="45" t="inlineStr"/>
    </row>
    <row r="823" customFormat="1" s="3">
      <c r="A823" s="45" t="n"/>
      <c r="B823" s="46" t="inlineStr">
        <is>
          <t>22050</t>
        </is>
      </c>
      <c r="C823" s="46">
        <f>LEFT(Tableau1[[#This Row],[Formacode]],3)</f>
        <v/>
      </c>
      <c r="D823" s="47" t="n">
        <v>37199</v>
      </c>
      <c r="E823" s="48">
        <f>"RNCP"&amp;D823</f>
        <v/>
      </c>
      <c r="F823" s="48" t="inlineStr">
        <is>
          <t>BTS - Travaux publics</t>
        </is>
      </c>
      <c r="G823" s="49">
        <f>E823&amp;" - "&amp;F823</f>
        <v/>
      </c>
      <c r="H823" s="36" t="inlineStr">
        <is>
          <t>RAS</t>
        </is>
      </c>
      <c r="I823" s="45" t="inlineStr"/>
      <c r="J823" s="45" t="inlineStr">
        <is>
          <t>RNCP37199</t>
        </is>
      </c>
      <c r="K823" s="45" t="inlineStr">
        <is>
          <t>Travaux publics</t>
        </is>
      </c>
      <c r="L823" s="45" t="inlineStr">
        <is>
          <t>31/08/2028</t>
        </is>
      </c>
      <c r="M823" s="45" t="inlineStr">
        <is>
          <t>22294 (Conduite chantier BTP) ; 22054 (Travaux publics)</t>
        </is>
      </c>
      <c r="N823" s="50" t="inlineStr">
        <is>
          <t>NON</t>
        </is>
      </c>
      <c r="O823" s="45" t="inlineStr"/>
    </row>
    <row r="824" customFormat="1" s="3">
      <c r="A824" s="45" t="n"/>
      <c r="B824" s="46" t="inlineStr">
        <is>
          <t>22050</t>
        </is>
      </c>
      <c r="C824" s="46">
        <f>LEFT(Tableau1[[#This Row],[Formacode]],3)</f>
        <v/>
      </c>
      <c r="D824" s="47" t="n">
        <v>37385</v>
      </c>
      <c r="E824" s="48">
        <f>"RNCP"&amp;D824</f>
        <v/>
      </c>
      <c r="F824" s="48" t="inlineStr">
        <is>
          <t>BAC PRO - Travaux publics</t>
        </is>
      </c>
      <c r="G824" s="49">
        <f>E824&amp;" - "&amp;F824</f>
        <v/>
      </c>
      <c r="H824" s="36" t="inlineStr">
        <is>
          <t>RAS</t>
        </is>
      </c>
      <c r="I824" s="45" t="inlineStr"/>
      <c r="J824" s="45" t="inlineStr">
        <is>
          <t>RNCP37385</t>
        </is>
      </c>
      <c r="K824" s="45" t="inlineStr">
        <is>
          <t>Travaux publics</t>
        </is>
      </c>
      <c r="L824" s="45" t="inlineStr">
        <is>
          <t>01/09/2028</t>
        </is>
      </c>
      <c r="M824" s="45" t="inlineStr">
        <is>
          <t>22054 (Travaux publics) ; 22294 (Conduite chantier BTP)</t>
        </is>
      </c>
      <c r="N824" s="50" t="inlineStr">
        <is>
          <t>NON</t>
        </is>
      </c>
      <c r="O824" s="45" t="inlineStr"/>
    </row>
    <row r="825" customFormat="1" s="3">
      <c r="A825" s="51" t="n"/>
      <c r="B825" s="52" t="inlineStr">
        <is>
          <t>22050</t>
        </is>
      </c>
      <c r="C825" s="52">
        <f>LEFT(Tableau1[[#This Row],[Formacode]],3)</f>
        <v/>
      </c>
      <c r="D825" s="53" t="n">
        <v>38715</v>
      </c>
      <c r="E825" s="54">
        <f>"RNCP"&amp;D825</f>
        <v/>
      </c>
      <c r="F825" s="54" t="inlineStr">
        <is>
          <t>BP - Conducteur d'engins : travaux publics et carrières</t>
        </is>
      </c>
      <c r="G825" s="55">
        <f>E825&amp;" - "&amp;F825</f>
        <v/>
      </c>
      <c r="H825" s="37" t="inlineStr">
        <is>
          <t>À vérifier</t>
        </is>
      </c>
      <c r="I825" s="51" t="inlineStr">
        <is>
          <t>Échéance le 31/12/2026 (dans 166 j)</t>
        </is>
      </c>
      <c r="J825" s="51" t="inlineStr">
        <is>
          <t>RNCP38715</t>
        </is>
      </c>
      <c r="K825" s="51" t="inlineStr">
        <is>
          <t>Conducteur d'engins : travaux publics et carrières</t>
        </is>
      </c>
      <c r="L825" s="51" t="inlineStr">
        <is>
          <t>31/12/2026</t>
        </is>
      </c>
      <c r="M825" s="51" t="inlineStr">
        <is>
          <t>22054 (Travaux publics) ; 31717 (Engin chantier)</t>
        </is>
      </c>
      <c r="N825" s="62" t="inlineStr">
        <is>
          <t>NON</t>
        </is>
      </c>
      <c r="O825" s="51" t="inlineStr"/>
    </row>
    <row r="826" customFormat="1" s="3">
      <c r="A826" s="51" t="n"/>
      <c r="B826" s="52" t="inlineStr">
        <is>
          <t>22050</t>
        </is>
      </c>
      <c r="C826" s="52">
        <f>LEFT(Tableau1[[#This Row],[Formacode]],3)</f>
        <v/>
      </c>
      <c r="D826" s="53" t="n">
        <v>40217</v>
      </c>
      <c r="E826" s="54">
        <f>"RNCP"&amp;D826</f>
        <v/>
      </c>
      <c r="F826" s="54" t="inlineStr">
        <is>
          <t>TP - Conducteur de travaux du bâtiment et du génie civil</t>
        </is>
      </c>
      <c r="G826" s="55">
        <f>E826&amp;" - "&amp;F826</f>
        <v/>
      </c>
      <c r="H826" s="37" t="inlineStr">
        <is>
          <t>À vérifier</t>
        </is>
      </c>
      <c r="I826" s="51" t="inlineStr">
        <is>
          <t>Échéance le 20/10/2026 (dans 94 j)</t>
        </is>
      </c>
      <c r="J826" s="51" t="inlineStr">
        <is>
          <t>RNCP40217</t>
        </is>
      </c>
      <c r="K826" s="51" t="inlineStr">
        <is>
          <t>Conducteur de travaux du bâtiment et du génie civil</t>
        </is>
      </c>
      <c r="L826" s="51" t="inlineStr">
        <is>
          <t>20/10/2026</t>
        </is>
      </c>
      <c r="M826" s="51" t="inlineStr">
        <is>
          <t>22293 (Conduite travaux BTP) ; 22054 (Travaux publics) ; 22354 (Bâtiment gros oeuvre)</t>
        </is>
      </c>
      <c r="N826" s="62" t="inlineStr">
        <is>
          <t>NON</t>
        </is>
      </c>
      <c r="O826" s="51" t="inlineStr"/>
    </row>
    <row r="827" customFormat="1" s="3">
      <c r="A827" s="45" t="n"/>
      <c r="B827" s="46" t="inlineStr">
        <is>
          <t>22062</t>
        </is>
      </c>
      <c r="C827" s="46">
        <f>LEFT(Tableau1[[#This Row],[Formacode]],3)</f>
        <v/>
      </c>
      <c r="D827" s="47" t="n">
        <v>37199</v>
      </c>
      <c r="E827" s="48">
        <f>"RNCP"&amp;D827</f>
        <v/>
      </c>
      <c r="F827" s="48" t="inlineStr">
        <is>
          <t>BTS - Travaux publics</t>
        </is>
      </c>
      <c r="G827" s="49">
        <f>E827&amp;" - "&amp;F827</f>
        <v/>
      </c>
      <c r="H827" s="36" t="inlineStr">
        <is>
          <t>RAS</t>
        </is>
      </c>
      <c r="I827" s="45" t="inlineStr"/>
      <c r="J827" s="45" t="inlineStr">
        <is>
          <t>RNCP37199</t>
        </is>
      </c>
      <c r="K827" s="45" t="inlineStr">
        <is>
          <t>Travaux publics</t>
        </is>
      </c>
      <c r="L827" s="45" t="inlineStr">
        <is>
          <t>31/08/2028</t>
        </is>
      </c>
      <c r="M827" s="45" t="inlineStr">
        <is>
          <t>22294 (Conduite chantier BTP) ; 22054 (Travaux publics)</t>
        </is>
      </c>
      <c r="N827" s="50" t="inlineStr">
        <is>
          <t>NON</t>
        </is>
      </c>
      <c r="O827" s="45" t="inlineStr"/>
    </row>
    <row r="828" customFormat="1" s="3">
      <c r="A828" s="45" t="n"/>
      <c r="B828" s="46" t="inlineStr">
        <is>
          <t>22062</t>
        </is>
      </c>
      <c r="C828" s="46">
        <f>LEFT(Tableau1[[#This Row],[Formacode]],3)</f>
        <v/>
      </c>
      <c r="D828" s="47" t="n">
        <v>37385</v>
      </c>
      <c r="E828" s="48">
        <f>"RNCP"&amp;D828</f>
        <v/>
      </c>
      <c r="F828" s="48" t="inlineStr">
        <is>
          <t>BAC PRO - Travaux publics</t>
        </is>
      </c>
      <c r="G828" s="49">
        <f>E828&amp;" - "&amp;F828</f>
        <v/>
      </c>
      <c r="H828" s="36" t="inlineStr">
        <is>
          <t>RAS</t>
        </is>
      </c>
      <c r="I828" s="45" t="inlineStr"/>
      <c r="J828" s="45" t="inlineStr">
        <is>
          <t>RNCP37385</t>
        </is>
      </c>
      <c r="K828" s="45" t="inlineStr">
        <is>
          <t>Travaux publics</t>
        </is>
      </c>
      <c r="L828" s="45" t="inlineStr">
        <is>
          <t>01/09/2028</t>
        </is>
      </c>
      <c r="M828" s="45" t="inlineStr">
        <is>
          <t>22054 (Travaux publics) ; 22294 (Conduite chantier BTP)</t>
        </is>
      </c>
      <c r="N828" s="50" t="inlineStr">
        <is>
          <t>NON</t>
        </is>
      </c>
      <c r="O828" s="45" t="inlineStr"/>
    </row>
    <row r="829" customFormat="1" s="3">
      <c r="A829" s="45" t="n"/>
      <c r="B829" s="46" t="inlineStr">
        <is>
          <t>22062</t>
        </is>
      </c>
      <c r="C829" s="46">
        <f>LEFT(Tableau1[[#This Row],[Formacode]],3)</f>
        <v/>
      </c>
      <c r="D829" s="47" t="n">
        <v>38078</v>
      </c>
      <c r="E829" s="48">
        <f>"RNCP"&amp;D829</f>
        <v/>
      </c>
      <c r="F829" s="48" t="inlineStr">
        <is>
          <t>TP - Canalisateur</t>
        </is>
      </c>
      <c r="G829" s="49">
        <f>E829&amp;" - "&amp;F829</f>
        <v/>
      </c>
      <c r="H829" s="36" t="inlineStr">
        <is>
          <t>RAS</t>
        </is>
      </c>
      <c r="I829" s="45" t="inlineStr"/>
      <c r="J829" s="45" t="inlineStr">
        <is>
          <t>RNCP38078</t>
        </is>
      </c>
      <c r="K829" s="45" t="inlineStr">
        <is>
          <t>Canalisateur</t>
        </is>
      </c>
      <c r="L829" s="45" t="inlineStr">
        <is>
          <t>21/10/2028</t>
        </is>
      </c>
      <c r="M829" s="45" t="inlineStr">
        <is>
          <t>22070 (Canalisation réseau extérieur) ; 12532 (Gestion ressource eau)</t>
        </is>
      </c>
      <c r="N829" s="50" t="inlineStr">
        <is>
          <t>NON</t>
        </is>
      </c>
      <c r="O829" s="45" t="inlineStr"/>
    </row>
    <row r="830" customFormat="1" s="3">
      <c r="A830" s="45" t="n"/>
      <c r="B830" s="46" t="inlineStr">
        <is>
          <t>22062</t>
        </is>
      </c>
      <c r="C830" s="46">
        <f>LEFT(Tableau1[[#This Row],[Formacode]],3)</f>
        <v/>
      </c>
      <c r="D830" s="47" t="n">
        <v>38080</v>
      </c>
      <c r="E830" s="48">
        <f>"RNCP"&amp;D830</f>
        <v/>
      </c>
      <c r="F830" s="48" t="inlineStr">
        <is>
          <t>TP - Maçon en voirie et réseaux divers</t>
        </is>
      </c>
      <c r="G830" s="49">
        <f>E830&amp;" - "&amp;F830</f>
        <v/>
      </c>
      <c r="H830" s="36" t="inlineStr">
        <is>
          <t>RAS</t>
        </is>
      </c>
      <c r="I830" s="45" t="inlineStr"/>
      <c r="J830" s="45" t="inlineStr">
        <is>
          <t>RNCP38080</t>
        </is>
      </c>
      <c r="K830" s="45" t="inlineStr">
        <is>
          <t>Maçon en voirie et réseaux divers</t>
        </is>
      </c>
      <c r="L830" s="45" t="inlineStr">
        <is>
          <t>28/10/2028</t>
        </is>
      </c>
      <c r="M830" s="45" t="inlineStr">
        <is>
          <t>22062 (VRD) ; 22010 (Aménagement route) ; 22001 (Chaussée)</t>
        </is>
      </c>
      <c r="N830" s="50" t="inlineStr">
        <is>
          <t>NON</t>
        </is>
      </c>
      <c r="O830" s="45" t="inlineStr"/>
    </row>
    <row r="831" customFormat="1" s="3">
      <c r="A831" s="51" t="n"/>
      <c r="B831" s="52" t="inlineStr">
        <is>
          <t>22062</t>
        </is>
      </c>
      <c r="C831" s="52">
        <f>LEFT(Tableau1[[#This Row],[Formacode]],3)</f>
        <v/>
      </c>
      <c r="D831" s="53" t="n">
        <v>38715</v>
      </c>
      <c r="E831" s="54">
        <f>"RNCP"&amp;D831</f>
        <v/>
      </c>
      <c r="F831" s="54" t="inlineStr">
        <is>
          <t>BP - Conducteur d'engins : travaux publics et carrières</t>
        </is>
      </c>
      <c r="G831" s="55">
        <f>E831&amp;" - "&amp;F831</f>
        <v/>
      </c>
      <c r="H831" s="37" t="inlineStr">
        <is>
          <t>À vérifier</t>
        </is>
      </c>
      <c r="I831" s="51" t="inlineStr">
        <is>
          <t>Échéance le 31/12/2026 (dans 166 j)</t>
        </is>
      </c>
      <c r="J831" s="51" t="inlineStr">
        <is>
          <t>RNCP38715</t>
        </is>
      </c>
      <c r="K831" s="51" t="inlineStr">
        <is>
          <t>Conducteur d'engins : travaux publics et carrières</t>
        </is>
      </c>
      <c r="L831" s="51" t="inlineStr">
        <is>
          <t>31/12/2026</t>
        </is>
      </c>
      <c r="M831" s="51" t="inlineStr">
        <is>
          <t>22054 (Travaux publics) ; 31717 (Engin chantier)</t>
        </is>
      </c>
      <c r="N831" s="62" t="inlineStr">
        <is>
          <t>NON</t>
        </is>
      </c>
      <c r="O831" s="51" t="inlineStr"/>
    </row>
    <row r="832" customFormat="1" s="3">
      <c r="A832" s="51" t="n"/>
      <c r="B832" s="52" t="inlineStr">
        <is>
          <t>22062</t>
        </is>
      </c>
      <c r="C832" s="52">
        <f>LEFT(Tableau1[[#This Row],[Formacode]],3)</f>
        <v/>
      </c>
      <c r="D832" s="53" t="n">
        <v>40217</v>
      </c>
      <c r="E832" s="54">
        <f>"RNCP"&amp;D832</f>
        <v/>
      </c>
      <c r="F832" s="54" t="inlineStr">
        <is>
          <t>TP - Conducteur de travaux du bâtiment et du génie civil</t>
        </is>
      </c>
      <c r="G832" s="55">
        <f>E832&amp;" - "&amp;F832</f>
        <v/>
      </c>
      <c r="H832" s="37" t="inlineStr">
        <is>
          <t>À vérifier</t>
        </is>
      </c>
      <c r="I832" s="51" t="inlineStr">
        <is>
          <t>Échéance le 20/10/2026 (dans 94 j)</t>
        </is>
      </c>
      <c r="J832" s="51" t="inlineStr">
        <is>
          <t>RNCP40217</t>
        </is>
      </c>
      <c r="K832" s="51" t="inlineStr">
        <is>
          <t>Conducteur de travaux du bâtiment et du génie civil</t>
        </is>
      </c>
      <c r="L832" s="51" t="inlineStr">
        <is>
          <t>20/10/2026</t>
        </is>
      </c>
      <c r="M832" s="51" t="inlineStr">
        <is>
          <t>22293 (Conduite travaux BTP) ; 22054 (Travaux publics) ; 22354 (Bâtiment gros oeuvre)</t>
        </is>
      </c>
      <c r="N832" s="62" t="inlineStr">
        <is>
          <t>NON</t>
        </is>
      </c>
      <c r="O832" s="51" t="inlineStr"/>
    </row>
    <row r="833" customFormat="1" s="3">
      <c r="A833" s="45" t="n"/>
      <c r="B833" s="46" t="inlineStr">
        <is>
          <t>22062</t>
        </is>
      </c>
      <c r="C833" s="46">
        <f>LEFT(Tableau1[[#This Row],[Formacode]],3)</f>
        <v/>
      </c>
      <c r="D833" s="47" t="n">
        <v>40403</v>
      </c>
      <c r="E833" s="48">
        <f>"RNCP"&amp;D833</f>
        <v/>
      </c>
      <c r="F833" s="48" t="inlineStr">
        <is>
          <t>Chef d'équipe travaux publics réseaux</t>
        </is>
      </c>
      <c r="G833" s="49">
        <f>E833&amp;" - "&amp;F833</f>
        <v/>
      </c>
      <c r="H833" s="36" t="inlineStr">
        <is>
          <t>RAS</t>
        </is>
      </c>
      <c r="I833" s="45" t="inlineStr"/>
      <c r="J833" s="45" t="inlineStr">
        <is>
          <t>RNCP40403</t>
        </is>
      </c>
      <c r="K833" s="45" t="inlineStr">
        <is>
          <t>Chef d'équipe travaux publics réseaux</t>
        </is>
      </c>
      <c r="L833" s="45" t="inlineStr">
        <is>
          <t>28/03/2028</t>
        </is>
      </c>
      <c r="M833" s="45" t="inlineStr">
        <is>
          <t>22293 (Conduite travaux BTP) ; 22062 (VRD)</t>
        </is>
      </c>
      <c r="N833" s="50" t="inlineStr">
        <is>
          <t>NON</t>
        </is>
      </c>
      <c r="O833" s="45" t="inlineStr"/>
    </row>
    <row r="834" customFormat="1" s="3">
      <c r="A834" s="45" t="n"/>
      <c r="B834" s="46" t="inlineStr">
        <is>
          <t>22062</t>
        </is>
      </c>
      <c r="C834" s="46">
        <f>LEFT(Tableau1[[#This Row],[Formacode]],3)</f>
        <v/>
      </c>
      <c r="D834" s="47" t="n">
        <v>40484</v>
      </c>
      <c r="E834" s="48">
        <f>"RNCP"&amp;D834</f>
        <v/>
      </c>
      <c r="F834" s="48" t="inlineStr">
        <is>
          <t>CAP - Constructeur de réseaux de canalisations de travaux publics</t>
        </is>
      </c>
      <c r="G834" s="49">
        <f>E834&amp;" - "&amp;F834</f>
        <v/>
      </c>
      <c r="H834" s="36" t="inlineStr">
        <is>
          <t>RAS</t>
        </is>
      </c>
      <c r="I834" s="45" t="inlineStr"/>
      <c r="J834" s="45" t="inlineStr">
        <is>
          <t>RNCP40484</t>
        </is>
      </c>
      <c r="K834" s="45" t="inlineStr">
        <is>
          <t>Constructeur de réseaux de canalisations de travaux publics</t>
        </is>
      </c>
      <c r="L834" s="45" t="inlineStr">
        <is>
          <t>31/08/2030</t>
        </is>
      </c>
      <c r="M834" s="45" t="inlineStr">
        <is>
          <t>22070 (Canalisation réseau extérieur) ; 22679 (Canalisation)</t>
        </is>
      </c>
      <c r="N834" s="50" t="inlineStr">
        <is>
          <t>NON</t>
        </is>
      </c>
      <c r="O834" s="45" t="inlineStr"/>
    </row>
    <row r="835" customFormat="1" s="3">
      <c r="A835" s="45" t="n"/>
      <c r="B835" s="46" t="inlineStr">
        <is>
          <t>22062</t>
        </is>
      </c>
      <c r="C835" s="46">
        <f>LEFT(Tableau1[[#This Row],[Formacode]],3)</f>
        <v/>
      </c>
      <c r="D835" s="47" t="n">
        <v>41368</v>
      </c>
      <c r="E835" s="48">
        <f>"RNCP"&amp;D835</f>
        <v/>
      </c>
      <c r="F835" s="48" t="inlineStr">
        <is>
          <t>TP - Chef de chantier en voirie et réseaux divers</t>
        </is>
      </c>
      <c r="G835" s="49">
        <f>E835&amp;" - "&amp;F835</f>
        <v/>
      </c>
      <c r="H835" s="36" t="inlineStr">
        <is>
          <t>RAS</t>
        </is>
      </c>
      <c r="I835" s="45" t="inlineStr"/>
      <c r="J835" s="45" t="inlineStr">
        <is>
          <t>RNCP41368</t>
        </is>
      </c>
      <c r="K835" s="45" t="inlineStr">
        <is>
          <t>Chef de chantier en voirie et réseaux divers</t>
        </is>
      </c>
      <c r="L835" s="45" t="inlineStr">
        <is>
          <t>20/10/2030</t>
        </is>
      </c>
      <c r="M835" s="45" t="inlineStr">
        <is>
          <t>22070 (Canalisation réseau extérieur) ; 22294 (Conduite chantier BTP) ; 22001 (Chaussée) ; 22010 (Aménagement route)</t>
        </is>
      </c>
      <c r="N835" s="50" t="inlineStr">
        <is>
          <t>NON</t>
        </is>
      </c>
      <c r="O835" s="45" t="inlineStr"/>
    </row>
    <row r="836" customFormat="1" s="3">
      <c r="A836" s="63" t="n"/>
      <c r="B836" s="64" t="inlineStr">
        <is>
          <t>22067</t>
        </is>
      </c>
      <c r="C836" s="64">
        <f>LEFT(Tableau1[[#This Row],[Formacode]],3)</f>
        <v/>
      </c>
      <c r="D836" s="65" t="n">
        <v>35232</v>
      </c>
      <c r="E836" s="66">
        <f>"RNCP"&amp;D836</f>
        <v/>
      </c>
      <c r="F836" s="66" t="inlineStr">
        <is>
          <t>TP - Scaphandrier travaux publics</t>
        </is>
      </c>
      <c r="G836" s="67">
        <f>E836&amp;" - "&amp;F836</f>
        <v/>
      </c>
      <c r="H836" s="38" t="inlineStr">
        <is>
          <t>Expiré / remplacé</t>
        </is>
      </c>
      <c r="I836" s="63" t="inlineStr">
        <is>
          <t>Fiche inactive — remplacée par RNCP41910 (Scaphandrier travaux publics)</t>
        </is>
      </c>
      <c r="J836" s="63" t="inlineStr">
        <is>
          <t>RNCP41910</t>
        </is>
      </c>
      <c r="K836" s="63" t="inlineStr">
        <is>
          <t>Scaphandrier travaux publics</t>
        </is>
      </c>
      <c r="L836" s="63" t="inlineStr">
        <is>
          <t>26/02/2026</t>
        </is>
      </c>
      <c r="M836" s="63" t="inlineStr">
        <is>
          <t>15480 (Plongée subaquatique) ; 22067 (Travaux immergés)</t>
        </is>
      </c>
      <c r="N836" s="68" t="inlineStr">
        <is>
          <t>NON</t>
        </is>
      </c>
      <c r="O836" s="63" t="inlineStr"/>
    </row>
    <row r="837" customFormat="1" s="3">
      <c r="A837" s="51" t="n"/>
      <c r="B837" s="52" t="inlineStr">
        <is>
          <t>22067</t>
        </is>
      </c>
      <c r="C837" s="52">
        <f>LEFT(Tableau1[[#This Row],[Formacode]],3)</f>
        <v/>
      </c>
      <c r="D837" s="53" t="n">
        <v>36816</v>
      </c>
      <c r="E837" s="54">
        <f>"RNCP"&amp;D837</f>
        <v/>
      </c>
      <c r="F837" s="54" t="inlineStr">
        <is>
          <t>CS - Opérateur polyvalent en interventions subaquatiques</t>
        </is>
      </c>
      <c r="G837" s="55">
        <f>E837&amp;" - "&amp;F837</f>
        <v/>
      </c>
      <c r="H837" s="37" t="inlineStr">
        <is>
          <t>À vérifier</t>
        </is>
      </c>
      <c r="I837" s="51" t="inlineStr">
        <is>
          <t>Successeur déjà publié : RNCP42401 (Opérateur polyvalent en interventions subaquatiques) — préparer la bascule de l'offre CPF | Échéance le 31/08/2026 (dans 44 j)</t>
        </is>
      </c>
      <c r="J837" s="51" t="inlineStr">
        <is>
          <t>RNCP42401</t>
        </is>
      </c>
      <c r="K837" s="51" t="inlineStr">
        <is>
          <t>Opérateur polyvalent en interventions subaquatiques</t>
        </is>
      </c>
      <c r="L837" s="51" t="inlineStr">
        <is>
          <t>31/08/2026</t>
        </is>
      </c>
      <c r="M837" s="51" t="inlineStr">
        <is>
          <t>22067 (Travaux immergés) ; 15480 (Plongée subaquatique)</t>
        </is>
      </c>
      <c r="N837" s="62" t="inlineStr">
        <is>
          <t>NON</t>
        </is>
      </c>
      <c r="O837" s="51" t="inlineStr"/>
    </row>
    <row r="838" customFormat="1" s="3">
      <c r="A838" s="45" t="n"/>
      <c r="B838" s="46" t="inlineStr">
        <is>
          <t>22067</t>
        </is>
      </c>
      <c r="C838" s="46">
        <f>LEFT(Tableau1[[#This Row],[Formacode]],3)</f>
        <v/>
      </c>
      <c r="D838" s="47" t="n">
        <v>37199</v>
      </c>
      <c r="E838" s="48">
        <f>"RNCP"&amp;D838</f>
        <v/>
      </c>
      <c r="F838" s="48" t="inlineStr">
        <is>
          <t>BTS - Travaux publics</t>
        </is>
      </c>
      <c r="G838" s="49">
        <f>E838&amp;" - "&amp;F838</f>
        <v/>
      </c>
      <c r="H838" s="36" t="inlineStr">
        <is>
          <t>RAS</t>
        </is>
      </c>
      <c r="I838" s="45" t="inlineStr"/>
      <c r="J838" s="45" t="inlineStr">
        <is>
          <t>RNCP37199</t>
        </is>
      </c>
      <c r="K838" s="45" t="inlineStr">
        <is>
          <t>Travaux publics</t>
        </is>
      </c>
      <c r="L838" s="45" t="inlineStr">
        <is>
          <t>31/08/2028</t>
        </is>
      </c>
      <c r="M838" s="45" t="inlineStr">
        <is>
          <t>22294 (Conduite chantier BTP) ; 22054 (Travaux publics)</t>
        </is>
      </c>
      <c r="N838" s="50" t="inlineStr">
        <is>
          <t>NON</t>
        </is>
      </c>
      <c r="O838" s="45" t="inlineStr"/>
    </row>
    <row r="839" customFormat="1" s="3">
      <c r="A839" s="45" t="n"/>
      <c r="B839" s="46" t="inlineStr">
        <is>
          <t>22067</t>
        </is>
      </c>
      <c r="C839" s="46">
        <f>LEFT(Tableau1[[#This Row],[Formacode]],3)</f>
        <v/>
      </c>
      <c r="D839" s="47" t="n">
        <v>37385</v>
      </c>
      <c r="E839" s="48">
        <f>"RNCP"&amp;D839</f>
        <v/>
      </c>
      <c r="F839" s="48" t="inlineStr">
        <is>
          <t>BAC PRO - Travaux publics</t>
        </is>
      </c>
      <c r="G839" s="49">
        <f>E839&amp;" - "&amp;F839</f>
        <v/>
      </c>
      <c r="H839" s="36" t="inlineStr">
        <is>
          <t>RAS</t>
        </is>
      </c>
      <c r="I839" s="45" t="inlineStr"/>
      <c r="J839" s="45" t="inlineStr">
        <is>
          <t>RNCP37385</t>
        </is>
      </c>
      <c r="K839" s="45" t="inlineStr">
        <is>
          <t>Travaux publics</t>
        </is>
      </c>
      <c r="L839" s="45" t="inlineStr">
        <is>
          <t>01/09/2028</t>
        </is>
      </c>
      <c r="M839" s="45" t="inlineStr">
        <is>
          <t>22054 (Travaux publics) ; 22294 (Conduite chantier BTP)</t>
        </is>
      </c>
      <c r="N839" s="50" t="inlineStr">
        <is>
          <t>NON</t>
        </is>
      </c>
      <c r="O839" s="45" t="inlineStr"/>
    </row>
    <row r="840" customFormat="1" s="3">
      <c r="A840" s="51" t="n"/>
      <c r="B840" s="52" t="inlineStr">
        <is>
          <t>22067</t>
        </is>
      </c>
      <c r="C840" s="52">
        <f>LEFT(Tableau1[[#This Row],[Formacode]],3)</f>
        <v/>
      </c>
      <c r="D840" s="53" t="n">
        <v>38715</v>
      </c>
      <c r="E840" s="54">
        <f>"RNCP"&amp;D840</f>
        <v/>
      </c>
      <c r="F840" s="54" t="inlineStr">
        <is>
          <t>BP - Conducteur d'engins : travaux publics et carrières</t>
        </is>
      </c>
      <c r="G840" s="55">
        <f>E840&amp;" - "&amp;F840</f>
        <v/>
      </c>
      <c r="H840" s="37" t="inlineStr">
        <is>
          <t>À vérifier</t>
        </is>
      </c>
      <c r="I840" s="51" t="inlineStr">
        <is>
          <t>Échéance le 31/12/2026 (dans 166 j)</t>
        </is>
      </c>
      <c r="J840" s="51" t="inlineStr">
        <is>
          <t>RNCP38715</t>
        </is>
      </c>
      <c r="K840" s="51" t="inlineStr">
        <is>
          <t>Conducteur d'engins : travaux publics et carrières</t>
        </is>
      </c>
      <c r="L840" s="51" t="inlineStr">
        <is>
          <t>31/12/2026</t>
        </is>
      </c>
      <c r="M840" s="51" t="inlineStr">
        <is>
          <t>22054 (Travaux publics) ; 31717 (Engin chantier)</t>
        </is>
      </c>
      <c r="N840" s="62" t="inlineStr">
        <is>
          <t>NON</t>
        </is>
      </c>
      <c r="O840" s="51" t="inlineStr"/>
    </row>
    <row r="841" customFormat="1" s="3">
      <c r="A841" s="51" t="n"/>
      <c r="B841" s="52" t="inlineStr">
        <is>
          <t>22067</t>
        </is>
      </c>
      <c r="C841" s="52">
        <f>LEFT(Tableau1[[#This Row],[Formacode]],3)</f>
        <v/>
      </c>
      <c r="D841" s="53" t="n">
        <v>40217</v>
      </c>
      <c r="E841" s="54">
        <f>"RNCP"&amp;D841</f>
        <v/>
      </c>
      <c r="F841" s="54" t="inlineStr">
        <is>
          <t>TP - Conducteur de travaux du bâtiment et du génie civil</t>
        </is>
      </c>
      <c r="G841" s="55">
        <f>E841&amp;" - "&amp;F841</f>
        <v/>
      </c>
      <c r="H841" s="37" t="inlineStr">
        <is>
          <t>À vérifier</t>
        </is>
      </c>
      <c r="I841" s="51" t="inlineStr">
        <is>
          <t>Échéance le 20/10/2026 (dans 94 j)</t>
        </is>
      </c>
      <c r="J841" s="51" t="inlineStr">
        <is>
          <t>RNCP40217</t>
        </is>
      </c>
      <c r="K841" s="51" t="inlineStr">
        <is>
          <t>Conducteur de travaux du bâtiment et du génie civil</t>
        </is>
      </c>
      <c r="L841" s="51" t="inlineStr">
        <is>
          <t>20/10/2026</t>
        </is>
      </c>
      <c r="M841" s="51" t="inlineStr">
        <is>
          <t>22293 (Conduite travaux BTP) ; 22054 (Travaux publics) ; 22354 (Bâtiment gros oeuvre)</t>
        </is>
      </c>
      <c r="N841" s="62" t="inlineStr">
        <is>
          <t>NON</t>
        </is>
      </c>
      <c r="O841" s="51" t="inlineStr"/>
    </row>
    <row r="842" customFormat="1" s="3">
      <c r="A842" s="45" t="n"/>
      <c r="B842" s="46" t="inlineStr">
        <is>
          <t>22076</t>
        </is>
      </c>
      <c r="C842" s="46">
        <f>LEFT(Tableau1[[#This Row],[Formacode]],3)</f>
        <v/>
      </c>
      <c r="D842" s="47" t="n">
        <v>37199</v>
      </c>
      <c r="E842" s="48">
        <f>"RNCP"&amp;D842</f>
        <v/>
      </c>
      <c r="F842" s="48" t="inlineStr">
        <is>
          <t>BTS - Travaux publics</t>
        </is>
      </c>
      <c r="G842" s="49">
        <f>E842&amp;" - "&amp;F842</f>
        <v/>
      </c>
      <c r="H842" s="36" t="inlineStr">
        <is>
          <t>RAS</t>
        </is>
      </c>
      <c r="I842" s="45" t="inlineStr"/>
      <c r="J842" s="45" t="inlineStr">
        <is>
          <t>RNCP37199</t>
        </is>
      </c>
      <c r="K842" s="45" t="inlineStr">
        <is>
          <t>Travaux publics</t>
        </is>
      </c>
      <c r="L842" s="45" t="inlineStr">
        <is>
          <t>31/08/2028</t>
        </is>
      </c>
      <c r="M842" s="45" t="inlineStr">
        <is>
          <t>22294 (Conduite chantier BTP) ; 22054 (Travaux publics)</t>
        </is>
      </c>
      <c r="N842" s="50" t="inlineStr">
        <is>
          <t>NON</t>
        </is>
      </c>
      <c r="O842" s="45" t="inlineStr"/>
    </row>
    <row r="843" customFormat="1" s="3">
      <c r="A843" s="45" t="n"/>
      <c r="B843" s="46" t="inlineStr">
        <is>
          <t>22076</t>
        </is>
      </c>
      <c r="C843" s="46">
        <f>LEFT(Tableau1[[#This Row],[Formacode]],3)</f>
        <v/>
      </c>
      <c r="D843" s="47" t="n">
        <v>37385</v>
      </c>
      <c r="E843" s="48">
        <f>"RNCP"&amp;D843</f>
        <v/>
      </c>
      <c r="F843" s="48" t="inlineStr">
        <is>
          <t>BAC PRO - Travaux publics</t>
        </is>
      </c>
      <c r="G843" s="49">
        <f>E843&amp;" - "&amp;F843</f>
        <v/>
      </c>
      <c r="H843" s="36" t="inlineStr">
        <is>
          <t>RAS</t>
        </is>
      </c>
      <c r="I843" s="45" t="inlineStr"/>
      <c r="J843" s="45" t="inlineStr">
        <is>
          <t>RNCP37385</t>
        </is>
      </c>
      <c r="K843" s="45" t="inlineStr">
        <is>
          <t>Travaux publics</t>
        </is>
      </c>
      <c r="L843" s="45" t="inlineStr">
        <is>
          <t>01/09/2028</t>
        </is>
      </c>
      <c r="M843" s="45" t="inlineStr">
        <is>
          <t>22054 (Travaux publics) ; 22294 (Conduite chantier BTP)</t>
        </is>
      </c>
      <c r="N843" s="50" t="inlineStr">
        <is>
          <t>NON</t>
        </is>
      </c>
      <c r="O843" s="45" t="inlineStr"/>
    </row>
    <row r="844" customFormat="1" s="3">
      <c r="A844" s="51" t="n"/>
      <c r="B844" s="52" t="inlineStr">
        <is>
          <t>22076</t>
        </is>
      </c>
      <c r="C844" s="52">
        <f>LEFT(Tableau1[[#This Row],[Formacode]],3)</f>
        <v/>
      </c>
      <c r="D844" s="53" t="n">
        <v>38715</v>
      </c>
      <c r="E844" s="54">
        <f>"RNCP"&amp;D844</f>
        <v/>
      </c>
      <c r="F844" s="54" t="inlineStr">
        <is>
          <t>BP - Conducteur d'engins : travaux publics et carrières</t>
        </is>
      </c>
      <c r="G844" s="55">
        <f>E844&amp;" - "&amp;F844</f>
        <v/>
      </c>
      <c r="H844" s="37" t="inlineStr">
        <is>
          <t>À vérifier</t>
        </is>
      </c>
      <c r="I844" s="51" t="inlineStr">
        <is>
          <t>Échéance le 31/12/2026 (dans 166 j)</t>
        </is>
      </c>
      <c r="J844" s="51" t="inlineStr">
        <is>
          <t>RNCP38715</t>
        </is>
      </c>
      <c r="K844" s="51" t="inlineStr">
        <is>
          <t>Conducteur d'engins : travaux publics et carrières</t>
        </is>
      </c>
      <c r="L844" s="51" t="inlineStr">
        <is>
          <t>31/12/2026</t>
        </is>
      </c>
      <c r="M844" s="51" t="inlineStr">
        <is>
          <t>22054 (Travaux publics) ; 31717 (Engin chantier)</t>
        </is>
      </c>
      <c r="N844" s="62" t="inlineStr">
        <is>
          <t>NON</t>
        </is>
      </c>
      <c r="O844" s="51" t="inlineStr"/>
    </row>
    <row r="845" customFormat="1" s="3">
      <c r="A845" s="51" t="n"/>
      <c r="B845" s="52" t="inlineStr">
        <is>
          <t>22076</t>
        </is>
      </c>
      <c r="C845" s="52">
        <f>LEFT(Tableau1[[#This Row],[Formacode]],3)</f>
        <v/>
      </c>
      <c r="D845" s="53" t="n">
        <v>40217</v>
      </c>
      <c r="E845" s="54">
        <f>"RNCP"&amp;D845</f>
        <v/>
      </c>
      <c r="F845" s="54" t="inlineStr">
        <is>
          <t>TP - Conducteur de travaux du bâtiment et du génie civil</t>
        </is>
      </c>
      <c r="G845" s="55">
        <f>E845&amp;" - "&amp;F845</f>
        <v/>
      </c>
      <c r="H845" s="37" t="inlineStr">
        <is>
          <t>À vérifier</t>
        </is>
      </c>
      <c r="I845" s="51" t="inlineStr">
        <is>
          <t>Échéance le 20/10/2026 (dans 94 j)</t>
        </is>
      </c>
      <c r="J845" s="51" t="inlineStr">
        <is>
          <t>RNCP40217</t>
        </is>
      </c>
      <c r="K845" s="51" t="inlineStr">
        <is>
          <t>Conducteur de travaux du bâtiment et du génie civil</t>
        </is>
      </c>
      <c r="L845" s="51" t="inlineStr">
        <is>
          <t>20/10/2026</t>
        </is>
      </c>
      <c r="M845" s="51" t="inlineStr">
        <is>
          <t>22293 (Conduite travaux BTP) ; 22054 (Travaux publics) ; 22354 (Bâtiment gros oeuvre)</t>
        </is>
      </c>
      <c r="N845" s="62" t="inlineStr">
        <is>
          <t>NON</t>
        </is>
      </c>
      <c r="O845" s="51" t="inlineStr"/>
    </row>
    <row r="846" customFormat="1" s="3">
      <c r="A846" s="45" t="n"/>
      <c r="B846" s="46" t="inlineStr">
        <is>
          <t>22095</t>
        </is>
      </c>
      <c r="C846" s="46">
        <f>LEFT(Tableau1[[#This Row],[Formacode]],3)</f>
        <v/>
      </c>
      <c r="D846" s="47" t="n">
        <v>37199</v>
      </c>
      <c r="E846" s="48">
        <f>"RNCP"&amp;D846</f>
        <v/>
      </c>
      <c r="F846" s="48" t="inlineStr">
        <is>
          <t>BTS - Travaux publics</t>
        </is>
      </c>
      <c r="G846" s="49">
        <f>E846&amp;" - "&amp;F846</f>
        <v/>
      </c>
      <c r="H846" s="36" t="inlineStr">
        <is>
          <t>RAS</t>
        </is>
      </c>
      <c r="I846" s="45" t="inlineStr"/>
      <c r="J846" s="45" t="inlineStr">
        <is>
          <t>RNCP37199</t>
        </is>
      </c>
      <c r="K846" s="45" t="inlineStr">
        <is>
          <t>Travaux publics</t>
        </is>
      </c>
      <c r="L846" s="45" t="inlineStr">
        <is>
          <t>31/08/2028</t>
        </is>
      </c>
      <c r="M846" s="45" t="inlineStr">
        <is>
          <t>22294 (Conduite chantier BTP) ; 22054 (Travaux publics)</t>
        </is>
      </c>
      <c r="N846" s="50" t="inlineStr">
        <is>
          <t>NON</t>
        </is>
      </c>
      <c r="O846" s="45" t="inlineStr"/>
    </row>
    <row r="847" customFormat="1" s="3">
      <c r="A847" s="45" t="n"/>
      <c r="B847" s="46" t="inlineStr">
        <is>
          <t>22095</t>
        </is>
      </c>
      <c r="C847" s="46">
        <f>LEFT(Tableau1[[#This Row],[Formacode]],3)</f>
        <v/>
      </c>
      <c r="D847" s="47" t="n">
        <v>37385</v>
      </c>
      <c r="E847" s="48">
        <f>"RNCP"&amp;D847</f>
        <v/>
      </c>
      <c r="F847" s="48" t="inlineStr">
        <is>
          <t>BAC PRO - Travaux publics</t>
        </is>
      </c>
      <c r="G847" s="49">
        <f>E847&amp;" - "&amp;F847</f>
        <v/>
      </c>
      <c r="H847" s="36" t="inlineStr">
        <is>
          <t>RAS</t>
        </is>
      </c>
      <c r="I847" s="45" t="inlineStr"/>
      <c r="J847" s="45" t="inlineStr">
        <is>
          <t>RNCP37385</t>
        </is>
      </c>
      <c r="K847" s="45" t="inlineStr">
        <is>
          <t>Travaux publics</t>
        </is>
      </c>
      <c r="L847" s="45" t="inlineStr">
        <is>
          <t>01/09/2028</t>
        </is>
      </c>
      <c r="M847" s="45" t="inlineStr">
        <is>
          <t>22054 (Travaux publics) ; 22294 (Conduite chantier BTP)</t>
        </is>
      </c>
      <c r="N847" s="50" t="inlineStr">
        <is>
          <t>NON</t>
        </is>
      </c>
      <c r="O847" s="45" t="inlineStr"/>
    </row>
    <row r="848" customFormat="1" s="3">
      <c r="A848" s="51" t="n"/>
      <c r="B848" s="52" t="inlineStr">
        <is>
          <t>22095</t>
        </is>
      </c>
      <c r="C848" s="52">
        <f>LEFT(Tableau1[[#This Row],[Formacode]],3)</f>
        <v/>
      </c>
      <c r="D848" s="53" t="n">
        <v>38715</v>
      </c>
      <c r="E848" s="54">
        <f>"RNCP"&amp;D848</f>
        <v/>
      </c>
      <c r="F848" s="54" t="inlineStr">
        <is>
          <t>BP - Conducteur d'engins : travaux publics et carrières</t>
        </is>
      </c>
      <c r="G848" s="55">
        <f>E848&amp;" - "&amp;F848</f>
        <v/>
      </c>
      <c r="H848" s="37" t="inlineStr">
        <is>
          <t>À vérifier</t>
        </is>
      </c>
      <c r="I848" s="51" t="inlineStr">
        <is>
          <t>Échéance le 31/12/2026 (dans 166 j)</t>
        </is>
      </c>
      <c r="J848" s="51" t="inlineStr">
        <is>
          <t>RNCP38715</t>
        </is>
      </c>
      <c r="K848" s="51" t="inlineStr">
        <is>
          <t>Conducteur d'engins : travaux publics et carrières</t>
        </is>
      </c>
      <c r="L848" s="51" t="inlineStr">
        <is>
          <t>31/12/2026</t>
        </is>
      </c>
      <c r="M848" s="51" t="inlineStr">
        <is>
          <t>22054 (Travaux publics) ; 31717 (Engin chantier)</t>
        </is>
      </c>
      <c r="N848" s="62" t="inlineStr">
        <is>
          <t>NON</t>
        </is>
      </c>
      <c r="O848" s="51" t="inlineStr"/>
    </row>
    <row r="849" customFormat="1" s="3">
      <c r="A849" s="51" t="n"/>
      <c r="B849" s="52" t="inlineStr">
        <is>
          <t>22095</t>
        </is>
      </c>
      <c r="C849" s="52">
        <f>LEFT(Tableau1[[#This Row],[Formacode]],3)</f>
        <v/>
      </c>
      <c r="D849" s="53" t="n">
        <v>40217</v>
      </c>
      <c r="E849" s="54">
        <f>"RNCP"&amp;D849</f>
        <v/>
      </c>
      <c r="F849" s="54" t="inlineStr">
        <is>
          <t>TP - Conducteur de travaux du bâtiment et du génie civil</t>
        </is>
      </c>
      <c r="G849" s="55">
        <f>E849&amp;" - "&amp;F849</f>
        <v/>
      </c>
      <c r="H849" s="37" t="inlineStr">
        <is>
          <t>À vérifier</t>
        </is>
      </c>
      <c r="I849" s="51" t="inlineStr">
        <is>
          <t>Échéance le 20/10/2026 (dans 94 j)</t>
        </is>
      </c>
      <c r="J849" s="51" t="inlineStr">
        <is>
          <t>RNCP40217</t>
        </is>
      </c>
      <c r="K849" s="51" t="inlineStr">
        <is>
          <t>Conducteur de travaux du bâtiment et du génie civil</t>
        </is>
      </c>
      <c r="L849" s="51" t="inlineStr">
        <is>
          <t>20/10/2026</t>
        </is>
      </c>
      <c r="M849" s="51" t="inlineStr">
        <is>
          <t>22293 (Conduite travaux BTP) ; 22054 (Travaux publics) ; 22354 (Bâtiment gros oeuvre)</t>
        </is>
      </c>
      <c r="N849" s="62" t="inlineStr">
        <is>
          <t>NON</t>
        </is>
      </c>
      <c r="O849" s="51" t="inlineStr"/>
    </row>
    <row r="850" customFormat="1" s="3">
      <c r="A850" s="63" t="n"/>
      <c r="B850" s="64" t="inlineStr">
        <is>
          <t>22097</t>
        </is>
      </c>
      <c r="C850" s="64">
        <f>LEFT(Tableau1[[#This Row],[Formacode]],3)</f>
        <v/>
      </c>
      <c r="D850" s="65" t="n">
        <v>35297</v>
      </c>
      <c r="E850" s="66">
        <f>"RNCP"&amp;D850</f>
        <v/>
      </c>
      <c r="F850" s="66" t="inlineStr">
        <is>
          <t>TP - Opérateur en dépollution pyrotechnique</t>
        </is>
      </c>
      <c r="G850" s="67">
        <f>E850&amp;" - "&amp;F850</f>
        <v/>
      </c>
      <c r="H850" s="38" t="inlineStr">
        <is>
          <t>Expiré / remplacé</t>
        </is>
      </c>
      <c r="I850" s="63" t="inlineStr">
        <is>
          <t>Fiche inactive — remplacée par RNCP41872 (Opérateur en dépollution pyrotechnique)</t>
        </is>
      </c>
      <c r="J850" s="63" t="inlineStr">
        <is>
          <t>RNCP41872</t>
        </is>
      </c>
      <c r="K850" s="63" t="inlineStr">
        <is>
          <t>Opérateur en dépollution pyrotechnique</t>
        </is>
      </c>
      <c r="L850" s="63" t="inlineStr">
        <is>
          <t>28/04/2026</t>
        </is>
      </c>
      <c r="M850" s="63" t="inlineStr">
        <is>
          <t>42804 (Déminage) ; 22294 (Conduite chantier BTP) ; 22097 (Explosif) ; 12580 (Pollution sol)</t>
        </is>
      </c>
      <c r="N850" s="68" t="inlineStr">
        <is>
          <t>NON</t>
        </is>
      </c>
      <c r="O850" s="63" t="inlineStr"/>
    </row>
    <row r="851" customFormat="1" s="3">
      <c r="A851" s="63" t="n"/>
      <c r="B851" s="64" t="inlineStr">
        <is>
          <t>22097</t>
        </is>
      </c>
      <c r="C851" s="64">
        <f>LEFT(Tableau1[[#This Row],[Formacode]],3)</f>
        <v/>
      </c>
      <c r="D851" s="65" t="n">
        <v>35298</v>
      </c>
      <c r="E851" s="66">
        <f>"RNCP"&amp;D851</f>
        <v/>
      </c>
      <c r="F851" s="66" t="inlineStr">
        <is>
          <t>TP - Responsable de chantier de dépollution pyrotechnique</t>
        </is>
      </c>
      <c r="G851" s="67">
        <f>E851&amp;" - "&amp;F851</f>
        <v/>
      </c>
      <c r="H851" s="38" t="inlineStr">
        <is>
          <t>Expiré / remplacé</t>
        </is>
      </c>
      <c r="I851" s="63" t="inlineStr">
        <is>
          <t>Fiche inactive — remplacée par RNCP41873 (Responsable de chantier de dépollution pyrotechnique)</t>
        </is>
      </c>
      <c r="J851" s="63" t="inlineStr">
        <is>
          <t>RNCP41873</t>
        </is>
      </c>
      <c r="K851" s="63" t="inlineStr">
        <is>
          <t>Responsable de chantier de dépollution pyrotechnique</t>
        </is>
      </c>
      <c r="L851" s="63" t="inlineStr">
        <is>
          <t>08/06/2026</t>
        </is>
      </c>
      <c r="M851" s="63" t="inlineStr">
        <is>
          <t>42804 (Déminage) ; 22097 (Explosif) ; 22294 (Conduite chantier BTP)</t>
        </is>
      </c>
      <c r="N851" s="68" t="inlineStr">
        <is>
          <t>NON</t>
        </is>
      </c>
      <c r="O851" s="63" t="inlineStr"/>
    </row>
    <row r="852" customFormat="1" s="3">
      <c r="A852" s="45" t="n"/>
      <c r="B852" s="46" t="inlineStr">
        <is>
          <t>22097</t>
        </is>
      </c>
      <c r="C852" s="46">
        <f>LEFT(Tableau1[[#This Row],[Formacode]],3)</f>
        <v/>
      </c>
      <c r="D852" s="47" t="n">
        <v>37199</v>
      </c>
      <c r="E852" s="48">
        <f>"RNCP"&amp;D852</f>
        <v/>
      </c>
      <c r="F852" s="48" t="inlineStr">
        <is>
          <t>BTS - Travaux publics</t>
        </is>
      </c>
      <c r="G852" s="49">
        <f>E852&amp;" - "&amp;F852</f>
        <v/>
      </c>
      <c r="H852" s="36" t="inlineStr">
        <is>
          <t>RAS</t>
        </is>
      </c>
      <c r="I852" s="45" t="inlineStr"/>
      <c r="J852" s="45" t="inlineStr">
        <is>
          <t>RNCP37199</t>
        </is>
      </c>
      <c r="K852" s="45" t="inlineStr">
        <is>
          <t>Travaux publics</t>
        </is>
      </c>
      <c r="L852" s="45" t="inlineStr">
        <is>
          <t>31/08/2028</t>
        </is>
      </c>
      <c r="M852" s="45" t="inlineStr">
        <is>
          <t>22294 (Conduite chantier BTP) ; 22054 (Travaux publics)</t>
        </is>
      </c>
      <c r="N852" s="50" t="inlineStr">
        <is>
          <t>NON</t>
        </is>
      </c>
      <c r="O852" s="45" t="inlineStr"/>
    </row>
    <row r="853" customFormat="1" s="3">
      <c r="A853" s="45" t="n"/>
      <c r="B853" s="46" t="inlineStr">
        <is>
          <t>22097</t>
        </is>
      </c>
      <c r="C853" s="46">
        <f>LEFT(Tableau1[[#This Row],[Formacode]],3)</f>
        <v/>
      </c>
      <c r="D853" s="47" t="n">
        <v>37385</v>
      </c>
      <c r="E853" s="48">
        <f>"RNCP"&amp;D853</f>
        <v/>
      </c>
      <c r="F853" s="48" t="inlineStr">
        <is>
          <t>BAC PRO - Travaux publics</t>
        </is>
      </c>
      <c r="G853" s="49">
        <f>E853&amp;" - "&amp;F853</f>
        <v/>
      </c>
      <c r="H853" s="36" t="inlineStr">
        <is>
          <t>RAS</t>
        </is>
      </c>
      <c r="I853" s="45" t="inlineStr"/>
      <c r="J853" s="45" t="inlineStr">
        <is>
          <t>RNCP37385</t>
        </is>
      </c>
      <c r="K853" s="45" t="inlineStr">
        <is>
          <t>Travaux publics</t>
        </is>
      </c>
      <c r="L853" s="45" t="inlineStr">
        <is>
          <t>01/09/2028</t>
        </is>
      </c>
      <c r="M853" s="45" t="inlineStr">
        <is>
          <t>22054 (Travaux publics) ; 22294 (Conduite chantier BTP)</t>
        </is>
      </c>
      <c r="N853" s="50" t="inlineStr">
        <is>
          <t>NON</t>
        </is>
      </c>
      <c r="O853" s="45" t="inlineStr"/>
    </row>
    <row r="854" customFormat="1" s="3">
      <c r="A854" s="51" t="n"/>
      <c r="B854" s="52" t="inlineStr">
        <is>
          <t>22097</t>
        </is>
      </c>
      <c r="C854" s="52">
        <f>LEFT(Tableau1[[#This Row],[Formacode]],3)</f>
        <v/>
      </c>
      <c r="D854" s="53" t="n">
        <v>38715</v>
      </c>
      <c r="E854" s="54">
        <f>"RNCP"&amp;D854</f>
        <v/>
      </c>
      <c r="F854" s="54" t="inlineStr">
        <is>
          <t>BP - Conducteur d'engins : travaux publics et carrières</t>
        </is>
      </c>
      <c r="G854" s="55">
        <f>E854&amp;" - "&amp;F854</f>
        <v/>
      </c>
      <c r="H854" s="37" t="inlineStr">
        <is>
          <t>À vérifier</t>
        </is>
      </c>
      <c r="I854" s="51" t="inlineStr">
        <is>
          <t>Échéance le 31/12/2026 (dans 166 j)</t>
        </is>
      </c>
      <c r="J854" s="51" t="inlineStr">
        <is>
          <t>RNCP38715</t>
        </is>
      </c>
      <c r="K854" s="51" t="inlineStr">
        <is>
          <t>Conducteur d'engins : travaux publics et carrières</t>
        </is>
      </c>
      <c r="L854" s="51" t="inlineStr">
        <is>
          <t>31/12/2026</t>
        </is>
      </c>
      <c r="M854" s="51" t="inlineStr">
        <is>
          <t>22054 (Travaux publics) ; 31717 (Engin chantier)</t>
        </is>
      </c>
      <c r="N854" s="62" t="inlineStr">
        <is>
          <t>NON</t>
        </is>
      </c>
      <c r="O854" s="51" t="inlineStr"/>
    </row>
    <row r="855" customFormat="1" s="3">
      <c r="A855" s="45" t="n"/>
      <c r="B855" s="46" t="inlineStr">
        <is>
          <t>22097</t>
        </is>
      </c>
      <c r="C855" s="46">
        <f>LEFT(Tableau1[[#This Row],[Formacode]],3)</f>
        <v/>
      </c>
      <c r="D855" s="47" t="n">
        <v>39954</v>
      </c>
      <c r="E855" s="48">
        <f>"RNCP"&amp;D855</f>
        <v/>
      </c>
      <c r="F855" s="48" t="inlineStr">
        <is>
          <t>CQP Opérateur de production en milieu pyrotechnique</t>
        </is>
      </c>
      <c r="G855" s="49">
        <f>E855&amp;" - "&amp;F855</f>
        <v/>
      </c>
      <c r="H855" s="36" t="inlineStr">
        <is>
          <t>RAS</t>
        </is>
      </c>
      <c r="I855" s="45" t="inlineStr"/>
      <c r="J855" s="45" t="inlineStr">
        <is>
          <t>RNCP39954</t>
        </is>
      </c>
      <c r="K855" s="45" t="inlineStr">
        <is>
          <t>CQP Opérateur de production en milieu pyrotechnique</t>
        </is>
      </c>
      <c r="L855" s="45" t="inlineStr">
        <is>
          <t>18/12/2029</t>
        </is>
      </c>
      <c r="M855" s="45" t="inlineStr">
        <is>
          <t>22097 (Explosif)</t>
        </is>
      </c>
      <c r="N855" s="50" t="inlineStr">
        <is>
          <t>NON</t>
        </is>
      </c>
      <c r="O855" s="45" t="inlineStr"/>
    </row>
    <row r="856" customFormat="1" s="3">
      <c r="A856" s="51" t="n"/>
      <c r="B856" s="52" t="inlineStr">
        <is>
          <t>22097</t>
        </is>
      </c>
      <c r="C856" s="52">
        <f>LEFT(Tableau1[[#This Row],[Formacode]],3)</f>
        <v/>
      </c>
      <c r="D856" s="53" t="n">
        <v>40217</v>
      </c>
      <c r="E856" s="54">
        <f>"RNCP"&amp;D856</f>
        <v/>
      </c>
      <c r="F856" s="54" t="inlineStr">
        <is>
          <t>TP - Conducteur de travaux du bâtiment et du génie civil</t>
        </is>
      </c>
      <c r="G856" s="55">
        <f>E856&amp;" - "&amp;F856</f>
        <v/>
      </c>
      <c r="H856" s="37" t="inlineStr">
        <is>
          <t>À vérifier</t>
        </is>
      </c>
      <c r="I856" s="51" t="inlineStr">
        <is>
          <t>Échéance le 20/10/2026 (dans 94 j)</t>
        </is>
      </c>
      <c r="J856" s="51" t="inlineStr">
        <is>
          <t>RNCP40217</t>
        </is>
      </c>
      <c r="K856" s="51" t="inlineStr">
        <is>
          <t>Conducteur de travaux du bâtiment et du génie civil</t>
        </is>
      </c>
      <c r="L856" s="51" t="inlineStr">
        <is>
          <t>20/10/2026</t>
        </is>
      </c>
      <c r="M856" s="51" t="inlineStr">
        <is>
          <t>22293 (Conduite travaux BTP) ; 22054 (Travaux publics) ; 22354 (Bâtiment gros oeuvre)</t>
        </is>
      </c>
      <c r="N856" s="62" t="inlineStr">
        <is>
          <t>NON</t>
        </is>
      </c>
      <c r="O856" s="51" t="inlineStr"/>
    </row>
    <row r="857" customFormat="1" s="3">
      <c r="A857" s="63" t="n"/>
      <c r="B857" s="64" t="inlineStr">
        <is>
          <t>22214</t>
        </is>
      </c>
      <c r="C857" s="64">
        <f>LEFT(Tableau1[[#This Row],[Formacode]],3)</f>
        <v/>
      </c>
      <c r="D857" s="65" t="n">
        <v>35503</v>
      </c>
      <c r="E857" s="66">
        <f>"RNCP"&amp;D857</f>
        <v/>
      </c>
      <c r="F857" s="66" t="inlineStr">
        <is>
          <t>TP - Chargé d'affaires du bâtiment</t>
        </is>
      </c>
      <c r="G857" s="67">
        <f>E857&amp;" - "&amp;F857</f>
        <v/>
      </c>
      <c r="H857" s="38" t="inlineStr">
        <is>
          <t>Expiré / remplacé</t>
        </is>
      </c>
      <c r="I857" s="63" t="inlineStr">
        <is>
          <t>Fiche inactive — remplacée par RNCP42032 (Chargé d’affaires du bâtiment)</t>
        </is>
      </c>
      <c r="J857" s="63" t="inlineStr">
        <is>
          <t>RNCP42032</t>
        </is>
      </c>
      <c r="K857" s="63" t="inlineStr">
        <is>
          <t>Chargé d’affaires du bâtiment</t>
        </is>
      </c>
      <c r="L857" s="63" t="inlineStr">
        <is>
          <t>13/04/2026</t>
        </is>
      </c>
      <c r="M857" s="63" t="inlineStr">
        <is>
          <t>22257 (Commercialisation BTP) ; 22293 (Conduite travaux BTP) ; 22279 (Maîtrise d'oeuvre BTP)</t>
        </is>
      </c>
      <c r="N857" s="68" t="inlineStr">
        <is>
          <t>NON</t>
        </is>
      </c>
      <c r="O857" s="63" t="inlineStr"/>
    </row>
    <row r="858" customFormat="1" s="3">
      <c r="A858" s="45" t="n"/>
      <c r="B858" s="46" t="inlineStr">
        <is>
          <t>22214</t>
        </is>
      </c>
      <c r="C858" s="46">
        <f>LEFT(Tableau1[[#This Row],[Formacode]],3)</f>
        <v/>
      </c>
      <c r="D858" s="47" t="n">
        <v>37445</v>
      </c>
      <c r="E858" s="48">
        <f>"RNCP"&amp;D858</f>
        <v/>
      </c>
      <c r="F858" s="48" t="inlineStr">
        <is>
          <t>TP - Technicien d'intervention de réseaux de télécommunications en fibre optique</t>
        </is>
      </c>
      <c r="G858" s="49">
        <f>E858&amp;" - "&amp;F858</f>
        <v/>
      </c>
      <c r="H858" s="36" t="inlineStr">
        <is>
          <t>RAS</t>
        </is>
      </c>
      <c r="I858" s="45" t="inlineStr"/>
      <c r="J858" s="45" t="inlineStr">
        <is>
          <t>RNCP37445</t>
        </is>
      </c>
      <c r="K858" s="45" t="inlineStr">
        <is>
          <t>Technicien d'intervention de réseaux de télécommunications en fibre optique</t>
        </is>
      </c>
      <c r="L858" s="45" t="inlineStr">
        <is>
          <t>29/07/2028</t>
        </is>
      </c>
      <c r="M858" s="45" t="inlineStr">
        <is>
          <t>24229 (Transmission fibre optique) ; 22254 (BTP conception organisation)</t>
        </is>
      </c>
      <c r="N858" s="50" t="inlineStr">
        <is>
          <t>NON</t>
        </is>
      </c>
      <c r="O858" s="45" t="inlineStr"/>
    </row>
    <row r="859" customFormat="1" s="3">
      <c r="A859" s="45" t="n"/>
      <c r="B859" s="46" t="inlineStr">
        <is>
          <t>22214</t>
        </is>
      </c>
      <c r="C859" s="46">
        <f>LEFT(Tableau1[[#This Row],[Formacode]],3)</f>
        <v/>
      </c>
      <c r="D859" s="47" t="n">
        <v>38724</v>
      </c>
      <c r="E859" s="48">
        <f>"RNCP"&amp;D859</f>
        <v/>
      </c>
      <c r="F859" s="48" t="inlineStr">
        <is>
          <t>BP - Métiers de la pierre</t>
        </is>
      </c>
      <c r="G859" s="49">
        <f>E859&amp;" - "&amp;F859</f>
        <v/>
      </c>
      <c r="H859" s="36" t="inlineStr">
        <is>
          <t>RAS</t>
        </is>
      </c>
      <c r="I859" s="45" t="inlineStr"/>
      <c r="J859" s="45" t="inlineStr">
        <is>
          <t>RNCP38724</t>
        </is>
      </c>
      <c r="K859" s="45" t="inlineStr">
        <is>
          <t>Métiers de la pierre</t>
        </is>
      </c>
      <c r="L859" s="45" t="inlineStr">
        <is>
          <t>31/12/2028</t>
        </is>
      </c>
      <c r="M859" s="45" t="inlineStr">
        <is>
          <t>22254 (BTP conception organisation) ; 45502 (Taille pierre)</t>
        </is>
      </c>
      <c r="N859" s="50" t="inlineStr">
        <is>
          <t>NON</t>
        </is>
      </c>
      <c r="O859" s="45" t="inlineStr"/>
    </row>
    <row r="860" customFormat="1" s="3">
      <c r="A860" s="45" t="n"/>
      <c r="B860" s="46" t="inlineStr">
        <is>
          <t>22214</t>
        </is>
      </c>
      <c r="C860" s="46">
        <f>LEFT(Tableau1[[#This Row],[Formacode]],3)</f>
        <v/>
      </c>
      <c r="D860" s="47" t="n">
        <v>39085</v>
      </c>
      <c r="E860" s="48">
        <f>"RNCP"&amp;D860</f>
        <v/>
      </c>
      <c r="F860" s="48" t="inlineStr">
        <is>
          <t>BTS - Géologie appliquée</t>
        </is>
      </c>
      <c r="G860" s="49">
        <f>E860&amp;" - "&amp;F860</f>
        <v/>
      </c>
      <c r="H860" s="36" t="inlineStr">
        <is>
          <t>RAS</t>
        </is>
      </c>
      <c r="I860" s="45" t="inlineStr"/>
      <c r="J860" s="45" t="inlineStr">
        <is>
          <t>RNCP39085</t>
        </is>
      </c>
      <c r="K860" s="45" t="inlineStr">
        <is>
          <t>Géologie appliquée</t>
        </is>
      </c>
      <c r="L860" s="45" t="inlineStr">
        <is>
          <t>31/08/2029</t>
        </is>
      </c>
      <c r="M860" s="45" t="inlineStr">
        <is>
          <t>12275 (Géologie) ; 22254 (BTP conception organisation) ; 12225 (Topographie)</t>
        </is>
      </c>
      <c r="N860" s="50" t="inlineStr">
        <is>
          <t>NON</t>
        </is>
      </c>
      <c r="O860" s="45" t="inlineStr"/>
    </row>
    <row r="861" customFormat="1" s="3">
      <c r="A861" s="45" t="n"/>
      <c r="B861" s="46" t="inlineStr">
        <is>
          <t>22214</t>
        </is>
      </c>
      <c r="C861" s="46">
        <f>LEFT(Tableau1[[#This Row],[Formacode]],3)</f>
        <v/>
      </c>
      <c r="D861" s="47" t="n">
        <v>39514</v>
      </c>
      <c r="E861" s="48">
        <f>"RNCP"&amp;D861</f>
        <v/>
      </c>
      <c r="F861" s="48" t="inlineStr">
        <is>
          <t>BAC PRO - Ouvrages du bâtiment : métallerie</t>
        </is>
      </c>
      <c r="G861" s="49">
        <f>E861&amp;" - "&amp;F861</f>
        <v/>
      </c>
      <c r="H861" s="36" t="inlineStr">
        <is>
          <t>RAS</t>
        </is>
      </c>
      <c r="I861" s="45" t="inlineStr"/>
      <c r="J861" s="45" t="inlineStr">
        <is>
          <t>RNCP39514</t>
        </is>
      </c>
      <c r="K861" s="45" t="inlineStr">
        <is>
          <t>Ouvrages du bâtiment : métallerie</t>
        </is>
      </c>
      <c r="L861" s="45" t="inlineStr">
        <is>
          <t>31/08/2027</t>
        </is>
      </c>
      <c r="M861" s="45" t="inlineStr">
        <is>
          <t>22254 (BTP conception organisation) ; 22478 (Métallerie serrurerie)</t>
        </is>
      </c>
      <c r="N861" s="50" t="inlineStr">
        <is>
          <t>NON</t>
        </is>
      </c>
      <c r="O861" s="45" t="inlineStr"/>
    </row>
    <row r="862" customFormat="1" s="3">
      <c r="A862" s="45" t="n"/>
      <c r="B862" s="46" t="inlineStr">
        <is>
          <t>22214</t>
        </is>
      </c>
      <c r="C862" s="46">
        <f>LEFT(Tableau1[[#This Row],[Formacode]],3)</f>
        <v/>
      </c>
      <c r="D862" s="47" t="n">
        <v>40259</v>
      </c>
      <c r="E862" s="48">
        <f>"RNCP"&amp;D862</f>
        <v/>
      </c>
      <c r="F862" s="48" t="inlineStr">
        <is>
          <t>Couvreur-zingueur (BM)</t>
        </is>
      </c>
      <c r="G862" s="49">
        <f>E862&amp;" - "&amp;F862</f>
        <v/>
      </c>
      <c r="H862" s="36" t="inlineStr">
        <is>
          <t>RAS</t>
        </is>
      </c>
      <c r="I862" s="45" t="inlineStr"/>
      <c r="J862" s="45" t="inlineStr">
        <is>
          <t>RNCP40259</t>
        </is>
      </c>
      <c r="K862" s="45" t="inlineStr">
        <is>
          <t>Couvreur-zingueur (BM)</t>
        </is>
      </c>
      <c r="L862" s="45" t="inlineStr">
        <is>
          <t>28/02/2028</t>
        </is>
      </c>
      <c r="M862" s="45" t="inlineStr">
        <is>
          <t>22437 (Couverture) ; 32097 (Gestion entreprise artisanale) ; 22254 (BTP conception organisation)</t>
        </is>
      </c>
      <c r="N862" s="50" t="inlineStr">
        <is>
          <t>NON</t>
        </is>
      </c>
      <c r="O862" s="45" t="inlineStr"/>
    </row>
    <row r="863" customFormat="1" s="3">
      <c r="A863" s="63" t="n"/>
      <c r="B863" s="64" t="inlineStr">
        <is>
          <t>22217</t>
        </is>
      </c>
      <c r="C863" s="64">
        <f>LEFT(Tableau1[[#This Row],[Formacode]],3)</f>
        <v/>
      </c>
      <c r="D863" s="65" t="n">
        <v>35503</v>
      </c>
      <c r="E863" s="66">
        <f>"RNCP"&amp;D863</f>
        <v/>
      </c>
      <c r="F863" s="66" t="inlineStr">
        <is>
          <t>TP - Chargé d'affaires du bâtiment</t>
        </is>
      </c>
      <c r="G863" s="67">
        <f>E863&amp;" - "&amp;F863</f>
        <v/>
      </c>
      <c r="H863" s="38" t="inlineStr">
        <is>
          <t>Expiré / remplacé</t>
        </is>
      </c>
      <c r="I863" s="63" t="inlineStr">
        <is>
          <t>Fiche inactive — remplacée par RNCP42032 (Chargé d’affaires du bâtiment)</t>
        </is>
      </c>
      <c r="J863" s="63" t="inlineStr">
        <is>
          <t>RNCP42032</t>
        </is>
      </c>
      <c r="K863" s="63" t="inlineStr">
        <is>
          <t>Chargé d’affaires du bâtiment</t>
        </is>
      </c>
      <c r="L863" s="63" t="inlineStr">
        <is>
          <t>13/04/2026</t>
        </is>
      </c>
      <c r="M863" s="63" t="inlineStr">
        <is>
          <t>22257 (Commercialisation BTP) ; 22293 (Conduite travaux BTP) ; 22279 (Maîtrise d'oeuvre BTP)</t>
        </is>
      </c>
      <c r="N863" s="68" t="inlineStr">
        <is>
          <t>NON</t>
        </is>
      </c>
      <c r="O863" s="63" t="inlineStr"/>
    </row>
    <row r="864" customFormat="1" s="3">
      <c r="A864" s="45" t="n"/>
      <c r="B864" s="46" t="inlineStr">
        <is>
          <t>22217</t>
        </is>
      </c>
      <c r="C864" s="46">
        <f>LEFT(Tableau1[[#This Row],[Formacode]],3)</f>
        <v/>
      </c>
      <c r="D864" s="47" t="n">
        <v>37445</v>
      </c>
      <c r="E864" s="48">
        <f>"RNCP"&amp;D864</f>
        <v/>
      </c>
      <c r="F864" s="48" t="inlineStr">
        <is>
          <t>TP - Technicien d'intervention de réseaux de télécommunications en fibre optique</t>
        </is>
      </c>
      <c r="G864" s="49">
        <f>E864&amp;" - "&amp;F864</f>
        <v/>
      </c>
      <c r="H864" s="36" t="inlineStr">
        <is>
          <t>RAS</t>
        </is>
      </c>
      <c r="I864" s="45" t="inlineStr"/>
      <c r="J864" s="45" t="inlineStr">
        <is>
          <t>RNCP37445</t>
        </is>
      </c>
      <c r="K864" s="45" t="inlineStr">
        <is>
          <t>Technicien d'intervention de réseaux de télécommunications en fibre optique</t>
        </is>
      </c>
      <c r="L864" s="45" t="inlineStr">
        <is>
          <t>29/07/2028</t>
        </is>
      </c>
      <c r="M864" s="45" t="inlineStr">
        <is>
          <t>24229 (Transmission fibre optique) ; 22254 (BTP conception organisation)</t>
        </is>
      </c>
      <c r="N864" s="50" t="inlineStr">
        <is>
          <t>NON</t>
        </is>
      </c>
      <c r="O864" s="45" t="inlineStr"/>
    </row>
    <row r="865" customFormat="1" s="3">
      <c r="A865" s="45" t="n"/>
      <c r="B865" s="46" t="inlineStr">
        <is>
          <t>22217</t>
        </is>
      </c>
      <c r="C865" s="46">
        <f>LEFT(Tableau1[[#This Row],[Formacode]],3)</f>
        <v/>
      </c>
      <c r="D865" s="47" t="n">
        <v>38724</v>
      </c>
      <c r="E865" s="48">
        <f>"RNCP"&amp;D865</f>
        <v/>
      </c>
      <c r="F865" s="48" t="inlineStr">
        <is>
          <t>BP - Métiers de la pierre</t>
        </is>
      </c>
      <c r="G865" s="49">
        <f>E865&amp;" - "&amp;F865</f>
        <v/>
      </c>
      <c r="H865" s="36" t="inlineStr">
        <is>
          <t>RAS</t>
        </is>
      </c>
      <c r="I865" s="45" t="inlineStr"/>
      <c r="J865" s="45" t="inlineStr">
        <is>
          <t>RNCP38724</t>
        </is>
      </c>
      <c r="K865" s="45" t="inlineStr">
        <is>
          <t>Métiers de la pierre</t>
        </is>
      </c>
      <c r="L865" s="45" t="inlineStr">
        <is>
          <t>31/12/2028</t>
        </is>
      </c>
      <c r="M865" s="45" t="inlineStr">
        <is>
          <t>22254 (BTP conception organisation) ; 45502 (Taille pierre)</t>
        </is>
      </c>
      <c r="N865" s="50" t="inlineStr">
        <is>
          <t>NON</t>
        </is>
      </c>
      <c r="O865" s="45" t="inlineStr"/>
    </row>
    <row r="866" customFormat="1" s="3">
      <c r="A866" s="45" t="n"/>
      <c r="B866" s="46" t="inlineStr">
        <is>
          <t>22217</t>
        </is>
      </c>
      <c r="C866" s="46">
        <f>LEFT(Tableau1[[#This Row],[Formacode]],3)</f>
        <v/>
      </c>
      <c r="D866" s="47" t="n">
        <v>39085</v>
      </c>
      <c r="E866" s="48">
        <f>"RNCP"&amp;D866</f>
        <v/>
      </c>
      <c r="F866" s="48" t="inlineStr">
        <is>
          <t>BTS - Géologie appliquée</t>
        </is>
      </c>
      <c r="G866" s="49">
        <f>E866&amp;" - "&amp;F866</f>
        <v/>
      </c>
      <c r="H866" s="36" t="inlineStr">
        <is>
          <t>RAS</t>
        </is>
      </c>
      <c r="I866" s="45" t="inlineStr"/>
      <c r="J866" s="45" t="inlineStr">
        <is>
          <t>RNCP39085</t>
        </is>
      </c>
      <c r="K866" s="45" t="inlineStr">
        <is>
          <t>Géologie appliquée</t>
        </is>
      </c>
      <c r="L866" s="45" t="inlineStr">
        <is>
          <t>31/08/2029</t>
        </is>
      </c>
      <c r="M866" s="45" t="inlineStr">
        <is>
          <t>12275 (Géologie) ; 22254 (BTP conception organisation) ; 12225 (Topographie)</t>
        </is>
      </c>
      <c r="N866" s="50" t="inlineStr">
        <is>
          <t>NON</t>
        </is>
      </c>
      <c r="O866" s="45" t="inlineStr"/>
    </row>
    <row r="867" customFormat="1" s="3">
      <c r="A867" s="45" t="n"/>
      <c r="B867" s="46" t="inlineStr">
        <is>
          <t>22217</t>
        </is>
      </c>
      <c r="C867" s="46">
        <f>LEFT(Tableau1[[#This Row],[Formacode]],3)</f>
        <v/>
      </c>
      <c r="D867" s="47" t="n">
        <v>39514</v>
      </c>
      <c r="E867" s="48">
        <f>"RNCP"&amp;D867</f>
        <v/>
      </c>
      <c r="F867" s="48" t="inlineStr">
        <is>
          <t>BAC PRO - Ouvrages du bâtiment : métallerie</t>
        </is>
      </c>
      <c r="G867" s="49">
        <f>E867&amp;" - "&amp;F867</f>
        <v/>
      </c>
      <c r="H867" s="36" t="inlineStr">
        <is>
          <t>RAS</t>
        </is>
      </c>
      <c r="I867" s="45" t="inlineStr"/>
      <c r="J867" s="45" t="inlineStr">
        <is>
          <t>RNCP39514</t>
        </is>
      </c>
      <c r="K867" s="45" t="inlineStr">
        <is>
          <t>Ouvrages du bâtiment : métallerie</t>
        </is>
      </c>
      <c r="L867" s="45" t="inlineStr">
        <is>
          <t>31/08/2027</t>
        </is>
      </c>
      <c r="M867" s="45" t="inlineStr">
        <is>
          <t>22254 (BTP conception organisation) ; 22478 (Métallerie serrurerie)</t>
        </is>
      </c>
      <c r="N867" s="50" t="inlineStr">
        <is>
          <t>NON</t>
        </is>
      </c>
      <c r="O867" s="45" t="inlineStr"/>
    </row>
    <row r="868" customFormat="1" s="3">
      <c r="A868" s="45" t="n"/>
      <c r="B868" s="46" t="inlineStr">
        <is>
          <t>22217</t>
        </is>
      </c>
      <c r="C868" s="46">
        <f>LEFT(Tableau1[[#This Row],[Formacode]],3)</f>
        <v/>
      </c>
      <c r="D868" s="47" t="n">
        <v>40259</v>
      </c>
      <c r="E868" s="48">
        <f>"RNCP"&amp;D868</f>
        <v/>
      </c>
      <c r="F868" s="48" t="inlineStr">
        <is>
          <t>Couvreur-zingueur (BM)</t>
        </is>
      </c>
      <c r="G868" s="49">
        <f>E868&amp;" - "&amp;F868</f>
        <v/>
      </c>
      <c r="H868" s="36" t="inlineStr">
        <is>
          <t>RAS</t>
        </is>
      </c>
      <c r="I868" s="45" t="inlineStr"/>
      <c r="J868" s="45" t="inlineStr">
        <is>
          <t>RNCP40259</t>
        </is>
      </c>
      <c r="K868" s="45" t="inlineStr">
        <is>
          <t>Couvreur-zingueur (BM)</t>
        </is>
      </c>
      <c r="L868" s="45" t="inlineStr">
        <is>
          <t>28/02/2028</t>
        </is>
      </c>
      <c r="M868" s="45" t="inlineStr">
        <is>
          <t>22437 (Couverture) ; 32097 (Gestion entreprise artisanale) ; 22254 (BTP conception organisation)</t>
        </is>
      </c>
      <c r="N868" s="50" t="inlineStr">
        <is>
          <t>NON</t>
        </is>
      </c>
      <c r="O868" s="45" t="inlineStr"/>
    </row>
    <row r="869" customFormat="1" s="3">
      <c r="A869" s="63" t="n"/>
      <c r="B869" s="64" t="inlineStr">
        <is>
          <t>22223</t>
        </is>
      </c>
      <c r="C869" s="64">
        <f>LEFT(Tableau1[[#This Row],[Formacode]],3)</f>
        <v/>
      </c>
      <c r="D869" s="65" t="n">
        <v>35503</v>
      </c>
      <c r="E869" s="66">
        <f>"RNCP"&amp;D869</f>
        <v/>
      </c>
      <c r="F869" s="66" t="inlineStr">
        <is>
          <t>TP - Chargé d'affaires du bâtiment</t>
        </is>
      </c>
      <c r="G869" s="67">
        <f>E869&amp;" - "&amp;F869</f>
        <v/>
      </c>
      <c r="H869" s="38" t="inlineStr">
        <is>
          <t>Expiré / remplacé</t>
        </is>
      </c>
      <c r="I869" s="63" t="inlineStr">
        <is>
          <t>Fiche inactive — remplacée par RNCP42032 (Chargé d’affaires du bâtiment)</t>
        </is>
      </c>
      <c r="J869" s="63" t="inlineStr">
        <is>
          <t>RNCP42032</t>
        </is>
      </c>
      <c r="K869" s="63" t="inlineStr">
        <is>
          <t>Chargé d’affaires du bâtiment</t>
        </is>
      </c>
      <c r="L869" s="63" t="inlineStr">
        <is>
          <t>13/04/2026</t>
        </is>
      </c>
      <c r="M869" s="63" t="inlineStr">
        <is>
          <t>22257 (Commercialisation BTP) ; 22293 (Conduite travaux BTP) ; 22279 (Maîtrise d'oeuvre BTP)</t>
        </is>
      </c>
      <c r="N869" s="68" t="inlineStr">
        <is>
          <t>NON</t>
        </is>
      </c>
      <c r="O869" s="63" t="inlineStr"/>
    </row>
    <row r="870" customFormat="1" s="3">
      <c r="A870" s="45" t="n"/>
      <c r="B870" s="46" t="inlineStr">
        <is>
          <t>22223</t>
        </is>
      </c>
      <c r="C870" s="46">
        <f>LEFT(Tableau1[[#This Row],[Formacode]],3)</f>
        <v/>
      </c>
      <c r="D870" s="47" t="n">
        <v>37445</v>
      </c>
      <c r="E870" s="48">
        <f>"RNCP"&amp;D870</f>
        <v/>
      </c>
      <c r="F870" s="48" t="inlineStr">
        <is>
          <t>TP - Technicien d'intervention de réseaux de télécommunications en fibre optique</t>
        </is>
      </c>
      <c r="G870" s="49">
        <f>E870&amp;" - "&amp;F870</f>
        <v/>
      </c>
      <c r="H870" s="36" t="inlineStr">
        <is>
          <t>RAS</t>
        </is>
      </c>
      <c r="I870" s="45" t="inlineStr"/>
      <c r="J870" s="45" t="inlineStr">
        <is>
          <t>RNCP37445</t>
        </is>
      </c>
      <c r="K870" s="45" t="inlineStr">
        <is>
          <t>Technicien d'intervention de réseaux de télécommunications en fibre optique</t>
        </is>
      </c>
      <c r="L870" s="45" t="inlineStr">
        <is>
          <t>29/07/2028</t>
        </is>
      </c>
      <c r="M870" s="45" t="inlineStr">
        <is>
          <t>24229 (Transmission fibre optique) ; 22254 (BTP conception organisation)</t>
        </is>
      </c>
      <c r="N870" s="50" t="inlineStr">
        <is>
          <t>NON</t>
        </is>
      </c>
      <c r="O870" s="45" t="inlineStr"/>
    </row>
    <row r="871" customFormat="1" s="3">
      <c r="A871" s="51" t="n"/>
      <c r="B871" s="52" t="inlineStr">
        <is>
          <t>22223</t>
        </is>
      </c>
      <c r="C871" s="52">
        <f>LEFT(Tableau1[[#This Row],[Formacode]],3)</f>
        <v/>
      </c>
      <c r="D871" s="53" t="n">
        <v>38022</v>
      </c>
      <c r="E871" s="54">
        <f>"RNCP"&amp;D871</f>
        <v/>
      </c>
      <c r="F871" s="54" t="inlineStr">
        <is>
          <t>Designer en architecture d'intérieur</t>
        </is>
      </c>
      <c r="G871" s="55">
        <f>E871&amp;" - "&amp;F871</f>
        <v/>
      </c>
      <c r="H871" s="37" t="inlineStr">
        <is>
          <t>À vérifier</t>
        </is>
      </c>
      <c r="I871" s="51" t="inlineStr">
        <is>
          <t>Échéance le 20/09/2026 (dans 64 j)</t>
        </is>
      </c>
      <c r="J871" s="51" t="inlineStr">
        <is>
          <t>RNCP38022</t>
        </is>
      </c>
      <c r="K871" s="51" t="inlineStr">
        <is>
          <t>Designer en architecture d'intérieur</t>
        </is>
      </c>
      <c r="L871" s="51" t="inlineStr">
        <is>
          <t>20/09/2026</t>
        </is>
      </c>
      <c r="M871" s="51" t="inlineStr">
        <is>
          <t>45015 (Architecture intérieure) ; 22212 (Architecture bioclimatique)</t>
        </is>
      </c>
      <c r="N871" s="62" t="inlineStr">
        <is>
          <t>NON</t>
        </is>
      </c>
      <c r="O871" s="51" t="inlineStr"/>
    </row>
    <row r="872" customFormat="1" s="3">
      <c r="A872" s="45" t="n"/>
      <c r="B872" s="46" t="inlineStr">
        <is>
          <t>22223</t>
        </is>
      </c>
      <c r="C872" s="46">
        <f>LEFT(Tableau1[[#This Row],[Formacode]],3)</f>
        <v/>
      </c>
      <c r="D872" s="47" t="n">
        <v>38724</v>
      </c>
      <c r="E872" s="48">
        <f>"RNCP"&amp;D872</f>
        <v/>
      </c>
      <c r="F872" s="48" t="inlineStr">
        <is>
          <t>BP - Métiers de la pierre</t>
        </is>
      </c>
      <c r="G872" s="49">
        <f>E872&amp;" - "&amp;F872</f>
        <v/>
      </c>
      <c r="H872" s="36" t="inlineStr">
        <is>
          <t>RAS</t>
        </is>
      </c>
      <c r="I872" s="45" t="inlineStr"/>
      <c r="J872" s="45" t="inlineStr">
        <is>
          <t>RNCP38724</t>
        </is>
      </c>
      <c r="K872" s="45" t="inlineStr">
        <is>
          <t>Métiers de la pierre</t>
        </is>
      </c>
      <c r="L872" s="45" t="inlineStr">
        <is>
          <t>31/12/2028</t>
        </is>
      </c>
      <c r="M872" s="45" t="inlineStr">
        <is>
          <t>22254 (BTP conception organisation) ; 45502 (Taille pierre)</t>
        </is>
      </c>
      <c r="N872" s="50" t="inlineStr">
        <is>
          <t>NON</t>
        </is>
      </c>
      <c r="O872" s="45" t="inlineStr"/>
    </row>
    <row r="873" customFormat="1" s="3">
      <c r="A873" s="45" t="n"/>
      <c r="B873" s="46" t="inlineStr">
        <is>
          <t>22223</t>
        </is>
      </c>
      <c r="C873" s="46">
        <f>LEFT(Tableau1[[#This Row],[Formacode]],3)</f>
        <v/>
      </c>
      <c r="D873" s="47" t="n">
        <v>39085</v>
      </c>
      <c r="E873" s="48">
        <f>"RNCP"&amp;D873</f>
        <v/>
      </c>
      <c r="F873" s="48" t="inlineStr">
        <is>
          <t>BTS - Géologie appliquée</t>
        </is>
      </c>
      <c r="G873" s="49">
        <f>E873&amp;" - "&amp;F873</f>
        <v/>
      </c>
      <c r="H873" s="36" t="inlineStr">
        <is>
          <t>RAS</t>
        </is>
      </c>
      <c r="I873" s="45" t="inlineStr"/>
      <c r="J873" s="45" t="inlineStr">
        <is>
          <t>RNCP39085</t>
        </is>
      </c>
      <c r="K873" s="45" t="inlineStr">
        <is>
          <t>Géologie appliquée</t>
        </is>
      </c>
      <c r="L873" s="45" t="inlineStr">
        <is>
          <t>31/08/2029</t>
        </is>
      </c>
      <c r="M873" s="45" t="inlineStr">
        <is>
          <t>12275 (Géologie) ; 22254 (BTP conception organisation) ; 12225 (Topographie)</t>
        </is>
      </c>
      <c r="N873" s="50" t="inlineStr">
        <is>
          <t>NON</t>
        </is>
      </c>
      <c r="O873" s="45" t="inlineStr"/>
    </row>
    <row r="874" customFormat="1" s="3">
      <c r="A874" s="45" t="n"/>
      <c r="B874" s="46" t="inlineStr">
        <is>
          <t>22223</t>
        </is>
      </c>
      <c r="C874" s="46">
        <f>LEFT(Tableau1[[#This Row],[Formacode]],3)</f>
        <v/>
      </c>
      <c r="D874" s="47" t="n">
        <v>39514</v>
      </c>
      <c r="E874" s="48">
        <f>"RNCP"&amp;D874</f>
        <v/>
      </c>
      <c r="F874" s="48" t="inlineStr">
        <is>
          <t>BAC PRO - Ouvrages du bâtiment : métallerie</t>
        </is>
      </c>
      <c r="G874" s="49">
        <f>E874&amp;" - "&amp;F874</f>
        <v/>
      </c>
      <c r="H874" s="36" t="inlineStr">
        <is>
          <t>RAS</t>
        </is>
      </c>
      <c r="I874" s="45" t="inlineStr"/>
      <c r="J874" s="45" t="inlineStr">
        <is>
          <t>RNCP39514</t>
        </is>
      </c>
      <c r="K874" s="45" t="inlineStr">
        <is>
          <t>Ouvrages du bâtiment : métallerie</t>
        </is>
      </c>
      <c r="L874" s="45" t="inlineStr">
        <is>
          <t>31/08/2027</t>
        </is>
      </c>
      <c r="M874" s="45" t="inlineStr">
        <is>
          <t>22254 (BTP conception organisation) ; 22478 (Métallerie serrurerie)</t>
        </is>
      </c>
      <c r="N874" s="50" t="inlineStr">
        <is>
          <t>NON</t>
        </is>
      </c>
      <c r="O874" s="45" t="inlineStr"/>
    </row>
    <row r="875" customFormat="1" s="3">
      <c r="A875" s="45" t="n"/>
      <c r="B875" s="46" t="inlineStr">
        <is>
          <t>22223</t>
        </is>
      </c>
      <c r="C875" s="46">
        <f>LEFT(Tableau1[[#This Row],[Formacode]],3)</f>
        <v/>
      </c>
      <c r="D875" s="47" t="n">
        <v>40259</v>
      </c>
      <c r="E875" s="48">
        <f>"RNCP"&amp;D875</f>
        <v/>
      </c>
      <c r="F875" s="48" t="inlineStr">
        <is>
          <t>Couvreur-zingueur (BM)</t>
        </is>
      </c>
      <c r="G875" s="49">
        <f>E875&amp;" - "&amp;F875</f>
        <v/>
      </c>
      <c r="H875" s="36" t="inlineStr">
        <is>
          <t>RAS</t>
        </is>
      </c>
      <c r="I875" s="45" t="inlineStr"/>
      <c r="J875" s="45" t="inlineStr">
        <is>
          <t>RNCP40259</t>
        </is>
      </c>
      <c r="K875" s="45" t="inlineStr">
        <is>
          <t>Couvreur-zingueur (BM)</t>
        </is>
      </c>
      <c r="L875" s="45" t="inlineStr">
        <is>
          <t>28/02/2028</t>
        </is>
      </c>
      <c r="M875" s="45" t="inlineStr">
        <is>
          <t>22437 (Couverture) ; 32097 (Gestion entreprise artisanale) ; 22254 (BTP conception organisation)</t>
        </is>
      </c>
      <c r="N875" s="50" t="inlineStr">
        <is>
          <t>NON</t>
        </is>
      </c>
      <c r="O875" s="45" t="inlineStr"/>
    </row>
    <row r="876" customFormat="1" s="3">
      <c r="A876" s="63" t="n"/>
      <c r="B876" s="64" t="inlineStr">
        <is>
          <t>22225</t>
        </is>
      </c>
      <c r="C876" s="64">
        <f>LEFT(Tableau1[[#This Row],[Formacode]],3)</f>
        <v/>
      </c>
      <c r="D876" s="65" t="n">
        <v>35503</v>
      </c>
      <c r="E876" s="66">
        <f>"RNCP"&amp;D876</f>
        <v/>
      </c>
      <c r="F876" s="66" t="inlineStr">
        <is>
          <t>TP - Chargé d'affaires du bâtiment</t>
        </is>
      </c>
      <c r="G876" s="67">
        <f>E876&amp;" - "&amp;F876</f>
        <v/>
      </c>
      <c r="H876" s="38" t="inlineStr">
        <is>
          <t>Expiré / remplacé</t>
        </is>
      </c>
      <c r="I876" s="63" t="inlineStr">
        <is>
          <t>Fiche inactive — remplacée par RNCP42032 (Chargé d’affaires du bâtiment)</t>
        </is>
      </c>
      <c r="J876" s="63" t="inlineStr">
        <is>
          <t>RNCP42032</t>
        </is>
      </c>
      <c r="K876" s="63" t="inlineStr">
        <is>
          <t>Chargé d’affaires du bâtiment</t>
        </is>
      </c>
      <c r="L876" s="63" t="inlineStr">
        <is>
          <t>13/04/2026</t>
        </is>
      </c>
      <c r="M876" s="63" t="inlineStr">
        <is>
          <t>22257 (Commercialisation BTP) ; 22293 (Conduite travaux BTP) ; 22279 (Maîtrise d'oeuvre BTP)</t>
        </is>
      </c>
      <c r="N876" s="68" t="inlineStr">
        <is>
          <t>NON</t>
        </is>
      </c>
      <c r="O876" s="63" t="inlineStr"/>
    </row>
    <row r="877" customFormat="1" s="3">
      <c r="A877" s="45" t="n"/>
      <c r="B877" s="46" t="inlineStr">
        <is>
          <t>22225</t>
        </is>
      </c>
      <c r="C877" s="46">
        <f>LEFT(Tableau1[[#This Row],[Formacode]],3)</f>
        <v/>
      </c>
      <c r="D877" s="47" t="n">
        <v>37445</v>
      </c>
      <c r="E877" s="48">
        <f>"RNCP"&amp;D877</f>
        <v/>
      </c>
      <c r="F877" s="48" t="inlineStr">
        <is>
          <t>TP - Technicien d'intervention de réseaux de télécommunications en fibre optique</t>
        </is>
      </c>
      <c r="G877" s="49">
        <f>E877&amp;" - "&amp;F877</f>
        <v/>
      </c>
      <c r="H877" s="36" t="inlineStr">
        <is>
          <t>RAS</t>
        </is>
      </c>
      <c r="I877" s="45" t="inlineStr"/>
      <c r="J877" s="45" t="inlineStr">
        <is>
          <t>RNCP37445</t>
        </is>
      </c>
      <c r="K877" s="45" t="inlineStr">
        <is>
          <t>Technicien d'intervention de réseaux de télécommunications en fibre optique</t>
        </is>
      </c>
      <c r="L877" s="45" t="inlineStr">
        <is>
          <t>29/07/2028</t>
        </is>
      </c>
      <c r="M877" s="45" t="inlineStr">
        <is>
          <t>24229 (Transmission fibre optique) ; 22254 (BTP conception organisation)</t>
        </is>
      </c>
      <c r="N877" s="50" t="inlineStr">
        <is>
          <t>NON</t>
        </is>
      </c>
      <c r="O877" s="45" t="inlineStr"/>
    </row>
    <row r="878" customFormat="1" s="3">
      <c r="A878" s="45" t="n"/>
      <c r="B878" s="46" t="inlineStr">
        <is>
          <t>22225</t>
        </is>
      </c>
      <c r="C878" s="46">
        <f>LEFT(Tableau1[[#This Row],[Formacode]],3)</f>
        <v/>
      </c>
      <c r="D878" s="47" t="n">
        <v>38724</v>
      </c>
      <c r="E878" s="48">
        <f>"RNCP"&amp;D878</f>
        <v/>
      </c>
      <c r="F878" s="48" t="inlineStr">
        <is>
          <t>BP - Métiers de la pierre</t>
        </is>
      </c>
      <c r="G878" s="49">
        <f>E878&amp;" - "&amp;F878</f>
        <v/>
      </c>
      <c r="H878" s="36" t="inlineStr">
        <is>
          <t>RAS</t>
        </is>
      </c>
      <c r="I878" s="45" t="inlineStr"/>
      <c r="J878" s="45" t="inlineStr">
        <is>
          <t>RNCP38724</t>
        </is>
      </c>
      <c r="K878" s="45" t="inlineStr">
        <is>
          <t>Métiers de la pierre</t>
        </is>
      </c>
      <c r="L878" s="45" t="inlineStr">
        <is>
          <t>31/12/2028</t>
        </is>
      </c>
      <c r="M878" s="45" t="inlineStr">
        <is>
          <t>22254 (BTP conception organisation) ; 45502 (Taille pierre)</t>
        </is>
      </c>
      <c r="N878" s="50" t="inlineStr">
        <is>
          <t>NON</t>
        </is>
      </c>
      <c r="O878" s="45" t="inlineStr"/>
    </row>
    <row r="879" customFormat="1" s="3">
      <c r="A879" s="45" t="n"/>
      <c r="B879" s="46" t="inlineStr">
        <is>
          <t>22225</t>
        </is>
      </c>
      <c r="C879" s="46">
        <f>LEFT(Tableau1[[#This Row],[Formacode]],3)</f>
        <v/>
      </c>
      <c r="D879" s="47" t="n">
        <v>39085</v>
      </c>
      <c r="E879" s="48">
        <f>"RNCP"&amp;D879</f>
        <v/>
      </c>
      <c r="F879" s="48" t="inlineStr">
        <is>
          <t>BTS - Géologie appliquée</t>
        </is>
      </c>
      <c r="G879" s="49">
        <f>E879&amp;" - "&amp;F879</f>
        <v/>
      </c>
      <c r="H879" s="36" t="inlineStr">
        <is>
          <t>RAS</t>
        </is>
      </c>
      <c r="I879" s="45" t="inlineStr"/>
      <c r="J879" s="45" t="inlineStr">
        <is>
          <t>RNCP39085</t>
        </is>
      </c>
      <c r="K879" s="45" t="inlineStr">
        <is>
          <t>Géologie appliquée</t>
        </is>
      </c>
      <c r="L879" s="45" t="inlineStr">
        <is>
          <t>31/08/2029</t>
        </is>
      </c>
      <c r="M879" s="45" t="inlineStr">
        <is>
          <t>12275 (Géologie) ; 22254 (BTP conception organisation) ; 12225 (Topographie)</t>
        </is>
      </c>
      <c r="N879" s="50" t="inlineStr">
        <is>
          <t>NON</t>
        </is>
      </c>
      <c r="O879" s="45" t="inlineStr"/>
    </row>
    <row r="880" customFormat="1" s="3">
      <c r="A880" s="45" t="n"/>
      <c r="B880" s="46" t="inlineStr">
        <is>
          <t>22225</t>
        </is>
      </c>
      <c r="C880" s="46">
        <f>LEFT(Tableau1[[#This Row],[Formacode]],3)</f>
        <v/>
      </c>
      <c r="D880" s="47" t="n">
        <v>39514</v>
      </c>
      <c r="E880" s="48">
        <f>"RNCP"&amp;D880</f>
        <v/>
      </c>
      <c r="F880" s="48" t="inlineStr">
        <is>
          <t>BAC PRO - Ouvrages du bâtiment : métallerie</t>
        </is>
      </c>
      <c r="G880" s="49">
        <f>E880&amp;" - "&amp;F880</f>
        <v/>
      </c>
      <c r="H880" s="36" t="inlineStr">
        <is>
          <t>RAS</t>
        </is>
      </c>
      <c r="I880" s="45" t="inlineStr"/>
      <c r="J880" s="45" t="inlineStr">
        <is>
          <t>RNCP39514</t>
        </is>
      </c>
      <c r="K880" s="45" t="inlineStr">
        <is>
          <t>Ouvrages du bâtiment : métallerie</t>
        </is>
      </c>
      <c r="L880" s="45" t="inlineStr">
        <is>
          <t>31/08/2027</t>
        </is>
      </c>
      <c r="M880" s="45" t="inlineStr">
        <is>
          <t>22254 (BTP conception organisation) ; 22478 (Métallerie serrurerie)</t>
        </is>
      </c>
      <c r="N880" s="50" t="inlineStr">
        <is>
          <t>NON</t>
        </is>
      </c>
      <c r="O880" s="45" t="inlineStr"/>
    </row>
    <row r="881" customFormat="1" s="3">
      <c r="A881" s="45" t="n"/>
      <c r="B881" s="46" t="inlineStr">
        <is>
          <t>22225</t>
        </is>
      </c>
      <c r="C881" s="46">
        <f>LEFT(Tableau1[[#This Row],[Formacode]],3)</f>
        <v/>
      </c>
      <c r="D881" s="47" t="n">
        <v>40259</v>
      </c>
      <c r="E881" s="48">
        <f>"RNCP"&amp;D881</f>
        <v/>
      </c>
      <c r="F881" s="48" t="inlineStr">
        <is>
          <t>Couvreur-zingueur (BM)</t>
        </is>
      </c>
      <c r="G881" s="49">
        <f>E881&amp;" - "&amp;F881</f>
        <v/>
      </c>
      <c r="H881" s="36" t="inlineStr">
        <is>
          <t>RAS</t>
        </is>
      </c>
      <c r="I881" s="45" t="inlineStr"/>
      <c r="J881" s="45" t="inlineStr">
        <is>
          <t>RNCP40259</t>
        </is>
      </c>
      <c r="K881" s="45" t="inlineStr">
        <is>
          <t>Couvreur-zingueur (BM)</t>
        </is>
      </c>
      <c r="L881" s="45" t="inlineStr">
        <is>
          <t>28/02/2028</t>
        </is>
      </c>
      <c r="M881" s="45" t="inlineStr">
        <is>
          <t>22437 (Couverture) ; 32097 (Gestion entreprise artisanale) ; 22254 (BTP conception organisation)</t>
        </is>
      </c>
      <c r="N881" s="50" t="inlineStr">
        <is>
          <t>NON</t>
        </is>
      </c>
      <c r="O881" s="45" t="inlineStr"/>
    </row>
    <row r="882" customFormat="1" s="3">
      <c r="A882" s="63" t="n"/>
      <c r="B882" s="64" t="inlineStr">
        <is>
          <t>22232</t>
        </is>
      </c>
      <c r="C882" s="64">
        <f>LEFT(Tableau1[[#This Row],[Formacode]],3)</f>
        <v/>
      </c>
      <c r="D882" s="65" t="n">
        <v>35503</v>
      </c>
      <c r="E882" s="66">
        <f>"RNCP"&amp;D882</f>
        <v/>
      </c>
      <c r="F882" s="66" t="inlineStr">
        <is>
          <t>TP - Chargé d'affaires du bâtiment</t>
        </is>
      </c>
      <c r="G882" s="67">
        <f>E882&amp;" - "&amp;F882</f>
        <v/>
      </c>
      <c r="H882" s="38" t="inlineStr">
        <is>
          <t>Expiré / remplacé</t>
        </is>
      </c>
      <c r="I882" s="63" t="inlineStr">
        <is>
          <t>Fiche inactive — remplacée par RNCP42032 (Chargé d’affaires du bâtiment)</t>
        </is>
      </c>
      <c r="J882" s="63" t="inlineStr">
        <is>
          <t>RNCP42032</t>
        </is>
      </c>
      <c r="K882" s="63" t="inlineStr">
        <is>
          <t>Chargé d’affaires du bâtiment</t>
        </is>
      </c>
      <c r="L882" s="63" t="inlineStr">
        <is>
          <t>13/04/2026</t>
        </is>
      </c>
      <c r="M882" s="63" t="inlineStr">
        <is>
          <t>22257 (Commercialisation BTP) ; 22293 (Conduite travaux BTP) ; 22279 (Maîtrise d'oeuvre BTP)</t>
        </is>
      </c>
      <c r="N882" s="68" t="inlineStr">
        <is>
          <t>NON</t>
        </is>
      </c>
      <c r="O882" s="63" t="inlineStr"/>
    </row>
    <row r="883" customFormat="1" s="3">
      <c r="A883" s="51" t="n"/>
      <c r="B883" s="52" t="inlineStr">
        <is>
          <t>22232</t>
        </is>
      </c>
      <c r="C883" s="52">
        <f>LEFT(Tableau1[[#This Row],[Formacode]],3)</f>
        <v/>
      </c>
      <c r="D883" s="53" t="n">
        <v>35802</v>
      </c>
      <c r="E883" s="54">
        <f>"RNCP"&amp;D883</f>
        <v/>
      </c>
      <c r="F883" s="54" t="inlineStr">
        <is>
          <t>BTS - Management économique de la construction</t>
        </is>
      </c>
      <c r="G883" s="55">
        <f>E883&amp;" - "&amp;F883</f>
        <v/>
      </c>
      <c r="H883" s="37" t="inlineStr">
        <is>
          <t>À vérifier</t>
        </is>
      </c>
      <c r="I883" s="51" t="inlineStr">
        <is>
          <t>Successeur déjà publié : RNCP41826 (Management économique de la construction) — préparer la bascule de l'offre CPF | Échéance le 31/08/2026 (dans 44 j)</t>
        </is>
      </c>
      <c r="J883" s="51" t="inlineStr">
        <is>
          <t>RNCP41826</t>
        </is>
      </c>
      <c r="K883" s="51" t="inlineStr">
        <is>
          <t>Management économique de la construction</t>
        </is>
      </c>
      <c r="L883" s="51" t="inlineStr">
        <is>
          <t>31/08/2026</t>
        </is>
      </c>
      <c r="M883" s="51" t="inlineStr">
        <is>
          <t>22293 (Conduite travaux BTP) ; 22279 (Maîtrise d'oeuvre BTP) ; 22259 (Marché travaux) ; 22230 (Métré spécialisé) ; 22374 (Construction)</t>
        </is>
      </c>
      <c r="N883" s="62" t="inlineStr">
        <is>
          <t>NON</t>
        </is>
      </c>
      <c r="O883" s="51" t="inlineStr"/>
    </row>
    <row r="884" customFormat="1" s="3">
      <c r="A884" s="45" t="n"/>
      <c r="B884" s="46" t="inlineStr">
        <is>
          <t>22232</t>
        </is>
      </c>
      <c r="C884" s="46">
        <f>LEFT(Tableau1[[#This Row],[Formacode]],3)</f>
        <v/>
      </c>
      <c r="D884" s="47" t="n">
        <v>36239</v>
      </c>
      <c r="E884" s="48">
        <f>"RNCP"&amp;D884</f>
        <v/>
      </c>
      <c r="F884" s="48" t="inlineStr">
        <is>
          <t>TP - Technicien d'études en agencement intérieur</t>
        </is>
      </c>
      <c r="G884" s="49">
        <f>E884&amp;" - "&amp;F884</f>
        <v/>
      </c>
      <c r="H884" s="36" t="inlineStr">
        <is>
          <t>RAS</t>
        </is>
      </c>
      <c r="I884" s="45" t="inlineStr"/>
      <c r="J884" s="45" t="inlineStr">
        <is>
          <t>RNCP36239</t>
        </is>
      </c>
      <c r="K884" s="45" t="inlineStr">
        <is>
          <t>Technicien d'études en agencement intérieur</t>
        </is>
      </c>
      <c r="L884" s="45" t="inlineStr">
        <is>
          <t>17/05/2027</t>
        </is>
      </c>
      <c r="M884" s="45" t="inlineStr">
        <is>
          <t>22252 (Dessin BTP) ; 22232 (Métré BTP) ; 22404 (Menuiserie agencement)</t>
        </is>
      </c>
      <c r="N884" s="50" t="inlineStr">
        <is>
          <t>NON</t>
        </is>
      </c>
      <c r="O884" s="45" t="inlineStr"/>
    </row>
    <row r="885" customFormat="1" s="3">
      <c r="A885" s="45" t="n"/>
      <c r="B885" s="46" t="inlineStr">
        <is>
          <t>22232</t>
        </is>
      </c>
      <c r="C885" s="46">
        <f>LEFT(Tableau1[[#This Row],[Formacode]],3)</f>
        <v/>
      </c>
      <c r="D885" s="47" t="n">
        <v>37293</v>
      </c>
      <c r="E885" s="48">
        <f>"RNCP"&amp;D885</f>
        <v/>
      </c>
      <c r="F885" s="48" t="inlineStr">
        <is>
          <t>TP - Dessinateur projeteur d'ouvrages de métallerie</t>
        </is>
      </c>
      <c r="G885" s="49">
        <f>E885&amp;" - "&amp;F885</f>
        <v/>
      </c>
      <c r="H885" s="36" t="inlineStr">
        <is>
          <t>RAS</t>
        </is>
      </c>
      <c r="I885" s="45" t="inlineStr"/>
      <c r="J885" s="45" t="inlineStr">
        <is>
          <t>RNCP37293</t>
        </is>
      </c>
      <c r="K885" s="45" t="inlineStr">
        <is>
          <t>Dessinateur projeteur d'ouvrages de métallerie</t>
        </is>
      </c>
      <c r="L885" s="45" t="inlineStr">
        <is>
          <t>11/04/2028</t>
        </is>
      </c>
      <c r="M885" s="45" t="inlineStr">
        <is>
          <t>22398 (Dessin construction) ; 22252 (Dessin BTP) ; 22232 (Métré BTP) ; 31676 (Bureau d'études)</t>
        </is>
      </c>
      <c r="N885" s="50" t="inlineStr">
        <is>
          <t>NON</t>
        </is>
      </c>
      <c r="O885" s="45" t="inlineStr"/>
    </row>
    <row r="886" customFormat="1" s="3">
      <c r="A886" s="45" t="n"/>
      <c r="B886" s="46" t="inlineStr">
        <is>
          <t>22232</t>
        </is>
      </c>
      <c r="C886" s="46">
        <f>LEFT(Tableau1[[#This Row],[Formacode]],3)</f>
        <v/>
      </c>
      <c r="D886" s="47" t="n">
        <v>37445</v>
      </c>
      <c r="E886" s="48">
        <f>"RNCP"&amp;D886</f>
        <v/>
      </c>
      <c r="F886" s="48" t="inlineStr">
        <is>
          <t>TP - Technicien d'intervention de réseaux de télécommunications en fibre optique</t>
        </is>
      </c>
      <c r="G886" s="49">
        <f>E886&amp;" - "&amp;F886</f>
        <v/>
      </c>
      <c r="H886" s="36" t="inlineStr">
        <is>
          <t>RAS</t>
        </is>
      </c>
      <c r="I886" s="45" t="inlineStr"/>
      <c r="J886" s="45" t="inlineStr">
        <is>
          <t>RNCP37445</t>
        </is>
      </c>
      <c r="K886" s="45" t="inlineStr">
        <is>
          <t>Technicien d'intervention de réseaux de télécommunications en fibre optique</t>
        </is>
      </c>
      <c r="L886" s="45" t="inlineStr">
        <is>
          <t>29/07/2028</t>
        </is>
      </c>
      <c r="M886" s="45" t="inlineStr">
        <is>
          <t>24229 (Transmission fibre optique) ; 22254 (BTP conception organisation)</t>
        </is>
      </c>
      <c r="N886" s="50" t="inlineStr">
        <is>
          <t>NON</t>
        </is>
      </c>
      <c r="O886" s="45" t="inlineStr"/>
    </row>
    <row r="887" customFormat="1" s="3">
      <c r="A887" s="45" t="n"/>
      <c r="B887" s="46" t="inlineStr">
        <is>
          <t>22232</t>
        </is>
      </c>
      <c r="C887" s="46">
        <f>LEFT(Tableau1[[#This Row],[Formacode]],3)</f>
        <v/>
      </c>
      <c r="D887" s="47" t="n">
        <v>38546</v>
      </c>
      <c r="E887" s="48">
        <f>"RNCP"&amp;D887</f>
        <v/>
      </c>
      <c r="F887" s="48" t="inlineStr">
        <is>
          <t>TP - Chargé d'études thermiques, énergétiques et environnementales du bâtiment</t>
        </is>
      </c>
      <c r="G887" s="49">
        <f>E887&amp;" - "&amp;F887</f>
        <v/>
      </c>
      <c r="H887" s="36" t="inlineStr">
        <is>
          <t>RAS</t>
        </is>
      </c>
      <c r="I887" s="45" t="inlineStr"/>
      <c r="J887" s="45" t="inlineStr">
        <is>
          <t>RNCP38546</t>
        </is>
      </c>
      <c r="K887" s="45" t="inlineStr">
        <is>
          <t>Chargé d'études thermiques, énergétiques et environnementales du bâtiment</t>
        </is>
      </c>
      <c r="L887" s="45" t="inlineStr">
        <is>
          <t>01/03/2029</t>
        </is>
      </c>
      <c r="M887" s="45" t="inlineStr">
        <is>
          <t>22232 (Métré BTP) ; 22211 (Performance énergétique bâtiment) ; 22485 (Rénovation bâtiment)</t>
        </is>
      </c>
      <c r="N887" s="50" t="inlineStr">
        <is>
          <t>NON</t>
        </is>
      </c>
      <c r="O887" s="45" t="inlineStr"/>
    </row>
    <row r="888" customFormat="1" s="3">
      <c r="A888" s="45" t="n"/>
      <c r="B888" s="46" t="inlineStr">
        <is>
          <t>22232</t>
        </is>
      </c>
      <c r="C888" s="46">
        <f>LEFT(Tableau1[[#This Row],[Formacode]],3)</f>
        <v/>
      </c>
      <c r="D888" s="47" t="n">
        <v>38724</v>
      </c>
      <c r="E888" s="48">
        <f>"RNCP"&amp;D888</f>
        <v/>
      </c>
      <c r="F888" s="48" t="inlineStr">
        <is>
          <t>BP - Métiers de la pierre</t>
        </is>
      </c>
      <c r="G888" s="49">
        <f>E888&amp;" - "&amp;F888</f>
        <v/>
      </c>
      <c r="H888" s="36" t="inlineStr">
        <is>
          <t>RAS</t>
        </is>
      </c>
      <c r="I888" s="45" t="inlineStr"/>
      <c r="J888" s="45" t="inlineStr">
        <is>
          <t>RNCP38724</t>
        </is>
      </c>
      <c r="K888" s="45" t="inlineStr">
        <is>
          <t>Métiers de la pierre</t>
        </is>
      </c>
      <c r="L888" s="45" t="inlineStr">
        <is>
          <t>31/12/2028</t>
        </is>
      </c>
      <c r="M888" s="45" t="inlineStr">
        <is>
          <t>22254 (BTP conception organisation) ; 45502 (Taille pierre)</t>
        </is>
      </c>
      <c r="N888" s="50" t="inlineStr">
        <is>
          <t>NON</t>
        </is>
      </c>
      <c r="O888" s="45" t="inlineStr"/>
    </row>
    <row r="889" customFormat="1" s="3">
      <c r="A889" s="45" t="n"/>
      <c r="B889" s="46" t="inlineStr">
        <is>
          <t>22232</t>
        </is>
      </c>
      <c r="C889" s="46">
        <f>LEFT(Tableau1[[#This Row],[Formacode]],3)</f>
        <v/>
      </c>
      <c r="D889" s="47" t="n">
        <v>39033</v>
      </c>
      <c r="E889" s="48">
        <f>"RNCP"&amp;D889</f>
        <v/>
      </c>
      <c r="F889" s="48" t="inlineStr">
        <is>
          <t>BAC PRO - Technicien d'études du bâtiment</t>
        </is>
      </c>
      <c r="G889" s="49">
        <f>E889&amp;" - "&amp;F889</f>
        <v/>
      </c>
      <c r="H889" s="36" t="inlineStr">
        <is>
          <t>RAS</t>
        </is>
      </c>
      <c r="I889" s="45" t="inlineStr"/>
      <c r="J889" s="45" t="inlineStr">
        <is>
          <t>RNCP39033</t>
        </is>
      </c>
      <c r="K889" s="45" t="inlineStr">
        <is>
          <t>Technicien d'études du bâtiment</t>
        </is>
      </c>
      <c r="L889" s="45" t="inlineStr">
        <is>
          <t>31/08/2029</t>
        </is>
      </c>
      <c r="M889" s="45" t="inlineStr">
        <is>
          <t>22294 (Conduite chantier BTP) ; 31685 (DAO) ; 22279 (Maîtrise d'oeuvre BTP) ; 22232 (Métré BTP)</t>
        </is>
      </c>
      <c r="N889" s="50" t="inlineStr">
        <is>
          <t>NON</t>
        </is>
      </c>
      <c r="O889" s="45" t="inlineStr"/>
    </row>
    <row r="890" customFormat="1" s="3">
      <c r="A890" s="45" t="n"/>
      <c r="B890" s="46" t="inlineStr">
        <is>
          <t>22232</t>
        </is>
      </c>
      <c r="C890" s="46">
        <f>LEFT(Tableau1[[#This Row],[Formacode]],3)</f>
        <v/>
      </c>
      <c r="D890" s="47" t="n">
        <v>39085</v>
      </c>
      <c r="E890" s="48">
        <f>"RNCP"&amp;D890</f>
        <v/>
      </c>
      <c r="F890" s="48" t="inlineStr">
        <is>
          <t>BTS - Géologie appliquée</t>
        </is>
      </c>
      <c r="G890" s="49">
        <f>E890&amp;" - "&amp;F890</f>
        <v/>
      </c>
      <c r="H890" s="36" t="inlineStr">
        <is>
          <t>RAS</t>
        </is>
      </c>
      <c r="I890" s="45" t="inlineStr"/>
      <c r="J890" s="45" t="inlineStr">
        <is>
          <t>RNCP39085</t>
        </is>
      </c>
      <c r="K890" s="45" t="inlineStr">
        <is>
          <t>Géologie appliquée</t>
        </is>
      </c>
      <c r="L890" s="45" t="inlineStr">
        <is>
          <t>31/08/2029</t>
        </is>
      </c>
      <c r="M890" s="45" t="inlineStr">
        <is>
          <t>12275 (Géologie) ; 22254 (BTP conception organisation) ; 12225 (Topographie)</t>
        </is>
      </c>
      <c r="N890" s="50" t="inlineStr">
        <is>
          <t>NON</t>
        </is>
      </c>
      <c r="O890" s="45" t="inlineStr"/>
    </row>
    <row r="891" customFormat="1" s="3">
      <c r="A891" s="45" t="n"/>
      <c r="B891" s="46" t="inlineStr">
        <is>
          <t>22232</t>
        </is>
      </c>
      <c r="C891" s="46">
        <f>LEFT(Tableau1[[#This Row],[Formacode]],3)</f>
        <v/>
      </c>
      <c r="D891" s="47" t="n">
        <v>39180</v>
      </c>
      <c r="E891" s="48">
        <f>"RNCP"&amp;D891</f>
        <v/>
      </c>
      <c r="F891" s="48" t="inlineStr">
        <is>
          <t>TP - Chargé d'accompagnement à la rénovation énergétique du bâtiment</t>
        </is>
      </c>
      <c r="G891" s="49">
        <f>E891&amp;" - "&amp;F891</f>
        <v/>
      </c>
      <c r="H891" s="36" t="inlineStr">
        <is>
          <t>RAS</t>
        </is>
      </c>
      <c r="I891" s="45" t="inlineStr"/>
      <c r="J891" s="45" t="inlineStr">
        <is>
          <t>RNCP39180</t>
        </is>
      </c>
      <c r="K891" s="45" t="inlineStr">
        <is>
          <t>Chargé d'accompagnement à la rénovation énergétique du bâtiment</t>
        </is>
      </c>
      <c r="L891" s="45" t="inlineStr">
        <is>
          <t>25/08/2029</t>
        </is>
      </c>
      <c r="M891" s="45" t="inlineStr">
        <is>
          <t>22293 (Conduite travaux BTP) ; 22485 (Rénovation bâtiment) ; 22211 (Performance énergétique bâtiment) ; 22232 (Métré BTP)</t>
        </is>
      </c>
      <c r="N891" s="50" t="inlineStr">
        <is>
          <t>NON</t>
        </is>
      </c>
      <c r="O891" s="45" t="inlineStr"/>
    </row>
    <row r="892" customFormat="1" s="3">
      <c r="A892" s="45" t="n"/>
      <c r="B892" s="46" t="inlineStr">
        <is>
          <t>22232</t>
        </is>
      </c>
      <c r="C892" s="46">
        <f>LEFT(Tableau1[[#This Row],[Formacode]],3)</f>
        <v/>
      </c>
      <c r="D892" s="47" t="n">
        <v>39514</v>
      </c>
      <c r="E892" s="48">
        <f>"RNCP"&amp;D892</f>
        <v/>
      </c>
      <c r="F892" s="48" t="inlineStr">
        <is>
          <t>BAC PRO - Ouvrages du bâtiment : métallerie</t>
        </is>
      </c>
      <c r="G892" s="49">
        <f>E892&amp;" - "&amp;F892</f>
        <v/>
      </c>
      <c r="H892" s="36" t="inlineStr">
        <is>
          <t>RAS</t>
        </is>
      </c>
      <c r="I892" s="45" t="inlineStr"/>
      <c r="J892" s="45" t="inlineStr">
        <is>
          <t>RNCP39514</t>
        </is>
      </c>
      <c r="K892" s="45" t="inlineStr">
        <is>
          <t>Ouvrages du bâtiment : métallerie</t>
        </is>
      </c>
      <c r="L892" s="45" t="inlineStr">
        <is>
          <t>31/08/2027</t>
        </is>
      </c>
      <c r="M892" s="45" t="inlineStr">
        <is>
          <t>22254 (BTP conception organisation) ; 22478 (Métallerie serrurerie)</t>
        </is>
      </c>
      <c r="N892" s="50" t="inlineStr">
        <is>
          <t>NON</t>
        </is>
      </c>
      <c r="O892" s="45" t="inlineStr"/>
    </row>
    <row r="893" customFormat="1" s="3">
      <c r="A893" s="45" t="n"/>
      <c r="B893" s="46" t="inlineStr">
        <is>
          <t>22232</t>
        </is>
      </c>
      <c r="C893" s="46">
        <f>LEFT(Tableau1[[#This Row],[Formacode]],3)</f>
        <v/>
      </c>
      <c r="D893" s="47" t="n">
        <v>40135</v>
      </c>
      <c r="E893" s="48">
        <f>"RNCP"&amp;D893</f>
        <v/>
      </c>
      <c r="F893" s="48" t="inlineStr">
        <is>
          <t>TP - Technicien supérieur du bâtiment, option étude de prix</t>
        </is>
      </c>
      <c r="G893" s="49">
        <f>E893&amp;" - "&amp;F893</f>
        <v/>
      </c>
      <c r="H893" s="36" t="inlineStr">
        <is>
          <t>RAS</t>
        </is>
      </c>
      <c r="I893" s="45" t="inlineStr"/>
      <c r="J893" s="45" t="inlineStr">
        <is>
          <t>RNCP40135</t>
        </is>
      </c>
      <c r="K893" s="45" t="inlineStr">
        <is>
          <t>Technicien supérieur du bâtiment, option étude de prix</t>
        </is>
      </c>
      <c r="L893" s="45" t="inlineStr">
        <is>
          <t>14/04/2027</t>
        </is>
      </c>
      <c r="M893" s="45" t="inlineStr">
        <is>
          <t>22232 (Métré BTP)</t>
        </is>
      </c>
      <c r="N893" s="50" t="inlineStr">
        <is>
          <t>NON</t>
        </is>
      </c>
      <c r="O893" s="45" t="inlineStr"/>
    </row>
    <row r="894" customFormat="1" s="3">
      <c r="A894" s="45" t="n"/>
      <c r="B894" s="46" t="inlineStr">
        <is>
          <t>22232</t>
        </is>
      </c>
      <c r="C894" s="46">
        <f>LEFT(Tableau1[[#This Row],[Formacode]],3)</f>
        <v/>
      </c>
      <c r="D894" s="47" t="n">
        <v>40136</v>
      </c>
      <c r="E894" s="48">
        <f>"RNCP"&amp;D894</f>
        <v/>
      </c>
      <c r="F894" s="48" t="inlineStr">
        <is>
          <t>TP - Technicien supérieur du bâtiment, option économie de la construction</t>
        </is>
      </c>
      <c r="G894" s="49">
        <f>E894&amp;" - "&amp;F894</f>
        <v/>
      </c>
      <c r="H894" s="36" t="inlineStr">
        <is>
          <t>RAS</t>
        </is>
      </c>
      <c r="I894" s="45" t="inlineStr"/>
      <c r="J894" s="45" t="inlineStr">
        <is>
          <t>RNCP40136</t>
        </is>
      </c>
      <c r="K894" s="45" t="inlineStr">
        <is>
          <t>Technicien supérieur du bâtiment, option économie de la construction</t>
        </is>
      </c>
      <c r="L894" s="45" t="inlineStr">
        <is>
          <t>14/04/2027</t>
        </is>
      </c>
      <c r="M894" s="45" t="inlineStr">
        <is>
          <t>22232 (Métré BTP)</t>
        </is>
      </c>
      <c r="N894" s="50" t="inlineStr">
        <is>
          <t>NON</t>
        </is>
      </c>
      <c r="O894" s="45" t="inlineStr"/>
    </row>
    <row r="895" customFormat="1" s="3">
      <c r="A895" s="45" t="n"/>
      <c r="B895" s="46" t="inlineStr">
        <is>
          <t>22232</t>
        </is>
      </c>
      <c r="C895" s="46">
        <f>LEFT(Tableau1[[#This Row],[Formacode]],3)</f>
        <v/>
      </c>
      <c r="D895" s="47" t="n">
        <v>40137</v>
      </c>
      <c r="E895" s="48">
        <f>"RNCP"&amp;D895</f>
        <v/>
      </c>
      <c r="F895" s="48" t="inlineStr">
        <is>
          <t>TP - Métreur assistant du bâtiment</t>
        </is>
      </c>
      <c r="G895" s="49">
        <f>E895&amp;" - "&amp;F895</f>
        <v/>
      </c>
      <c r="H895" s="36" t="inlineStr">
        <is>
          <t>RAS</t>
        </is>
      </c>
      <c r="I895" s="45" t="inlineStr"/>
      <c r="J895" s="45" t="inlineStr">
        <is>
          <t>RNCP40137</t>
        </is>
      </c>
      <c r="K895" s="45" t="inlineStr">
        <is>
          <t>Métreur assistant du bâtiment</t>
        </is>
      </c>
      <c r="L895" s="45" t="inlineStr">
        <is>
          <t>02/03/2027</t>
        </is>
      </c>
      <c r="M895" s="45" t="inlineStr">
        <is>
          <t>22232 (Métré BTP)</t>
        </is>
      </c>
      <c r="N895" s="50" t="inlineStr">
        <is>
          <t>NON</t>
        </is>
      </c>
      <c r="O895" s="45" t="inlineStr"/>
    </row>
    <row r="896" customFormat="1" s="3">
      <c r="A896" s="45" t="n"/>
      <c r="B896" s="46" t="inlineStr">
        <is>
          <t>22232</t>
        </is>
      </c>
      <c r="C896" s="46">
        <f>LEFT(Tableau1[[#This Row],[Formacode]],3)</f>
        <v/>
      </c>
      <c r="D896" s="47" t="n">
        <v>40138</v>
      </c>
      <c r="E896" s="48">
        <f>"RNCP"&amp;D896</f>
        <v/>
      </c>
      <c r="F896" s="48" t="inlineStr">
        <is>
          <t>TP - Technicien métreur du bâtiment</t>
        </is>
      </c>
      <c r="G896" s="49">
        <f>E896&amp;" - "&amp;F896</f>
        <v/>
      </c>
      <c r="H896" s="36" t="inlineStr">
        <is>
          <t>RAS</t>
        </is>
      </c>
      <c r="I896" s="45" t="inlineStr"/>
      <c r="J896" s="45" t="inlineStr">
        <is>
          <t>RNCP40138</t>
        </is>
      </c>
      <c r="K896" s="45" t="inlineStr">
        <is>
          <t>Technicien métreur du bâtiment</t>
        </is>
      </c>
      <c r="L896" s="45" t="inlineStr">
        <is>
          <t>14/04/2027</t>
        </is>
      </c>
      <c r="M896" s="45" t="inlineStr">
        <is>
          <t>22232 (Métré BTP)</t>
        </is>
      </c>
      <c r="N896" s="50" t="inlineStr">
        <is>
          <t>NON</t>
        </is>
      </c>
      <c r="O896" s="45" t="inlineStr"/>
    </row>
    <row r="897" customFormat="1" s="3">
      <c r="A897" s="45" t="n"/>
      <c r="B897" s="46" t="inlineStr">
        <is>
          <t>22232</t>
        </is>
      </c>
      <c r="C897" s="46">
        <f>LEFT(Tableau1[[#This Row],[Formacode]],3)</f>
        <v/>
      </c>
      <c r="D897" s="47" t="n">
        <v>40259</v>
      </c>
      <c r="E897" s="48">
        <f>"RNCP"&amp;D897</f>
        <v/>
      </c>
      <c r="F897" s="48" t="inlineStr">
        <is>
          <t>Couvreur-zingueur (BM)</t>
        </is>
      </c>
      <c r="G897" s="49">
        <f>E897&amp;" - "&amp;F897</f>
        <v/>
      </c>
      <c r="H897" s="36" t="inlineStr">
        <is>
          <t>RAS</t>
        </is>
      </c>
      <c r="I897" s="45" t="inlineStr"/>
      <c r="J897" s="45" t="inlineStr">
        <is>
          <t>RNCP40259</t>
        </is>
      </c>
      <c r="K897" s="45" t="inlineStr">
        <is>
          <t>Couvreur-zingueur (BM)</t>
        </is>
      </c>
      <c r="L897" s="45" t="inlineStr">
        <is>
          <t>28/02/2028</t>
        </is>
      </c>
      <c r="M897" s="45" t="inlineStr">
        <is>
          <t>22437 (Couverture) ; 32097 (Gestion entreprise artisanale) ; 22254 (BTP conception organisation)</t>
        </is>
      </c>
      <c r="N897" s="50" t="inlineStr">
        <is>
          <t>NON</t>
        </is>
      </c>
      <c r="O897" s="45" t="inlineStr"/>
    </row>
    <row r="898" customFormat="1" s="3">
      <c r="A898" s="63" t="n"/>
      <c r="B898" s="64" t="inlineStr">
        <is>
          <t>22237</t>
        </is>
      </c>
      <c r="C898" s="64">
        <f>LEFT(Tableau1[[#This Row],[Formacode]],3)</f>
        <v/>
      </c>
      <c r="D898" s="65" t="n">
        <v>35503</v>
      </c>
      <c r="E898" s="66">
        <f>"RNCP"&amp;D898</f>
        <v/>
      </c>
      <c r="F898" s="66" t="inlineStr">
        <is>
          <t>TP - Chargé d'affaires du bâtiment</t>
        </is>
      </c>
      <c r="G898" s="67">
        <f>E898&amp;" - "&amp;F898</f>
        <v/>
      </c>
      <c r="H898" s="38" t="inlineStr">
        <is>
          <t>Expiré / remplacé</t>
        </is>
      </c>
      <c r="I898" s="63" t="inlineStr">
        <is>
          <t>Fiche inactive — remplacée par RNCP42032 (Chargé d’affaires du bâtiment)</t>
        </is>
      </c>
      <c r="J898" s="63" t="inlineStr">
        <is>
          <t>RNCP42032</t>
        </is>
      </c>
      <c r="K898" s="63" t="inlineStr">
        <is>
          <t>Chargé d’affaires du bâtiment</t>
        </is>
      </c>
      <c r="L898" s="63" t="inlineStr">
        <is>
          <t>13/04/2026</t>
        </is>
      </c>
      <c r="M898" s="63" t="inlineStr">
        <is>
          <t>22257 (Commercialisation BTP) ; 22293 (Conduite travaux BTP) ; 22279 (Maîtrise d'oeuvre BTP)</t>
        </is>
      </c>
      <c r="N898" s="68" t="inlineStr">
        <is>
          <t>NON</t>
        </is>
      </c>
      <c r="O898" s="63" t="inlineStr"/>
    </row>
    <row r="899" customFormat="1" s="3">
      <c r="A899" s="45" t="n"/>
      <c r="B899" s="46" t="inlineStr">
        <is>
          <t>22237</t>
        </is>
      </c>
      <c r="C899" s="46">
        <f>LEFT(Tableau1[[#This Row],[Formacode]],3)</f>
        <v/>
      </c>
      <c r="D899" s="47" t="n">
        <v>37445</v>
      </c>
      <c r="E899" s="48">
        <f>"RNCP"&amp;D899</f>
        <v/>
      </c>
      <c r="F899" s="48" t="inlineStr">
        <is>
          <t>TP - Technicien d'intervention de réseaux de télécommunications en fibre optique</t>
        </is>
      </c>
      <c r="G899" s="49">
        <f>E899&amp;" - "&amp;F899</f>
        <v/>
      </c>
      <c r="H899" s="36" t="inlineStr">
        <is>
          <t>RAS</t>
        </is>
      </c>
      <c r="I899" s="45" t="inlineStr"/>
      <c r="J899" s="45" t="inlineStr">
        <is>
          <t>RNCP37445</t>
        </is>
      </c>
      <c r="K899" s="45" t="inlineStr">
        <is>
          <t>Technicien d'intervention de réseaux de télécommunications en fibre optique</t>
        </is>
      </c>
      <c r="L899" s="45" t="inlineStr">
        <is>
          <t>29/07/2028</t>
        </is>
      </c>
      <c r="M899" s="45" t="inlineStr">
        <is>
          <t>24229 (Transmission fibre optique) ; 22254 (BTP conception organisation)</t>
        </is>
      </c>
      <c r="N899" s="50" t="inlineStr">
        <is>
          <t>NON</t>
        </is>
      </c>
      <c r="O899" s="45" t="inlineStr"/>
    </row>
    <row r="900" customFormat="1" s="3">
      <c r="A900" s="45" t="n"/>
      <c r="B900" s="46" t="inlineStr">
        <is>
          <t>22237</t>
        </is>
      </c>
      <c r="C900" s="46">
        <f>LEFT(Tableau1[[#This Row],[Formacode]],3)</f>
        <v/>
      </c>
      <c r="D900" s="47" t="n">
        <v>38724</v>
      </c>
      <c r="E900" s="48">
        <f>"RNCP"&amp;D900</f>
        <v/>
      </c>
      <c r="F900" s="48" t="inlineStr">
        <is>
          <t>BP - Métiers de la pierre</t>
        </is>
      </c>
      <c r="G900" s="49">
        <f>E900&amp;" - "&amp;F900</f>
        <v/>
      </c>
      <c r="H900" s="36" t="inlineStr">
        <is>
          <t>RAS</t>
        </is>
      </c>
      <c r="I900" s="45" t="inlineStr"/>
      <c r="J900" s="45" t="inlineStr">
        <is>
          <t>RNCP38724</t>
        </is>
      </c>
      <c r="K900" s="45" t="inlineStr">
        <is>
          <t>Métiers de la pierre</t>
        </is>
      </c>
      <c r="L900" s="45" t="inlineStr">
        <is>
          <t>31/12/2028</t>
        </is>
      </c>
      <c r="M900" s="45" t="inlineStr">
        <is>
          <t>22254 (BTP conception organisation) ; 45502 (Taille pierre)</t>
        </is>
      </c>
      <c r="N900" s="50" t="inlineStr">
        <is>
          <t>NON</t>
        </is>
      </c>
      <c r="O900" s="45" t="inlineStr"/>
    </row>
    <row r="901" customFormat="1" s="3">
      <c r="A901" s="45" t="n"/>
      <c r="B901" s="46" t="inlineStr">
        <is>
          <t>22237</t>
        </is>
      </c>
      <c r="C901" s="46">
        <f>LEFT(Tableau1[[#This Row],[Formacode]],3)</f>
        <v/>
      </c>
      <c r="D901" s="47" t="n">
        <v>39085</v>
      </c>
      <c r="E901" s="48">
        <f>"RNCP"&amp;D901</f>
        <v/>
      </c>
      <c r="F901" s="48" t="inlineStr">
        <is>
          <t>BTS - Géologie appliquée</t>
        </is>
      </c>
      <c r="G901" s="49">
        <f>E901&amp;" - "&amp;F901</f>
        <v/>
      </c>
      <c r="H901" s="36" t="inlineStr">
        <is>
          <t>RAS</t>
        </is>
      </c>
      <c r="I901" s="45" t="inlineStr"/>
      <c r="J901" s="45" t="inlineStr">
        <is>
          <t>RNCP39085</t>
        </is>
      </c>
      <c r="K901" s="45" t="inlineStr">
        <is>
          <t>Géologie appliquée</t>
        </is>
      </c>
      <c r="L901" s="45" t="inlineStr">
        <is>
          <t>31/08/2029</t>
        </is>
      </c>
      <c r="M901" s="45" t="inlineStr">
        <is>
          <t>12275 (Géologie) ; 22254 (BTP conception organisation) ; 12225 (Topographie)</t>
        </is>
      </c>
      <c r="N901" s="50" t="inlineStr">
        <is>
          <t>NON</t>
        </is>
      </c>
      <c r="O901" s="45" t="inlineStr"/>
    </row>
    <row r="902" customFormat="1" s="3">
      <c r="A902" s="45" t="n"/>
      <c r="B902" s="46" t="inlineStr">
        <is>
          <t>22237</t>
        </is>
      </c>
      <c r="C902" s="46">
        <f>LEFT(Tableau1[[#This Row],[Formacode]],3)</f>
        <v/>
      </c>
      <c r="D902" s="47" t="n">
        <v>39514</v>
      </c>
      <c r="E902" s="48">
        <f>"RNCP"&amp;D902</f>
        <v/>
      </c>
      <c r="F902" s="48" t="inlineStr">
        <is>
          <t>BAC PRO - Ouvrages du bâtiment : métallerie</t>
        </is>
      </c>
      <c r="G902" s="49">
        <f>E902&amp;" - "&amp;F902</f>
        <v/>
      </c>
      <c r="H902" s="36" t="inlineStr">
        <is>
          <t>RAS</t>
        </is>
      </c>
      <c r="I902" s="45" t="inlineStr"/>
      <c r="J902" s="45" t="inlineStr">
        <is>
          <t>RNCP39514</t>
        </is>
      </c>
      <c r="K902" s="45" t="inlineStr">
        <is>
          <t>Ouvrages du bâtiment : métallerie</t>
        </is>
      </c>
      <c r="L902" s="45" t="inlineStr">
        <is>
          <t>31/08/2027</t>
        </is>
      </c>
      <c r="M902" s="45" t="inlineStr">
        <is>
          <t>22254 (BTP conception organisation) ; 22478 (Métallerie serrurerie)</t>
        </is>
      </c>
      <c r="N902" s="50" t="inlineStr">
        <is>
          <t>NON</t>
        </is>
      </c>
      <c r="O902" s="45" t="inlineStr"/>
    </row>
    <row r="903" customFormat="1" s="3">
      <c r="A903" s="45" t="n"/>
      <c r="B903" s="46" t="inlineStr">
        <is>
          <t>22237</t>
        </is>
      </c>
      <c r="C903" s="46">
        <f>LEFT(Tableau1[[#This Row],[Formacode]],3)</f>
        <v/>
      </c>
      <c r="D903" s="47" t="n">
        <v>40259</v>
      </c>
      <c r="E903" s="48">
        <f>"RNCP"&amp;D903</f>
        <v/>
      </c>
      <c r="F903" s="48" t="inlineStr">
        <is>
          <t>Couvreur-zingueur (BM)</t>
        </is>
      </c>
      <c r="G903" s="49">
        <f>E903&amp;" - "&amp;F903</f>
        <v/>
      </c>
      <c r="H903" s="36" t="inlineStr">
        <is>
          <t>RAS</t>
        </is>
      </c>
      <c r="I903" s="45" t="inlineStr"/>
      <c r="J903" s="45" t="inlineStr">
        <is>
          <t>RNCP40259</t>
        </is>
      </c>
      <c r="K903" s="45" t="inlineStr">
        <is>
          <t>Couvreur-zingueur (BM)</t>
        </is>
      </c>
      <c r="L903" s="45" t="inlineStr">
        <is>
          <t>28/02/2028</t>
        </is>
      </c>
      <c r="M903" s="45" t="inlineStr">
        <is>
          <t>22437 (Couverture) ; 32097 (Gestion entreprise artisanale) ; 22254 (BTP conception organisation)</t>
        </is>
      </c>
      <c r="N903" s="50" t="inlineStr">
        <is>
          <t>NON</t>
        </is>
      </c>
      <c r="O903" s="45" t="inlineStr"/>
    </row>
    <row r="904" customFormat="1" s="3">
      <c r="A904" s="63" t="n"/>
      <c r="B904" s="64" t="inlineStr">
        <is>
          <t>22241</t>
        </is>
      </c>
      <c r="C904" s="64">
        <f>LEFT(Tableau1[[#This Row],[Formacode]],3)</f>
        <v/>
      </c>
      <c r="D904" s="65" t="n">
        <v>35503</v>
      </c>
      <c r="E904" s="66">
        <f>"RNCP"&amp;D904</f>
        <v/>
      </c>
      <c r="F904" s="66" t="inlineStr">
        <is>
          <t>TP - Chargé d'affaires du bâtiment</t>
        </is>
      </c>
      <c r="G904" s="67">
        <f>E904&amp;" - "&amp;F904</f>
        <v/>
      </c>
      <c r="H904" s="38" t="inlineStr">
        <is>
          <t>Expiré / remplacé</t>
        </is>
      </c>
      <c r="I904" s="63" t="inlineStr">
        <is>
          <t>Fiche inactive — remplacée par RNCP42032 (Chargé d’affaires du bâtiment)</t>
        </is>
      </c>
      <c r="J904" s="63" t="inlineStr">
        <is>
          <t>RNCP42032</t>
        </is>
      </c>
      <c r="K904" s="63" t="inlineStr">
        <is>
          <t>Chargé d’affaires du bâtiment</t>
        </is>
      </c>
      <c r="L904" s="63" t="inlineStr">
        <is>
          <t>13/04/2026</t>
        </is>
      </c>
      <c r="M904" s="63" t="inlineStr">
        <is>
          <t>22257 (Commercialisation BTP) ; 22293 (Conduite travaux BTP) ; 22279 (Maîtrise d'oeuvre BTP)</t>
        </is>
      </c>
      <c r="N904" s="68" t="inlineStr">
        <is>
          <t>NON</t>
        </is>
      </c>
      <c r="O904" s="63" t="inlineStr"/>
    </row>
    <row r="905" customFormat="1" s="3">
      <c r="A905" s="45" t="n"/>
      <c r="B905" s="46" t="inlineStr">
        <is>
          <t>22241</t>
        </is>
      </c>
      <c r="C905" s="46">
        <f>LEFT(Tableau1[[#This Row],[Formacode]],3)</f>
        <v/>
      </c>
      <c r="D905" s="47" t="n">
        <v>37445</v>
      </c>
      <c r="E905" s="48">
        <f>"RNCP"&amp;D905</f>
        <v/>
      </c>
      <c r="F905" s="48" t="inlineStr">
        <is>
          <t>TP - Technicien d'intervention de réseaux de télécommunications en fibre optique</t>
        </is>
      </c>
      <c r="G905" s="49">
        <f>E905&amp;" - "&amp;F905</f>
        <v/>
      </c>
      <c r="H905" s="36" t="inlineStr">
        <is>
          <t>RAS</t>
        </is>
      </c>
      <c r="I905" s="45" t="inlineStr"/>
      <c r="J905" s="45" t="inlineStr">
        <is>
          <t>RNCP37445</t>
        </is>
      </c>
      <c r="K905" s="45" t="inlineStr">
        <is>
          <t>Technicien d'intervention de réseaux de télécommunications en fibre optique</t>
        </is>
      </c>
      <c r="L905" s="45" t="inlineStr">
        <is>
          <t>29/07/2028</t>
        </is>
      </c>
      <c r="M905" s="45" t="inlineStr">
        <is>
          <t>24229 (Transmission fibre optique) ; 22254 (BTP conception organisation)</t>
        </is>
      </c>
      <c r="N905" s="50" t="inlineStr">
        <is>
          <t>NON</t>
        </is>
      </c>
      <c r="O905" s="45" t="inlineStr"/>
    </row>
    <row r="906" customFormat="1" s="3">
      <c r="A906" s="45" t="n"/>
      <c r="B906" s="46" t="inlineStr">
        <is>
          <t>22241</t>
        </is>
      </c>
      <c r="C906" s="46">
        <f>LEFT(Tableau1[[#This Row],[Formacode]],3)</f>
        <v/>
      </c>
      <c r="D906" s="47" t="n">
        <v>38724</v>
      </c>
      <c r="E906" s="48">
        <f>"RNCP"&amp;D906</f>
        <v/>
      </c>
      <c r="F906" s="48" t="inlineStr">
        <is>
          <t>BP - Métiers de la pierre</t>
        </is>
      </c>
      <c r="G906" s="49">
        <f>E906&amp;" - "&amp;F906</f>
        <v/>
      </c>
      <c r="H906" s="36" t="inlineStr">
        <is>
          <t>RAS</t>
        </is>
      </c>
      <c r="I906" s="45" t="inlineStr"/>
      <c r="J906" s="45" t="inlineStr">
        <is>
          <t>RNCP38724</t>
        </is>
      </c>
      <c r="K906" s="45" t="inlineStr">
        <is>
          <t>Métiers de la pierre</t>
        </is>
      </c>
      <c r="L906" s="45" t="inlineStr">
        <is>
          <t>31/12/2028</t>
        </is>
      </c>
      <c r="M906" s="45" t="inlineStr">
        <is>
          <t>22254 (BTP conception organisation) ; 45502 (Taille pierre)</t>
        </is>
      </c>
      <c r="N906" s="50" t="inlineStr">
        <is>
          <t>NON</t>
        </is>
      </c>
      <c r="O906" s="45" t="inlineStr"/>
    </row>
    <row r="907" customFormat="1" s="3">
      <c r="A907" s="45" t="n"/>
      <c r="B907" s="46" t="inlineStr">
        <is>
          <t>22241</t>
        </is>
      </c>
      <c r="C907" s="46">
        <f>LEFT(Tableau1[[#This Row],[Formacode]],3)</f>
        <v/>
      </c>
      <c r="D907" s="47" t="n">
        <v>39085</v>
      </c>
      <c r="E907" s="48">
        <f>"RNCP"&amp;D907</f>
        <v/>
      </c>
      <c r="F907" s="48" t="inlineStr">
        <is>
          <t>BTS - Géologie appliquée</t>
        </is>
      </c>
      <c r="G907" s="49">
        <f>E907&amp;" - "&amp;F907</f>
        <v/>
      </c>
      <c r="H907" s="36" t="inlineStr">
        <is>
          <t>RAS</t>
        </is>
      </c>
      <c r="I907" s="45" t="inlineStr"/>
      <c r="J907" s="45" t="inlineStr">
        <is>
          <t>RNCP39085</t>
        </is>
      </c>
      <c r="K907" s="45" t="inlineStr">
        <is>
          <t>Géologie appliquée</t>
        </is>
      </c>
      <c r="L907" s="45" t="inlineStr">
        <is>
          <t>31/08/2029</t>
        </is>
      </c>
      <c r="M907" s="45" t="inlineStr">
        <is>
          <t>12275 (Géologie) ; 22254 (BTP conception organisation) ; 12225 (Topographie)</t>
        </is>
      </c>
      <c r="N907" s="50" t="inlineStr">
        <is>
          <t>NON</t>
        </is>
      </c>
      <c r="O907" s="45" t="inlineStr"/>
    </row>
    <row r="908" customFormat="1" s="3">
      <c r="A908" s="45" t="n"/>
      <c r="B908" s="46" t="inlineStr">
        <is>
          <t>22241</t>
        </is>
      </c>
      <c r="C908" s="46">
        <f>LEFT(Tableau1[[#This Row],[Formacode]],3)</f>
        <v/>
      </c>
      <c r="D908" s="47" t="n">
        <v>39514</v>
      </c>
      <c r="E908" s="48">
        <f>"RNCP"&amp;D908</f>
        <v/>
      </c>
      <c r="F908" s="48" t="inlineStr">
        <is>
          <t>BAC PRO - Ouvrages du bâtiment : métallerie</t>
        </is>
      </c>
      <c r="G908" s="49">
        <f>E908&amp;" - "&amp;F908</f>
        <v/>
      </c>
      <c r="H908" s="36" t="inlineStr">
        <is>
          <t>RAS</t>
        </is>
      </c>
      <c r="I908" s="45" t="inlineStr"/>
      <c r="J908" s="45" t="inlineStr">
        <is>
          <t>RNCP39514</t>
        </is>
      </c>
      <c r="K908" s="45" t="inlineStr">
        <is>
          <t>Ouvrages du bâtiment : métallerie</t>
        </is>
      </c>
      <c r="L908" s="45" t="inlineStr">
        <is>
          <t>31/08/2027</t>
        </is>
      </c>
      <c r="M908" s="45" t="inlineStr">
        <is>
          <t>22254 (BTP conception organisation) ; 22478 (Métallerie serrurerie)</t>
        </is>
      </c>
      <c r="N908" s="50" t="inlineStr">
        <is>
          <t>NON</t>
        </is>
      </c>
      <c r="O908" s="45" t="inlineStr"/>
    </row>
    <row r="909" customFormat="1" s="3">
      <c r="A909" s="45" t="n"/>
      <c r="B909" s="46" t="inlineStr">
        <is>
          <t>22241</t>
        </is>
      </c>
      <c r="C909" s="46">
        <f>LEFT(Tableau1[[#This Row],[Formacode]],3)</f>
        <v/>
      </c>
      <c r="D909" s="47" t="n">
        <v>40259</v>
      </c>
      <c r="E909" s="48">
        <f>"RNCP"&amp;D909</f>
        <v/>
      </c>
      <c r="F909" s="48" t="inlineStr">
        <is>
          <t>Couvreur-zingueur (BM)</t>
        </is>
      </c>
      <c r="G909" s="49">
        <f>E909&amp;" - "&amp;F909</f>
        <v/>
      </c>
      <c r="H909" s="36" t="inlineStr">
        <is>
          <t>RAS</t>
        </is>
      </c>
      <c r="I909" s="45" t="inlineStr"/>
      <c r="J909" s="45" t="inlineStr">
        <is>
          <t>RNCP40259</t>
        </is>
      </c>
      <c r="K909" s="45" t="inlineStr">
        <is>
          <t>Couvreur-zingueur (BM)</t>
        </is>
      </c>
      <c r="L909" s="45" t="inlineStr">
        <is>
          <t>28/02/2028</t>
        </is>
      </c>
      <c r="M909" s="45" t="inlineStr">
        <is>
          <t>22437 (Couverture) ; 32097 (Gestion entreprise artisanale) ; 22254 (BTP conception organisation)</t>
        </is>
      </c>
      <c r="N909" s="50" t="inlineStr">
        <is>
          <t>NON</t>
        </is>
      </c>
      <c r="O909" s="45" t="inlineStr"/>
    </row>
    <row r="910" customFormat="1" s="3">
      <c r="A910" s="63" t="n"/>
      <c r="B910" s="64" t="inlineStr">
        <is>
          <t>22248</t>
        </is>
      </c>
      <c r="C910" s="64">
        <f>LEFT(Tableau1[[#This Row],[Formacode]],3)</f>
        <v/>
      </c>
      <c r="D910" s="65" t="n">
        <v>35503</v>
      </c>
      <c r="E910" s="66">
        <f>"RNCP"&amp;D910</f>
        <v/>
      </c>
      <c r="F910" s="66" t="inlineStr">
        <is>
          <t>TP - Chargé d'affaires du bâtiment</t>
        </is>
      </c>
      <c r="G910" s="67">
        <f>E910&amp;" - "&amp;F910</f>
        <v/>
      </c>
      <c r="H910" s="38" t="inlineStr">
        <is>
          <t>Expiré / remplacé</t>
        </is>
      </c>
      <c r="I910" s="63" t="inlineStr">
        <is>
          <t>Fiche inactive — remplacée par RNCP42032 (Chargé d’affaires du bâtiment)</t>
        </is>
      </c>
      <c r="J910" s="63" t="inlineStr">
        <is>
          <t>RNCP42032</t>
        </is>
      </c>
      <c r="K910" s="63" t="inlineStr">
        <is>
          <t>Chargé d’affaires du bâtiment</t>
        </is>
      </c>
      <c r="L910" s="63" t="inlineStr">
        <is>
          <t>13/04/2026</t>
        </is>
      </c>
      <c r="M910" s="63" t="inlineStr">
        <is>
          <t>22257 (Commercialisation BTP) ; 22293 (Conduite travaux BTP) ; 22279 (Maîtrise d'oeuvre BTP)</t>
        </is>
      </c>
      <c r="N910" s="68" t="inlineStr">
        <is>
          <t>NON</t>
        </is>
      </c>
      <c r="O910" s="63" t="inlineStr"/>
    </row>
    <row r="911" customFormat="1" s="3">
      <c r="A911" s="45" t="n"/>
      <c r="B911" s="46" t="inlineStr">
        <is>
          <t>22248</t>
        </is>
      </c>
      <c r="C911" s="46">
        <f>LEFT(Tableau1[[#This Row],[Formacode]],3)</f>
        <v/>
      </c>
      <c r="D911" s="47" t="n">
        <v>37445</v>
      </c>
      <c r="E911" s="48">
        <f>"RNCP"&amp;D911</f>
        <v/>
      </c>
      <c r="F911" s="48" t="inlineStr">
        <is>
          <t>TP - Technicien d'intervention de réseaux de télécommunications en fibre optique</t>
        </is>
      </c>
      <c r="G911" s="49">
        <f>E911&amp;" - "&amp;F911</f>
        <v/>
      </c>
      <c r="H911" s="36" t="inlineStr">
        <is>
          <t>RAS</t>
        </is>
      </c>
      <c r="I911" s="45" t="inlineStr"/>
      <c r="J911" s="45" t="inlineStr">
        <is>
          <t>RNCP37445</t>
        </is>
      </c>
      <c r="K911" s="45" t="inlineStr">
        <is>
          <t>Technicien d'intervention de réseaux de télécommunications en fibre optique</t>
        </is>
      </c>
      <c r="L911" s="45" t="inlineStr">
        <is>
          <t>29/07/2028</t>
        </is>
      </c>
      <c r="M911" s="45" t="inlineStr">
        <is>
          <t>24229 (Transmission fibre optique) ; 22254 (BTP conception organisation)</t>
        </is>
      </c>
      <c r="N911" s="50" t="inlineStr">
        <is>
          <t>NON</t>
        </is>
      </c>
      <c r="O911" s="45" t="inlineStr"/>
    </row>
    <row r="912" customFormat="1" s="3">
      <c r="A912" s="45" t="n"/>
      <c r="B912" s="46" t="inlineStr">
        <is>
          <t>22248</t>
        </is>
      </c>
      <c r="C912" s="46">
        <f>LEFT(Tableau1[[#This Row],[Formacode]],3)</f>
        <v/>
      </c>
      <c r="D912" s="47" t="n">
        <v>38724</v>
      </c>
      <c r="E912" s="48">
        <f>"RNCP"&amp;D912</f>
        <v/>
      </c>
      <c r="F912" s="48" t="inlineStr">
        <is>
          <t>BP - Métiers de la pierre</t>
        </is>
      </c>
      <c r="G912" s="49">
        <f>E912&amp;" - "&amp;F912</f>
        <v/>
      </c>
      <c r="H912" s="36" t="inlineStr">
        <is>
          <t>RAS</t>
        </is>
      </c>
      <c r="I912" s="45" t="inlineStr"/>
      <c r="J912" s="45" t="inlineStr">
        <is>
          <t>RNCP38724</t>
        </is>
      </c>
      <c r="K912" s="45" t="inlineStr">
        <is>
          <t>Métiers de la pierre</t>
        </is>
      </c>
      <c r="L912" s="45" t="inlineStr">
        <is>
          <t>31/12/2028</t>
        </is>
      </c>
      <c r="M912" s="45" t="inlineStr">
        <is>
          <t>22254 (BTP conception organisation) ; 45502 (Taille pierre)</t>
        </is>
      </c>
      <c r="N912" s="50" t="inlineStr">
        <is>
          <t>NON</t>
        </is>
      </c>
      <c r="O912" s="45" t="inlineStr"/>
    </row>
    <row r="913" customFormat="1" s="3">
      <c r="A913" s="45" t="n"/>
      <c r="B913" s="46" t="inlineStr">
        <is>
          <t>22248</t>
        </is>
      </c>
      <c r="C913" s="46">
        <f>LEFT(Tableau1[[#This Row],[Formacode]],3)</f>
        <v/>
      </c>
      <c r="D913" s="47" t="n">
        <v>39085</v>
      </c>
      <c r="E913" s="48">
        <f>"RNCP"&amp;D913</f>
        <v/>
      </c>
      <c r="F913" s="48" t="inlineStr">
        <is>
          <t>BTS - Géologie appliquée</t>
        </is>
      </c>
      <c r="G913" s="49">
        <f>E913&amp;" - "&amp;F913</f>
        <v/>
      </c>
      <c r="H913" s="36" t="inlineStr">
        <is>
          <t>RAS</t>
        </is>
      </c>
      <c r="I913" s="45" t="inlineStr"/>
      <c r="J913" s="45" t="inlineStr">
        <is>
          <t>RNCP39085</t>
        </is>
      </c>
      <c r="K913" s="45" t="inlineStr">
        <is>
          <t>Géologie appliquée</t>
        </is>
      </c>
      <c r="L913" s="45" t="inlineStr">
        <is>
          <t>31/08/2029</t>
        </is>
      </c>
      <c r="M913" s="45" t="inlineStr">
        <is>
          <t>12275 (Géologie) ; 22254 (BTP conception organisation) ; 12225 (Topographie)</t>
        </is>
      </c>
      <c r="N913" s="50" t="inlineStr">
        <is>
          <t>NON</t>
        </is>
      </c>
      <c r="O913" s="45" t="inlineStr"/>
    </row>
    <row r="914" customFormat="1" s="3">
      <c r="A914" s="45" t="n"/>
      <c r="B914" s="46" t="inlineStr">
        <is>
          <t>22248</t>
        </is>
      </c>
      <c r="C914" s="46">
        <f>LEFT(Tableau1[[#This Row],[Formacode]],3)</f>
        <v/>
      </c>
      <c r="D914" s="47" t="n">
        <v>39514</v>
      </c>
      <c r="E914" s="48">
        <f>"RNCP"&amp;D914</f>
        <v/>
      </c>
      <c r="F914" s="48" t="inlineStr">
        <is>
          <t>BAC PRO - Ouvrages du bâtiment : métallerie</t>
        </is>
      </c>
      <c r="G914" s="49">
        <f>E914&amp;" - "&amp;F914</f>
        <v/>
      </c>
      <c r="H914" s="36" t="inlineStr">
        <is>
          <t>RAS</t>
        </is>
      </c>
      <c r="I914" s="45" t="inlineStr"/>
      <c r="J914" s="45" t="inlineStr">
        <is>
          <t>RNCP39514</t>
        </is>
      </c>
      <c r="K914" s="45" t="inlineStr">
        <is>
          <t>Ouvrages du bâtiment : métallerie</t>
        </is>
      </c>
      <c r="L914" s="45" t="inlineStr">
        <is>
          <t>31/08/2027</t>
        </is>
      </c>
      <c r="M914" s="45" t="inlineStr">
        <is>
          <t>22254 (BTP conception organisation) ; 22478 (Métallerie serrurerie)</t>
        </is>
      </c>
      <c r="N914" s="50" t="inlineStr">
        <is>
          <t>NON</t>
        </is>
      </c>
      <c r="O914" s="45" t="inlineStr"/>
    </row>
    <row r="915" customFormat="1" s="3">
      <c r="A915" s="45" t="n"/>
      <c r="B915" s="46" t="inlineStr">
        <is>
          <t>22248</t>
        </is>
      </c>
      <c r="C915" s="46">
        <f>LEFT(Tableau1[[#This Row],[Formacode]],3)</f>
        <v/>
      </c>
      <c r="D915" s="47" t="n">
        <v>40259</v>
      </c>
      <c r="E915" s="48">
        <f>"RNCP"&amp;D915</f>
        <v/>
      </c>
      <c r="F915" s="48" t="inlineStr">
        <is>
          <t>Couvreur-zingueur (BM)</t>
        </is>
      </c>
      <c r="G915" s="49">
        <f>E915&amp;" - "&amp;F915</f>
        <v/>
      </c>
      <c r="H915" s="36" t="inlineStr">
        <is>
          <t>RAS</t>
        </is>
      </c>
      <c r="I915" s="45" t="inlineStr"/>
      <c r="J915" s="45" t="inlineStr">
        <is>
          <t>RNCP40259</t>
        </is>
      </c>
      <c r="K915" s="45" t="inlineStr">
        <is>
          <t>Couvreur-zingueur (BM)</t>
        </is>
      </c>
      <c r="L915" s="45" t="inlineStr">
        <is>
          <t>28/02/2028</t>
        </is>
      </c>
      <c r="M915" s="45" t="inlineStr">
        <is>
          <t>22437 (Couverture) ; 32097 (Gestion entreprise artisanale) ; 22254 (BTP conception organisation)</t>
        </is>
      </c>
      <c r="N915" s="50" t="inlineStr">
        <is>
          <t>NON</t>
        </is>
      </c>
      <c r="O915" s="45" t="inlineStr"/>
    </row>
    <row r="916" customFormat="1" s="3">
      <c r="A916" s="63" t="n"/>
      <c r="B916" s="64" t="inlineStr">
        <is>
          <t>22250</t>
        </is>
      </c>
      <c r="C916" s="64">
        <f>LEFT(Tableau1[[#This Row],[Formacode]],3)</f>
        <v/>
      </c>
      <c r="D916" s="65" t="n">
        <v>35503</v>
      </c>
      <c r="E916" s="66">
        <f>"RNCP"&amp;D916</f>
        <v/>
      </c>
      <c r="F916" s="66" t="inlineStr">
        <is>
          <t>TP - Chargé d'affaires du bâtiment</t>
        </is>
      </c>
      <c r="G916" s="67">
        <f>E916&amp;" - "&amp;F916</f>
        <v/>
      </c>
      <c r="H916" s="38" t="inlineStr">
        <is>
          <t>Expiré / remplacé</t>
        </is>
      </c>
      <c r="I916" s="63" t="inlineStr">
        <is>
          <t>Fiche inactive — remplacée par RNCP42032 (Chargé d’affaires du bâtiment)</t>
        </is>
      </c>
      <c r="J916" s="63" t="inlineStr">
        <is>
          <t>RNCP42032</t>
        </is>
      </c>
      <c r="K916" s="63" t="inlineStr">
        <is>
          <t>Chargé d’affaires du bâtiment</t>
        </is>
      </c>
      <c r="L916" s="63" t="inlineStr">
        <is>
          <t>13/04/2026</t>
        </is>
      </c>
      <c r="M916" s="63" t="inlineStr">
        <is>
          <t>22257 (Commercialisation BTP) ; 22293 (Conduite travaux BTP) ; 22279 (Maîtrise d'oeuvre BTP)</t>
        </is>
      </c>
      <c r="N916" s="68" t="inlineStr">
        <is>
          <t>NON</t>
        </is>
      </c>
      <c r="O916" s="63" t="inlineStr"/>
    </row>
    <row r="917" customFormat="1" s="3">
      <c r="A917" s="63" t="n"/>
      <c r="B917" s="64" t="inlineStr">
        <is>
          <t>22250</t>
        </is>
      </c>
      <c r="C917" s="64">
        <f>LEFT(Tableau1[[#This Row],[Formacode]],3)</f>
        <v/>
      </c>
      <c r="D917" s="65" t="n">
        <v>35590</v>
      </c>
      <c r="E917" s="66">
        <f>"RNCP"&amp;D917</f>
        <v/>
      </c>
      <c r="F917" s="66" t="inlineStr">
        <is>
          <t>Manager de l'habitat social et durable</t>
        </is>
      </c>
      <c r="G917" s="67">
        <f>E917&amp;" - "&amp;F917</f>
        <v/>
      </c>
      <c r="H917" s="38" t="inlineStr">
        <is>
          <t>Expiré / remplacé</t>
        </is>
      </c>
      <c r="I917" s="63" t="inlineStr">
        <is>
          <t>Fiche inactive — remplacée par RNCP42170 (Manager de projet immobilier durable)</t>
        </is>
      </c>
      <c r="J917" s="63" t="inlineStr">
        <is>
          <t>RNCP42170</t>
        </is>
      </c>
      <c r="K917" s="63" t="inlineStr">
        <is>
          <t>Manager de projet immobilier durable</t>
        </is>
      </c>
      <c r="L917" s="63" t="inlineStr">
        <is>
          <t>19/05/2026</t>
        </is>
      </c>
      <c r="M917" s="63" t="inlineStr">
        <is>
          <t>42154 (Immobilier) ; 22250 (Éco-construction) ; 32145 (Management transversal) ; 12554 (Environnement aménagement)</t>
        </is>
      </c>
      <c r="N917" s="68" t="inlineStr">
        <is>
          <t>NON</t>
        </is>
      </c>
      <c r="O917" s="63" t="inlineStr"/>
    </row>
    <row r="918" customFormat="1" s="3">
      <c r="A918" s="45" t="n"/>
      <c r="B918" s="46" t="inlineStr">
        <is>
          <t>22250</t>
        </is>
      </c>
      <c r="C918" s="46">
        <f>LEFT(Tableau1[[#This Row],[Formacode]],3)</f>
        <v/>
      </c>
      <c r="D918" s="47" t="n">
        <v>37442</v>
      </c>
      <c r="E918" s="48">
        <f>"RNCP"&amp;D918</f>
        <v/>
      </c>
      <c r="F918" s="48" t="inlineStr">
        <is>
          <t>TP - Electricien d'équipement du bâtiment</t>
        </is>
      </c>
      <c r="G918" s="49">
        <f>E918&amp;" - "&amp;F918</f>
        <v/>
      </c>
      <c r="H918" s="36" t="inlineStr">
        <is>
          <t>RAS</t>
        </is>
      </c>
      <c r="I918" s="45" t="inlineStr"/>
      <c r="J918" s="45" t="inlineStr">
        <is>
          <t>RNCP37442</t>
        </is>
      </c>
      <c r="K918" s="45" t="inlineStr">
        <is>
          <t>Electricien d'équipement du bâtiment</t>
        </is>
      </c>
      <c r="L918" s="45" t="inlineStr">
        <is>
          <t>02/09/2028</t>
        </is>
      </c>
      <c r="M918" s="45" t="inlineStr">
        <is>
          <t>24066 (Installation électrique) ; 22211 (Performance énergétique bâtiment) ; 22485 (Rénovation bâtiment)</t>
        </is>
      </c>
      <c r="N918" s="50" t="inlineStr">
        <is>
          <t>NON</t>
        </is>
      </c>
      <c r="O918" s="45" t="inlineStr"/>
    </row>
    <row r="919" customFormat="1" s="3">
      <c r="A919" s="45" t="n"/>
      <c r="B919" s="46" t="inlineStr">
        <is>
          <t>22250</t>
        </is>
      </c>
      <c r="C919" s="46">
        <f>LEFT(Tableau1[[#This Row],[Formacode]],3)</f>
        <v/>
      </c>
      <c r="D919" s="47" t="n">
        <v>37445</v>
      </c>
      <c r="E919" s="48">
        <f>"RNCP"&amp;D919</f>
        <v/>
      </c>
      <c r="F919" s="48" t="inlineStr">
        <is>
          <t>TP - Technicien d'intervention de réseaux de télécommunications en fibre optique</t>
        </is>
      </c>
      <c r="G919" s="49">
        <f>E919&amp;" - "&amp;F919</f>
        <v/>
      </c>
      <c r="H919" s="36" t="inlineStr">
        <is>
          <t>RAS</t>
        </is>
      </c>
      <c r="I919" s="45" t="inlineStr"/>
      <c r="J919" s="45" t="inlineStr">
        <is>
          <t>RNCP37445</t>
        </is>
      </c>
      <c r="K919" s="45" t="inlineStr">
        <is>
          <t>Technicien d'intervention de réseaux de télécommunications en fibre optique</t>
        </is>
      </c>
      <c r="L919" s="45" t="inlineStr">
        <is>
          <t>29/07/2028</t>
        </is>
      </c>
      <c r="M919" s="45" t="inlineStr">
        <is>
          <t>24229 (Transmission fibre optique) ; 22254 (BTP conception organisation)</t>
        </is>
      </c>
      <c r="N919" s="50" t="inlineStr">
        <is>
          <t>NON</t>
        </is>
      </c>
      <c r="O919" s="45" t="inlineStr"/>
    </row>
    <row r="920" customFormat="1" s="3">
      <c r="A920" s="45" t="n"/>
      <c r="B920" s="46" t="inlineStr">
        <is>
          <t>22250</t>
        </is>
      </c>
      <c r="C920" s="46">
        <f>LEFT(Tableau1[[#This Row],[Formacode]],3)</f>
        <v/>
      </c>
      <c r="D920" s="47" t="n">
        <v>37446</v>
      </c>
      <c r="E920" s="48">
        <f>"RNCP"&amp;D920</f>
        <v/>
      </c>
      <c r="F920" s="48" t="inlineStr">
        <is>
          <t>TP - Technicien d'équipement et d'exploitation en électricité</t>
        </is>
      </c>
      <c r="G920" s="49">
        <f>E920&amp;" - "&amp;F920</f>
        <v/>
      </c>
      <c r="H920" s="36" t="inlineStr">
        <is>
          <t>RAS</t>
        </is>
      </c>
      <c r="I920" s="45" t="inlineStr"/>
      <c r="J920" s="45" t="inlineStr">
        <is>
          <t>RNCP37446</t>
        </is>
      </c>
      <c r="K920" s="45" t="inlineStr">
        <is>
          <t>Technicien d'équipement et d'exploitation en électricité</t>
        </is>
      </c>
      <c r="L920" s="45" t="inlineStr">
        <is>
          <t>08/05/2028</t>
        </is>
      </c>
      <c r="M920" s="45" t="inlineStr">
        <is>
          <t>24066 (Installation électrique) ; 22211 (Performance énergétique bâtiment)</t>
        </is>
      </c>
      <c r="N920" s="50" t="inlineStr">
        <is>
          <t>NON</t>
        </is>
      </c>
      <c r="O920" s="45" t="inlineStr"/>
    </row>
    <row r="921" customFormat="1" s="3">
      <c r="A921" s="51" t="n"/>
      <c r="B921" s="52" t="inlineStr">
        <is>
          <t>22250</t>
        </is>
      </c>
      <c r="C921" s="52">
        <f>LEFT(Tableau1[[#This Row],[Formacode]],3)</f>
        <v/>
      </c>
      <c r="D921" s="53" t="n">
        <v>37986</v>
      </c>
      <c r="E921" s="54">
        <f>"RNCP"&amp;D921</f>
        <v/>
      </c>
      <c r="F921" s="54" t="inlineStr">
        <is>
          <t>Expert de la transition énergétique</t>
        </is>
      </c>
      <c r="G921" s="55">
        <f>E921&amp;" - "&amp;F921</f>
        <v/>
      </c>
      <c r="H921" s="37" t="inlineStr">
        <is>
          <t>À vérifier</t>
        </is>
      </c>
      <c r="I921" s="51" t="inlineStr">
        <is>
          <t>Échéance le 20/09/2026 (dans 64 j)</t>
        </is>
      </c>
      <c r="J921" s="51" t="inlineStr">
        <is>
          <t>RNCP37986</t>
        </is>
      </c>
      <c r="K921" s="51" t="inlineStr">
        <is>
          <t>Expert de la transition énergétique</t>
        </is>
      </c>
      <c r="L921" s="51" t="inlineStr">
        <is>
          <t>20/09/2026</t>
        </is>
      </c>
      <c r="M921" s="51" t="inlineStr">
        <is>
          <t>22485 (Rénovation bâtiment) ; 22250 (Éco-construction) ; 22279 (Maîtrise d'oeuvre BTP) ; 22269 (Maîtrise d'ouvrage BTP) ; 24147 (Énergie renouvelable)</t>
        </is>
      </c>
      <c r="N921" s="62" t="inlineStr">
        <is>
          <t>NON</t>
        </is>
      </c>
      <c r="O921" s="51" t="inlineStr"/>
    </row>
    <row r="922" customFormat="1" s="3">
      <c r="A922" s="45" t="n"/>
      <c r="B922" s="46" t="inlineStr">
        <is>
          <t>22250</t>
        </is>
      </c>
      <c r="C922" s="46">
        <f>LEFT(Tableau1[[#This Row],[Formacode]],3)</f>
        <v/>
      </c>
      <c r="D922" s="47" t="n">
        <v>38546</v>
      </c>
      <c r="E922" s="48">
        <f>"RNCP"&amp;D922</f>
        <v/>
      </c>
      <c r="F922" s="48" t="inlineStr">
        <is>
          <t>TP - Chargé d'études thermiques, énergétiques et environnementales du bâtiment</t>
        </is>
      </c>
      <c r="G922" s="49">
        <f>E922&amp;" - "&amp;F922</f>
        <v/>
      </c>
      <c r="H922" s="36" t="inlineStr">
        <is>
          <t>RAS</t>
        </is>
      </c>
      <c r="I922" s="45" t="inlineStr"/>
      <c r="J922" s="45" t="inlineStr">
        <is>
          <t>RNCP38546</t>
        </is>
      </c>
      <c r="K922" s="45" t="inlineStr">
        <is>
          <t>Chargé d'études thermiques, énergétiques et environnementales du bâtiment</t>
        </is>
      </c>
      <c r="L922" s="45" t="inlineStr">
        <is>
          <t>01/03/2029</t>
        </is>
      </c>
      <c r="M922" s="45" t="inlineStr">
        <is>
          <t>22232 (Métré BTP) ; 22211 (Performance énergétique bâtiment) ; 22485 (Rénovation bâtiment)</t>
        </is>
      </c>
      <c r="N922" s="50" t="inlineStr">
        <is>
          <t>NON</t>
        </is>
      </c>
      <c r="O922" s="45" t="inlineStr"/>
    </row>
    <row r="923" customFormat="1" s="3">
      <c r="A923" s="45" t="n"/>
      <c r="B923" s="46" t="inlineStr">
        <is>
          <t>22250</t>
        </is>
      </c>
      <c r="C923" s="46">
        <f>LEFT(Tableau1[[#This Row],[Formacode]],3)</f>
        <v/>
      </c>
      <c r="D923" s="47" t="n">
        <v>38724</v>
      </c>
      <c r="E923" s="48">
        <f>"RNCP"&amp;D923</f>
        <v/>
      </c>
      <c r="F923" s="48" t="inlineStr">
        <is>
          <t>BP - Métiers de la pierre</t>
        </is>
      </c>
      <c r="G923" s="49">
        <f>E923&amp;" - "&amp;F923</f>
        <v/>
      </c>
      <c r="H923" s="36" t="inlineStr">
        <is>
          <t>RAS</t>
        </is>
      </c>
      <c r="I923" s="45" t="inlineStr"/>
      <c r="J923" s="45" t="inlineStr">
        <is>
          <t>RNCP38724</t>
        </is>
      </c>
      <c r="K923" s="45" t="inlineStr">
        <is>
          <t>Métiers de la pierre</t>
        </is>
      </c>
      <c r="L923" s="45" t="inlineStr">
        <is>
          <t>31/12/2028</t>
        </is>
      </c>
      <c r="M923" s="45" t="inlineStr">
        <is>
          <t>22254 (BTP conception organisation) ; 45502 (Taille pierre)</t>
        </is>
      </c>
      <c r="N923" s="50" t="inlineStr">
        <is>
          <t>NON</t>
        </is>
      </c>
      <c r="O923" s="45" t="inlineStr"/>
    </row>
    <row r="924" customFormat="1" s="3">
      <c r="A924" s="45" t="n"/>
      <c r="B924" s="46" t="inlineStr">
        <is>
          <t>22250</t>
        </is>
      </c>
      <c r="C924" s="46">
        <f>LEFT(Tableau1[[#This Row],[Formacode]],3)</f>
        <v/>
      </c>
      <c r="D924" s="47" t="n">
        <v>38931</v>
      </c>
      <c r="E924" s="48">
        <f>"RNCP"&amp;D924</f>
        <v/>
      </c>
      <c r="F924" s="48" t="inlineStr">
        <is>
          <t>Chef de projet en rénovation énergétique performante et durable</t>
        </is>
      </c>
      <c r="G924" s="49">
        <f>E924&amp;" - "&amp;F924</f>
        <v/>
      </c>
      <c r="H924" s="36" t="inlineStr">
        <is>
          <t>RAS</t>
        </is>
      </c>
      <c r="I924" s="45" t="inlineStr"/>
      <c r="J924" s="45" t="inlineStr">
        <is>
          <t>RNCP38931</t>
        </is>
      </c>
      <c r="K924" s="45" t="inlineStr">
        <is>
          <t>Chef de projet en rénovation énergétique performante et durable</t>
        </is>
      </c>
      <c r="L924" s="45" t="inlineStr">
        <is>
          <t>26/04/2027</t>
        </is>
      </c>
      <c r="M924" s="45" t="inlineStr">
        <is>
          <t>22485 (Rénovation bâtiment) ; 22215 (Audit énergétique bâtiment) ; 42105 (Diagnostic performance énergétique) ; 22210 (Réglementation thermique bâtiment)</t>
        </is>
      </c>
      <c r="N924" s="50" t="inlineStr">
        <is>
          <t>NON</t>
        </is>
      </c>
      <c r="O924" s="45" t="inlineStr"/>
    </row>
    <row r="925" customFormat="1" s="3">
      <c r="A925" s="45" t="n"/>
      <c r="B925" s="46" t="inlineStr">
        <is>
          <t>22250</t>
        </is>
      </c>
      <c r="C925" s="46">
        <f>LEFT(Tableau1[[#This Row],[Formacode]],3)</f>
        <v/>
      </c>
      <c r="D925" s="47" t="n">
        <v>39085</v>
      </c>
      <c r="E925" s="48">
        <f>"RNCP"&amp;D925</f>
        <v/>
      </c>
      <c r="F925" s="48" t="inlineStr">
        <is>
          <t>BTS - Géologie appliquée</t>
        </is>
      </c>
      <c r="G925" s="49">
        <f>E925&amp;" - "&amp;F925</f>
        <v/>
      </c>
      <c r="H925" s="36" t="inlineStr">
        <is>
          <t>RAS</t>
        </is>
      </c>
      <c r="I925" s="45" t="inlineStr"/>
      <c r="J925" s="45" t="inlineStr">
        <is>
          <t>RNCP39085</t>
        </is>
      </c>
      <c r="K925" s="45" t="inlineStr">
        <is>
          <t>Géologie appliquée</t>
        </is>
      </c>
      <c r="L925" s="45" t="inlineStr">
        <is>
          <t>31/08/2029</t>
        </is>
      </c>
      <c r="M925" s="45" t="inlineStr">
        <is>
          <t>12275 (Géologie) ; 22254 (BTP conception organisation) ; 12225 (Topographie)</t>
        </is>
      </c>
      <c r="N925" s="50" t="inlineStr">
        <is>
          <t>NON</t>
        </is>
      </c>
      <c r="O925" s="45" t="inlineStr"/>
    </row>
    <row r="926" customFormat="1" s="3">
      <c r="A926" s="45" t="n"/>
      <c r="B926" s="46" t="inlineStr">
        <is>
          <t>22250</t>
        </is>
      </c>
      <c r="C926" s="46">
        <f>LEFT(Tableau1[[#This Row],[Formacode]],3)</f>
        <v/>
      </c>
      <c r="D926" s="47" t="n">
        <v>39180</v>
      </c>
      <c r="E926" s="48">
        <f>"RNCP"&amp;D926</f>
        <v/>
      </c>
      <c r="F926" s="48" t="inlineStr">
        <is>
          <t>TP - Chargé d'accompagnement à la rénovation énergétique du bâtiment</t>
        </is>
      </c>
      <c r="G926" s="49">
        <f>E926&amp;" - "&amp;F926</f>
        <v/>
      </c>
      <c r="H926" s="36" t="inlineStr">
        <is>
          <t>RAS</t>
        </is>
      </c>
      <c r="I926" s="45" t="inlineStr"/>
      <c r="J926" s="45" t="inlineStr">
        <is>
          <t>RNCP39180</t>
        </is>
      </c>
      <c r="K926" s="45" t="inlineStr">
        <is>
          <t>Chargé d'accompagnement à la rénovation énergétique du bâtiment</t>
        </is>
      </c>
      <c r="L926" s="45" t="inlineStr">
        <is>
          <t>25/08/2029</t>
        </is>
      </c>
      <c r="M926" s="45" t="inlineStr">
        <is>
          <t>22293 (Conduite travaux BTP) ; 22485 (Rénovation bâtiment) ; 22211 (Performance énergétique bâtiment) ; 22232 (Métré BTP)</t>
        </is>
      </c>
      <c r="N926" s="50" t="inlineStr">
        <is>
          <t>NON</t>
        </is>
      </c>
      <c r="O926" s="45" t="inlineStr"/>
    </row>
    <row r="927" customFormat="1" s="3">
      <c r="A927" s="45" t="n"/>
      <c r="B927" s="46" t="inlineStr">
        <is>
          <t>22250</t>
        </is>
      </c>
      <c r="C927" s="46">
        <f>LEFT(Tableau1[[#This Row],[Formacode]],3)</f>
        <v/>
      </c>
      <c r="D927" s="47" t="n">
        <v>39217</v>
      </c>
      <c r="E927" s="48">
        <f>"RNCP"&amp;D927</f>
        <v/>
      </c>
      <c r="F927" s="48" t="inlineStr">
        <is>
          <t>Expert en digitalisation et exploitation des bâtiments</t>
        </is>
      </c>
      <c r="G927" s="49">
        <f>E927&amp;" - "&amp;F927</f>
        <v/>
      </c>
      <c r="H927" s="36" t="inlineStr">
        <is>
          <t>RAS</t>
        </is>
      </c>
      <c r="I927" s="45" t="inlineStr"/>
      <c r="J927" s="45" t="inlineStr">
        <is>
          <t>RNCP39217</t>
        </is>
      </c>
      <c r="K927" s="45" t="inlineStr">
        <is>
          <t>Expert en digitalisation et exploitation des bâtiments</t>
        </is>
      </c>
      <c r="L927" s="45" t="inlineStr">
        <is>
          <t>27/06/2027</t>
        </is>
      </c>
      <c r="M927" s="45" t="inlineStr">
        <is>
          <t>22211 (Performance énergétique bâtiment) ; 24162 (Gestion énergie) ; 70954 (Logiciel gestion projet) ; 22279 (Maîtrise d'oeuvre BTP) ; 31009 (Architecture système information)</t>
        </is>
      </c>
      <c r="N927" s="50" t="inlineStr">
        <is>
          <t>NON</t>
        </is>
      </c>
      <c r="O927" s="45" t="inlineStr"/>
    </row>
    <row r="928" customFormat="1" s="3">
      <c r="A928" s="45" t="n"/>
      <c r="B928" s="46" t="inlineStr">
        <is>
          <t>22250</t>
        </is>
      </c>
      <c r="C928" s="46">
        <f>LEFT(Tableau1[[#This Row],[Formacode]],3)</f>
        <v/>
      </c>
      <c r="D928" s="47" t="n">
        <v>39225</v>
      </c>
      <c r="E928" s="48">
        <f>"RNCP"&amp;D928</f>
        <v/>
      </c>
      <c r="F928" s="48" t="inlineStr">
        <is>
          <t>Technicien chef de projet en rénovation énergétique</t>
        </is>
      </c>
      <c r="G928" s="49">
        <f>E928&amp;" - "&amp;F928</f>
        <v/>
      </c>
      <c r="H928" s="36" t="inlineStr">
        <is>
          <t>RAS</t>
        </is>
      </c>
      <c r="I928" s="45" t="inlineStr"/>
      <c r="J928" s="45" t="inlineStr">
        <is>
          <t>RNCP39225</t>
        </is>
      </c>
      <c r="K928" s="45" t="inlineStr">
        <is>
          <t>Technicien chef de projet en rénovation énergétique</t>
        </is>
      </c>
      <c r="L928" s="45" t="inlineStr">
        <is>
          <t>27/06/2027</t>
        </is>
      </c>
      <c r="M928" s="45" t="inlineStr">
        <is>
          <t>24154 (Énergie) ; 22215 (Audit énergétique bâtiment) ; 22210 (Réglementation thermique bâtiment) ; 22485 (Rénovation bâtiment)</t>
        </is>
      </c>
      <c r="N928" s="50" t="inlineStr">
        <is>
          <t>NON</t>
        </is>
      </c>
      <c r="O928" s="45" t="inlineStr"/>
    </row>
    <row r="929" customFormat="1" s="3">
      <c r="A929" s="45" t="n"/>
      <c r="B929" s="46" t="inlineStr">
        <is>
          <t>22250</t>
        </is>
      </c>
      <c r="C929" s="46">
        <f>LEFT(Tableau1[[#This Row],[Formacode]],3)</f>
        <v/>
      </c>
      <c r="D929" s="47" t="n">
        <v>39259</v>
      </c>
      <c r="E929" s="48">
        <f>"RNCP"&amp;D929</f>
        <v/>
      </c>
      <c r="F929" s="48" t="inlineStr">
        <is>
          <t>Chargé d'études en rénovation énergétique</t>
        </is>
      </c>
      <c r="G929" s="49">
        <f>E929&amp;" - "&amp;F929</f>
        <v/>
      </c>
      <c r="H929" s="36" t="inlineStr">
        <is>
          <t>RAS</t>
        </is>
      </c>
      <c r="I929" s="45" t="inlineStr"/>
      <c r="J929" s="45" t="inlineStr">
        <is>
          <t>RNCP39259</t>
        </is>
      </c>
      <c r="K929" s="45" t="inlineStr">
        <is>
          <t>Chargé d'études en rénovation énergétique</t>
        </is>
      </c>
      <c r="L929" s="45" t="inlineStr">
        <is>
          <t>27/06/2027</t>
        </is>
      </c>
      <c r="M929" s="45" t="inlineStr">
        <is>
          <t>24170 (Conseil énergie) ; 42105 (Diagnostic performance énergétique) ; 22215 (Audit énergétique bâtiment)</t>
        </is>
      </c>
      <c r="N929" s="50" t="inlineStr">
        <is>
          <t>NON</t>
        </is>
      </c>
      <c r="O929" s="45" t="inlineStr"/>
    </row>
    <row r="930" customFormat="1" s="3">
      <c r="A930" s="45" t="n"/>
      <c r="B930" s="46" t="inlineStr">
        <is>
          <t>22250</t>
        </is>
      </c>
      <c r="C930" s="46">
        <f>LEFT(Tableau1[[#This Row],[Formacode]],3)</f>
        <v/>
      </c>
      <c r="D930" s="47" t="n">
        <v>39514</v>
      </c>
      <c r="E930" s="48">
        <f>"RNCP"&amp;D930</f>
        <v/>
      </c>
      <c r="F930" s="48" t="inlineStr">
        <is>
          <t>BAC PRO - Ouvrages du bâtiment : métallerie</t>
        </is>
      </c>
      <c r="G930" s="49">
        <f>E930&amp;" - "&amp;F930</f>
        <v/>
      </c>
      <c r="H930" s="36" t="inlineStr">
        <is>
          <t>RAS</t>
        </is>
      </c>
      <c r="I930" s="45" t="inlineStr"/>
      <c r="J930" s="45" t="inlineStr">
        <is>
          <t>RNCP39514</t>
        </is>
      </c>
      <c r="K930" s="45" t="inlineStr">
        <is>
          <t>Ouvrages du bâtiment : métallerie</t>
        </is>
      </c>
      <c r="L930" s="45" t="inlineStr">
        <is>
          <t>31/08/2027</t>
        </is>
      </c>
      <c r="M930" s="45" t="inlineStr">
        <is>
          <t>22254 (BTP conception organisation) ; 22478 (Métallerie serrurerie)</t>
        </is>
      </c>
      <c r="N930" s="50" t="inlineStr">
        <is>
          <t>NON</t>
        </is>
      </c>
      <c r="O930" s="45" t="inlineStr"/>
    </row>
    <row r="931" customFormat="1" s="3">
      <c r="A931" s="45" t="n"/>
      <c r="B931" s="46" t="inlineStr">
        <is>
          <t>22250</t>
        </is>
      </c>
      <c r="C931" s="46">
        <f>LEFT(Tableau1[[#This Row],[Formacode]],3)</f>
        <v/>
      </c>
      <c r="D931" s="47" t="n">
        <v>39880</v>
      </c>
      <c r="E931" s="48">
        <f>"RNCP"&amp;D931</f>
        <v/>
      </c>
      <c r="F931" s="48" t="inlineStr">
        <is>
          <t>Expert en digitalisation et exploitation des bâtiments</t>
        </is>
      </c>
      <c r="G931" s="49">
        <f>E931&amp;" - "&amp;F931</f>
        <v/>
      </c>
      <c r="H931" s="36" t="inlineStr">
        <is>
          <t>RAS</t>
        </is>
      </c>
      <c r="I931" s="45" t="inlineStr"/>
      <c r="J931" s="45" t="inlineStr">
        <is>
          <t>RNCP39880</t>
        </is>
      </c>
      <c r="K931" s="45" t="inlineStr">
        <is>
          <t>Expert en digitalisation et exploitation des bâtiments</t>
        </is>
      </c>
      <c r="L931" s="45" t="inlineStr">
        <is>
          <t>28/11/2027</t>
        </is>
      </c>
      <c r="M931" s="45" t="inlineStr">
        <is>
          <t>22211 (Performance énergétique bâtiment) ; 24162 (Gestion énergie) ; 31042 (Internet des objets)</t>
        </is>
      </c>
      <c r="N931" s="50" t="inlineStr">
        <is>
          <t>NON</t>
        </is>
      </c>
      <c r="O931" s="45" t="inlineStr"/>
    </row>
    <row r="932" customFormat="1" s="3">
      <c r="A932" s="45" t="n"/>
      <c r="B932" s="46" t="inlineStr">
        <is>
          <t>22250</t>
        </is>
      </c>
      <c r="C932" s="46">
        <f>LEFT(Tableau1[[#This Row],[Formacode]],3)</f>
        <v/>
      </c>
      <c r="D932" s="47" t="n">
        <v>40259</v>
      </c>
      <c r="E932" s="48">
        <f>"RNCP"&amp;D932</f>
        <v/>
      </c>
      <c r="F932" s="48" t="inlineStr">
        <is>
          <t>Couvreur-zingueur (BM)</t>
        </is>
      </c>
      <c r="G932" s="49">
        <f>E932&amp;" - "&amp;F932</f>
        <v/>
      </c>
      <c r="H932" s="36" t="inlineStr">
        <is>
          <t>RAS</t>
        </is>
      </c>
      <c r="I932" s="45" t="inlineStr"/>
      <c r="J932" s="45" t="inlineStr">
        <is>
          <t>RNCP40259</t>
        </is>
      </c>
      <c r="K932" s="45" t="inlineStr">
        <is>
          <t>Couvreur-zingueur (BM)</t>
        </is>
      </c>
      <c r="L932" s="45" t="inlineStr">
        <is>
          <t>28/02/2028</t>
        </is>
      </c>
      <c r="M932" s="45" t="inlineStr">
        <is>
          <t>22437 (Couverture) ; 32097 (Gestion entreprise artisanale) ; 22254 (BTP conception organisation)</t>
        </is>
      </c>
      <c r="N932" s="50" t="inlineStr">
        <is>
          <t>NON</t>
        </is>
      </c>
      <c r="O932" s="45" t="inlineStr"/>
    </row>
    <row r="933" customFormat="1" s="3">
      <c r="A933" s="45" t="n"/>
      <c r="B933" s="46" t="inlineStr">
        <is>
          <t>22250</t>
        </is>
      </c>
      <c r="C933" s="46">
        <f>LEFT(Tableau1[[#This Row],[Formacode]],3)</f>
        <v/>
      </c>
      <c r="D933" s="47" t="n">
        <v>40392</v>
      </c>
      <c r="E933" s="48">
        <f>"RNCP"&amp;D933</f>
        <v/>
      </c>
      <c r="F933" s="48" t="inlineStr">
        <is>
          <t>Technicien chef de projet en rénovation énergétique</t>
        </is>
      </c>
      <c r="G933" s="49">
        <f>E933&amp;" - "&amp;F933</f>
        <v/>
      </c>
      <c r="H933" s="36" t="inlineStr">
        <is>
          <t>RAS</t>
        </is>
      </c>
      <c r="I933" s="45" t="inlineStr"/>
      <c r="J933" s="45" t="inlineStr">
        <is>
          <t>RNCP40392</t>
        </is>
      </c>
      <c r="K933" s="45" t="inlineStr">
        <is>
          <t>Technicien chef de projet en rénovation énergétique</t>
        </is>
      </c>
      <c r="L933" s="45" t="inlineStr">
        <is>
          <t>28/03/2028</t>
        </is>
      </c>
      <c r="M933" s="45" t="inlineStr">
        <is>
          <t>22215 (Audit énergétique bâtiment) ; 22210 (Réglementation thermique bâtiment) ; 22485 (Rénovation bâtiment)</t>
        </is>
      </c>
      <c r="N933" s="50" t="inlineStr">
        <is>
          <t>NON</t>
        </is>
      </c>
      <c r="O933" s="45" t="inlineStr"/>
    </row>
    <row r="934" customFormat="1" s="3">
      <c r="A934" s="45" t="n"/>
      <c r="B934" s="46" t="inlineStr">
        <is>
          <t>22250</t>
        </is>
      </c>
      <c r="C934" s="46">
        <f>LEFT(Tableau1[[#This Row],[Formacode]],3)</f>
        <v/>
      </c>
      <c r="D934" s="47" t="n">
        <v>40883</v>
      </c>
      <c r="E934" s="48">
        <f>"RNCP"&amp;D934</f>
        <v/>
      </c>
      <c r="F934" s="48" t="inlineStr">
        <is>
          <t>Diagnostiqueur immobilier</t>
        </is>
      </c>
      <c r="G934" s="49">
        <f>E934&amp;" - "&amp;F934</f>
        <v/>
      </c>
      <c r="H934" s="36" t="inlineStr">
        <is>
          <t>RAS</t>
        </is>
      </c>
      <c r="I934" s="45" t="inlineStr"/>
      <c r="J934" s="45" t="inlineStr">
        <is>
          <t>RNCP40883</t>
        </is>
      </c>
      <c r="K934" s="45" t="inlineStr">
        <is>
          <t>Diagnostiqueur immobilier</t>
        </is>
      </c>
      <c r="L934" s="45" t="inlineStr">
        <is>
          <t>25/06/2028</t>
        </is>
      </c>
      <c r="M934" s="45" t="inlineStr">
        <is>
          <t>42105 (Diagnostic performance énergétique) ; 22211 (Performance énergétique bâtiment)</t>
        </is>
      </c>
      <c r="N934" s="50" t="inlineStr">
        <is>
          <t>NON</t>
        </is>
      </c>
      <c r="O934" s="45" t="inlineStr"/>
    </row>
    <row r="935" customFormat="1" s="3">
      <c r="A935" s="45" t="n"/>
      <c r="B935" s="46" t="inlineStr">
        <is>
          <t>22250</t>
        </is>
      </c>
      <c r="C935" s="46">
        <f>LEFT(Tableau1[[#This Row],[Formacode]],3)</f>
        <v/>
      </c>
      <c r="D935" s="47" t="n">
        <v>40909</v>
      </c>
      <c r="E935" s="48">
        <f>"RNCP"&amp;D935</f>
        <v/>
      </c>
      <c r="F935" s="48" t="inlineStr">
        <is>
          <t>Diagnostiqueur immobilier</t>
        </is>
      </c>
      <c r="G935" s="49">
        <f>E935&amp;" - "&amp;F935</f>
        <v/>
      </c>
      <c r="H935" s="36" t="inlineStr">
        <is>
          <t>RAS</t>
        </is>
      </c>
      <c r="I935" s="45" t="inlineStr"/>
      <c r="J935" s="45" t="inlineStr">
        <is>
          <t>RNCP40909</t>
        </is>
      </c>
      <c r="K935" s="45" t="inlineStr">
        <is>
          <t>Diagnostiqueur immobilier</t>
        </is>
      </c>
      <c r="L935" s="45" t="inlineStr">
        <is>
          <t>25/06/2028</t>
        </is>
      </c>
      <c r="M935" s="45" t="inlineStr">
        <is>
          <t>42105 (Diagnostic performance énergétique) ; 42103 (Diagnostic amiante) ; 22211 (Performance énergétique bâtiment)</t>
        </is>
      </c>
      <c r="N935" s="50" t="inlineStr">
        <is>
          <t>NON</t>
        </is>
      </c>
      <c r="O935" s="45" t="inlineStr"/>
    </row>
    <row r="936" customFormat="1" s="3">
      <c r="A936" s="63" t="n"/>
      <c r="B936" s="64" t="inlineStr">
        <is>
          <t>22252</t>
        </is>
      </c>
      <c r="C936" s="64">
        <f>LEFT(Tableau1[[#This Row],[Formacode]],3)</f>
        <v/>
      </c>
      <c r="D936" s="65" t="n">
        <v>35503</v>
      </c>
      <c r="E936" s="66">
        <f>"RNCP"&amp;D936</f>
        <v/>
      </c>
      <c r="F936" s="66" t="inlineStr">
        <is>
          <t>TP - Chargé d'affaires du bâtiment</t>
        </is>
      </c>
      <c r="G936" s="67">
        <f>E936&amp;" - "&amp;F936</f>
        <v/>
      </c>
      <c r="H936" s="38" t="inlineStr">
        <is>
          <t>Expiré / remplacé</t>
        </is>
      </c>
      <c r="I936" s="63" t="inlineStr">
        <is>
          <t>Fiche inactive — remplacée par RNCP42032 (Chargé d’affaires du bâtiment)</t>
        </is>
      </c>
      <c r="J936" s="63" t="inlineStr">
        <is>
          <t>RNCP42032</t>
        </is>
      </c>
      <c r="K936" s="63" t="inlineStr">
        <is>
          <t>Chargé d’affaires du bâtiment</t>
        </is>
      </c>
      <c r="L936" s="63" t="inlineStr">
        <is>
          <t>13/04/2026</t>
        </is>
      </c>
      <c r="M936" s="63" t="inlineStr">
        <is>
          <t>22257 (Commercialisation BTP) ; 22293 (Conduite travaux BTP) ; 22279 (Maîtrise d'oeuvre BTP)</t>
        </is>
      </c>
      <c r="N936" s="68" t="inlineStr">
        <is>
          <t>NON</t>
        </is>
      </c>
      <c r="O936" s="63" t="inlineStr"/>
    </row>
    <row r="937" customFormat="1" s="3">
      <c r="A937" s="63" t="n"/>
      <c r="B937" s="64" t="inlineStr">
        <is>
          <t>22252</t>
        </is>
      </c>
      <c r="C937" s="64">
        <f>LEFT(Tableau1[[#This Row],[Formacode]],3)</f>
        <v/>
      </c>
      <c r="D937" s="65" t="n">
        <v>35530</v>
      </c>
      <c r="E937" s="66">
        <f>"RNCP"&amp;D937</f>
        <v/>
      </c>
      <c r="F937" s="66" t="inlineStr">
        <is>
          <t>TP - Technicien de bureau d'études en électricité des bâtiments</t>
        </is>
      </c>
      <c r="G937" s="67">
        <f>E937&amp;" - "&amp;F937</f>
        <v/>
      </c>
      <c r="H937" s="38" t="inlineStr">
        <is>
          <t>Expiré / remplacé</t>
        </is>
      </c>
      <c r="I937" s="63" t="inlineStr">
        <is>
          <t>Fiche inactive (échéance 17/05/2026) — aucun successeur publié</t>
        </is>
      </c>
      <c r="J937" s="63" t="inlineStr">
        <is>
          <t>RNCP35530</t>
        </is>
      </c>
      <c r="K937" s="63" t="inlineStr">
        <is>
          <t>Technicien de bureau d'études en électricité des bâtiments</t>
        </is>
      </c>
      <c r="L937" s="63" t="inlineStr">
        <is>
          <t>17/05/2026</t>
        </is>
      </c>
      <c r="M937" s="63" t="inlineStr">
        <is>
          <t>22252 (Dessin BTP) ; 24066 (Installation électrique) ; 24027 (Schéma électrique) ; 71111 (Logiciel Autocad)</t>
        </is>
      </c>
      <c r="N937" s="68" t="inlineStr">
        <is>
          <t>NON</t>
        </is>
      </c>
      <c r="O937" s="63" t="inlineStr"/>
    </row>
    <row r="938" customFormat="1" s="3">
      <c r="A938" s="45" t="n"/>
      <c r="B938" s="46" t="inlineStr">
        <is>
          <t>22252</t>
        </is>
      </c>
      <c r="C938" s="46">
        <f>LEFT(Tableau1[[#This Row],[Formacode]],3)</f>
        <v/>
      </c>
      <c r="D938" s="47" t="n">
        <v>36239</v>
      </c>
      <c r="E938" s="48">
        <f>"RNCP"&amp;D938</f>
        <v/>
      </c>
      <c r="F938" s="48" t="inlineStr">
        <is>
          <t>TP - Technicien d'études en agencement intérieur</t>
        </is>
      </c>
      <c r="G938" s="49">
        <f>E938&amp;" - "&amp;F938</f>
        <v/>
      </c>
      <c r="H938" s="36" t="inlineStr">
        <is>
          <t>RAS</t>
        </is>
      </c>
      <c r="I938" s="45" t="inlineStr"/>
      <c r="J938" s="45" t="inlineStr">
        <is>
          <t>RNCP36239</t>
        </is>
      </c>
      <c r="K938" s="45" t="inlineStr">
        <is>
          <t>Technicien d'études en agencement intérieur</t>
        </is>
      </c>
      <c r="L938" s="45" t="inlineStr">
        <is>
          <t>17/05/2027</t>
        </is>
      </c>
      <c r="M938" s="45" t="inlineStr">
        <is>
          <t>22252 (Dessin BTP) ; 22232 (Métré BTP) ; 22404 (Menuiserie agencement)</t>
        </is>
      </c>
      <c r="N938" s="50" t="inlineStr">
        <is>
          <t>NON</t>
        </is>
      </c>
      <c r="O938" s="45" t="inlineStr"/>
    </row>
    <row r="939" customFormat="1" s="3">
      <c r="A939" s="45" t="n"/>
      <c r="B939" s="46" t="inlineStr">
        <is>
          <t>22252</t>
        </is>
      </c>
      <c r="C939" s="46">
        <f>LEFT(Tableau1[[#This Row],[Formacode]],3)</f>
        <v/>
      </c>
      <c r="D939" s="47" t="n">
        <v>37290</v>
      </c>
      <c r="E939" s="48">
        <f>"RNCP"&amp;D939</f>
        <v/>
      </c>
      <c r="F939" s="48" t="inlineStr">
        <is>
          <t>TP - Dessinateur projeteur en construction métallique</t>
        </is>
      </c>
      <c r="G939" s="49">
        <f>E939&amp;" - "&amp;F939</f>
        <v/>
      </c>
      <c r="H939" s="36" t="inlineStr">
        <is>
          <t>RAS</t>
        </is>
      </c>
      <c r="I939" s="45" t="inlineStr"/>
      <c r="J939" s="45" t="inlineStr">
        <is>
          <t>RNCP37290</t>
        </is>
      </c>
      <c r="K939" s="45" t="inlineStr">
        <is>
          <t>Dessinateur projeteur en construction métallique</t>
        </is>
      </c>
      <c r="L939" s="45" t="inlineStr">
        <is>
          <t>18/07/2028</t>
        </is>
      </c>
      <c r="M939" s="45" t="inlineStr">
        <is>
          <t>22398 (Dessin construction) ; 31676 (Bureau d'études) ; 22252 (Dessin BTP)</t>
        </is>
      </c>
      <c r="N939" s="50" t="inlineStr">
        <is>
          <t>NON</t>
        </is>
      </c>
      <c r="O939" s="45" t="inlineStr"/>
    </row>
    <row r="940" customFormat="1" s="3">
      <c r="A940" s="45" t="n"/>
      <c r="B940" s="46" t="inlineStr">
        <is>
          <t>22252</t>
        </is>
      </c>
      <c r="C940" s="46">
        <f>LEFT(Tableau1[[#This Row],[Formacode]],3)</f>
        <v/>
      </c>
      <c r="D940" s="47" t="n">
        <v>37292</v>
      </c>
      <c r="E940" s="48">
        <f>"RNCP"&amp;D940</f>
        <v/>
      </c>
      <c r="F940" s="48" t="inlineStr">
        <is>
          <t>TP - Technicien d'études en chauffage, ventilation et climatisation</t>
        </is>
      </c>
      <c r="G940" s="49">
        <f>E940&amp;" - "&amp;F940</f>
        <v/>
      </c>
      <c r="H940" s="36" t="inlineStr">
        <is>
          <t>RAS</t>
        </is>
      </c>
      <c r="I940" s="45" t="inlineStr"/>
      <c r="J940" s="45" t="inlineStr">
        <is>
          <t>RNCP37292</t>
        </is>
      </c>
      <c r="K940" s="45" t="inlineStr">
        <is>
          <t>Technicien d'études en chauffage, ventilation et climatisation</t>
        </is>
      </c>
      <c r="L940" s="45" t="inlineStr">
        <is>
          <t>10/05/2028</t>
        </is>
      </c>
      <c r="M940" s="45" t="inlineStr">
        <is>
          <t>22654 (Génie climatique) ; 22252 (Dessin BTP) ; 22279 (Maîtrise d'oeuvre BTP)</t>
        </is>
      </c>
      <c r="N940" s="50" t="inlineStr">
        <is>
          <t>NON</t>
        </is>
      </c>
      <c r="O940" s="45" t="inlineStr"/>
    </row>
    <row r="941" customFormat="1" s="3">
      <c r="A941" s="45" t="n"/>
      <c r="B941" s="46" t="inlineStr">
        <is>
          <t>22252</t>
        </is>
      </c>
      <c r="C941" s="46">
        <f>LEFT(Tableau1[[#This Row],[Formacode]],3)</f>
        <v/>
      </c>
      <c r="D941" s="47" t="n">
        <v>37293</v>
      </c>
      <c r="E941" s="48">
        <f>"RNCP"&amp;D941</f>
        <v/>
      </c>
      <c r="F941" s="48" t="inlineStr">
        <is>
          <t>TP - Dessinateur projeteur d'ouvrages de métallerie</t>
        </is>
      </c>
      <c r="G941" s="49">
        <f>E941&amp;" - "&amp;F941</f>
        <v/>
      </c>
      <c r="H941" s="36" t="inlineStr">
        <is>
          <t>RAS</t>
        </is>
      </c>
      <c r="I941" s="45" t="inlineStr"/>
      <c r="J941" s="45" t="inlineStr">
        <is>
          <t>RNCP37293</t>
        </is>
      </c>
      <c r="K941" s="45" t="inlineStr">
        <is>
          <t>Dessinateur projeteur d'ouvrages de métallerie</t>
        </is>
      </c>
      <c r="L941" s="45" t="inlineStr">
        <is>
          <t>11/04/2028</t>
        </is>
      </c>
      <c r="M941" s="45" t="inlineStr">
        <is>
          <t>22398 (Dessin construction) ; 22252 (Dessin BTP) ; 22232 (Métré BTP) ; 31676 (Bureau d'études)</t>
        </is>
      </c>
      <c r="N941" s="50" t="inlineStr">
        <is>
          <t>NON</t>
        </is>
      </c>
      <c r="O941" s="45" t="inlineStr"/>
    </row>
    <row r="942" customFormat="1" s="3">
      <c r="A942" s="45" t="n"/>
      <c r="B942" s="46" t="inlineStr">
        <is>
          <t>22252</t>
        </is>
      </c>
      <c r="C942" s="46">
        <f>LEFT(Tableau1[[#This Row],[Formacode]],3)</f>
        <v/>
      </c>
      <c r="D942" s="47" t="n">
        <v>37445</v>
      </c>
      <c r="E942" s="48">
        <f>"RNCP"&amp;D942</f>
        <v/>
      </c>
      <c r="F942" s="48" t="inlineStr">
        <is>
          <t>TP - Technicien d'intervention de réseaux de télécommunications en fibre optique</t>
        </is>
      </c>
      <c r="G942" s="49">
        <f>E942&amp;" - "&amp;F942</f>
        <v/>
      </c>
      <c r="H942" s="36" t="inlineStr">
        <is>
          <t>RAS</t>
        </is>
      </c>
      <c r="I942" s="45" t="inlineStr"/>
      <c r="J942" s="45" t="inlineStr">
        <is>
          <t>RNCP37445</t>
        </is>
      </c>
      <c r="K942" s="45" t="inlineStr">
        <is>
          <t>Technicien d'intervention de réseaux de télécommunications en fibre optique</t>
        </is>
      </c>
      <c r="L942" s="45" t="inlineStr">
        <is>
          <t>29/07/2028</t>
        </is>
      </c>
      <c r="M942" s="45" t="inlineStr">
        <is>
          <t>24229 (Transmission fibre optique) ; 22254 (BTP conception organisation)</t>
        </is>
      </c>
      <c r="N942" s="50" t="inlineStr">
        <is>
          <t>NON</t>
        </is>
      </c>
      <c r="O942" s="45" t="inlineStr"/>
    </row>
    <row r="943" customFormat="1" s="3">
      <c r="A943" s="45" t="n"/>
      <c r="B943" s="46" t="inlineStr">
        <is>
          <t>22252</t>
        </is>
      </c>
      <c r="C943" s="46">
        <f>LEFT(Tableau1[[#This Row],[Formacode]],3)</f>
        <v/>
      </c>
      <c r="D943" s="47" t="n">
        <v>38724</v>
      </c>
      <c r="E943" s="48">
        <f>"RNCP"&amp;D943</f>
        <v/>
      </c>
      <c r="F943" s="48" t="inlineStr">
        <is>
          <t>BP - Métiers de la pierre</t>
        </is>
      </c>
      <c r="G943" s="49">
        <f>E943&amp;" - "&amp;F943</f>
        <v/>
      </c>
      <c r="H943" s="36" t="inlineStr">
        <is>
          <t>RAS</t>
        </is>
      </c>
      <c r="I943" s="45" t="inlineStr"/>
      <c r="J943" s="45" t="inlineStr">
        <is>
          <t>RNCP38724</t>
        </is>
      </c>
      <c r="K943" s="45" t="inlineStr">
        <is>
          <t>Métiers de la pierre</t>
        </is>
      </c>
      <c r="L943" s="45" t="inlineStr">
        <is>
          <t>31/12/2028</t>
        </is>
      </c>
      <c r="M943" s="45" t="inlineStr">
        <is>
          <t>22254 (BTP conception organisation) ; 45502 (Taille pierre)</t>
        </is>
      </c>
      <c r="N943" s="50" t="inlineStr">
        <is>
          <t>NON</t>
        </is>
      </c>
      <c r="O943" s="45" t="inlineStr"/>
    </row>
    <row r="944" customFormat="1" s="3">
      <c r="A944" s="45" t="n"/>
      <c r="B944" s="46" t="inlineStr">
        <is>
          <t>22252</t>
        </is>
      </c>
      <c r="C944" s="46">
        <f>LEFT(Tableau1[[#This Row],[Formacode]],3)</f>
        <v/>
      </c>
      <c r="D944" s="47" t="n">
        <v>39085</v>
      </c>
      <c r="E944" s="48">
        <f>"RNCP"&amp;D944</f>
        <v/>
      </c>
      <c r="F944" s="48" t="inlineStr">
        <is>
          <t>BTS - Géologie appliquée</t>
        </is>
      </c>
      <c r="G944" s="49">
        <f>E944&amp;" - "&amp;F944</f>
        <v/>
      </c>
      <c r="H944" s="36" t="inlineStr">
        <is>
          <t>RAS</t>
        </is>
      </c>
      <c r="I944" s="45" t="inlineStr"/>
      <c r="J944" s="45" t="inlineStr">
        <is>
          <t>RNCP39085</t>
        </is>
      </c>
      <c r="K944" s="45" t="inlineStr">
        <is>
          <t>Géologie appliquée</t>
        </is>
      </c>
      <c r="L944" s="45" t="inlineStr">
        <is>
          <t>31/08/2029</t>
        </is>
      </c>
      <c r="M944" s="45" t="inlineStr">
        <is>
          <t>12275 (Géologie) ; 22254 (BTP conception organisation) ; 12225 (Topographie)</t>
        </is>
      </c>
      <c r="N944" s="50" t="inlineStr">
        <is>
          <t>NON</t>
        </is>
      </c>
      <c r="O944" s="45" t="inlineStr"/>
    </row>
    <row r="945" customFormat="1" s="3">
      <c r="A945" s="45" t="n"/>
      <c r="B945" s="46" t="inlineStr">
        <is>
          <t>22252</t>
        </is>
      </c>
      <c r="C945" s="46">
        <f>LEFT(Tableau1[[#This Row],[Formacode]],3)</f>
        <v/>
      </c>
      <c r="D945" s="47" t="n">
        <v>39408</v>
      </c>
      <c r="E945" s="48">
        <f>"RNCP"&amp;D945</f>
        <v/>
      </c>
      <c r="F945" s="48" t="inlineStr">
        <is>
          <t>TP - Coordinateur BIM du bâtiment</t>
        </is>
      </c>
      <c r="G945" s="49">
        <f>E945&amp;" - "&amp;F945</f>
        <v/>
      </c>
      <c r="H945" s="36" t="inlineStr">
        <is>
          <t>RAS</t>
        </is>
      </c>
      <c r="I945" s="45" t="inlineStr"/>
      <c r="J945" s="45" t="inlineStr">
        <is>
          <t>RNCP39408</t>
        </is>
      </c>
      <c r="K945" s="45" t="inlineStr">
        <is>
          <t>Coordinateur BIM du bâtiment</t>
        </is>
      </c>
      <c r="L945" s="45" t="inlineStr">
        <is>
          <t>29/09/2029</t>
        </is>
      </c>
      <c r="M945" s="45" t="inlineStr">
        <is>
          <t>22252 (Dessin BTP) ; 22279 (Maîtrise d'oeuvre BTP)</t>
        </is>
      </c>
      <c r="N945" s="50" t="inlineStr">
        <is>
          <t>NON</t>
        </is>
      </c>
      <c r="O945" s="45" t="inlineStr"/>
    </row>
    <row r="946" customFormat="1" s="3">
      <c r="A946" s="45" t="n"/>
      <c r="B946" s="46" t="inlineStr">
        <is>
          <t>22252</t>
        </is>
      </c>
      <c r="C946" s="46">
        <f>LEFT(Tableau1[[#This Row],[Formacode]],3)</f>
        <v/>
      </c>
      <c r="D946" s="47" t="n">
        <v>39514</v>
      </c>
      <c r="E946" s="48">
        <f>"RNCP"&amp;D946</f>
        <v/>
      </c>
      <c r="F946" s="48" t="inlineStr">
        <is>
          <t>BAC PRO - Ouvrages du bâtiment : métallerie</t>
        </is>
      </c>
      <c r="G946" s="49">
        <f>E946&amp;" - "&amp;F946</f>
        <v/>
      </c>
      <c r="H946" s="36" t="inlineStr">
        <is>
          <t>RAS</t>
        </is>
      </c>
      <c r="I946" s="45" t="inlineStr"/>
      <c r="J946" s="45" t="inlineStr">
        <is>
          <t>RNCP39514</t>
        </is>
      </c>
      <c r="K946" s="45" t="inlineStr">
        <is>
          <t>Ouvrages du bâtiment : métallerie</t>
        </is>
      </c>
      <c r="L946" s="45" t="inlineStr">
        <is>
          <t>31/08/2027</t>
        </is>
      </c>
      <c r="M946" s="45" t="inlineStr">
        <is>
          <t>22254 (BTP conception organisation) ; 22478 (Métallerie serrurerie)</t>
        </is>
      </c>
      <c r="N946" s="50" t="inlineStr">
        <is>
          <t>NON</t>
        </is>
      </c>
      <c r="O946" s="45" t="inlineStr"/>
    </row>
    <row r="947" customFormat="1" s="3">
      <c r="A947" s="45" t="n"/>
      <c r="B947" s="46" t="inlineStr">
        <is>
          <t>22252</t>
        </is>
      </c>
      <c r="C947" s="46">
        <f>LEFT(Tableau1[[#This Row],[Formacode]],3)</f>
        <v/>
      </c>
      <c r="D947" s="47" t="n">
        <v>39519</v>
      </c>
      <c r="E947" s="48">
        <f>"RNCP"&amp;D947</f>
        <v/>
      </c>
      <c r="F947" s="48" t="inlineStr">
        <is>
          <t>TP - Technicien d'études du bâtiment en dessin de projet</t>
        </is>
      </c>
      <c r="G947" s="49">
        <f>E947&amp;" - "&amp;F947</f>
        <v/>
      </c>
      <c r="H947" s="36" t="inlineStr">
        <is>
          <t>RAS</t>
        </is>
      </c>
      <c r="I947" s="45" t="inlineStr"/>
      <c r="J947" s="45" t="inlineStr">
        <is>
          <t>RNCP39519</t>
        </is>
      </c>
      <c r="K947" s="45" t="inlineStr">
        <is>
          <t>Technicien d'études du bâtiment en dessin de projet</t>
        </is>
      </c>
      <c r="L947" s="45" t="inlineStr">
        <is>
          <t>14/04/2030</t>
        </is>
      </c>
      <c r="M947" s="45" t="inlineStr">
        <is>
          <t>22252 (Dessin BTP)</t>
        </is>
      </c>
      <c r="N947" s="50" t="inlineStr">
        <is>
          <t>NON</t>
        </is>
      </c>
      <c r="O947" s="45" t="inlineStr"/>
    </row>
    <row r="948" customFormat="1" s="3">
      <c r="A948" s="45" t="n"/>
      <c r="B948" s="46" t="inlineStr">
        <is>
          <t>22252</t>
        </is>
      </c>
      <c r="C948" s="46">
        <f>LEFT(Tableau1[[#This Row],[Formacode]],3)</f>
        <v/>
      </c>
      <c r="D948" s="47" t="n">
        <v>39520</v>
      </c>
      <c r="E948" s="48">
        <f>"RNCP"&amp;D948</f>
        <v/>
      </c>
      <c r="F948" s="48" t="inlineStr">
        <is>
          <t>TP - BIM modeleur du bâtiment</t>
        </is>
      </c>
      <c r="G948" s="49">
        <f>E948&amp;" - "&amp;F948</f>
        <v/>
      </c>
      <c r="H948" s="36" t="inlineStr">
        <is>
          <t>RAS</t>
        </is>
      </c>
      <c r="I948" s="45" t="inlineStr"/>
      <c r="J948" s="45" t="inlineStr">
        <is>
          <t>RNCP39520</t>
        </is>
      </c>
      <c r="K948" s="45" t="inlineStr">
        <is>
          <t>BIM modeleur du bâtiment</t>
        </is>
      </c>
      <c r="L948" s="45" t="inlineStr">
        <is>
          <t>14/04/2030</t>
        </is>
      </c>
      <c r="M948" s="45" t="inlineStr">
        <is>
          <t>22252 (Dessin BTP)</t>
        </is>
      </c>
      <c r="N948" s="50" t="inlineStr">
        <is>
          <t>NON</t>
        </is>
      </c>
      <c r="O948" s="45" t="inlineStr"/>
    </row>
    <row r="949" customFormat="1" s="3">
      <c r="A949" s="63" t="n"/>
      <c r="B949" s="64" t="inlineStr">
        <is>
          <t>22252</t>
        </is>
      </c>
      <c r="C949" s="64">
        <f>LEFT(Tableau1[[#This Row],[Formacode]],3)</f>
        <v/>
      </c>
      <c r="D949" s="65" t="n">
        <v>40214</v>
      </c>
      <c r="E949" s="66">
        <f>"RNCP"&amp;D949</f>
        <v/>
      </c>
      <c r="F949" s="66" t="inlineStr">
        <is>
          <t>TP - Dessinateur projeteur en béton armé</t>
        </is>
      </c>
      <c r="G949" s="67">
        <f>E949&amp;" - "&amp;F949</f>
        <v/>
      </c>
      <c r="H949" s="38" t="inlineStr">
        <is>
          <t>Expiré / remplacé</t>
        </is>
      </c>
      <c r="I949" s="63" t="inlineStr">
        <is>
          <t>Fiche inactive — remplacée par RNCP42281 (Dessinateur projeteur en béton armé)</t>
        </is>
      </c>
      <c r="J949" s="63" t="inlineStr">
        <is>
          <t>RNCP42281</t>
        </is>
      </c>
      <c r="K949" s="63" t="inlineStr">
        <is>
          <t>Dessinateur projeteur en béton armé</t>
        </is>
      </c>
      <c r="L949" s="63" t="inlineStr">
        <is>
          <t>11/06/2026</t>
        </is>
      </c>
      <c r="M949" s="63" t="inlineStr">
        <is>
          <t>22252 (Dessin BTP)</t>
        </is>
      </c>
      <c r="N949" s="68" t="inlineStr">
        <is>
          <t>NON</t>
        </is>
      </c>
      <c r="O949" s="63" t="inlineStr"/>
    </row>
    <row r="950" customFormat="1" s="3">
      <c r="A950" s="45" t="n"/>
      <c r="B950" s="46" t="inlineStr">
        <is>
          <t>22252</t>
        </is>
      </c>
      <c r="C950" s="46">
        <f>LEFT(Tableau1[[#This Row],[Formacode]],3)</f>
        <v/>
      </c>
      <c r="D950" s="47" t="n">
        <v>40259</v>
      </c>
      <c r="E950" s="48">
        <f>"RNCP"&amp;D950</f>
        <v/>
      </c>
      <c r="F950" s="48" t="inlineStr">
        <is>
          <t>Couvreur-zingueur (BM)</t>
        </is>
      </c>
      <c r="G950" s="49">
        <f>E950&amp;" - "&amp;F950</f>
        <v/>
      </c>
      <c r="H950" s="36" t="inlineStr">
        <is>
          <t>RAS</t>
        </is>
      </c>
      <c r="I950" s="45" t="inlineStr"/>
      <c r="J950" s="45" t="inlineStr">
        <is>
          <t>RNCP40259</t>
        </is>
      </c>
      <c r="K950" s="45" t="inlineStr">
        <is>
          <t>Couvreur-zingueur (BM)</t>
        </is>
      </c>
      <c r="L950" s="45" t="inlineStr">
        <is>
          <t>28/02/2028</t>
        </is>
      </c>
      <c r="M950" s="45" t="inlineStr">
        <is>
          <t>22437 (Couverture) ; 32097 (Gestion entreprise artisanale) ; 22254 (BTP conception organisation)</t>
        </is>
      </c>
      <c r="N950" s="50" t="inlineStr">
        <is>
          <t>NON</t>
        </is>
      </c>
      <c r="O950" s="45" t="inlineStr"/>
    </row>
    <row r="951" customFormat="1" s="3">
      <c r="A951" s="45" t="n"/>
      <c r="B951" s="46" t="inlineStr">
        <is>
          <t>22252</t>
        </is>
      </c>
      <c r="C951" s="46">
        <f>LEFT(Tableau1[[#This Row],[Formacode]],3)</f>
        <v/>
      </c>
      <c r="D951" s="47" t="n">
        <v>41531</v>
      </c>
      <c r="E951" s="48">
        <f>"RNCP"&amp;D951</f>
        <v/>
      </c>
      <c r="F951" s="48" t="inlineStr">
        <is>
          <t>TP - Technicien d'études en construction bois</t>
        </is>
      </c>
      <c r="G951" s="49">
        <f>E951&amp;" - "&amp;F951</f>
        <v/>
      </c>
      <c r="H951" s="36" t="inlineStr">
        <is>
          <t>RAS</t>
        </is>
      </c>
      <c r="I951" s="45" t="inlineStr"/>
      <c r="J951" s="45" t="inlineStr">
        <is>
          <t>RNCP41531</t>
        </is>
      </c>
      <c r="K951" s="45" t="inlineStr">
        <is>
          <t>Technicien d'études en construction bois</t>
        </is>
      </c>
      <c r="L951" s="45" t="inlineStr">
        <is>
          <t>28/12/2030</t>
        </is>
      </c>
      <c r="M951" s="45" t="inlineStr">
        <is>
          <t>22252 (Dessin BTP) ; 22396 (Construction bois)</t>
        </is>
      </c>
      <c r="N951" s="50" t="inlineStr">
        <is>
          <t>NON</t>
        </is>
      </c>
      <c r="O951" s="45" t="inlineStr"/>
    </row>
    <row r="952" customFormat="1" s="3">
      <c r="A952" s="63" t="n"/>
      <c r="B952" s="64" t="inlineStr">
        <is>
          <t>22255</t>
        </is>
      </c>
      <c r="C952" s="64">
        <f>LEFT(Tableau1[[#This Row],[Formacode]],3)</f>
        <v/>
      </c>
      <c r="D952" s="65" t="n">
        <v>35503</v>
      </c>
      <c r="E952" s="66">
        <f>"RNCP"&amp;D952</f>
        <v/>
      </c>
      <c r="F952" s="66" t="inlineStr">
        <is>
          <t>TP - Chargé d'affaires du bâtiment</t>
        </is>
      </c>
      <c r="G952" s="67">
        <f>E952&amp;" - "&amp;F952</f>
        <v/>
      </c>
      <c r="H952" s="38" t="inlineStr">
        <is>
          <t>Expiré / remplacé</t>
        </is>
      </c>
      <c r="I952" s="63" t="inlineStr">
        <is>
          <t>Fiche inactive — remplacée par RNCP42032 (Chargé d’affaires du bâtiment)</t>
        </is>
      </c>
      <c r="J952" s="63" t="inlineStr">
        <is>
          <t>RNCP42032</t>
        </is>
      </c>
      <c r="K952" s="63" t="inlineStr">
        <is>
          <t>Chargé d’affaires du bâtiment</t>
        </is>
      </c>
      <c r="L952" s="63" t="inlineStr">
        <is>
          <t>13/04/2026</t>
        </is>
      </c>
      <c r="M952" s="63" t="inlineStr">
        <is>
          <t>22257 (Commercialisation BTP) ; 22293 (Conduite travaux BTP) ; 22279 (Maîtrise d'oeuvre BTP)</t>
        </is>
      </c>
      <c r="N952" s="68" t="inlineStr">
        <is>
          <t>NON</t>
        </is>
      </c>
      <c r="O952" s="63" t="inlineStr"/>
    </row>
    <row r="953" customFormat="1" s="3">
      <c r="A953" s="45" t="n"/>
      <c r="B953" s="46" t="inlineStr">
        <is>
          <t>22255</t>
        </is>
      </c>
      <c r="C953" s="46">
        <f>LEFT(Tableau1[[#This Row],[Formacode]],3)</f>
        <v/>
      </c>
      <c r="D953" s="47" t="n">
        <v>37445</v>
      </c>
      <c r="E953" s="48">
        <f>"RNCP"&amp;D953</f>
        <v/>
      </c>
      <c r="F953" s="48" t="inlineStr">
        <is>
          <t>TP - Technicien d'intervention de réseaux de télécommunications en fibre optique</t>
        </is>
      </c>
      <c r="G953" s="49">
        <f>E953&amp;" - "&amp;F953</f>
        <v/>
      </c>
      <c r="H953" s="36" t="inlineStr">
        <is>
          <t>RAS</t>
        </is>
      </c>
      <c r="I953" s="45" t="inlineStr"/>
      <c r="J953" s="45" t="inlineStr">
        <is>
          <t>RNCP37445</t>
        </is>
      </c>
      <c r="K953" s="45" t="inlineStr">
        <is>
          <t>Technicien d'intervention de réseaux de télécommunications en fibre optique</t>
        </is>
      </c>
      <c r="L953" s="45" t="inlineStr">
        <is>
          <t>29/07/2028</t>
        </is>
      </c>
      <c r="M953" s="45" t="inlineStr">
        <is>
          <t>24229 (Transmission fibre optique) ; 22254 (BTP conception organisation)</t>
        </is>
      </c>
      <c r="N953" s="50" t="inlineStr">
        <is>
          <t>NON</t>
        </is>
      </c>
      <c r="O953" s="45" t="inlineStr"/>
    </row>
    <row r="954" customFormat="1" s="3">
      <c r="A954" s="45" t="n"/>
      <c r="B954" s="46" t="inlineStr">
        <is>
          <t>22255</t>
        </is>
      </c>
      <c r="C954" s="46">
        <f>LEFT(Tableau1[[#This Row],[Formacode]],3)</f>
        <v/>
      </c>
      <c r="D954" s="47" t="n">
        <v>38724</v>
      </c>
      <c r="E954" s="48">
        <f>"RNCP"&amp;D954</f>
        <v/>
      </c>
      <c r="F954" s="48" t="inlineStr">
        <is>
          <t>BP - Métiers de la pierre</t>
        </is>
      </c>
      <c r="G954" s="49">
        <f>E954&amp;" - "&amp;F954</f>
        <v/>
      </c>
      <c r="H954" s="36" t="inlineStr">
        <is>
          <t>RAS</t>
        </is>
      </c>
      <c r="I954" s="45" t="inlineStr"/>
      <c r="J954" s="45" t="inlineStr">
        <is>
          <t>RNCP38724</t>
        </is>
      </c>
      <c r="K954" s="45" t="inlineStr">
        <is>
          <t>Métiers de la pierre</t>
        </is>
      </c>
      <c r="L954" s="45" t="inlineStr">
        <is>
          <t>31/12/2028</t>
        </is>
      </c>
      <c r="M954" s="45" t="inlineStr">
        <is>
          <t>22254 (BTP conception organisation) ; 45502 (Taille pierre)</t>
        </is>
      </c>
      <c r="N954" s="50" t="inlineStr">
        <is>
          <t>NON</t>
        </is>
      </c>
      <c r="O954" s="45" t="inlineStr"/>
    </row>
    <row r="955" customFormat="1" s="3">
      <c r="A955" s="45" t="n"/>
      <c r="B955" s="46" t="inlineStr">
        <is>
          <t>22255</t>
        </is>
      </c>
      <c r="C955" s="46">
        <f>LEFT(Tableau1[[#This Row],[Formacode]],3)</f>
        <v/>
      </c>
      <c r="D955" s="47" t="n">
        <v>39085</v>
      </c>
      <c r="E955" s="48">
        <f>"RNCP"&amp;D955</f>
        <v/>
      </c>
      <c r="F955" s="48" t="inlineStr">
        <is>
          <t>BTS - Géologie appliquée</t>
        </is>
      </c>
      <c r="G955" s="49">
        <f>E955&amp;" - "&amp;F955</f>
        <v/>
      </c>
      <c r="H955" s="36" t="inlineStr">
        <is>
          <t>RAS</t>
        </is>
      </c>
      <c r="I955" s="45" t="inlineStr"/>
      <c r="J955" s="45" t="inlineStr">
        <is>
          <t>RNCP39085</t>
        </is>
      </c>
      <c r="K955" s="45" t="inlineStr">
        <is>
          <t>Géologie appliquée</t>
        </is>
      </c>
      <c r="L955" s="45" t="inlineStr">
        <is>
          <t>31/08/2029</t>
        </is>
      </c>
      <c r="M955" s="45" t="inlineStr">
        <is>
          <t>12275 (Géologie) ; 22254 (BTP conception organisation) ; 12225 (Topographie)</t>
        </is>
      </c>
      <c r="N955" s="50" t="inlineStr">
        <is>
          <t>NON</t>
        </is>
      </c>
      <c r="O955" s="45" t="inlineStr"/>
    </row>
    <row r="956" customFormat="1" s="3">
      <c r="A956" s="45" t="n"/>
      <c r="B956" s="46" t="inlineStr">
        <is>
          <t>22255</t>
        </is>
      </c>
      <c r="C956" s="46">
        <f>LEFT(Tableau1[[#This Row],[Formacode]],3)</f>
        <v/>
      </c>
      <c r="D956" s="47" t="n">
        <v>39514</v>
      </c>
      <c r="E956" s="48">
        <f>"RNCP"&amp;D956</f>
        <v/>
      </c>
      <c r="F956" s="48" t="inlineStr">
        <is>
          <t>BAC PRO - Ouvrages du bâtiment : métallerie</t>
        </is>
      </c>
      <c r="G956" s="49">
        <f>E956&amp;" - "&amp;F956</f>
        <v/>
      </c>
      <c r="H956" s="36" t="inlineStr">
        <is>
          <t>RAS</t>
        </is>
      </c>
      <c r="I956" s="45" t="inlineStr"/>
      <c r="J956" s="45" t="inlineStr">
        <is>
          <t>RNCP39514</t>
        </is>
      </c>
      <c r="K956" s="45" t="inlineStr">
        <is>
          <t>Ouvrages du bâtiment : métallerie</t>
        </is>
      </c>
      <c r="L956" s="45" t="inlineStr">
        <is>
          <t>31/08/2027</t>
        </is>
      </c>
      <c r="M956" s="45" t="inlineStr">
        <is>
          <t>22254 (BTP conception organisation) ; 22478 (Métallerie serrurerie)</t>
        </is>
      </c>
      <c r="N956" s="50" t="inlineStr">
        <is>
          <t>NON</t>
        </is>
      </c>
      <c r="O956" s="45" t="inlineStr"/>
    </row>
    <row r="957" customFormat="1" s="3">
      <c r="A957" s="45" t="n"/>
      <c r="B957" s="46" t="inlineStr">
        <is>
          <t>22255</t>
        </is>
      </c>
      <c r="C957" s="46">
        <f>LEFT(Tableau1[[#This Row],[Formacode]],3)</f>
        <v/>
      </c>
      <c r="D957" s="47" t="n">
        <v>40259</v>
      </c>
      <c r="E957" s="48">
        <f>"RNCP"&amp;D957</f>
        <v/>
      </c>
      <c r="F957" s="48" t="inlineStr">
        <is>
          <t>Couvreur-zingueur (BM)</t>
        </is>
      </c>
      <c r="G957" s="49">
        <f>E957&amp;" - "&amp;F957</f>
        <v/>
      </c>
      <c r="H957" s="36" t="inlineStr">
        <is>
          <t>RAS</t>
        </is>
      </c>
      <c r="I957" s="45" t="inlineStr"/>
      <c r="J957" s="45" t="inlineStr">
        <is>
          <t>RNCP40259</t>
        </is>
      </c>
      <c r="K957" s="45" t="inlineStr">
        <is>
          <t>Couvreur-zingueur (BM)</t>
        </is>
      </c>
      <c r="L957" s="45" t="inlineStr">
        <is>
          <t>28/02/2028</t>
        </is>
      </c>
      <c r="M957" s="45" t="inlineStr">
        <is>
          <t>22437 (Couverture) ; 32097 (Gestion entreprise artisanale) ; 22254 (BTP conception organisation)</t>
        </is>
      </c>
      <c r="N957" s="50" t="inlineStr">
        <is>
          <t>NON</t>
        </is>
      </c>
      <c r="O957" s="45" t="inlineStr"/>
    </row>
    <row r="958" customFormat="1" s="3">
      <c r="A958" s="63" t="n"/>
      <c r="B958" s="64" t="inlineStr">
        <is>
          <t>22256</t>
        </is>
      </c>
      <c r="C958" s="64">
        <f>LEFT(Tableau1[[#This Row],[Formacode]],3)</f>
        <v/>
      </c>
      <c r="D958" s="65" t="n">
        <v>35503</v>
      </c>
      <c r="E958" s="66">
        <f>"RNCP"&amp;D958</f>
        <v/>
      </c>
      <c r="F958" s="66" t="inlineStr">
        <is>
          <t>TP - Chargé d'affaires du bâtiment</t>
        </is>
      </c>
      <c r="G958" s="67">
        <f>E958&amp;" - "&amp;F958</f>
        <v/>
      </c>
      <c r="H958" s="38" t="inlineStr">
        <is>
          <t>Expiré / remplacé</t>
        </is>
      </c>
      <c r="I958" s="63" t="inlineStr">
        <is>
          <t>Fiche inactive — remplacée par RNCP42032 (Chargé d’affaires du bâtiment)</t>
        </is>
      </c>
      <c r="J958" s="63" t="inlineStr">
        <is>
          <t>RNCP42032</t>
        </is>
      </c>
      <c r="K958" s="63" t="inlineStr">
        <is>
          <t>Chargé d’affaires du bâtiment</t>
        </is>
      </c>
      <c r="L958" s="63" t="inlineStr">
        <is>
          <t>13/04/2026</t>
        </is>
      </c>
      <c r="M958" s="63" t="inlineStr">
        <is>
          <t>22257 (Commercialisation BTP) ; 22293 (Conduite travaux BTP) ; 22279 (Maîtrise d'oeuvre BTP)</t>
        </is>
      </c>
      <c r="N958" s="68" t="inlineStr">
        <is>
          <t>NON</t>
        </is>
      </c>
      <c r="O958" s="63" t="inlineStr"/>
    </row>
    <row r="959" customFormat="1" s="3">
      <c r="A959" s="45" t="n"/>
      <c r="B959" s="46" t="inlineStr">
        <is>
          <t>22256</t>
        </is>
      </c>
      <c r="C959" s="46">
        <f>LEFT(Tableau1[[#This Row],[Formacode]],3)</f>
        <v/>
      </c>
      <c r="D959" s="47" t="n">
        <v>37445</v>
      </c>
      <c r="E959" s="48">
        <f>"RNCP"&amp;D959</f>
        <v/>
      </c>
      <c r="F959" s="48" t="inlineStr">
        <is>
          <t>TP - Technicien d'intervention de réseaux de télécommunications en fibre optique</t>
        </is>
      </c>
      <c r="G959" s="49">
        <f>E959&amp;" - "&amp;F959</f>
        <v/>
      </c>
      <c r="H959" s="36" t="inlineStr">
        <is>
          <t>RAS</t>
        </is>
      </c>
      <c r="I959" s="45" t="inlineStr"/>
      <c r="J959" s="45" t="inlineStr">
        <is>
          <t>RNCP37445</t>
        </is>
      </c>
      <c r="K959" s="45" t="inlineStr">
        <is>
          <t>Technicien d'intervention de réseaux de télécommunications en fibre optique</t>
        </is>
      </c>
      <c r="L959" s="45" t="inlineStr">
        <is>
          <t>29/07/2028</t>
        </is>
      </c>
      <c r="M959" s="45" t="inlineStr">
        <is>
          <t>24229 (Transmission fibre optique) ; 22254 (BTP conception organisation)</t>
        </is>
      </c>
      <c r="N959" s="50" t="inlineStr">
        <is>
          <t>NON</t>
        </is>
      </c>
      <c r="O959" s="45" t="inlineStr"/>
    </row>
    <row r="960" customFormat="1" s="3">
      <c r="A960" s="45" t="n"/>
      <c r="B960" s="46" t="inlineStr">
        <is>
          <t>22256</t>
        </is>
      </c>
      <c r="C960" s="46">
        <f>LEFT(Tableau1[[#This Row],[Formacode]],3)</f>
        <v/>
      </c>
      <c r="D960" s="47" t="n">
        <v>38724</v>
      </c>
      <c r="E960" s="48">
        <f>"RNCP"&amp;D960</f>
        <v/>
      </c>
      <c r="F960" s="48" t="inlineStr">
        <is>
          <t>BP - Métiers de la pierre</t>
        </is>
      </c>
      <c r="G960" s="49">
        <f>E960&amp;" - "&amp;F960</f>
        <v/>
      </c>
      <c r="H960" s="36" t="inlineStr">
        <is>
          <t>RAS</t>
        </is>
      </c>
      <c r="I960" s="45" t="inlineStr"/>
      <c r="J960" s="45" t="inlineStr">
        <is>
          <t>RNCP38724</t>
        </is>
      </c>
      <c r="K960" s="45" t="inlineStr">
        <is>
          <t>Métiers de la pierre</t>
        </is>
      </c>
      <c r="L960" s="45" t="inlineStr">
        <is>
          <t>31/12/2028</t>
        </is>
      </c>
      <c r="M960" s="45" t="inlineStr">
        <is>
          <t>22254 (BTP conception organisation) ; 45502 (Taille pierre)</t>
        </is>
      </c>
      <c r="N960" s="50" t="inlineStr">
        <is>
          <t>NON</t>
        </is>
      </c>
      <c r="O960" s="45" t="inlineStr"/>
    </row>
    <row r="961" customFormat="1" s="3">
      <c r="A961" s="45" t="n"/>
      <c r="B961" s="46" t="inlineStr">
        <is>
          <t>22256</t>
        </is>
      </c>
      <c r="C961" s="46">
        <f>LEFT(Tableau1[[#This Row],[Formacode]],3)</f>
        <v/>
      </c>
      <c r="D961" s="47" t="n">
        <v>39085</v>
      </c>
      <c r="E961" s="48">
        <f>"RNCP"&amp;D961</f>
        <v/>
      </c>
      <c r="F961" s="48" t="inlineStr">
        <is>
          <t>BTS - Géologie appliquée</t>
        </is>
      </c>
      <c r="G961" s="49">
        <f>E961&amp;" - "&amp;F961</f>
        <v/>
      </c>
      <c r="H961" s="36" t="inlineStr">
        <is>
          <t>RAS</t>
        </is>
      </c>
      <c r="I961" s="45" t="inlineStr"/>
      <c r="J961" s="45" t="inlineStr">
        <is>
          <t>RNCP39085</t>
        </is>
      </c>
      <c r="K961" s="45" t="inlineStr">
        <is>
          <t>Géologie appliquée</t>
        </is>
      </c>
      <c r="L961" s="45" t="inlineStr">
        <is>
          <t>31/08/2029</t>
        </is>
      </c>
      <c r="M961" s="45" t="inlineStr">
        <is>
          <t>12275 (Géologie) ; 22254 (BTP conception organisation) ; 12225 (Topographie)</t>
        </is>
      </c>
      <c r="N961" s="50" t="inlineStr">
        <is>
          <t>NON</t>
        </is>
      </c>
      <c r="O961" s="45" t="inlineStr"/>
    </row>
    <row r="962" customFormat="1" s="3">
      <c r="A962" s="45" t="n"/>
      <c r="B962" s="46" t="inlineStr">
        <is>
          <t>22256</t>
        </is>
      </c>
      <c r="C962" s="46">
        <f>LEFT(Tableau1[[#This Row],[Formacode]],3)</f>
        <v/>
      </c>
      <c r="D962" s="47" t="n">
        <v>39514</v>
      </c>
      <c r="E962" s="48">
        <f>"RNCP"&amp;D962</f>
        <v/>
      </c>
      <c r="F962" s="48" t="inlineStr">
        <is>
          <t>BAC PRO - Ouvrages du bâtiment : métallerie</t>
        </is>
      </c>
      <c r="G962" s="49">
        <f>E962&amp;" - "&amp;F962</f>
        <v/>
      </c>
      <c r="H962" s="36" t="inlineStr">
        <is>
          <t>RAS</t>
        </is>
      </c>
      <c r="I962" s="45" t="inlineStr"/>
      <c r="J962" s="45" t="inlineStr">
        <is>
          <t>RNCP39514</t>
        </is>
      </c>
      <c r="K962" s="45" t="inlineStr">
        <is>
          <t>Ouvrages du bâtiment : métallerie</t>
        </is>
      </c>
      <c r="L962" s="45" t="inlineStr">
        <is>
          <t>31/08/2027</t>
        </is>
      </c>
      <c r="M962" s="45" t="inlineStr">
        <is>
          <t>22254 (BTP conception organisation) ; 22478 (Métallerie serrurerie)</t>
        </is>
      </c>
      <c r="N962" s="50" t="inlineStr">
        <is>
          <t>NON</t>
        </is>
      </c>
      <c r="O962" s="45" t="inlineStr"/>
    </row>
    <row r="963" customFormat="1" s="3">
      <c r="A963" s="45" t="n"/>
      <c r="B963" s="46" t="inlineStr">
        <is>
          <t>22256</t>
        </is>
      </c>
      <c r="C963" s="46">
        <f>LEFT(Tableau1[[#This Row],[Formacode]],3)</f>
        <v/>
      </c>
      <c r="D963" s="47" t="n">
        <v>40259</v>
      </c>
      <c r="E963" s="48">
        <f>"RNCP"&amp;D963</f>
        <v/>
      </c>
      <c r="F963" s="48" t="inlineStr">
        <is>
          <t>Couvreur-zingueur (BM)</t>
        </is>
      </c>
      <c r="G963" s="49">
        <f>E963&amp;" - "&amp;F963</f>
        <v/>
      </c>
      <c r="H963" s="36" t="inlineStr">
        <is>
          <t>RAS</t>
        </is>
      </c>
      <c r="I963" s="45" t="inlineStr"/>
      <c r="J963" s="45" t="inlineStr">
        <is>
          <t>RNCP40259</t>
        </is>
      </c>
      <c r="K963" s="45" t="inlineStr">
        <is>
          <t>Couvreur-zingueur (BM)</t>
        </is>
      </c>
      <c r="L963" s="45" t="inlineStr">
        <is>
          <t>28/02/2028</t>
        </is>
      </c>
      <c r="M963" s="45" t="inlineStr">
        <is>
          <t>22437 (Couverture) ; 32097 (Gestion entreprise artisanale) ; 22254 (BTP conception organisation)</t>
        </is>
      </c>
      <c r="N963" s="50" t="inlineStr">
        <is>
          <t>NON</t>
        </is>
      </c>
      <c r="O963" s="45" t="inlineStr"/>
    </row>
    <row r="964" customFormat="1" s="3">
      <c r="A964" s="63" t="n"/>
      <c r="B964" s="64" t="inlineStr">
        <is>
          <t>22257</t>
        </is>
      </c>
      <c r="C964" s="64">
        <f>LEFT(Tableau1[[#This Row],[Formacode]],3)</f>
        <v/>
      </c>
      <c r="D964" s="65" t="n">
        <v>35503</v>
      </c>
      <c r="E964" s="66">
        <f>"RNCP"&amp;D964</f>
        <v/>
      </c>
      <c r="F964" s="66" t="inlineStr">
        <is>
          <t>TP - Chargé d'affaires du bâtiment</t>
        </is>
      </c>
      <c r="G964" s="67">
        <f>E964&amp;" - "&amp;F964</f>
        <v/>
      </c>
      <c r="H964" s="38" t="inlineStr">
        <is>
          <t>Expiré / remplacé</t>
        </is>
      </c>
      <c r="I964" s="63" t="inlineStr">
        <is>
          <t>Fiche inactive — remplacée par RNCP42032 (Chargé d’affaires du bâtiment)</t>
        </is>
      </c>
      <c r="J964" s="63" t="inlineStr">
        <is>
          <t>RNCP42032</t>
        </is>
      </c>
      <c r="K964" s="63" t="inlineStr">
        <is>
          <t>Chargé d’affaires du bâtiment</t>
        </is>
      </c>
      <c r="L964" s="63" t="inlineStr">
        <is>
          <t>13/04/2026</t>
        </is>
      </c>
      <c r="M964" s="63" t="inlineStr">
        <is>
          <t>22257 (Commercialisation BTP) ; 22293 (Conduite travaux BTP) ; 22279 (Maîtrise d'oeuvre BTP)</t>
        </is>
      </c>
      <c r="N964" s="68" t="inlineStr">
        <is>
          <t>NON</t>
        </is>
      </c>
      <c r="O964" s="63" t="inlineStr"/>
    </row>
    <row r="965" customFormat="1" s="3">
      <c r="A965" s="45" t="n"/>
      <c r="B965" s="46" t="inlineStr">
        <is>
          <t>22257</t>
        </is>
      </c>
      <c r="C965" s="46">
        <f>LEFT(Tableau1[[#This Row],[Formacode]],3)</f>
        <v/>
      </c>
      <c r="D965" s="47" t="n">
        <v>37445</v>
      </c>
      <c r="E965" s="48">
        <f>"RNCP"&amp;D965</f>
        <v/>
      </c>
      <c r="F965" s="48" t="inlineStr">
        <is>
          <t>TP - Technicien d'intervention de réseaux de télécommunications en fibre optique</t>
        </is>
      </c>
      <c r="G965" s="49">
        <f>E965&amp;" - "&amp;F965</f>
        <v/>
      </c>
      <c r="H965" s="36" t="inlineStr">
        <is>
          <t>RAS</t>
        </is>
      </c>
      <c r="I965" s="45" t="inlineStr"/>
      <c r="J965" s="45" t="inlineStr">
        <is>
          <t>RNCP37445</t>
        </is>
      </c>
      <c r="K965" s="45" t="inlineStr">
        <is>
          <t>Technicien d'intervention de réseaux de télécommunications en fibre optique</t>
        </is>
      </c>
      <c r="L965" s="45" t="inlineStr">
        <is>
          <t>29/07/2028</t>
        </is>
      </c>
      <c r="M965" s="45" t="inlineStr">
        <is>
          <t>24229 (Transmission fibre optique) ; 22254 (BTP conception organisation)</t>
        </is>
      </c>
      <c r="N965" s="50" t="inlineStr">
        <is>
          <t>NON</t>
        </is>
      </c>
      <c r="O965" s="45" t="inlineStr"/>
    </row>
    <row r="966" customFormat="1" s="3">
      <c r="A966" s="45" t="n"/>
      <c r="B966" s="46" t="inlineStr">
        <is>
          <t>22257</t>
        </is>
      </c>
      <c r="C966" s="46">
        <f>LEFT(Tableau1[[#This Row],[Formacode]],3)</f>
        <v/>
      </c>
      <c r="D966" s="47" t="n">
        <v>38724</v>
      </c>
      <c r="E966" s="48">
        <f>"RNCP"&amp;D966</f>
        <v/>
      </c>
      <c r="F966" s="48" t="inlineStr">
        <is>
          <t>BP - Métiers de la pierre</t>
        </is>
      </c>
      <c r="G966" s="49">
        <f>E966&amp;" - "&amp;F966</f>
        <v/>
      </c>
      <c r="H966" s="36" t="inlineStr">
        <is>
          <t>RAS</t>
        </is>
      </c>
      <c r="I966" s="45" t="inlineStr"/>
      <c r="J966" s="45" t="inlineStr">
        <is>
          <t>RNCP38724</t>
        </is>
      </c>
      <c r="K966" s="45" t="inlineStr">
        <is>
          <t>Métiers de la pierre</t>
        </is>
      </c>
      <c r="L966" s="45" t="inlineStr">
        <is>
          <t>31/12/2028</t>
        </is>
      </c>
      <c r="M966" s="45" t="inlineStr">
        <is>
          <t>22254 (BTP conception organisation) ; 45502 (Taille pierre)</t>
        </is>
      </c>
      <c r="N966" s="50" t="inlineStr">
        <is>
          <t>NON</t>
        </is>
      </c>
      <c r="O966" s="45" t="inlineStr"/>
    </row>
    <row r="967" customFormat="1" s="3">
      <c r="A967" s="45" t="n"/>
      <c r="B967" s="46" t="inlineStr">
        <is>
          <t>22257</t>
        </is>
      </c>
      <c r="C967" s="46">
        <f>LEFT(Tableau1[[#This Row],[Formacode]],3)</f>
        <v/>
      </c>
      <c r="D967" s="47" t="n">
        <v>39085</v>
      </c>
      <c r="E967" s="48">
        <f>"RNCP"&amp;D967</f>
        <v/>
      </c>
      <c r="F967" s="48" t="inlineStr">
        <is>
          <t>BTS - Géologie appliquée</t>
        </is>
      </c>
      <c r="G967" s="49">
        <f>E967&amp;" - "&amp;F967</f>
        <v/>
      </c>
      <c r="H967" s="36" t="inlineStr">
        <is>
          <t>RAS</t>
        </is>
      </c>
      <c r="I967" s="45" t="inlineStr"/>
      <c r="J967" s="45" t="inlineStr">
        <is>
          <t>RNCP39085</t>
        </is>
      </c>
      <c r="K967" s="45" t="inlineStr">
        <is>
          <t>Géologie appliquée</t>
        </is>
      </c>
      <c r="L967" s="45" t="inlineStr">
        <is>
          <t>31/08/2029</t>
        </is>
      </c>
      <c r="M967" s="45" t="inlineStr">
        <is>
          <t>12275 (Géologie) ; 22254 (BTP conception organisation) ; 12225 (Topographie)</t>
        </is>
      </c>
      <c r="N967" s="50" t="inlineStr">
        <is>
          <t>NON</t>
        </is>
      </c>
      <c r="O967" s="45" t="inlineStr"/>
    </row>
    <row r="968" customFormat="1" s="3">
      <c r="A968" s="45" t="n"/>
      <c r="B968" s="46" t="inlineStr">
        <is>
          <t>22257</t>
        </is>
      </c>
      <c r="C968" s="46">
        <f>LEFT(Tableau1[[#This Row],[Formacode]],3)</f>
        <v/>
      </c>
      <c r="D968" s="47" t="n">
        <v>39514</v>
      </c>
      <c r="E968" s="48">
        <f>"RNCP"&amp;D968</f>
        <v/>
      </c>
      <c r="F968" s="48" t="inlineStr">
        <is>
          <t>BAC PRO - Ouvrages du bâtiment : métallerie</t>
        </is>
      </c>
      <c r="G968" s="49">
        <f>E968&amp;" - "&amp;F968</f>
        <v/>
      </c>
      <c r="H968" s="36" t="inlineStr">
        <is>
          <t>RAS</t>
        </is>
      </c>
      <c r="I968" s="45" t="inlineStr"/>
      <c r="J968" s="45" t="inlineStr">
        <is>
          <t>RNCP39514</t>
        </is>
      </c>
      <c r="K968" s="45" t="inlineStr">
        <is>
          <t>Ouvrages du bâtiment : métallerie</t>
        </is>
      </c>
      <c r="L968" s="45" t="inlineStr">
        <is>
          <t>31/08/2027</t>
        </is>
      </c>
      <c r="M968" s="45" t="inlineStr">
        <is>
          <t>22254 (BTP conception organisation) ; 22478 (Métallerie serrurerie)</t>
        </is>
      </c>
      <c r="N968" s="50" t="inlineStr">
        <is>
          <t>NON</t>
        </is>
      </c>
      <c r="O968" s="45" t="inlineStr"/>
    </row>
    <row r="969" customFormat="1" s="3">
      <c r="A969" s="45" t="n"/>
      <c r="B969" s="46" t="inlineStr">
        <is>
          <t>22257</t>
        </is>
      </c>
      <c r="C969" s="46">
        <f>LEFT(Tableau1[[#This Row],[Formacode]],3)</f>
        <v/>
      </c>
      <c r="D969" s="47" t="n">
        <v>40259</v>
      </c>
      <c r="E969" s="48">
        <f>"RNCP"&amp;D969</f>
        <v/>
      </c>
      <c r="F969" s="48" t="inlineStr">
        <is>
          <t>Couvreur-zingueur (BM)</t>
        </is>
      </c>
      <c r="G969" s="49">
        <f>E969&amp;" - "&amp;F969</f>
        <v/>
      </c>
      <c r="H969" s="36" t="inlineStr">
        <is>
          <t>RAS</t>
        </is>
      </c>
      <c r="I969" s="45" t="inlineStr"/>
      <c r="J969" s="45" t="inlineStr">
        <is>
          <t>RNCP40259</t>
        </is>
      </c>
      <c r="K969" s="45" t="inlineStr">
        <is>
          <t>Couvreur-zingueur (BM)</t>
        </is>
      </c>
      <c r="L969" s="45" t="inlineStr">
        <is>
          <t>28/02/2028</t>
        </is>
      </c>
      <c r="M969" s="45" t="inlineStr">
        <is>
          <t>22437 (Couverture) ; 32097 (Gestion entreprise artisanale) ; 22254 (BTP conception organisation)</t>
        </is>
      </c>
      <c r="N969" s="50" t="inlineStr">
        <is>
          <t>NON</t>
        </is>
      </c>
      <c r="O969" s="45" t="inlineStr"/>
    </row>
    <row r="970" customFormat="1" s="3">
      <c r="A970" s="45" t="n"/>
      <c r="B970" s="46" t="inlineStr">
        <is>
          <t>22257</t>
        </is>
      </c>
      <c r="C970" s="46">
        <f>LEFT(Tableau1[[#This Row],[Formacode]],3)</f>
        <v/>
      </c>
      <c r="D970" s="47" t="n">
        <v>41432</v>
      </c>
      <c r="E970" s="48">
        <f>"RNCP"&amp;D970</f>
        <v/>
      </c>
      <c r="F970" s="48" t="inlineStr">
        <is>
          <t>CQP Chargé d'affaire en chaudronnerie, tuyauterie, soudure</t>
        </is>
      </c>
      <c r="G970" s="49">
        <f>E970&amp;" - "&amp;F970</f>
        <v/>
      </c>
      <c r="H970" s="36" t="inlineStr">
        <is>
          <t>RAS</t>
        </is>
      </c>
      <c r="I970" s="45" t="inlineStr"/>
      <c r="J970" s="45" t="inlineStr">
        <is>
          <t>RNCP41432</t>
        </is>
      </c>
      <c r="K970" s="45" t="inlineStr">
        <is>
          <t>CQP Chargé d'affaire en chaudronnerie, tuyauterie, soudure</t>
        </is>
      </c>
      <c r="L970" s="45" t="inlineStr">
        <is>
          <t>27/10/2030</t>
        </is>
      </c>
      <c r="M970" s="45" t="inlineStr">
        <is>
          <t>23026 (Soudage) ; 22257 (Commercialisation BTP) ; 23083 (Chaudronnerie)</t>
        </is>
      </c>
      <c r="N970" s="50" t="inlineStr">
        <is>
          <t>NON</t>
        </is>
      </c>
      <c r="O970" s="45" t="inlineStr"/>
    </row>
    <row r="971" customFormat="1" s="3">
      <c r="A971" s="63" t="n"/>
      <c r="B971" s="64" t="inlineStr">
        <is>
          <t>22259</t>
        </is>
      </c>
      <c r="C971" s="64">
        <f>LEFT(Tableau1[[#This Row],[Formacode]],3)</f>
        <v/>
      </c>
      <c r="D971" s="65" t="n">
        <v>35503</v>
      </c>
      <c r="E971" s="66">
        <f>"RNCP"&amp;D971</f>
        <v/>
      </c>
      <c r="F971" s="66" t="inlineStr">
        <is>
          <t>TP - Chargé d'affaires du bâtiment</t>
        </is>
      </c>
      <c r="G971" s="67">
        <f>E971&amp;" - "&amp;F971</f>
        <v/>
      </c>
      <c r="H971" s="38" t="inlineStr">
        <is>
          <t>Expiré / remplacé</t>
        </is>
      </c>
      <c r="I971" s="63" t="inlineStr">
        <is>
          <t>Fiche inactive — remplacée par RNCP42032 (Chargé d’affaires du bâtiment)</t>
        </is>
      </c>
      <c r="J971" s="63" t="inlineStr">
        <is>
          <t>RNCP42032</t>
        </is>
      </c>
      <c r="K971" s="63" t="inlineStr">
        <is>
          <t>Chargé d’affaires du bâtiment</t>
        </is>
      </c>
      <c r="L971" s="63" t="inlineStr">
        <is>
          <t>13/04/2026</t>
        </is>
      </c>
      <c r="M971" s="63" t="inlineStr">
        <is>
          <t>22257 (Commercialisation BTP) ; 22293 (Conduite travaux BTP) ; 22279 (Maîtrise d'oeuvre BTP)</t>
        </is>
      </c>
      <c r="N971" s="68" t="inlineStr">
        <is>
          <t>NON</t>
        </is>
      </c>
      <c r="O971" s="63" t="inlineStr"/>
    </row>
    <row r="972" customFormat="1" s="3">
      <c r="A972" s="51" t="n"/>
      <c r="B972" s="52" t="inlineStr">
        <is>
          <t>22259</t>
        </is>
      </c>
      <c r="C972" s="52">
        <f>LEFT(Tableau1[[#This Row],[Formacode]],3)</f>
        <v/>
      </c>
      <c r="D972" s="53" t="n">
        <v>35802</v>
      </c>
      <c r="E972" s="54">
        <f>"RNCP"&amp;D972</f>
        <v/>
      </c>
      <c r="F972" s="54" t="inlineStr">
        <is>
          <t>BTS - Management économique de la construction</t>
        </is>
      </c>
      <c r="G972" s="55">
        <f>E972&amp;" - "&amp;F972</f>
        <v/>
      </c>
      <c r="H972" s="37" t="inlineStr">
        <is>
          <t>À vérifier</t>
        </is>
      </c>
      <c r="I972" s="51" t="inlineStr">
        <is>
          <t>Successeur déjà publié : RNCP41826 (Management économique de la construction) — préparer la bascule de l'offre CPF | Échéance le 31/08/2026 (dans 44 j)</t>
        </is>
      </c>
      <c r="J972" s="51" t="inlineStr">
        <is>
          <t>RNCP41826</t>
        </is>
      </c>
      <c r="K972" s="51" t="inlineStr">
        <is>
          <t>Management économique de la construction</t>
        </is>
      </c>
      <c r="L972" s="51" t="inlineStr">
        <is>
          <t>31/08/2026</t>
        </is>
      </c>
      <c r="M972" s="51" t="inlineStr">
        <is>
          <t>22293 (Conduite travaux BTP) ; 22279 (Maîtrise d'oeuvre BTP) ; 22259 (Marché travaux) ; 22230 (Métré spécialisé) ; 22374 (Construction)</t>
        </is>
      </c>
      <c r="N972" s="62" t="inlineStr">
        <is>
          <t>NON</t>
        </is>
      </c>
      <c r="O972" s="51" t="inlineStr"/>
    </row>
    <row r="973" customFormat="1" s="3">
      <c r="A973" s="45" t="n"/>
      <c r="B973" s="46" t="inlineStr">
        <is>
          <t>22259</t>
        </is>
      </c>
      <c r="C973" s="46">
        <f>LEFT(Tableau1[[#This Row],[Formacode]],3)</f>
        <v/>
      </c>
      <c r="D973" s="47" t="n">
        <v>37445</v>
      </c>
      <c r="E973" s="48">
        <f>"RNCP"&amp;D973</f>
        <v/>
      </c>
      <c r="F973" s="48" t="inlineStr">
        <is>
          <t>TP - Technicien d'intervention de réseaux de télécommunications en fibre optique</t>
        </is>
      </c>
      <c r="G973" s="49">
        <f>E973&amp;" - "&amp;F973</f>
        <v/>
      </c>
      <c r="H973" s="36" t="inlineStr">
        <is>
          <t>RAS</t>
        </is>
      </c>
      <c r="I973" s="45" t="inlineStr"/>
      <c r="J973" s="45" t="inlineStr">
        <is>
          <t>RNCP37445</t>
        </is>
      </c>
      <c r="K973" s="45" t="inlineStr">
        <is>
          <t>Technicien d'intervention de réseaux de télécommunications en fibre optique</t>
        </is>
      </c>
      <c r="L973" s="45" t="inlineStr">
        <is>
          <t>29/07/2028</t>
        </is>
      </c>
      <c r="M973" s="45" t="inlineStr">
        <is>
          <t>24229 (Transmission fibre optique) ; 22254 (BTP conception organisation)</t>
        </is>
      </c>
      <c r="N973" s="50" t="inlineStr">
        <is>
          <t>NON</t>
        </is>
      </c>
      <c r="O973" s="45" t="inlineStr"/>
    </row>
    <row r="974" customFormat="1" s="3">
      <c r="A974" s="45" t="n"/>
      <c r="B974" s="46" t="inlineStr">
        <is>
          <t>22259</t>
        </is>
      </c>
      <c r="C974" s="46">
        <f>LEFT(Tableau1[[#This Row],[Formacode]],3)</f>
        <v/>
      </c>
      <c r="D974" s="47" t="n">
        <v>38724</v>
      </c>
      <c r="E974" s="48">
        <f>"RNCP"&amp;D974</f>
        <v/>
      </c>
      <c r="F974" s="48" t="inlineStr">
        <is>
          <t>BP - Métiers de la pierre</t>
        </is>
      </c>
      <c r="G974" s="49">
        <f>E974&amp;" - "&amp;F974</f>
        <v/>
      </c>
      <c r="H974" s="36" t="inlineStr">
        <is>
          <t>RAS</t>
        </is>
      </c>
      <c r="I974" s="45" t="inlineStr"/>
      <c r="J974" s="45" t="inlineStr">
        <is>
          <t>RNCP38724</t>
        </is>
      </c>
      <c r="K974" s="45" t="inlineStr">
        <is>
          <t>Métiers de la pierre</t>
        </is>
      </c>
      <c r="L974" s="45" t="inlineStr">
        <is>
          <t>31/12/2028</t>
        </is>
      </c>
      <c r="M974" s="45" t="inlineStr">
        <is>
          <t>22254 (BTP conception organisation) ; 45502 (Taille pierre)</t>
        </is>
      </c>
      <c r="N974" s="50" t="inlineStr">
        <is>
          <t>NON</t>
        </is>
      </c>
      <c r="O974" s="45" t="inlineStr"/>
    </row>
    <row r="975" customFormat="1" s="3">
      <c r="A975" s="45" t="n"/>
      <c r="B975" s="46" t="inlineStr">
        <is>
          <t>22259</t>
        </is>
      </c>
      <c r="C975" s="46">
        <f>LEFT(Tableau1[[#This Row],[Formacode]],3)</f>
        <v/>
      </c>
      <c r="D975" s="47" t="n">
        <v>39085</v>
      </c>
      <c r="E975" s="48">
        <f>"RNCP"&amp;D975</f>
        <v/>
      </c>
      <c r="F975" s="48" t="inlineStr">
        <is>
          <t>BTS - Géologie appliquée</t>
        </is>
      </c>
      <c r="G975" s="49">
        <f>E975&amp;" - "&amp;F975</f>
        <v/>
      </c>
      <c r="H975" s="36" t="inlineStr">
        <is>
          <t>RAS</t>
        </is>
      </c>
      <c r="I975" s="45" t="inlineStr"/>
      <c r="J975" s="45" t="inlineStr">
        <is>
          <t>RNCP39085</t>
        </is>
      </c>
      <c r="K975" s="45" t="inlineStr">
        <is>
          <t>Géologie appliquée</t>
        </is>
      </c>
      <c r="L975" s="45" t="inlineStr">
        <is>
          <t>31/08/2029</t>
        </is>
      </c>
      <c r="M975" s="45" t="inlineStr">
        <is>
          <t>12275 (Géologie) ; 22254 (BTP conception organisation) ; 12225 (Topographie)</t>
        </is>
      </c>
      <c r="N975" s="50" t="inlineStr">
        <is>
          <t>NON</t>
        </is>
      </c>
      <c r="O975" s="45" t="inlineStr"/>
    </row>
    <row r="976" customFormat="1" s="3">
      <c r="A976" s="45" t="n"/>
      <c r="B976" s="46" t="inlineStr">
        <is>
          <t>22259</t>
        </is>
      </c>
      <c r="C976" s="46">
        <f>LEFT(Tableau1[[#This Row],[Formacode]],3)</f>
        <v/>
      </c>
      <c r="D976" s="47" t="n">
        <v>39514</v>
      </c>
      <c r="E976" s="48">
        <f>"RNCP"&amp;D976</f>
        <v/>
      </c>
      <c r="F976" s="48" t="inlineStr">
        <is>
          <t>BAC PRO - Ouvrages du bâtiment : métallerie</t>
        </is>
      </c>
      <c r="G976" s="49">
        <f>E976&amp;" - "&amp;F976</f>
        <v/>
      </c>
      <c r="H976" s="36" t="inlineStr">
        <is>
          <t>RAS</t>
        </is>
      </c>
      <c r="I976" s="45" t="inlineStr"/>
      <c r="J976" s="45" t="inlineStr">
        <is>
          <t>RNCP39514</t>
        </is>
      </c>
      <c r="K976" s="45" t="inlineStr">
        <is>
          <t>Ouvrages du bâtiment : métallerie</t>
        </is>
      </c>
      <c r="L976" s="45" t="inlineStr">
        <is>
          <t>31/08/2027</t>
        </is>
      </c>
      <c r="M976" s="45" t="inlineStr">
        <is>
          <t>22254 (BTP conception organisation) ; 22478 (Métallerie serrurerie)</t>
        </is>
      </c>
      <c r="N976" s="50" t="inlineStr">
        <is>
          <t>NON</t>
        </is>
      </c>
      <c r="O976" s="45" t="inlineStr"/>
    </row>
    <row r="977" customFormat="1" s="3">
      <c r="A977" s="45" t="n"/>
      <c r="B977" s="46" t="inlineStr">
        <is>
          <t>22259</t>
        </is>
      </c>
      <c r="C977" s="46">
        <f>LEFT(Tableau1[[#This Row],[Formacode]],3)</f>
        <v/>
      </c>
      <c r="D977" s="47" t="n">
        <v>40259</v>
      </c>
      <c r="E977" s="48">
        <f>"RNCP"&amp;D977</f>
        <v/>
      </c>
      <c r="F977" s="48" t="inlineStr">
        <is>
          <t>Couvreur-zingueur (BM)</t>
        </is>
      </c>
      <c r="G977" s="49">
        <f>E977&amp;" - "&amp;F977</f>
        <v/>
      </c>
      <c r="H977" s="36" t="inlineStr">
        <is>
          <t>RAS</t>
        </is>
      </c>
      <c r="I977" s="45" t="inlineStr"/>
      <c r="J977" s="45" t="inlineStr">
        <is>
          <t>RNCP40259</t>
        </is>
      </c>
      <c r="K977" s="45" t="inlineStr">
        <is>
          <t>Couvreur-zingueur (BM)</t>
        </is>
      </c>
      <c r="L977" s="45" t="inlineStr">
        <is>
          <t>28/02/2028</t>
        </is>
      </c>
      <c r="M977" s="45" t="inlineStr">
        <is>
          <t>22437 (Couverture) ; 32097 (Gestion entreprise artisanale) ; 22254 (BTP conception organisation)</t>
        </is>
      </c>
      <c r="N977" s="50" t="inlineStr">
        <is>
          <t>NON</t>
        </is>
      </c>
      <c r="O977" s="45" t="inlineStr"/>
    </row>
    <row r="978" customFormat="1" s="3">
      <c r="A978" s="63" t="n"/>
      <c r="B978" s="64" t="inlineStr">
        <is>
          <t>22269</t>
        </is>
      </c>
      <c r="C978" s="64">
        <f>LEFT(Tableau1[[#This Row],[Formacode]],3)</f>
        <v/>
      </c>
      <c r="D978" s="65" t="n">
        <v>35503</v>
      </c>
      <c r="E978" s="66">
        <f>"RNCP"&amp;D978</f>
        <v/>
      </c>
      <c r="F978" s="66" t="inlineStr">
        <is>
          <t>TP - Chargé d'affaires du bâtiment</t>
        </is>
      </c>
      <c r="G978" s="67">
        <f>E978&amp;" - "&amp;F978</f>
        <v/>
      </c>
      <c r="H978" s="38" t="inlineStr">
        <is>
          <t>Expiré / remplacé</t>
        </is>
      </c>
      <c r="I978" s="63" t="inlineStr">
        <is>
          <t>Fiche inactive — remplacée par RNCP42032 (Chargé d’affaires du bâtiment)</t>
        </is>
      </c>
      <c r="J978" s="63" t="inlineStr">
        <is>
          <t>RNCP42032</t>
        </is>
      </c>
      <c r="K978" s="63" t="inlineStr">
        <is>
          <t>Chargé d’affaires du bâtiment</t>
        </is>
      </c>
      <c r="L978" s="63" t="inlineStr">
        <is>
          <t>13/04/2026</t>
        </is>
      </c>
      <c r="M978" s="63" t="inlineStr">
        <is>
          <t>22257 (Commercialisation BTP) ; 22293 (Conduite travaux BTP) ; 22279 (Maîtrise d'oeuvre BTP)</t>
        </is>
      </c>
      <c r="N978" s="68" t="inlineStr">
        <is>
          <t>NON</t>
        </is>
      </c>
      <c r="O978" s="63" t="inlineStr"/>
    </row>
    <row r="979" customFormat="1" s="3">
      <c r="A979" s="45" t="n"/>
      <c r="B979" s="46" t="inlineStr">
        <is>
          <t>22269</t>
        </is>
      </c>
      <c r="C979" s="46">
        <f>LEFT(Tableau1[[#This Row],[Formacode]],3)</f>
        <v/>
      </c>
      <c r="D979" s="47" t="n">
        <v>37445</v>
      </c>
      <c r="E979" s="48">
        <f>"RNCP"&amp;D979</f>
        <v/>
      </c>
      <c r="F979" s="48" t="inlineStr">
        <is>
          <t>TP - Technicien d'intervention de réseaux de télécommunications en fibre optique</t>
        </is>
      </c>
      <c r="G979" s="49">
        <f>E979&amp;" - "&amp;F979</f>
        <v/>
      </c>
      <c r="H979" s="36" t="inlineStr">
        <is>
          <t>RAS</t>
        </is>
      </c>
      <c r="I979" s="45" t="inlineStr"/>
      <c r="J979" s="45" t="inlineStr">
        <is>
          <t>RNCP37445</t>
        </is>
      </c>
      <c r="K979" s="45" t="inlineStr">
        <is>
          <t>Technicien d'intervention de réseaux de télécommunications en fibre optique</t>
        </is>
      </c>
      <c r="L979" s="45" t="inlineStr">
        <is>
          <t>29/07/2028</t>
        </is>
      </c>
      <c r="M979" s="45" t="inlineStr">
        <is>
          <t>24229 (Transmission fibre optique) ; 22254 (BTP conception organisation)</t>
        </is>
      </c>
      <c r="N979" s="50" t="inlineStr">
        <is>
          <t>NON</t>
        </is>
      </c>
      <c r="O979" s="45" t="inlineStr"/>
    </row>
    <row r="980" customFormat="1" s="3">
      <c r="A980" s="51" t="n"/>
      <c r="B980" s="52" t="inlineStr">
        <is>
          <t>22269</t>
        </is>
      </c>
      <c r="C980" s="52">
        <f>LEFT(Tableau1[[#This Row],[Formacode]],3)</f>
        <v/>
      </c>
      <c r="D980" s="53" t="n">
        <v>37986</v>
      </c>
      <c r="E980" s="54">
        <f>"RNCP"&amp;D980</f>
        <v/>
      </c>
      <c r="F980" s="54" t="inlineStr">
        <is>
          <t>Expert de la transition énergétique</t>
        </is>
      </c>
      <c r="G980" s="55">
        <f>E980&amp;" - "&amp;F980</f>
        <v/>
      </c>
      <c r="H980" s="37" t="inlineStr">
        <is>
          <t>À vérifier</t>
        </is>
      </c>
      <c r="I980" s="51" t="inlineStr">
        <is>
          <t>Échéance le 20/09/2026 (dans 64 j)</t>
        </is>
      </c>
      <c r="J980" s="51" t="inlineStr">
        <is>
          <t>RNCP37986</t>
        </is>
      </c>
      <c r="K980" s="51" t="inlineStr">
        <is>
          <t>Expert de la transition énergétique</t>
        </is>
      </c>
      <c r="L980" s="51" t="inlineStr">
        <is>
          <t>20/09/2026</t>
        </is>
      </c>
      <c r="M980" s="51" t="inlineStr">
        <is>
          <t>22485 (Rénovation bâtiment) ; 22250 (Éco-construction) ; 22279 (Maîtrise d'oeuvre BTP) ; 22269 (Maîtrise d'ouvrage BTP) ; 24147 (Énergie renouvelable)</t>
        </is>
      </c>
      <c r="N980" s="62" t="inlineStr">
        <is>
          <t>NON</t>
        </is>
      </c>
      <c r="O980" s="51" t="inlineStr"/>
    </row>
    <row r="981" customFormat="1" s="3">
      <c r="A981" s="45" t="n"/>
      <c r="B981" s="46" t="inlineStr">
        <is>
          <t>22269</t>
        </is>
      </c>
      <c r="C981" s="46">
        <f>LEFT(Tableau1[[#This Row],[Formacode]],3)</f>
        <v/>
      </c>
      <c r="D981" s="47" t="n">
        <v>38724</v>
      </c>
      <c r="E981" s="48">
        <f>"RNCP"&amp;D981</f>
        <v/>
      </c>
      <c r="F981" s="48" t="inlineStr">
        <is>
          <t>BP - Métiers de la pierre</t>
        </is>
      </c>
      <c r="G981" s="49">
        <f>E981&amp;" - "&amp;F981</f>
        <v/>
      </c>
      <c r="H981" s="36" t="inlineStr">
        <is>
          <t>RAS</t>
        </is>
      </c>
      <c r="I981" s="45" t="inlineStr"/>
      <c r="J981" s="45" t="inlineStr">
        <is>
          <t>RNCP38724</t>
        </is>
      </c>
      <c r="K981" s="45" t="inlineStr">
        <is>
          <t>Métiers de la pierre</t>
        </is>
      </c>
      <c r="L981" s="45" t="inlineStr">
        <is>
          <t>31/12/2028</t>
        </is>
      </c>
      <c r="M981" s="45" t="inlineStr">
        <is>
          <t>22254 (BTP conception organisation) ; 45502 (Taille pierre)</t>
        </is>
      </c>
      <c r="N981" s="50" t="inlineStr">
        <is>
          <t>NON</t>
        </is>
      </c>
      <c r="O981" s="45" t="inlineStr"/>
    </row>
    <row r="982" customFormat="1" s="3">
      <c r="A982" s="45" t="n"/>
      <c r="B982" s="46" t="inlineStr">
        <is>
          <t>22269</t>
        </is>
      </c>
      <c r="C982" s="46">
        <f>LEFT(Tableau1[[#This Row],[Formacode]],3)</f>
        <v/>
      </c>
      <c r="D982" s="47" t="n">
        <v>39085</v>
      </c>
      <c r="E982" s="48">
        <f>"RNCP"&amp;D982</f>
        <v/>
      </c>
      <c r="F982" s="48" t="inlineStr">
        <is>
          <t>BTS - Géologie appliquée</t>
        </is>
      </c>
      <c r="G982" s="49">
        <f>E982&amp;" - "&amp;F982</f>
        <v/>
      </c>
      <c r="H982" s="36" t="inlineStr">
        <is>
          <t>RAS</t>
        </is>
      </c>
      <c r="I982" s="45" t="inlineStr"/>
      <c r="J982" s="45" t="inlineStr">
        <is>
          <t>RNCP39085</t>
        </is>
      </c>
      <c r="K982" s="45" t="inlineStr">
        <is>
          <t>Géologie appliquée</t>
        </is>
      </c>
      <c r="L982" s="45" t="inlineStr">
        <is>
          <t>31/08/2029</t>
        </is>
      </c>
      <c r="M982" s="45" t="inlineStr">
        <is>
          <t>12275 (Géologie) ; 22254 (BTP conception organisation) ; 12225 (Topographie)</t>
        </is>
      </c>
      <c r="N982" s="50" t="inlineStr">
        <is>
          <t>NON</t>
        </is>
      </c>
      <c r="O982" s="45" t="inlineStr"/>
    </row>
    <row r="983" customFormat="1" s="3">
      <c r="A983" s="45" t="n"/>
      <c r="B983" s="46" t="inlineStr">
        <is>
          <t>22269</t>
        </is>
      </c>
      <c r="C983" s="46">
        <f>LEFT(Tableau1[[#This Row],[Formacode]],3)</f>
        <v/>
      </c>
      <c r="D983" s="47" t="n">
        <v>39514</v>
      </c>
      <c r="E983" s="48">
        <f>"RNCP"&amp;D983</f>
        <v/>
      </c>
      <c r="F983" s="48" t="inlineStr">
        <is>
          <t>BAC PRO - Ouvrages du bâtiment : métallerie</t>
        </is>
      </c>
      <c r="G983" s="49">
        <f>E983&amp;" - "&amp;F983</f>
        <v/>
      </c>
      <c r="H983" s="36" t="inlineStr">
        <is>
          <t>RAS</t>
        </is>
      </c>
      <c r="I983" s="45" t="inlineStr"/>
      <c r="J983" s="45" t="inlineStr">
        <is>
          <t>RNCP39514</t>
        </is>
      </c>
      <c r="K983" s="45" t="inlineStr">
        <is>
          <t>Ouvrages du bâtiment : métallerie</t>
        </is>
      </c>
      <c r="L983" s="45" t="inlineStr">
        <is>
          <t>31/08/2027</t>
        </is>
      </c>
      <c r="M983" s="45" t="inlineStr">
        <is>
          <t>22254 (BTP conception organisation) ; 22478 (Métallerie serrurerie)</t>
        </is>
      </c>
      <c r="N983" s="50" t="inlineStr">
        <is>
          <t>NON</t>
        </is>
      </c>
      <c r="O983" s="45" t="inlineStr"/>
    </row>
    <row r="984" customFormat="1" s="3">
      <c r="A984" s="45" t="n"/>
      <c r="B984" s="46" t="inlineStr">
        <is>
          <t>22269</t>
        </is>
      </c>
      <c r="C984" s="46">
        <f>LEFT(Tableau1[[#This Row],[Formacode]],3)</f>
        <v/>
      </c>
      <c r="D984" s="47" t="n">
        <v>40259</v>
      </c>
      <c r="E984" s="48">
        <f>"RNCP"&amp;D984</f>
        <v/>
      </c>
      <c r="F984" s="48" t="inlineStr">
        <is>
          <t>Couvreur-zingueur (BM)</t>
        </is>
      </c>
      <c r="G984" s="49">
        <f>E984&amp;" - "&amp;F984</f>
        <v/>
      </c>
      <c r="H984" s="36" t="inlineStr">
        <is>
          <t>RAS</t>
        </is>
      </c>
      <c r="I984" s="45" t="inlineStr"/>
      <c r="J984" s="45" t="inlineStr">
        <is>
          <t>RNCP40259</t>
        </is>
      </c>
      <c r="K984" s="45" t="inlineStr">
        <is>
          <t>Couvreur-zingueur (BM)</t>
        </is>
      </c>
      <c r="L984" s="45" t="inlineStr">
        <is>
          <t>28/02/2028</t>
        </is>
      </c>
      <c r="M984" s="45" t="inlineStr">
        <is>
          <t>22437 (Couverture) ; 32097 (Gestion entreprise artisanale) ; 22254 (BTP conception organisation)</t>
        </is>
      </c>
      <c r="N984" s="50" t="inlineStr">
        <is>
          <t>NON</t>
        </is>
      </c>
      <c r="O984" s="45" t="inlineStr"/>
    </row>
    <row r="985" customFormat="1" s="3">
      <c r="A985" s="63" t="n"/>
      <c r="B985" s="64" t="inlineStr">
        <is>
          <t>22270</t>
        </is>
      </c>
      <c r="C985" s="64">
        <f>LEFT(Tableau1[[#This Row],[Formacode]],3)</f>
        <v/>
      </c>
      <c r="D985" s="65" t="n">
        <v>35503</v>
      </c>
      <c r="E985" s="66">
        <f>"RNCP"&amp;D985</f>
        <v/>
      </c>
      <c r="F985" s="66" t="inlineStr">
        <is>
          <t>TP - Chargé d'affaires du bâtiment</t>
        </is>
      </c>
      <c r="G985" s="67">
        <f>E985&amp;" - "&amp;F985</f>
        <v/>
      </c>
      <c r="H985" s="38" t="inlineStr">
        <is>
          <t>Expiré / remplacé</t>
        </is>
      </c>
      <c r="I985" s="63" t="inlineStr">
        <is>
          <t>Fiche inactive — remplacée par RNCP42032 (Chargé d’affaires du bâtiment)</t>
        </is>
      </c>
      <c r="J985" s="63" t="inlineStr">
        <is>
          <t>RNCP42032</t>
        </is>
      </c>
      <c r="K985" s="63" t="inlineStr">
        <is>
          <t>Chargé d’affaires du bâtiment</t>
        </is>
      </c>
      <c r="L985" s="63" t="inlineStr">
        <is>
          <t>13/04/2026</t>
        </is>
      </c>
      <c r="M985" s="63" t="inlineStr">
        <is>
          <t>22257 (Commercialisation BTP) ; 22293 (Conduite travaux BTP) ; 22279 (Maîtrise d'oeuvre BTP)</t>
        </is>
      </c>
      <c r="N985" s="68" t="inlineStr">
        <is>
          <t>NON</t>
        </is>
      </c>
      <c r="O985" s="63" t="inlineStr"/>
    </row>
    <row r="986" customFormat="1" s="3">
      <c r="A986" s="45" t="n"/>
      <c r="B986" s="46" t="inlineStr">
        <is>
          <t>22270</t>
        </is>
      </c>
      <c r="C986" s="46">
        <f>LEFT(Tableau1[[#This Row],[Formacode]],3)</f>
        <v/>
      </c>
      <c r="D986" s="47" t="n">
        <v>37445</v>
      </c>
      <c r="E986" s="48">
        <f>"RNCP"&amp;D986</f>
        <v/>
      </c>
      <c r="F986" s="48" t="inlineStr">
        <is>
          <t>TP - Technicien d'intervention de réseaux de télécommunications en fibre optique</t>
        </is>
      </c>
      <c r="G986" s="49">
        <f>E986&amp;" - "&amp;F986</f>
        <v/>
      </c>
      <c r="H986" s="36" t="inlineStr">
        <is>
          <t>RAS</t>
        </is>
      </c>
      <c r="I986" s="45" t="inlineStr"/>
      <c r="J986" s="45" t="inlineStr">
        <is>
          <t>RNCP37445</t>
        </is>
      </c>
      <c r="K986" s="45" t="inlineStr">
        <is>
          <t>Technicien d'intervention de réseaux de télécommunications en fibre optique</t>
        </is>
      </c>
      <c r="L986" s="45" t="inlineStr">
        <is>
          <t>29/07/2028</t>
        </is>
      </c>
      <c r="M986" s="45" t="inlineStr">
        <is>
          <t>24229 (Transmission fibre optique) ; 22254 (BTP conception organisation)</t>
        </is>
      </c>
      <c r="N986" s="50" t="inlineStr">
        <is>
          <t>NON</t>
        </is>
      </c>
      <c r="O986" s="45" t="inlineStr"/>
    </row>
    <row r="987" customFormat="1" s="3">
      <c r="A987" s="45" t="n"/>
      <c r="B987" s="46" t="inlineStr">
        <is>
          <t>22270</t>
        </is>
      </c>
      <c r="C987" s="46">
        <f>LEFT(Tableau1[[#This Row],[Formacode]],3)</f>
        <v/>
      </c>
      <c r="D987" s="47" t="n">
        <v>38724</v>
      </c>
      <c r="E987" s="48">
        <f>"RNCP"&amp;D987</f>
        <v/>
      </c>
      <c r="F987" s="48" t="inlineStr">
        <is>
          <t>BP - Métiers de la pierre</t>
        </is>
      </c>
      <c r="G987" s="49">
        <f>E987&amp;" - "&amp;F987</f>
        <v/>
      </c>
      <c r="H987" s="36" t="inlineStr">
        <is>
          <t>RAS</t>
        </is>
      </c>
      <c r="I987" s="45" t="inlineStr"/>
      <c r="J987" s="45" t="inlineStr">
        <is>
          <t>RNCP38724</t>
        </is>
      </c>
      <c r="K987" s="45" t="inlineStr">
        <is>
          <t>Métiers de la pierre</t>
        </is>
      </c>
      <c r="L987" s="45" t="inlineStr">
        <is>
          <t>31/12/2028</t>
        </is>
      </c>
      <c r="M987" s="45" t="inlineStr">
        <is>
          <t>22254 (BTP conception organisation) ; 45502 (Taille pierre)</t>
        </is>
      </c>
      <c r="N987" s="50" t="inlineStr">
        <is>
          <t>NON</t>
        </is>
      </c>
      <c r="O987" s="45" t="inlineStr"/>
    </row>
    <row r="988" customFormat="1" s="3">
      <c r="A988" s="45" t="n"/>
      <c r="B988" s="46" t="inlineStr">
        <is>
          <t>22270</t>
        </is>
      </c>
      <c r="C988" s="46">
        <f>LEFT(Tableau1[[#This Row],[Formacode]],3)</f>
        <v/>
      </c>
      <c r="D988" s="47" t="n">
        <v>39085</v>
      </c>
      <c r="E988" s="48">
        <f>"RNCP"&amp;D988</f>
        <v/>
      </c>
      <c r="F988" s="48" t="inlineStr">
        <is>
          <t>BTS - Géologie appliquée</t>
        </is>
      </c>
      <c r="G988" s="49">
        <f>E988&amp;" - "&amp;F988</f>
        <v/>
      </c>
      <c r="H988" s="36" t="inlineStr">
        <is>
          <t>RAS</t>
        </is>
      </c>
      <c r="I988" s="45" t="inlineStr"/>
      <c r="J988" s="45" t="inlineStr">
        <is>
          <t>RNCP39085</t>
        </is>
      </c>
      <c r="K988" s="45" t="inlineStr">
        <is>
          <t>Géologie appliquée</t>
        </is>
      </c>
      <c r="L988" s="45" t="inlineStr">
        <is>
          <t>31/08/2029</t>
        </is>
      </c>
      <c r="M988" s="45" t="inlineStr">
        <is>
          <t>12275 (Géologie) ; 22254 (BTP conception organisation) ; 12225 (Topographie)</t>
        </is>
      </c>
      <c r="N988" s="50" t="inlineStr">
        <is>
          <t>NON</t>
        </is>
      </c>
      <c r="O988" s="45" t="inlineStr"/>
    </row>
    <row r="989" customFormat="1" s="3">
      <c r="A989" s="45" t="n"/>
      <c r="B989" s="46" t="inlineStr">
        <is>
          <t>22270</t>
        </is>
      </c>
      <c r="C989" s="46">
        <f>LEFT(Tableau1[[#This Row],[Formacode]],3)</f>
        <v/>
      </c>
      <c r="D989" s="47" t="n">
        <v>39514</v>
      </c>
      <c r="E989" s="48">
        <f>"RNCP"&amp;D989</f>
        <v/>
      </c>
      <c r="F989" s="48" t="inlineStr">
        <is>
          <t>BAC PRO - Ouvrages du bâtiment : métallerie</t>
        </is>
      </c>
      <c r="G989" s="49">
        <f>E989&amp;" - "&amp;F989</f>
        <v/>
      </c>
      <c r="H989" s="36" t="inlineStr">
        <is>
          <t>RAS</t>
        </is>
      </c>
      <c r="I989" s="45" t="inlineStr"/>
      <c r="J989" s="45" t="inlineStr">
        <is>
          <t>RNCP39514</t>
        </is>
      </c>
      <c r="K989" s="45" t="inlineStr">
        <is>
          <t>Ouvrages du bâtiment : métallerie</t>
        </is>
      </c>
      <c r="L989" s="45" t="inlineStr">
        <is>
          <t>31/08/2027</t>
        </is>
      </c>
      <c r="M989" s="45" t="inlineStr">
        <is>
          <t>22254 (BTP conception organisation) ; 22478 (Métallerie serrurerie)</t>
        </is>
      </c>
      <c r="N989" s="50" t="inlineStr">
        <is>
          <t>NON</t>
        </is>
      </c>
      <c r="O989" s="45" t="inlineStr"/>
    </row>
    <row r="990" customFormat="1" s="3">
      <c r="A990" s="45" t="n"/>
      <c r="B990" s="46" t="inlineStr">
        <is>
          <t>22270</t>
        </is>
      </c>
      <c r="C990" s="46">
        <f>LEFT(Tableau1[[#This Row],[Formacode]],3)</f>
        <v/>
      </c>
      <c r="D990" s="47" t="n">
        <v>40259</v>
      </c>
      <c r="E990" s="48">
        <f>"RNCP"&amp;D990</f>
        <v/>
      </c>
      <c r="F990" s="48" t="inlineStr">
        <is>
          <t>Couvreur-zingueur (BM)</t>
        </is>
      </c>
      <c r="G990" s="49">
        <f>E990&amp;" - "&amp;F990</f>
        <v/>
      </c>
      <c r="H990" s="36" t="inlineStr">
        <is>
          <t>RAS</t>
        </is>
      </c>
      <c r="I990" s="45" t="inlineStr"/>
      <c r="J990" s="45" t="inlineStr">
        <is>
          <t>RNCP40259</t>
        </is>
      </c>
      <c r="K990" s="45" t="inlineStr">
        <is>
          <t>Couvreur-zingueur (BM)</t>
        </is>
      </c>
      <c r="L990" s="45" t="inlineStr">
        <is>
          <t>28/02/2028</t>
        </is>
      </c>
      <c r="M990" s="45" t="inlineStr">
        <is>
          <t>22437 (Couverture) ; 32097 (Gestion entreprise artisanale) ; 22254 (BTP conception organisation)</t>
        </is>
      </c>
      <c r="N990" s="50" t="inlineStr">
        <is>
          <t>NON</t>
        </is>
      </c>
      <c r="O990" s="45" t="inlineStr"/>
    </row>
    <row r="991" customFormat="1" s="3">
      <c r="A991" s="63" t="n"/>
      <c r="B991" s="64" t="inlineStr">
        <is>
          <t>22274</t>
        </is>
      </c>
      <c r="C991" s="64">
        <f>LEFT(Tableau1[[#This Row],[Formacode]],3)</f>
        <v/>
      </c>
      <c r="D991" s="65" t="n">
        <v>35297</v>
      </c>
      <c r="E991" s="66">
        <f>"RNCP"&amp;D991</f>
        <v/>
      </c>
      <c r="F991" s="66" t="inlineStr">
        <is>
          <t>TP - Opérateur en dépollution pyrotechnique</t>
        </is>
      </c>
      <c r="G991" s="67">
        <f>E991&amp;" - "&amp;F991</f>
        <v/>
      </c>
      <c r="H991" s="38" t="inlineStr">
        <is>
          <t>Expiré / remplacé</t>
        </is>
      </c>
      <c r="I991" s="63" t="inlineStr">
        <is>
          <t>Fiche inactive — remplacée par RNCP41872 (Opérateur en dépollution pyrotechnique)</t>
        </is>
      </c>
      <c r="J991" s="63" t="inlineStr">
        <is>
          <t>RNCP41872</t>
        </is>
      </c>
      <c r="K991" s="63" t="inlineStr">
        <is>
          <t>Opérateur en dépollution pyrotechnique</t>
        </is>
      </c>
      <c r="L991" s="63" t="inlineStr">
        <is>
          <t>28/04/2026</t>
        </is>
      </c>
      <c r="M991" s="63" t="inlineStr">
        <is>
          <t>42804 (Déminage) ; 22294 (Conduite chantier BTP) ; 22097 (Explosif) ; 12580 (Pollution sol)</t>
        </is>
      </c>
      <c r="N991" s="68" t="inlineStr">
        <is>
          <t>NON</t>
        </is>
      </c>
      <c r="O991" s="63" t="inlineStr"/>
    </row>
    <row r="992" customFormat="1" s="3">
      <c r="A992" s="63" t="n"/>
      <c r="B992" s="64" t="inlineStr">
        <is>
          <t>22274</t>
        </is>
      </c>
      <c r="C992" s="64">
        <f>LEFT(Tableau1[[#This Row],[Formacode]],3)</f>
        <v/>
      </c>
      <c r="D992" s="65" t="n">
        <v>35298</v>
      </c>
      <c r="E992" s="66">
        <f>"RNCP"&amp;D992</f>
        <v/>
      </c>
      <c r="F992" s="66" t="inlineStr">
        <is>
          <t>TP - Responsable de chantier de dépollution pyrotechnique</t>
        </is>
      </c>
      <c r="G992" s="67">
        <f>E992&amp;" - "&amp;F992</f>
        <v/>
      </c>
      <c r="H992" s="38" t="inlineStr">
        <is>
          <t>Expiré / remplacé</t>
        </is>
      </c>
      <c r="I992" s="63" t="inlineStr">
        <is>
          <t>Fiche inactive — remplacée par RNCP41873 (Responsable de chantier de dépollution pyrotechnique)</t>
        </is>
      </c>
      <c r="J992" s="63" t="inlineStr">
        <is>
          <t>RNCP41873</t>
        </is>
      </c>
      <c r="K992" s="63" t="inlineStr">
        <is>
          <t>Responsable de chantier de dépollution pyrotechnique</t>
        </is>
      </c>
      <c r="L992" s="63" t="inlineStr">
        <is>
          <t>08/06/2026</t>
        </is>
      </c>
      <c r="M992" s="63" t="inlineStr">
        <is>
          <t>42804 (Déminage) ; 22097 (Explosif) ; 22294 (Conduite chantier BTP)</t>
        </is>
      </c>
      <c r="N992" s="68" t="inlineStr">
        <is>
          <t>NON</t>
        </is>
      </c>
      <c r="O992" s="63" t="inlineStr"/>
    </row>
    <row r="993" customFormat="1" s="3">
      <c r="A993" s="63" t="n"/>
      <c r="B993" s="64" t="inlineStr">
        <is>
          <t>22274</t>
        </is>
      </c>
      <c r="C993" s="64">
        <f>LEFT(Tableau1[[#This Row],[Formacode]],3)</f>
        <v/>
      </c>
      <c r="D993" s="65" t="n">
        <v>35503</v>
      </c>
      <c r="E993" s="66">
        <f>"RNCP"&amp;D993</f>
        <v/>
      </c>
      <c r="F993" s="66" t="inlineStr">
        <is>
          <t>TP - Chargé d'affaires du bâtiment</t>
        </is>
      </c>
      <c r="G993" s="67">
        <f>E993&amp;" - "&amp;F993</f>
        <v/>
      </c>
      <c r="H993" s="38" t="inlineStr">
        <is>
          <t>Expiré / remplacé</t>
        </is>
      </c>
      <c r="I993" s="63" t="inlineStr">
        <is>
          <t>Fiche inactive — remplacée par RNCP42032 (Chargé d’affaires du bâtiment)</t>
        </is>
      </c>
      <c r="J993" s="63" t="inlineStr">
        <is>
          <t>RNCP42032</t>
        </is>
      </c>
      <c r="K993" s="63" t="inlineStr">
        <is>
          <t>Chargé d’affaires du bâtiment</t>
        </is>
      </c>
      <c r="L993" s="63" t="inlineStr">
        <is>
          <t>13/04/2026</t>
        </is>
      </c>
      <c r="M993" s="63" t="inlineStr">
        <is>
          <t>22257 (Commercialisation BTP) ; 22293 (Conduite travaux BTP) ; 22279 (Maîtrise d'oeuvre BTP)</t>
        </is>
      </c>
      <c r="N993" s="68" t="inlineStr">
        <is>
          <t>NON</t>
        </is>
      </c>
      <c r="O993" s="63" t="inlineStr"/>
    </row>
    <row r="994" customFormat="1" s="3">
      <c r="A994" s="51" t="n"/>
      <c r="B994" s="52" t="inlineStr">
        <is>
          <t>22274</t>
        </is>
      </c>
      <c r="C994" s="52">
        <f>LEFT(Tableau1[[#This Row],[Formacode]],3)</f>
        <v/>
      </c>
      <c r="D994" s="53" t="n">
        <v>35802</v>
      </c>
      <c r="E994" s="54">
        <f>"RNCP"&amp;D994</f>
        <v/>
      </c>
      <c r="F994" s="54" t="inlineStr">
        <is>
          <t>BTS - Management économique de la construction</t>
        </is>
      </c>
      <c r="G994" s="55">
        <f>E994&amp;" - "&amp;F994</f>
        <v/>
      </c>
      <c r="H994" s="37" t="inlineStr">
        <is>
          <t>À vérifier</t>
        </is>
      </c>
      <c r="I994" s="51" t="inlineStr">
        <is>
          <t>Successeur déjà publié : RNCP41826 (Management économique de la construction) — préparer la bascule de l'offre CPF | Échéance le 31/08/2026 (dans 44 j)</t>
        </is>
      </c>
      <c r="J994" s="51" t="inlineStr">
        <is>
          <t>RNCP41826</t>
        </is>
      </c>
      <c r="K994" s="51" t="inlineStr">
        <is>
          <t>Management économique de la construction</t>
        </is>
      </c>
      <c r="L994" s="51" t="inlineStr">
        <is>
          <t>31/08/2026</t>
        </is>
      </c>
      <c r="M994" s="51" t="inlineStr">
        <is>
          <t>22293 (Conduite travaux BTP) ; 22279 (Maîtrise d'oeuvre BTP) ; 22259 (Marché travaux) ; 22230 (Métré spécialisé) ; 22374 (Construction)</t>
        </is>
      </c>
      <c r="N994" s="62" t="inlineStr">
        <is>
          <t>NON</t>
        </is>
      </c>
      <c r="O994" s="51" t="inlineStr"/>
    </row>
    <row r="995" customFormat="1" s="3">
      <c r="A995" s="45" t="n"/>
      <c r="B995" s="46" t="inlineStr">
        <is>
          <t>22274</t>
        </is>
      </c>
      <c r="C995" s="46">
        <f>LEFT(Tableau1[[#This Row],[Formacode]],3)</f>
        <v/>
      </c>
      <c r="D995" s="47" t="n">
        <v>36718</v>
      </c>
      <c r="E995" s="48">
        <f>"RNCP"&amp;D995</f>
        <v/>
      </c>
      <c r="F995" s="48" t="inlineStr">
        <is>
          <t>CQP Assistant technicien de chantier</t>
        </is>
      </c>
      <c r="G995" s="49">
        <f>E995&amp;" - "&amp;F995</f>
        <v/>
      </c>
      <c r="H995" s="36" t="inlineStr">
        <is>
          <t>RAS</t>
        </is>
      </c>
      <c r="I995" s="45" t="inlineStr"/>
      <c r="J995" s="45" t="inlineStr">
        <is>
          <t>RNCP36718</t>
        </is>
      </c>
      <c r="K995" s="45" t="inlineStr">
        <is>
          <t>CQP Assistant technicien de chantier</t>
        </is>
      </c>
      <c r="L995" s="45" t="inlineStr">
        <is>
          <t>20/07/2027</t>
        </is>
      </c>
      <c r="M995" s="45" t="inlineStr">
        <is>
          <t>22283 (Préparation chantier BTP)</t>
        </is>
      </c>
      <c r="N995" s="50" t="inlineStr">
        <is>
          <t>NON</t>
        </is>
      </c>
      <c r="O995" s="45" t="inlineStr"/>
    </row>
    <row r="996" customFormat="1" s="3">
      <c r="A996" s="45" t="n"/>
      <c r="B996" s="46" t="inlineStr">
        <is>
          <t>22274</t>
        </is>
      </c>
      <c r="C996" s="46">
        <f>LEFT(Tableau1[[#This Row],[Formacode]],3)</f>
        <v/>
      </c>
      <c r="D996" s="47" t="n">
        <v>36913</v>
      </c>
      <c r="E996" s="48">
        <f>"RNCP"&amp;D996</f>
        <v/>
      </c>
      <c r="F996" s="48" t="inlineStr">
        <is>
          <t>CQP Monteur d'échafaudage</t>
        </is>
      </c>
      <c r="G996" s="49">
        <f>E996&amp;" - "&amp;F996</f>
        <v/>
      </c>
      <c r="H996" s="36" t="inlineStr">
        <is>
          <t>RAS</t>
        </is>
      </c>
      <c r="I996" s="45" t="inlineStr"/>
      <c r="J996" s="45" t="inlineStr">
        <is>
          <t>RNCP36913</t>
        </is>
      </c>
      <c r="K996" s="45" t="inlineStr">
        <is>
          <t>CQP Monteur d'échafaudage</t>
        </is>
      </c>
      <c r="L996" s="45" t="inlineStr">
        <is>
          <t>29/09/2027</t>
        </is>
      </c>
      <c r="M996" s="45" t="inlineStr">
        <is>
          <t>22297 (Échafaudage)</t>
        </is>
      </c>
      <c r="N996" s="50" t="inlineStr">
        <is>
          <t>NON</t>
        </is>
      </c>
      <c r="O996" s="45" t="inlineStr"/>
    </row>
    <row r="997" customFormat="1" s="3">
      <c r="A997" s="45" t="n"/>
      <c r="B997" s="46" t="inlineStr">
        <is>
          <t>22274</t>
        </is>
      </c>
      <c r="C997" s="46">
        <f>LEFT(Tableau1[[#This Row],[Formacode]],3)</f>
        <v/>
      </c>
      <c r="D997" s="47" t="n">
        <v>37199</v>
      </c>
      <c r="E997" s="48">
        <f>"RNCP"&amp;D997</f>
        <v/>
      </c>
      <c r="F997" s="48" t="inlineStr">
        <is>
          <t>BTS - Travaux publics</t>
        </is>
      </c>
      <c r="G997" s="49">
        <f>E997&amp;" - "&amp;F997</f>
        <v/>
      </c>
      <c r="H997" s="36" t="inlineStr">
        <is>
          <t>RAS</t>
        </is>
      </c>
      <c r="I997" s="45" t="inlineStr"/>
      <c r="J997" s="45" t="inlineStr">
        <is>
          <t>RNCP37199</t>
        </is>
      </c>
      <c r="K997" s="45" t="inlineStr">
        <is>
          <t>Travaux publics</t>
        </is>
      </c>
      <c r="L997" s="45" t="inlineStr">
        <is>
          <t>31/08/2028</t>
        </is>
      </c>
      <c r="M997" s="45" t="inlineStr">
        <is>
          <t>22294 (Conduite chantier BTP) ; 22054 (Travaux publics)</t>
        </is>
      </c>
      <c r="N997" s="50" t="inlineStr">
        <is>
          <t>NON</t>
        </is>
      </c>
      <c r="O997" s="45" t="inlineStr"/>
    </row>
    <row r="998" customFormat="1" s="3">
      <c r="A998" s="45" t="n"/>
      <c r="B998" s="46" t="inlineStr">
        <is>
          <t>22274</t>
        </is>
      </c>
      <c r="C998" s="46">
        <f>LEFT(Tableau1[[#This Row],[Formacode]],3)</f>
        <v/>
      </c>
      <c r="D998" s="47" t="n">
        <v>37385</v>
      </c>
      <c r="E998" s="48">
        <f>"RNCP"&amp;D998</f>
        <v/>
      </c>
      <c r="F998" s="48" t="inlineStr">
        <is>
          <t>BAC PRO - Travaux publics</t>
        </is>
      </c>
      <c r="G998" s="49">
        <f>E998&amp;" - "&amp;F998</f>
        <v/>
      </c>
      <c r="H998" s="36" t="inlineStr">
        <is>
          <t>RAS</t>
        </is>
      </c>
      <c r="I998" s="45" t="inlineStr"/>
      <c r="J998" s="45" t="inlineStr">
        <is>
          <t>RNCP37385</t>
        </is>
      </c>
      <c r="K998" s="45" t="inlineStr">
        <is>
          <t>Travaux publics</t>
        </is>
      </c>
      <c r="L998" s="45" t="inlineStr">
        <is>
          <t>01/09/2028</t>
        </is>
      </c>
      <c r="M998" s="45" t="inlineStr">
        <is>
          <t>22054 (Travaux publics) ; 22294 (Conduite chantier BTP)</t>
        </is>
      </c>
      <c r="N998" s="50" t="inlineStr">
        <is>
          <t>NON</t>
        </is>
      </c>
      <c r="O998" s="45" t="inlineStr"/>
    </row>
    <row r="999" customFormat="1" s="3">
      <c r="A999" s="45" t="n"/>
      <c r="B999" s="46" t="inlineStr">
        <is>
          <t>22274</t>
        </is>
      </c>
      <c r="C999" s="46">
        <f>LEFT(Tableau1[[#This Row],[Formacode]],3)</f>
        <v/>
      </c>
      <c r="D999" s="47" t="n">
        <v>37445</v>
      </c>
      <c r="E999" s="48">
        <f>"RNCP"&amp;D999</f>
        <v/>
      </c>
      <c r="F999" s="48" t="inlineStr">
        <is>
          <t>TP - Technicien d'intervention de réseaux de télécommunications en fibre optique</t>
        </is>
      </c>
      <c r="G999" s="49">
        <f>E999&amp;" - "&amp;F999</f>
        <v/>
      </c>
      <c r="H999" s="36" t="inlineStr">
        <is>
          <t>RAS</t>
        </is>
      </c>
      <c r="I999" s="45" t="inlineStr"/>
      <c r="J999" s="45" t="inlineStr">
        <is>
          <t>RNCP37445</t>
        </is>
      </c>
      <c r="K999" s="45" t="inlineStr">
        <is>
          <t>Technicien d'intervention de réseaux de télécommunications en fibre optique</t>
        </is>
      </c>
      <c r="L999" s="45" t="inlineStr">
        <is>
          <t>29/07/2028</t>
        </is>
      </c>
      <c r="M999" s="45" t="inlineStr">
        <is>
          <t>24229 (Transmission fibre optique) ; 22254 (BTP conception organisation)</t>
        </is>
      </c>
      <c r="N999" s="50" t="inlineStr">
        <is>
          <t>NON</t>
        </is>
      </c>
      <c r="O999" s="45" t="inlineStr"/>
    </row>
    <row r="1000" customFormat="1" s="3">
      <c r="A1000" s="45" t="n"/>
      <c r="B1000" s="46" t="inlineStr">
        <is>
          <t>22274</t>
        </is>
      </c>
      <c r="C1000" s="46">
        <f>LEFT(Tableau1[[#This Row],[Formacode]],3)</f>
        <v/>
      </c>
      <c r="D1000" s="47" t="n">
        <v>38577</v>
      </c>
      <c r="E1000" s="48">
        <f>"RNCP"&amp;D1000</f>
        <v/>
      </c>
      <c r="F1000" s="48" t="inlineStr">
        <is>
          <t>BTS - Maintenance des matériels de construction et de manutention</t>
        </is>
      </c>
      <c r="G1000" s="49">
        <f>E1000&amp;" - "&amp;F1000</f>
        <v/>
      </c>
      <c r="H1000" s="36" t="inlineStr">
        <is>
          <t>RAS</t>
        </is>
      </c>
      <c r="I1000" s="45" t="inlineStr"/>
      <c r="J1000" s="45" t="inlineStr">
        <is>
          <t>RNCP38577</t>
        </is>
      </c>
      <c r="K1000" s="45" t="inlineStr">
        <is>
          <t>Maintenance des matériels de construction et de manutention</t>
        </is>
      </c>
      <c r="L1000" s="45" t="inlineStr">
        <is>
          <t>31/12/2028</t>
        </is>
      </c>
      <c r="M1000" s="45" t="inlineStr">
        <is>
          <t>31736 (Réparation engin manutention) ; 22286 (Matériel chantier)</t>
        </is>
      </c>
      <c r="N1000" s="50" t="inlineStr">
        <is>
          <t>NON</t>
        </is>
      </c>
      <c r="O1000" s="45" t="inlineStr"/>
    </row>
    <row r="1001" customFormat="1" s="3">
      <c r="A1001" s="45" t="n"/>
      <c r="B1001" s="46" t="inlineStr">
        <is>
          <t>22274</t>
        </is>
      </c>
      <c r="C1001" s="46">
        <f>LEFT(Tableau1[[#This Row],[Formacode]],3)</f>
        <v/>
      </c>
      <c r="D1001" s="47" t="n">
        <v>38578</v>
      </c>
      <c r="E1001" s="48">
        <f>"RNCP"&amp;D1001</f>
        <v/>
      </c>
      <c r="F1001" s="48" t="inlineStr">
        <is>
          <t>BTS - Systèmes constructifs bois et habitat</t>
        </is>
      </c>
      <c r="G1001" s="49">
        <f>E1001&amp;" - "&amp;F1001</f>
        <v/>
      </c>
      <c r="H1001" s="36" t="inlineStr">
        <is>
          <t>RAS</t>
        </is>
      </c>
      <c r="I1001" s="45" t="inlineStr"/>
      <c r="J1001" s="45" t="inlineStr">
        <is>
          <t>RNCP38578</t>
        </is>
      </c>
      <c r="K1001" s="45" t="inlineStr">
        <is>
          <t>Systèmes constructifs bois et habitat</t>
        </is>
      </c>
      <c r="L1001" s="45" t="inlineStr">
        <is>
          <t>31/08/2029</t>
        </is>
      </c>
      <c r="M1001" s="45" t="inlineStr">
        <is>
          <t>22396 (Construction bois) ; 22294 (Conduite chantier BTP)</t>
        </is>
      </c>
      <c r="N1001" s="50" t="inlineStr">
        <is>
          <t>NON</t>
        </is>
      </c>
      <c r="O1001" s="45" t="inlineStr"/>
    </row>
    <row r="1002" customFormat="1" s="3">
      <c r="A1002" s="45" t="n"/>
      <c r="B1002" s="46" t="inlineStr">
        <is>
          <t>22274</t>
        </is>
      </c>
      <c r="C1002" s="46">
        <f>LEFT(Tableau1[[#This Row],[Formacode]],3)</f>
        <v/>
      </c>
      <c r="D1002" s="47" t="n">
        <v>38721</v>
      </c>
      <c r="E1002" s="48">
        <f>"RNCP"&amp;D1002</f>
        <v/>
      </c>
      <c r="F1002" s="48" t="inlineStr">
        <is>
          <t>TP - Chef de chantier gros œuvre</t>
        </is>
      </c>
      <c r="G1002" s="49">
        <f>E1002&amp;" - "&amp;F1002</f>
        <v/>
      </c>
      <c r="H1002" s="36" t="inlineStr">
        <is>
          <t>RAS</t>
        </is>
      </c>
      <c r="I1002" s="45" t="inlineStr"/>
      <c r="J1002" s="45" t="inlineStr">
        <is>
          <t>RNCP38721</t>
        </is>
      </c>
      <c r="K1002" s="45" t="inlineStr">
        <is>
          <t>Chef de chantier gros œuvre</t>
        </is>
      </c>
      <c r="L1002" s="45" t="inlineStr">
        <is>
          <t>20/04/2029</t>
        </is>
      </c>
      <c r="M1002" s="45" t="inlineStr">
        <is>
          <t>22294 (Conduite chantier BTP) ; 22354 (Bâtiment gros oeuvre)</t>
        </is>
      </c>
      <c r="N1002" s="50" t="inlineStr">
        <is>
          <t>NON</t>
        </is>
      </c>
      <c r="O1002" s="45" t="inlineStr"/>
    </row>
    <row r="1003" customFormat="1" s="3">
      <c r="A1003" s="45" t="n"/>
      <c r="B1003" s="46" t="inlineStr">
        <is>
          <t>22274</t>
        </is>
      </c>
      <c r="C1003" s="46">
        <f>LEFT(Tableau1[[#This Row],[Formacode]],3)</f>
        <v/>
      </c>
      <c r="D1003" s="47" t="n">
        <v>38723</v>
      </c>
      <c r="E1003" s="48">
        <f>"RNCP"&amp;D1003</f>
        <v/>
      </c>
      <c r="F1003" s="48" t="inlineStr">
        <is>
          <t>TP - Conducteur de travaux aménagement finitions</t>
        </is>
      </c>
      <c r="G1003" s="49">
        <f>E1003&amp;" - "&amp;F1003</f>
        <v/>
      </c>
      <c r="H1003" s="36" t="inlineStr">
        <is>
          <t>RAS</t>
        </is>
      </c>
      <c r="I1003" s="45" t="inlineStr"/>
      <c r="J1003" s="45" t="inlineStr">
        <is>
          <t>RNCP38723</t>
        </is>
      </c>
      <c r="K1003" s="45" t="inlineStr">
        <is>
          <t>Conducteur de travaux aménagement finitions</t>
        </is>
      </c>
      <c r="L1003" s="45" t="inlineStr">
        <is>
          <t>07/05/2029</t>
        </is>
      </c>
      <c r="M1003" s="45" t="inlineStr">
        <is>
          <t>22293 (Conduite travaux BTP) ; 22442 (Revêtement sol mur) ; 22485 (Rénovation bâtiment) ; 22411 (Enveloppe bâtiment)</t>
        </is>
      </c>
      <c r="N1003" s="50" t="inlineStr">
        <is>
          <t>NON</t>
        </is>
      </c>
      <c r="O1003" s="45" t="inlineStr"/>
    </row>
    <row r="1004" customFormat="1" s="3">
      <c r="A1004" s="45" t="n"/>
      <c r="B1004" s="46" t="inlineStr">
        <is>
          <t>22274</t>
        </is>
      </c>
      <c r="C1004" s="46">
        <f>LEFT(Tableau1[[#This Row],[Formacode]],3)</f>
        <v/>
      </c>
      <c r="D1004" s="47" t="n">
        <v>38724</v>
      </c>
      <c r="E1004" s="48">
        <f>"RNCP"&amp;D1004</f>
        <v/>
      </c>
      <c r="F1004" s="48" t="inlineStr">
        <is>
          <t>BP - Métiers de la pierre</t>
        </is>
      </c>
      <c r="G1004" s="49">
        <f>E1004&amp;" - "&amp;F1004</f>
        <v/>
      </c>
      <c r="H1004" s="36" t="inlineStr">
        <is>
          <t>RAS</t>
        </is>
      </c>
      <c r="I1004" s="45" t="inlineStr"/>
      <c r="J1004" s="45" t="inlineStr">
        <is>
          <t>RNCP38724</t>
        </is>
      </c>
      <c r="K1004" s="45" t="inlineStr">
        <is>
          <t>Métiers de la pierre</t>
        </is>
      </c>
      <c r="L1004" s="45" t="inlineStr">
        <is>
          <t>31/12/2028</t>
        </is>
      </c>
      <c r="M1004" s="45" t="inlineStr">
        <is>
          <t>22254 (BTP conception organisation) ; 45502 (Taille pierre)</t>
        </is>
      </c>
      <c r="N1004" s="50" t="inlineStr">
        <is>
          <t>NON</t>
        </is>
      </c>
      <c r="O1004" s="45" t="inlineStr"/>
    </row>
    <row r="1005" customFormat="1" s="3">
      <c r="A1005" s="45" t="n"/>
      <c r="B1005" s="46" t="inlineStr">
        <is>
          <t>22274</t>
        </is>
      </c>
      <c r="C1005" s="46">
        <f>LEFT(Tableau1[[#This Row],[Formacode]],3)</f>
        <v/>
      </c>
      <c r="D1005" s="47" t="n">
        <v>38746</v>
      </c>
      <c r="E1005" s="48">
        <f>"RNCP"&amp;D1005</f>
        <v/>
      </c>
      <c r="F1005" s="48" t="inlineStr">
        <is>
          <t>TP - Chef d'équipe gros œuvre</t>
        </is>
      </c>
      <c r="G1005" s="49">
        <f>E1005&amp;" - "&amp;F1005</f>
        <v/>
      </c>
      <c r="H1005" s="36" t="inlineStr">
        <is>
          <t>RAS</t>
        </is>
      </c>
      <c r="I1005" s="45" t="inlineStr"/>
      <c r="J1005" s="45" t="inlineStr">
        <is>
          <t>RNCP38746</t>
        </is>
      </c>
      <c r="K1005" s="45" t="inlineStr">
        <is>
          <t>Chef d'équipe gros œuvre</t>
        </is>
      </c>
      <c r="L1005" s="45" t="inlineStr">
        <is>
          <t>21/10/2029</t>
        </is>
      </c>
      <c r="M1005" s="45" t="inlineStr">
        <is>
          <t>22294 (Conduite chantier BTP) ; 22354 (Bâtiment gros oeuvre)</t>
        </is>
      </c>
      <c r="N1005" s="50" t="inlineStr">
        <is>
          <t>NON</t>
        </is>
      </c>
      <c r="O1005" s="45" t="inlineStr"/>
    </row>
    <row r="1006" customFormat="1" s="3">
      <c r="A1006" s="45" t="n"/>
      <c r="B1006" s="46" t="inlineStr">
        <is>
          <t>22274</t>
        </is>
      </c>
      <c r="C1006" s="46">
        <f>LEFT(Tableau1[[#This Row],[Formacode]],3)</f>
        <v/>
      </c>
      <c r="D1006" s="47" t="n">
        <v>38747</v>
      </c>
      <c r="E1006" s="48">
        <f>"RNCP"&amp;D1006</f>
        <v/>
      </c>
      <c r="F1006" s="48" t="inlineStr">
        <is>
          <t>TP - Chef de chantier aménagement finitions</t>
        </is>
      </c>
      <c r="G1006" s="49">
        <f>E1006&amp;" - "&amp;F1006</f>
        <v/>
      </c>
      <c r="H1006" s="36" t="inlineStr">
        <is>
          <t>RAS</t>
        </is>
      </c>
      <c r="I1006" s="45" t="inlineStr"/>
      <c r="J1006" s="45" t="inlineStr">
        <is>
          <t>RNCP38747</t>
        </is>
      </c>
      <c r="K1006" s="45" t="inlineStr">
        <is>
          <t>Chef de chantier aménagement finitions</t>
        </is>
      </c>
      <c r="L1006" s="45" t="inlineStr">
        <is>
          <t>18/08/2029</t>
        </is>
      </c>
      <c r="M1006" s="45" t="inlineStr">
        <is>
          <t>22294 (Conduite chantier BTP) ; 22454 (Bâtiment second oeuvre)</t>
        </is>
      </c>
      <c r="N1006" s="50" t="inlineStr">
        <is>
          <t>NON</t>
        </is>
      </c>
      <c r="O1006" s="45" t="inlineStr"/>
    </row>
    <row r="1007" customFormat="1" s="3">
      <c r="A1007" s="45" t="n"/>
      <c r="B1007" s="46" t="inlineStr">
        <is>
          <t>22274</t>
        </is>
      </c>
      <c r="C1007" s="46">
        <f>LEFT(Tableau1[[#This Row],[Formacode]],3)</f>
        <v/>
      </c>
      <c r="D1007" s="47" t="n">
        <v>38749</v>
      </c>
      <c r="E1007" s="48">
        <f>"RNCP"&amp;D1007</f>
        <v/>
      </c>
      <c r="F1007" s="48" t="inlineStr">
        <is>
          <t>TP - Assistant chef de chantier gros œuvre</t>
        </is>
      </c>
      <c r="G1007" s="49">
        <f>E1007&amp;" - "&amp;F1007</f>
        <v/>
      </c>
      <c r="H1007" s="36" t="inlineStr">
        <is>
          <t>RAS</t>
        </is>
      </c>
      <c r="I1007" s="45" t="inlineStr"/>
      <c r="J1007" s="45" t="inlineStr">
        <is>
          <t>RNCP38749</t>
        </is>
      </c>
      <c r="K1007" s="45" t="inlineStr">
        <is>
          <t>Assistant chef de chantier gros œuvre</t>
        </is>
      </c>
      <c r="L1007" s="45" t="inlineStr">
        <is>
          <t>16/07/2029</t>
        </is>
      </c>
      <c r="M1007" s="45" t="inlineStr">
        <is>
          <t>22294 (Conduite chantier BTP) ; 22395 (Construction béton)</t>
        </is>
      </c>
      <c r="N1007" s="50" t="inlineStr">
        <is>
          <t>NON</t>
        </is>
      </c>
      <c r="O1007" s="45" t="inlineStr"/>
    </row>
    <row r="1008" customFormat="1" s="3">
      <c r="A1008" s="45" t="n"/>
      <c r="B1008" s="46" t="inlineStr">
        <is>
          <t>22274</t>
        </is>
      </c>
      <c r="C1008" s="46">
        <f>LEFT(Tableau1[[#This Row],[Formacode]],3)</f>
        <v/>
      </c>
      <c r="D1008" s="47" t="n">
        <v>38751</v>
      </c>
      <c r="E1008" s="48">
        <f>"RNCP"&amp;D1008</f>
        <v/>
      </c>
      <c r="F1008" s="48" t="inlineStr">
        <is>
          <t>TP - Chef d'équipe en aménagement finitions</t>
        </is>
      </c>
      <c r="G1008" s="49">
        <f>E1008&amp;" - "&amp;F1008</f>
        <v/>
      </c>
      <c r="H1008" s="36" t="inlineStr">
        <is>
          <t>RAS</t>
        </is>
      </c>
      <c r="I1008" s="45" t="inlineStr"/>
      <c r="J1008" s="45" t="inlineStr">
        <is>
          <t>RNCP38751</t>
        </is>
      </c>
      <c r="K1008" s="45" t="inlineStr">
        <is>
          <t>Chef d'équipe en aménagement finitions</t>
        </is>
      </c>
      <c r="L1008" s="45" t="inlineStr">
        <is>
          <t>13/07/2029</t>
        </is>
      </c>
      <c r="M1008" s="45" t="inlineStr">
        <is>
          <t>22294 (Conduite chantier BTP) ; 22442 (Revêtement sol mur) ; 22411 (Enveloppe bâtiment) ; 22485 (Rénovation bâtiment)</t>
        </is>
      </c>
      <c r="N1008" s="50" t="inlineStr">
        <is>
          <t>NON</t>
        </is>
      </c>
      <c r="O1008" s="45" t="inlineStr"/>
    </row>
    <row r="1009" customFormat="1" s="3">
      <c r="A1009" s="45" t="n"/>
      <c r="B1009" s="46" t="inlineStr">
        <is>
          <t>22274</t>
        </is>
      </c>
      <c r="C1009" s="46">
        <f>LEFT(Tableau1[[#This Row],[Formacode]],3)</f>
        <v/>
      </c>
      <c r="D1009" s="47" t="n">
        <v>38873</v>
      </c>
      <c r="E1009" s="48">
        <f>"RNCP"&amp;D1009</f>
        <v/>
      </c>
      <c r="F1009" s="48" t="inlineStr">
        <is>
          <t>CS - Echafaudeur</t>
        </is>
      </c>
      <c r="G1009" s="49">
        <f>E1009&amp;" - "&amp;F1009</f>
        <v/>
      </c>
      <c r="H1009" s="36" t="inlineStr">
        <is>
          <t>RAS</t>
        </is>
      </c>
      <c r="I1009" s="45" t="inlineStr"/>
      <c r="J1009" s="45" t="inlineStr">
        <is>
          <t>RNCP38873</t>
        </is>
      </c>
      <c r="K1009" s="45" t="inlineStr">
        <is>
          <t>Echafaudeur</t>
        </is>
      </c>
      <c r="L1009" s="45" t="inlineStr">
        <is>
          <t>31/08/2029</t>
        </is>
      </c>
      <c r="M1009" s="45" t="inlineStr">
        <is>
          <t>22297 (Échafaudage)</t>
        </is>
      </c>
      <c r="N1009" s="50" t="inlineStr">
        <is>
          <t>NON</t>
        </is>
      </c>
      <c r="O1009" s="45" t="inlineStr"/>
    </row>
    <row r="1010" customFormat="1" s="3">
      <c r="A1010" s="45" t="n"/>
      <c r="B1010" s="46" t="inlineStr">
        <is>
          <t>22274</t>
        </is>
      </c>
      <c r="C1010" s="46">
        <f>LEFT(Tableau1[[#This Row],[Formacode]],3)</f>
        <v/>
      </c>
      <c r="D1010" s="47" t="n">
        <v>39007</v>
      </c>
      <c r="E1010" s="48">
        <f>"RNCP"&amp;D1010</f>
        <v/>
      </c>
      <c r="F1010" s="48" t="inlineStr">
        <is>
          <t>TP - Technicien de maintenance d'engins et de matériels de chantier et de manutention</t>
        </is>
      </c>
      <c r="G1010" s="49">
        <f>E1010&amp;" - "&amp;F1010</f>
        <v/>
      </c>
      <c r="H1010" s="36" t="inlineStr">
        <is>
          <t>RAS</t>
        </is>
      </c>
      <c r="I1010" s="45" t="inlineStr"/>
      <c r="J1010" s="45" t="inlineStr">
        <is>
          <t>RNCP39007</t>
        </is>
      </c>
      <c r="K1010" s="45" t="inlineStr">
        <is>
          <t>Technicien de maintenance d'engins et de matériels de chantier et de manutention</t>
        </is>
      </c>
      <c r="L1010" s="45" t="inlineStr">
        <is>
          <t>23/03/2029</t>
        </is>
      </c>
      <c r="M1010" s="45" t="inlineStr">
        <is>
          <t>22286 (Matériel chantier) ; 23523 (Pneumatique) ; 31717 (Engin chantier) ; 31736 (Réparation engin manutention) ; 23652 (Transmission mécanique)</t>
        </is>
      </c>
      <c r="N1010" s="50" t="inlineStr">
        <is>
          <t>NON</t>
        </is>
      </c>
      <c r="O1010" s="45" t="inlineStr"/>
    </row>
    <row r="1011" customFormat="1" s="3">
      <c r="A1011" s="45" t="n"/>
      <c r="B1011" s="46" t="inlineStr">
        <is>
          <t>22274</t>
        </is>
      </c>
      <c r="C1011" s="46">
        <f>LEFT(Tableau1[[#This Row],[Formacode]],3)</f>
        <v/>
      </c>
      <c r="D1011" s="47" t="n">
        <v>39033</v>
      </c>
      <c r="E1011" s="48">
        <f>"RNCP"&amp;D1011</f>
        <v/>
      </c>
      <c r="F1011" s="48" t="inlineStr">
        <is>
          <t>BAC PRO - Technicien d'études du bâtiment</t>
        </is>
      </c>
      <c r="G1011" s="49">
        <f>E1011&amp;" - "&amp;F1011</f>
        <v/>
      </c>
      <c r="H1011" s="36" t="inlineStr">
        <is>
          <t>RAS</t>
        </is>
      </c>
      <c r="I1011" s="45" t="inlineStr"/>
      <c r="J1011" s="45" t="inlineStr">
        <is>
          <t>RNCP39033</t>
        </is>
      </c>
      <c r="K1011" s="45" t="inlineStr">
        <is>
          <t>Technicien d'études du bâtiment</t>
        </is>
      </c>
      <c r="L1011" s="45" t="inlineStr">
        <is>
          <t>31/08/2029</t>
        </is>
      </c>
      <c r="M1011" s="45" t="inlineStr">
        <is>
          <t>22294 (Conduite chantier BTP) ; 31685 (DAO) ; 22279 (Maîtrise d'oeuvre BTP) ; 22232 (Métré BTP)</t>
        </is>
      </c>
      <c r="N1011" s="50" t="inlineStr">
        <is>
          <t>NON</t>
        </is>
      </c>
      <c r="O1011" s="45" t="inlineStr"/>
    </row>
    <row r="1012" customFormat="1" s="3">
      <c r="A1012" s="45" t="n"/>
      <c r="B1012" s="46" t="inlineStr">
        <is>
          <t>22274</t>
        </is>
      </c>
      <c r="C1012" s="46">
        <f>LEFT(Tableau1[[#This Row],[Formacode]],3)</f>
        <v/>
      </c>
      <c r="D1012" s="47" t="n">
        <v>39085</v>
      </c>
      <c r="E1012" s="48">
        <f>"RNCP"&amp;D1012</f>
        <v/>
      </c>
      <c r="F1012" s="48" t="inlineStr">
        <is>
          <t>BTS - Géologie appliquée</t>
        </is>
      </c>
      <c r="G1012" s="49">
        <f>E1012&amp;" - "&amp;F1012</f>
        <v/>
      </c>
      <c r="H1012" s="36" t="inlineStr">
        <is>
          <t>RAS</t>
        </is>
      </c>
      <c r="I1012" s="45" t="inlineStr"/>
      <c r="J1012" s="45" t="inlineStr">
        <is>
          <t>RNCP39085</t>
        </is>
      </c>
      <c r="K1012" s="45" t="inlineStr">
        <is>
          <t>Géologie appliquée</t>
        </is>
      </c>
      <c r="L1012" s="45" t="inlineStr">
        <is>
          <t>31/08/2029</t>
        </is>
      </c>
      <c r="M1012" s="45" t="inlineStr">
        <is>
          <t>12275 (Géologie) ; 22254 (BTP conception organisation) ; 12225 (Topographie)</t>
        </is>
      </c>
      <c r="N1012" s="50" t="inlineStr">
        <is>
          <t>NON</t>
        </is>
      </c>
      <c r="O1012" s="45" t="inlineStr"/>
    </row>
    <row r="1013" customFormat="1" s="3">
      <c r="A1013" s="45" t="n"/>
      <c r="B1013" s="46" t="inlineStr">
        <is>
          <t>22274</t>
        </is>
      </c>
      <c r="C1013" s="46">
        <f>LEFT(Tableau1[[#This Row],[Formacode]],3)</f>
        <v/>
      </c>
      <c r="D1013" s="47" t="n">
        <v>39178</v>
      </c>
      <c r="E1013" s="48">
        <f>"RNCP"&amp;D1013</f>
        <v/>
      </c>
      <c r="F1013" s="48" t="inlineStr">
        <is>
          <t>TP - Maçon du bâti ancien</t>
        </is>
      </c>
      <c r="G1013" s="49">
        <f>E1013&amp;" - "&amp;F1013</f>
        <v/>
      </c>
      <c r="H1013" s="36" t="inlineStr">
        <is>
          <t>RAS</t>
        </is>
      </c>
      <c r="I1013" s="45" t="inlineStr"/>
      <c r="J1013" s="45" t="inlineStr">
        <is>
          <t>RNCP39178</t>
        </is>
      </c>
      <c r="K1013" s="45" t="inlineStr">
        <is>
          <t>Maçon du bâti ancien</t>
        </is>
      </c>
      <c r="L1013" s="45" t="inlineStr">
        <is>
          <t>19/10/2029</t>
        </is>
      </c>
      <c r="M1013" s="45" t="inlineStr">
        <is>
          <t>22335 (Maçonnerie bâti ancien) ; 22311 (Coffrage) ; 22303 (Maçonnerie pierre) ; 22274 (Chantier BTP)</t>
        </is>
      </c>
      <c r="N1013" s="50" t="inlineStr">
        <is>
          <t>NON</t>
        </is>
      </c>
      <c r="O1013" s="45" t="inlineStr"/>
    </row>
    <row r="1014" customFormat="1" s="3">
      <c r="A1014" s="45" t="n"/>
      <c r="B1014" s="46" t="inlineStr">
        <is>
          <t>22274</t>
        </is>
      </c>
      <c r="C1014" s="46">
        <f>LEFT(Tableau1[[#This Row],[Formacode]],3)</f>
        <v/>
      </c>
      <c r="D1014" s="47" t="n">
        <v>39180</v>
      </c>
      <c r="E1014" s="48">
        <f>"RNCP"&amp;D1014</f>
        <v/>
      </c>
      <c r="F1014" s="48" t="inlineStr">
        <is>
          <t>TP - Chargé d'accompagnement à la rénovation énergétique du bâtiment</t>
        </is>
      </c>
      <c r="G1014" s="49">
        <f>E1014&amp;" - "&amp;F1014</f>
        <v/>
      </c>
      <c r="H1014" s="36" t="inlineStr">
        <is>
          <t>RAS</t>
        </is>
      </c>
      <c r="I1014" s="45" t="inlineStr"/>
      <c r="J1014" s="45" t="inlineStr">
        <is>
          <t>RNCP39180</t>
        </is>
      </c>
      <c r="K1014" s="45" t="inlineStr">
        <is>
          <t>Chargé d'accompagnement à la rénovation énergétique du bâtiment</t>
        </is>
      </c>
      <c r="L1014" s="45" t="inlineStr">
        <is>
          <t>25/08/2029</t>
        </is>
      </c>
      <c r="M1014" s="45" t="inlineStr">
        <is>
          <t>22293 (Conduite travaux BTP) ; 22485 (Rénovation bâtiment) ; 22211 (Performance énergétique bâtiment) ; 22232 (Métré BTP)</t>
        </is>
      </c>
      <c r="N1014" s="50" t="inlineStr">
        <is>
          <t>NON</t>
        </is>
      </c>
      <c r="O1014" s="45" t="inlineStr"/>
    </row>
    <row r="1015" customFormat="1" s="3">
      <c r="A1015" s="45" t="n"/>
      <c r="B1015" s="46" t="inlineStr">
        <is>
          <t>22274</t>
        </is>
      </c>
      <c r="C1015" s="46">
        <f>LEFT(Tableau1[[#This Row],[Formacode]],3)</f>
        <v/>
      </c>
      <c r="D1015" s="47" t="n">
        <v>39327</v>
      </c>
      <c r="E1015" s="48">
        <f>"RNCP"&amp;D1015</f>
        <v/>
      </c>
      <c r="F1015" s="48" t="inlineStr">
        <is>
          <t>BAC PRO - Maintenance des matériels</t>
        </is>
      </c>
      <c r="G1015" s="49">
        <f>E1015&amp;" - "&amp;F1015</f>
        <v/>
      </c>
      <c r="H1015" s="36" t="inlineStr">
        <is>
          <t>RAS</t>
        </is>
      </c>
      <c r="I1015" s="45" t="inlineStr"/>
      <c r="J1015" s="45" t="inlineStr">
        <is>
          <t>RNCP39327</t>
        </is>
      </c>
      <c r="K1015" s="45" t="inlineStr">
        <is>
          <t>Maintenance des matériels</t>
        </is>
      </c>
      <c r="L1015" s="45" t="inlineStr">
        <is>
          <t>31/12/2028</t>
        </is>
      </c>
      <c r="M1015" s="45" t="inlineStr">
        <is>
          <t>21011 (Machinisme agricole) ; 31736 (Réparation engin manutention) ; 22286 (Matériel chantier) ; 21034 (Machinisme horticole)</t>
        </is>
      </c>
      <c r="N1015" s="50" t="inlineStr">
        <is>
          <t>NON</t>
        </is>
      </c>
      <c r="O1015" s="45" t="inlineStr"/>
    </row>
    <row r="1016" customFormat="1" s="3">
      <c r="A1016" s="45" t="n"/>
      <c r="B1016" s="46" t="inlineStr">
        <is>
          <t>22274</t>
        </is>
      </c>
      <c r="C1016" s="46">
        <f>LEFT(Tableau1[[#This Row],[Formacode]],3)</f>
        <v/>
      </c>
      <c r="D1016" s="47" t="n">
        <v>39514</v>
      </c>
      <c r="E1016" s="48">
        <f>"RNCP"&amp;D1016</f>
        <v/>
      </c>
      <c r="F1016" s="48" t="inlineStr">
        <is>
          <t>BAC PRO - Ouvrages du bâtiment : métallerie</t>
        </is>
      </c>
      <c r="G1016" s="49">
        <f>E1016&amp;" - "&amp;F1016</f>
        <v/>
      </c>
      <c r="H1016" s="36" t="inlineStr">
        <is>
          <t>RAS</t>
        </is>
      </c>
      <c r="I1016" s="45" t="inlineStr"/>
      <c r="J1016" s="45" t="inlineStr">
        <is>
          <t>RNCP39514</t>
        </is>
      </c>
      <c r="K1016" s="45" t="inlineStr">
        <is>
          <t>Ouvrages du bâtiment : métallerie</t>
        </is>
      </c>
      <c r="L1016" s="45" t="inlineStr">
        <is>
          <t>31/08/2027</t>
        </is>
      </c>
      <c r="M1016" s="45" t="inlineStr">
        <is>
          <t>22254 (BTP conception organisation) ; 22478 (Métallerie serrurerie)</t>
        </is>
      </c>
      <c r="N1016" s="50" t="inlineStr">
        <is>
          <t>NON</t>
        </is>
      </c>
      <c r="O1016" s="45" t="inlineStr"/>
    </row>
    <row r="1017" customFormat="1" s="3">
      <c r="A1017" s="51" t="n"/>
      <c r="B1017" s="52" t="inlineStr">
        <is>
          <t>22274</t>
        </is>
      </c>
      <c r="C1017" s="52">
        <f>LEFT(Tableau1[[#This Row],[Formacode]],3)</f>
        <v/>
      </c>
      <c r="D1017" s="53" t="n">
        <v>39801</v>
      </c>
      <c r="E1017" s="54">
        <f>"RNCP"&amp;D1017</f>
        <v/>
      </c>
      <c r="F1017" s="54" t="inlineStr">
        <is>
          <t>BTS - Bâtiment</t>
        </is>
      </c>
      <c r="G1017" s="55">
        <f>E1017&amp;" - "&amp;F1017</f>
        <v/>
      </c>
      <c r="H1017" s="37" t="inlineStr">
        <is>
          <t>À vérifier</t>
        </is>
      </c>
      <c r="I1017" s="51" t="inlineStr">
        <is>
          <t>Successeur déjà publié : RNCP41816 (Bâtiment) — préparer la bascule de l'offre CPF | Échéance le 31/12/2026 (dans 166 j)</t>
        </is>
      </c>
      <c r="J1017" s="51" t="inlineStr">
        <is>
          <t>RNCP41816</t>
        </is>
      </c>
      <c r="K1017" s="51" t="inlineStr">
        <is>
          <t>Bâtiment</t>
        </is>
      </c>
      <c r="L1017" s="51" t="inlineStr">
        <is>
          <t>31/12/2026</t>
        </is>
      </c>
      <c r="M1017" s="51" t="inlineStr">
        <is>
          <t>22274 (Chantier BTP)</t>
        </is>
      </c>
      <c r="N1017" s="62" t="inlineStr">
        <is>
          <t>NON</t>
        </is>
      </c>
      <c r="O1017" s="51" t="inlineStr"/>
    </row>
    <row r="1018" customFormat="1" s="3">
      <c r="A1018" s="51" t="n"/>
      <c r="B1018" s="52" t="inlineStr">
        <is>
          <t>22274</t>
        </is>
      </c>
      <c r="C1018" s="52">
        <f>LEFT(Tableau1[[#This Row],[Formacode]],3)</f>
        <v/>
      </c>
      <c r="D1018" s="53" t="n">
        <v>40217</v>
      </c>
      <c r="E1018" s="54">
        <f>"RNCP"&amp;D1018</f>
        <v/>
      </c>
      <c r="F1018" s="54" t="inlineStr">
        <is>
          <t>TP - Conducteur de travaux du bâtiment et du génie civil</t>
        </is>
      </c>
      <c r="G1018" s="55">
        <f>E1018&amp;" - "&amp;F1018</f>
        <v/>
      </c>
      <c r="H1018" s="37" t="inlineStr">
        <is>
          <t>À vérifier</t>
        </is>
      </c>
      <c r="I1018" s="51" t="inlineStr">
        <is>
          <t>Échéance le 20/10/2026 (dans 94 j)</t>
        </is>
      </c>
      <c r="J1018" s="51" t="inlineStr">
        <is>
          <t>RNCP40217</t>
        </is>
      </c>
      <c r="K1018" s="51" t="inlineStr">
        <is>
          <t>Conducteur de travaux du bâtiment et du génie civil</t>
        </is>
      </c>
      <c r="L1018" s="51" t="inlineStr">
        <is>
          <t>20/10/2026</t>
        </is>
      </c>
      <c r="M1018" s="51" t="inlineStr">
        <is>
          <t>22293 (Conduite travaux BTP) ; 22054 (Travaux publics) ; 22354 (Bâtiment gros oeuvre)</t>
        </is>
      </c>
      <c r="N1018" s="62" t="inlineStr">
        <is>
          <t>NON</t>
        </is>
      </c>
      <c r="O1018" s="51" t="inlineStr"/>
    </row>
    <row r="1019" customFormat="1" s="3">
      <c r="A1019" s="45" t="n"/>
      <c r="B1019" s="46" t="inlineStr">
        <is>
          <t>22274</t>
        </is>
      </c>
      <c r="C1019" s="46">
        <f>LEFT(Tableau1[[#This Row],[Formacode]],3)</f>
        <v/>
      </c>
      <c r="D1019" s="47" t="n">
        <v>40259</v>
      </c>
      <c r="E1019" s="48">
        <f>"RNCP"&amp;D1019</f>
        <v/>
      </c>
      <c r="F1019" s="48" t="inlineStr">
        <is>
          <t>Couvreur-zingueur (BM)</t>
        </is>
      </c>
      <c r="G1019" s="49">
        <f>E1019&amp;" - "&amp;F1019</f>
        <v/>
      </c>
      <c r="H1019" s="36" t="inlineStr">
        <is>
          <t>RAS</t>
        </is>
      </c>
      <c r="I1019" s="45" t="inlineStr"/>
      <c r="J1019" s="45" t="inlineStr">
        <is>
          <t>RNCP40259</t>
        </is>
      </c>
      <c r="K1019" s="45" t="inlineStr">
        <is>
          <t>Couvreur-zingueur (BM)</t>
        </is>
      </c>
      <c r="L1019" s="45" t="inlineStr">
        <is>
          <t>28/02/2028</t>
        </is>
      </c>
      <c r="M1019" s="45" t="inlineStr">
        <is>
          <t>22437 (Couverture) ; 32097 (Gestion entreprise artisanale) ; 22254 (BTP conception organisation)</t>
        </is>
      </c>
      <c r="N1019" s="50" t="inlineStr">
        <is>
          <t>NON</t>
        </is>
      </c>
      <c r="O1019" s="45" t="inlineStr"/>
    </row>
    <row r="1020" customFormat="1" s="3">
      <c r="A1020" s="45" t="n"/>
      <c r="B1020" s="46" t="inlineStr">
        <is>
          <t>22274</t>
        </is>
      </c>
      <c r="C1020" s="46">
        <f>LEFT(Tableau1[[#This Row],[Formacode]],3)</f>
        <v/>
      </c>
      <c r="D1020" s="47" t="n">
        <v>40400</v>
      </c>
      <c r="E1020" s="48">
        <f>"RNCP"&amp;D1020</f>
        <v/>
      </c>
      <c r="F1020" s="48" t="inlineStr">
        <is>
          <t>Chef d'équipe travaux publics génie civil</t>
        </is>
      </c>
      <c r="G1020" s="49">
        <f>E1020&amp;" - "&amp;F1020</f>
        <v/>
      </c>
      <c r="H1020" s="36" t="inlineStr">
        <is>
          <t>RAS</t>
        </is>
      </c>
      <c r="I1020" s="45" t="inlineStr"/>
      <c r="J1020" s="45" t="inlineStr">
        <is>
          <t>RNCP40400</t>
        </is>
      </c>
      <c r="K1020" s="45" t="inlineStr">
        <is>
          <t>Chef d'équipe travaux publics génie civil</t>
        </is>
      </c>
      <c r="L1020" s="45" t="inlineStr">
        <is>
          <t>28/03/2028</t>
        </is>
      </c>
      <c r="M1020" s="45" t="inlineStr">
        <is>
          <t>22293 (Conduite travaux BTP) ; 22024 (Génie civil)</t>
        </is>
      </c>
      <c r="N1020" s="50" t="inlineStr">
        <is>
          <t>NON</t>
        </is>
      </c>
      <c r="O1020" s="45" t="inlineStr"/>
    </row>
    <row r="1021" customFormat="1" s="3">
      <c r="A1021" s="45" t="n"/>
      <c r="B1021" s="46" t="inlineStr">
        <is>
          <t>22274</t>
        </is>
      </c>
      <c r="C1021" s="46">
        <f>LEFT(Tableau1[[#This Row],[Formacode]],3)</f>
        <v/>
      </c>
      <c r="D1021" s="47" t="n">
        <v>40403</v>
      </c>
      <c r="E1021" s="48">
        <f>"RNCP"&amp;D1021</f>
        <v/>
      </c>
      <c r="F1021" s="48" t="inlineStr">
        <is>
          <t>Chef d'équipe travaux publics réseaux</t>
        </is>
      </c>
      <c r="G1021" s="49">
        <f>E1021&amp;" - "&amp;F1021</f>
        <v/>
      </c>
      <c r="H1021" s="36" t="inlineStr">
        <is>
          <t>RAS</t>
        </is>
      </c>
      <c r="I1021" s="45" t="inlineStr"/>
      <c r="J1021" s="45" t="inlineStr">
        <is>
          <t>RNCP40403</t>
        </is>
      </c>
      <c r="K1021" s="45" t="inlineStr">
        <is>
          <t>Chef d'équipe travaux publics réseaux</t>
        </is>
      </c>
      <c r="L1021" s="45" t="inlineStr">
        <is>
          <t>28/03/2028</t>
        </is>
      </c>
      <c r="M1021" s="45" t="inlineStr">
        <is>
          <t>22293 (Conduite travaux BTP) ; 22062 (VRD)</t>
        </is>
      </c>
      <c r="N1021" s="50" t="inlineStr">
        <is>
          <t>NON</t>
        </is>
      </c>
      <c r="O1021" s="45" t="inlineStr"/>
    </row>
    <row r="1022" customFormat="1" s="3">
      <c r="A1022" s="45" t="n"/>
      <c r="B1022" s="46" t="inlineStr">
        <is>
          <t>22274</t>
        </is>
      </c>
      <c r="C1022" s="46">
        <f>LEFT(Tableau1[[#This Row],[Formacode]],3)</f>
        <v/>
      </c>
      <c r="D1022" s="47" t="n">
        <v>41345</v>
      </c>
      <c r="E1022" s="48">
        <f>"RNCP"&amp;D1022</f>
        <v/>
      </c>
      <c r="F1022" s="48" t="inlineStr">
        <is>
          <t>CQP Couvreur lauzier calcaire</t>
        </is>
      </c>
      <c r="G1022" s="49">
        <f>E1022&amp;" - "&amp;F1022</f>
        <v/>
      </c>
      <c r="H1022" s="36" t="inlineStr">
        <is>
          <t>RAS</t>
        </is>
      </c>
      <c r="I1022" s="45" t="inlineStr"/>
      <c r="J1022" s="45" t="inlineStr">
        <is>
          <t>RNCP41345</t>
        </is>
      </c>
      <c r="K1022" s="45" t="inlineStr">
        <is>
          <t>CQP Couvreur lauzier calcaire</t>
        </is>
      </c>
      <c r="L1022" s="45" t="inlineStr">
        <is>
          <t>24/09/2030</t>
        </is>
      </c>
      <c r="M1022" s="45" t="inlineStr">
        <is>
          <t>22437 (Couverture) ; 22842 (Pierre naturelle) ; 22357 (Restauration réhabilitation) ; 22274 (Chantier BTP)</t>
        </is>
      </c>
      <c r="N1022" s="50" t="inlineStr">
        <is>
          <t>NON</t>
        </is>
      </c>
      <c r="O1022" s="45" t="inlineStr"/>
    </row>
    <row r="1023" customFormat="1" s="3">
      <c r="A1023" s="45" t="n"/>
      <c r="B1023" s="46" t="inlineStr">
        <is>
          <t>22274</t>
        </is>
      </c>
      <c r="C1023" s="46">
        <f>LEFT(Tableau1[[#This Row],[Formacode]],3)</f>
        <v/>
      </c>
      <c r="D1023" s="47" t="n">
        <v>41346</v>
      </c>
      <c r="E1023" s="48">
        <f>"RNCP"&amp;D1023</f>
        <v/>
      </c>
      <c r="F1023" s="48" t="inlineStr">
        <is>
          <t>CQP Couvreur lauzier schiste</t>
        </is>
      </c>
      <c r="G1023" s="49">
        <f>E1023&amp;" - "&amp;F1023</f>
        <v/>
      </c>
      <c r="H1023" s="36" t="inlineStr">
        <is>
          <t>RAS</t>
        </is>
      </c>
      <c r="I1023" s="45" t="inlineStr"/>
      <c r="J1023" s="45" t="inlineStr">
        <is>
          <t>RNCP41346</t>
        </is>
      </c>
      <c r="K1023" s="45" t="inlineStr">
        <is>
          <t>CQP Couvreur lauzier schiste</t>
        </is>
      </c>
      <c r="L1023" s="45" t="inlineStr">
        <is>
          <t>24/09/2030</t>
        </is>
      </c>
      <c r="M1023" s="45" t="inlineStr">
        <is>
          <t>22437 (Couverture) ; 22842 (Pierre naturelle) ; 22357 (Restauration réhabilitation) ; 22274 (Chantier BTP)</t>
        </is>
      </c>
      <c r="N1023" s="50" t="inlineStr">
        <is>
          <t>NON</t>
        </is>
      </c>
      <c r="O1023" s="45" t="inlineStr"/>
    </row>
    <row r="1024" customFormat="1" s="3">
      <c r="A1024" s="45" t="n"/>
      <c r="B1024" s="46" t="inlineStr">
        <is>
          <t>22274</t>
        </is>
      </c>
      <c r="C1024" s="46">
        <f>LEFT(Tableau1[[#This Row],[Formacode]],3)</f>
        <v/>
      </c>
      <c r="D1024" s="47" t="n">
        <v>41368</v>
      </c>
      <c r="E1024" s="48">
        <f>"RNCP"&amp;D1024</f>
        <v/>
      </c>
      <c r="F1024" s="48" t="inlineStr">
        <is>
          <t>TP - Chef de chantier en voirie et réseaux divers</t>
        </is>
      </c>
      <c r="G1024" s="49">
        <f>E1024&amp;" - "&amp;F1024</f>
        <v/>
      </c>
      <c r="H1024" s="36" t="inlineStr">
        <is>
          <t>RAS</t>
        </is>
      </c>
      <c r="I1024" s="45" t="inlineStr"/>
      <c r="J1024" s="45" t="inlineStr">
        <is>
          <t>RNCP41368</t>
        </is>
      </c>
      <c r="K1024" s="45" t="inlineStr">
        <is>
          <t>Chef de chantier en voirie et réseaux divers</t>
        </is>
      </c>
      <c r="L1024" s="45" t="inlineStr">
        <is>
          <t>20/10/2030</t>
        </is>
      </c>
      <c r="M1024" s="45" t="inlineStr">
        <is>
          <t>22070 (Canalisation réseau extérieur) ; 22294 (Conduite chantier BTP) ; 22001 (Chaussée) ; 22010 (Aménagement route)</t>
        </is>
      </c>
      <c r="N1024" s="50" t="inlineStr">
        <is>
          <t>NON</t>
        </is>
      </c>
      <c r="O1024" s="45" t="inlineStr"/>
    </row>
    <row r="1025" customFormat="1" s="3">
      <c r="A1025" s="45" t="n"/>
      <c r="B1025" s="46" t="inlineStr">
        <is>
          <t>22274</t>
        </is>
      </c>
      <c r="C1025" s="46">
        <f>LEFT(Tableau1[[#This Row],[Formacode]],3)</f>
        <v/>
      </c>
      <c r="D1025" s="47" t="n">
        <v>41804</v>
      </c>
      <c r="E1025" s="48">
        <f>"RNCP"&amp;D1025</f>
        <v/>
      </c>
      <c r="F1025" s="48" t="inlineStr">
        <is>
          <t>CQP Conducteur de travaux</t>
        </is>
      </c>
      <c r="G1025" s="49">
        <f>E1025&amp;" - "&amp;F1025</f>
        <v/>
      </c>
      <c r="H1025" s="36" t="inlineStr">
        <is>
          <t>RAS</t>
        </is>
      </c>
      <c r="I1025" s="45" t="inlineStr"/>
      <c r="J1025" s="45" t="inlineStr">
        <is>
          <t>RNCP41804</t>
        </is>
      </c>
      <c r="K1025" s="45" t="inlineStr">
        <is>
          <t>CQP Conducteur de travaux</t>
        </is>
      </c>
      <c r="L1025" s="45" t="inlineStr">
        <is>
          <t>18/12/2030</t>
        </is>
      </c>
      <c r="M1025" s="45" t="inlineStr">
        <is>
          <t>22293 (Conduite travaux BTP) ; 22283 (Préparation chantier BTP) ; 22294 (Conduite chantier BTP)</t>
        </is>
      </c>
      <c r="N1025" s="50" t="inlineStr">
        <is>
          <t>NON</t>
        </is>
      </c>
      <c r="O1025" s="45" t="inlineStr"/>
    </row>
    <row r="1026" customFormat="1" s="3">
      <c r="A1026" s="63" t="n"/>
      <c r="B1026" s="64" t="inlineStr">
        <is>
          <t>22278</t>
        </is>
      </c>
      <c r="C1026" s="64">
        <f>LEFT(Tableau1[[#This Row],[Formacode]],3)</f>
        <v/>
      </c>
      <c r="D1026" s="65" t="n">
        <v>35503</v>
      </c>
      <c r="E1026" s="66">
        <f>"RNCP"&amp;D1026</f>
        <v/>
      </c>
      <c r="F1026" s="66" t="inlineStr">
        <is>
          <t>TP - Chargé d'affaires du bâtiment</t>
        </is>
      </c>
      <c r="G1026" s="67">
        <f>E1026&amp;" - "&amp;F1026</f>
        <v/>
      </c>
      <c r="H1026" s="38" t="inlineStr">
        <is>
          <t>Expiré / remplacé</t>
        </is>
      </c>
      <c r="I1026" s="63" t="inlineStr">
        <is>
          <t>Fiche inactive — remplacée par RNCP42032 (Chargé d’affaires du bâtiment)</t>
        </is>
      </c>
      <c r="J1026" s="63" t="inlineStr">
        <is>
          <t>RNCP42032</t>
        </is>
      </c>
      <c r="K1026" s="63" t="inlineStr">
        <is>
          <t>Chargé d’affaires du bâtiment</t>
        </is>
      </c>
      <c r="L1026" s="63" t="inlineStr">
        <is>
          <t>13/04/2026</t>
        </is>
      </c>
      <c r="M1026" s="63" t="inlineStr">
        <is>
          <t>22257 (Commercialisation BTP) ; 22293 (Conduite travaux BTP) ; 22279 (Maîtrise d'oeuvre BTP)</t>
        </is>
      </c>
      <c r="N1026" s="68" t="inlineStr">
        <is>
          <t>NON</t>
        </is>
      </c>
      <c r="O1026" s="63" t="inlineStr"/>
    </row>
    <row r="1027" customFormat="1" s="3">
      <c r="A1027" s="45" t="n"/>
      <c r="B1027" s="46" t="inlineStr">
        <is>
          <t>22278</t>
        </is>
      </c>
      <c r="C1027" s="46">
        <f>LEFT(Tableau1[[#This Row],[Formacode]],3)</f>
        <v/>
      </c>
      <c r="D1027" s="47" t="n">
        <v>37445</v>
      </c>
      <c r="E1027" s="48">
        <f>"RNCP"&amp;D1027</f>
        <v/>
      </c>
      <c r="F1027" s="48" t="inlineStr">
        <is>
          <t>TP - Technicien d'intervention de réseaux de télécommunications en fibre optique</t>
        </is>
      </c>
      <c r="G1027" s="49">
        <f>E1027&amp;" - "&amp;F1027</f>
        <v/>
      </c>
      <c r="H1027" s="36" t="inlineStr">
        <is>
          <t>RAS</t>
        </is>
      </c>
      <c r="I1027" s="45" t="inlineStr"/>
      <c r="J1027" s="45" t="inlineStr">
        <is>
          <t>RNCP37445</t>
        </is>
      </c>
      <c r="K1027" s="45" t="inlineStr">
        <is>
          <t>Technicien d'intervention de réseaux de télécommunications en fibre optique</t>
        </is>
      </c>
      <c r="L1027" s="45" t="inlineStr">
        <is>
          <t>29/07/2028</t>
        </is>
      </c>
      <c r="M1027" s="45" t="inlineStr">
        <is>
          <t>24229 (Transmission fibre optique) ; 22254 (BTP conception organisation)</t>
        </is>
      </c>
      <c r="N1027" s="50" t="inlineStr">
        <is>
          <t>NON</t>
        </is>
      </c>
      <c r="O1027" s="45" t="inlineStr"/>
    </row>
    <row r="1028" customFormat="1" s="3">
      <c r="A1028" s="45" t="n"/>
      <c r="B1028" s="46" t="inlineStr">
        <is>
          <t>22278</t>
        </is>
      </c>
      <c r="C1028" s="46">
        <f>LEFT(Tableau1[[#This Row],[Formacode]],3)</f>
        <v/>
      </c>
      <c r="D1028" s="47" t="n">
        <v>38724</v>
      </c>
      <c r="E1028" s="48">
        <f>"RNCP"&amp;D1028</f>
        <v/>
      </c>
      <c r="F1028" s="48" t="inlineStr">
        <is>
          <t>BP - Métiers de la pierre</t>
        </is>
      </c>
      <c r="G1028" s="49">
        <f>E1028&amp;" - "&amp;F1028</f>
        <v/>
      </c>
      <c r="H1028" s="36" t="inlineStr">
        <is>
          <t>RAS</t>
        </is>
      </c>
      <c r="I1028" s="45" t="inlineStr"/>
      <c r="J1028" s="45" t="inlineStr">
        <is>
          <t>RNCP38724</t>
        </is>
      </c>
      <c r="K1028" s="45" t="inlineStr">
        <is>
          <t>Métiers de la pierre</t>
        </is>
      </c>
      <c r="L1028" s="45" t="inlineStr">
        <is>
          <t>31/12/2028</t>
        </is>
      </c>
      <c r="M1028" s="45" t="inlineStr">
        <is>
          <t>22254 (BTP conception organisation) ; 45502 (Taille pierre)</t>
        </is>
      </c>
      <c r="N1028" s="50" t="inlineStr">
        <is>
          <t>NON</t>
        </is>
      </c>
      <c r="O1028" s="45" t="inlineStr"/>
    </row>
    <row r="1029" customFormat="1" s="3">
      <c r="A1029" s="45" t="n"/>
      <c r="B1029" s="46" t="inlineStr">
        <is>
          <t>22278</t>
        </is>
      </c>
      <c r="C1029" s="46">
        <f>LEFT(Tableau1[[#This Row],[Formacode]],3)</f>
        <v/>
      </c>
      <c r="D1029" s="47" t="n">
        <v>39085</v>
      </c>
      <c r="E1029" s="48">
        <f>"RNCP"&amp;D1029</f>
        <v/>
      </c>
      <c r="F1029" s="48" t="inlineStr">
        <is>
          <t>BTS - Géologie appliquée</t>
        </is>
      </c>
      <c r="G1029" s="49">
        <f>E1029&amp;" - "&amp;F1029</f>
        <v/>
      </c>
      <c r="H1029" s="36" t="inlineStr">
        <is>
          <t>RAS</t>
        </is>
      </c>
      <c r="I1029" s="45" t="inlineStr"/>
      <c r="J1029" s="45" t="inlineStr">
        <is>
          <t>RNCP39085</t>
        </is>
      </c>
      <c r="K1029" s="45" t="inlineStr">
        <is>
          <t>Géologie appliquée</t>
        </is>
      </c>
      <c r="L1029" s="45" t="inlineStr">
        <is>
          <t>31/08/2029</t>
        </is>
      </c>
      <c r="M1029" s="45" t="inlineStr">
        <is>
          <t>12275 (Géologie) ; 22254 (BTP conception organisation) ; 12225 (Topographie)</t>
        </is>
      </c>
      <c r="N1029" s="50" t="inlineStr">
        <is>
          <t>NON</t>
        </is>
      </c>
      <c r="O1029" s="45" t="inlineStr"/>
    </row>
    <row r="1030" customFormat="1" s="3">
      <c r="A1030" s="45" t="n"/>
      <c r="B1030" s="46" t="inlineStr">
        <is>
          <t>22278</t>
        </is>
      </c>
      <c r="C1030" s="46">
        <f>LEFT(Tableau1[[#This Row],[Formacode]],3)</f>
        <v/>
      </c>
      <c r="D1030" s="47" t="n">
        <v>39514</v>
      </c>
      <c r="E1030" s="48">
        <f>"RNCP"&amp;D1030</f>
        <v/>
      </c>
      <c r="F1030" s="48" t="inlineStr">
        <is>
          <t>BAC PRO - Ouvrages du bâtiment : métallerie</t>
        </is>
      </c>
      <c r="G1030" s="49">
        <f>E1030&amp;" - "&amp;F1030</f>
        <v/>
      </c>
      <c r="H1030" s="36" t="inlineStr">
        <is>
          <t>RAS</t>
        </is>
      </c>
      <c r="I1030" s="45" t="inlineStr"/>
      <c r="J1030" s="45" t="inlineStr">
        <is>
          <t>RNCP39514</t>
        </is>
      </c>
      <c r="K1030" s="45" t="inlineStr">
        <is>
          <t>Ouvrages du bâtiment : métallerie</t>
        </is>
      </c>
      <c r="L1030" s="45" t="inlineStr">
        <is>
          <t>31/08/2027</t>
        </is>
      </c>
      <c r="M1030" s="45" t="inlineStr">
        <is>
          <t>22254 (BTP conception organisation) ; 22478 (Métallerie serrurerie)</t>
        </is>
      </c>
      <c r="N1030" s="50" t="inlineStr">
        <is>
          <t>NON</t>
        </is>
      </c>
      <c r="O1030" s="45" t="inlineStr"/>
    </row>
    <row r="1031" customFormat="1" s="3">
      <c r="A1031" s="45" t="n"/>
      <c r="B1031" s="46" t="inlineStr">
        <is>
          <t>22278</t>
        </is>
      </c>
      <c r="C1031" s="46">
        <f>LEFT(Tableau1[[#This Row],[Formacode]],3)</f>
        <v/>
      </c>
      <c r="D1031" s="47" t="n">
        <v>40259</v>
      </c>
      <c r="E1031" s="48">
        <f>"RNCP"&amp;D1031</f>
        <v/>
      </c>
      <c r="F1031" s="48" t="inlineStr">
        <is>
          <t>Couvreur-zingueur (BM)</t>
        </is>
      </c>
      <c r="G1031" s="49">
        <f>E1031&amp;" - "&amp;F1031</f>
        <v/>
      </c>
      <c r="H1031" s="36" t="inlineStr">
        <is>
          <t>RAS</t>
        </is>
      </c>
      <c r="I1031" s="45" t="inlineStr"/>
      <c r="J1031" s="45" t="inlineStr">
        <is>
          <t>RNCP40259</t>
        </is>
      </c>
      <c r="K1031" s="45" t="inlineStr">
        <is>
          <t>Couvreur-zingueur (BM)</t>
        </is>
      </c>
      <c r="L1031" s="45" t="inlineStr">
        <is>
          <t>28/02/2028</t>
        </is>
      </c>
      <c r="M1031" s="45" t="inlineStr">
        <is>
          <t>22437 (Couverture) ; 32097 (Gestion entreprise artisanale) ; 22254 (BTP conception organisation)</t>
        </is>
      </c>
      <c r="N1031" s="50" t="inlineStr">
        <is>
          <t>NON</t>
        </is>
      </c>
      <c r="O1031" s="45" t="inlineStr"/>
    </row>
    <row r="1032" customFormat="1" s="3">
      <c r="A1032" s="63" t="n"/>
      <c r="B1032" s="64" t="inlineStr">
        <is>
          <t>22279</t>
        </is>
      </c>
      <c r="C1032" s="64">
        <f>LEFT(Tableau1[[#This Row],[Formacode]],3)</f>
        <v/>
      </c>
      <c r="D1032" s="65" t="n">
        <v>35503</v>
      </c>
      <c r="E1032" s="66">
        <f>"RNCP"&amp;D1032</f>
        <v/>
      </c>
      <c r="F1032" s="66" t="inlineStr">
        <is>
          <t>TP - Chargé d'affaires du bâtiment</t>
        </is>
      </c>
      <c r="G1032" s="67">
        <f>E1032&amp;" - "&amp;F1032</f>
        <v/>
      </c>
      <c r="H1032" s="38" t="inlineStr">
        <is>
          <t>Expiré / remplacé</t>
        </is>
      </c>
      <c r="I1032" s="63" t="inlineStr">
        <is>
          <t>Fiche inactive — remplacée par RNCP42032 (Chargé d’affaires du bâtiment)</t>
        </is>
      </c>
      <c r="J1032" s="63" t="inlineStr">
        <is>
          <t>RNCP42032</t>
        </is>
      </c>
      <c r="K1032" s="63" t="inlineStr">
        <is>
          <t>Chargé d’affaires du bâtiment</t>
        </is>
      </c>
      <c r="L1032" s="63" t="inlineStr">
        <is>
          <t>13/04/2026</t>
        </is>
      </c>
      <c r="M1032" s="63" t="inlineStr">
        <is>
          <t>22257 (Commercialisation BTP) ; 22293 (Conduite travaux BTP) ; 22279 (Maîtrise d'oeuvre BTP)</t>
        </is>
      </c>
      <c r="N1032" s="68" t="inlineStr">
        <is>
          <t>NON</t>
        </is>
      </c>
      <c r="O1032" s="63" t="inlineStr"/>
    </row>
    <row r="1033" customFormat="1" s="3">
      <c r="A1033" s="51" t="n"/>
      <c r="B1033" s="52" t="inlineStr">
        <is>
          <t>22279</t>
        </is>
      </c>
      <c r="C1033" s="52">
        <f>LEFT(Tableau1[[#This Row],[Formacode]],3)</f>
        <v/>
      </c>
      <c r="D1033" s="53" t="n">
        <v>35802</v>
      </c>
      <c r="E1033" s="54">
        <f>"RNCP"&amp;D1033</f>
        <v/>
      </c>
      <c r="F1033" s="54" t="inlineStr">
        <is>
          <t>BTS - Management économique de la construction</t>
        </is>
      </c>
      <c r="G1033" s="55">
        <f>E1033&amp;" - "&amp;F1033</f>
        <v/>
      </c>
      <c r="H1033" s="37" t="inlineStr">
        <is>
          <t>À vérifier</t>
        </is>
      </c>
      <c r="I1033" s="51" t="inlineStr">
        <is>
          <t>Successeur déjà publié : RNCP41826 (Management économique de la construction) — préparer la bascule de l'offre CPF | Échéance le 31/08/2026 (dans 44 j)</t>
        </is>
      </c>
      <c r="J1033" s="51" t="inlineStr">
        <is>
          <t>RNCP41826</t>
        </is>
      </c>
      <c r="K1033" s="51" t="inlineStr">
        <is>
          <t>Management économique de la construction</t>
        </is>
      </c>
      <c r="L1033" s="51" t="inlineStr">
        <is>
          <t>31/08/2026</t>
        </is>
      </c>
      <c r="M1033" s="51" t="inlineStr">
        <is>
          <t>22293 (Conduite travaux BTP) ; 22279 (Maîtrise d'oeuvre BTP) ; 22259 (Marché travaux) ; 22230 (Métré spécialisé) ; 22374 (Construction)</t>
        </is>
      </c>
      <c r="N1033" s="62" t="inlineStr">
        <is>
          <t>NON</t>
        </is>
      </c>
      <c r="O1033" s="51" t="inlineStr"/>
    </row>
    <row r="1034" customFormat="1" s="3">
      <c r="A1034" s="45" t="n"/>
      <c r="B1034" s="46" t="inlineStr">
        <is>
          <t>22279</t>
        </is>
      </c>
      <c r="C1034" s="46">
        <f>LEFT(Tableau1[[#This Row],[Formacode]],3)</f>
        <v/>
      </c>
      <c r="D1034" s="47" t="n">
        <v>37292</v>
      </c>
      <c r="E1034" s="48">
        <f>"RNCP"&amp;D1034</f>
        <v/>
      </c>
      <c r="F1034" s="48" t="inlineStr">
        <is>
          <t>TP - Technicien d'études en chauffage, ventilation et climatisation</t>
        </is>
      </c>
      <c r="G1034" s="49">
        <f>E1034&amp;" - "&amp;F1034</f>
        <v/>
      </c>
      <c r="H1034" s="36" t="inlineStr">
        <is>
          <t>RAS</t>
        </is>
      </c>
      <c r="I1034" s="45" t="inlineStr"/>
      <c r="J1034" s="45" t="inlineStr">
        <is>
          <t>RNCP37292</t>
        </is>
      </c>
      <c r="K1034" s="45" t="inlineStr">
        <is>
          <t>Technicien d'études en chauffage, ventilation et climatisation</t>
        </is>
      </c>
      <c r="L1034" s="45" t="inlineStr">
        <is>
          <t>10/05/2028</t>
        </is>
      </c>
      <c r="M1034" s="45" t="inlineStr">
        <is>
          <t>22654 (Génie climatique) ; 22252 (Dessin BTP) ; 22279 (Maîtrise d'oeuvre BTP)</t>
        </is>
      </c>
      <c r="N1034" s="50" t="inlineStr">
        <is>
          <t>NON</t>
        </is>
      </c>
      <c r="O1034" s="45" t="inlineStr"/>
    </row>
    <row r="1035" customFormat="1" s="3">
      <c r="A1035" s="45" t="n"/>
      <c r="B1035" s="46" t="inlineStr">
        <is>
          <t>22279</t>
        </is>
      </c>
      <c r="C1035" s="46">
        <f>LEFT(Tableau1[[#This Row],[Formacode]],3)</f>
        <v/>
      </c>
      <c r="D1035" s="47" t="n">
        <v>37445</v>
      </c>
      <c r="E1035" s="48">
        <f>"RNCP"&amp;D1035</f>
        <v/>
      </c>
      <c r="F1035" s="48" t="inlineStr">
        <is>
          <t>TP - Technicien d'intervention de réseaux de télécommunications en fibre optique</t>
        </is>
      </c>
      <c r="G1035" s="49">
        <f>E1035&amp;" - "&amp;F1035</f>
        <v/>
      </c>
      <c r="H1035" s="36" t="inlineStr">
        <is>
          <t>RAS</t>
        </is>
      </c>
      <c r="I1035" s="45" t="inlineStr"/>
      <c r="J1035" s="45" t="inlineStr">
        <is>
          <t>RNCP37445</t>
        </is>
      </c>
      <c r="K1035" s="45" t="inlineStr">
        <is>
          <t>Technicien d'intervention de réseaux de télécommunications en fibre optique</t>
        </is>
      </c>
      <c r="L1035" s="45" t="inlineStr">
        <is>
          <t>29/07/2028</t>
        </is>
      </c>
      <c r="M1035" s="45" t="inlineStr">
        <is>
          <t>24229 (Transmission fibre optique) ; 22254 (BTP conception organisation)</t>
        </is>
      </c>
      <c r="N1035" s="50" t="inlineStr">
        <is>
          <t>NON</t>
        </is>
      </c>
      <c r="O1035" s="45" t="inlineStr"/>
    </row>
    <row r="1036" customFormat="1" s="3">
      <c r="A1036" s="51" t="n"/>
      <c r="B1036" s="52" t="inlineStr">
        <is>
          <t>22279</t>
        </is>
      </c>
      <c r="C1036" s="52">
        <f>LEFT(Tableau1[[#This Row],[Formacode]],3)</f>
        <v/>
      </c>
      <c r="D1036" s="53" t="n">
        <v>37986</v>
      </c>
      <c r="E1036" s="54">
        <f>"RNCP"&amp;D1036</f>
        <v/>
      </c>
      <c r="F1036" s="54" t="inlineStr">
        <is>
          <t>Expert de la transition énergétique</t>
        </is>
      </c>
      <c r="G1036" s="55">
        <f>E1036&amp;" - "&amp;F1036</f>
        <v/>
      </c>
      <c r="H1036" s="37" t="inlineStr">
        <is>
          <t>À vérifier</t>
        </is>
      </c>
      <c r="I1036" s="51" t="inlineStr">
        <is>
          <t>Échéance le 20/09/2026 (dans 64 j)</t>
        </is>
      </c>
      <c r="J1036" s="51" t="inlineStr">
        <is>
          <t>RNCP37986</t>
        </is>
      </c>
      <c r="K1036" s="51" t="inlineStr">
        <is>
          <t>Expert de la transition énergétique</t>
        </is>
      </c>
      <c r="L1036" s="51" t="inlineStr">
        <is>
          <t>20/09/2026</t>
        </is>
      </c>
      <c r="M1036" s="51" t="inlineStr">
        <is>
          <t>22485 (Rénovation bâtiment) ; 22250 (Éco-construction) ; 22279 (Maîtrise d'oeuvre BTP) ; 22269 (Maîtrise d'ouvrage BTP) ; 24147 (Énergie renouvelable)</t>
        </is>
      </c>
      <c r="N1036" s="62" t="inlineStr">
        <is>
          <t>NON</t>
        </is>
      </c>
      <c r="O1036" s="51" t="inlineStr"/>
    </row>
    <row r="1037" customFormat="1" s="3">
      <c r="A1037" s="45" t="n"/>
      <c r="B1037" s="46" t="inlineStr">
        <is>
          <t>22279</t>
        </is>
      </c>
      <c r="C1037" s="46">
        <f>LEFT(Tableau1[[#This Row],[Formacode]],3)</f>
        <v/>
      </c>
      <c r="D1037" s="47" t="n">
        <v>38724</v>
      </c>
      <c r="E1037" s="48">
        <f>"RNCP"&amp;D1037</f>
        <v/>
      </c>
      <c r="F1037" s="48" t="inlineStr">
        <is>
          <t>BP - Métiers de la pierre</t>
        </is>
      </c>
      <c r="G1037" s="49">
        <f>E1037&amp;" - "&amp;F1037</f>
        <v/>
      </c>
      <c r="H1037" s="36" t="inlineStr">
        <is>
          <t>RAS</t>
        </is>
      </c>
      <c r="I1037" s="45" t="inlineStr"/>
      <c r="J1037" s="45" t="inlineStr">
        <is>
          <t>RNCP38724</t>
        </is>
      </c>
      <c r="K1037" s="45" t="inlineStr">
        <is>
          <t>Métiers de la pierre</t>
        </is>
      </c>
      <c r="L1037" s="45" t="inlineStr">
        <is>
          <t>31/12/2028</t>
        </is>
      </c>
      <c r="M1037" s="45" t="inlineStr">
        <is>
          <t>22254 (BTP conception organisation) ; 45502 (Taille pierre)</t>
        </is>
      </c>
      <c r="N1037" s="50" t="inlineStr">
        <is>
          <t>NON</t>
        </is>
      </c>
      <c r="O1037" s="45" t="inlineStr"/>
    </row>
    <row r="1038" customFormat="1" s="3">
      <c r="A1038" s="45" t="n"/>
      <c r="B1038" s="46" t="inlineStr">
        <is>
          <t>22279</t>
        </is>
      </c>
      <c r="C1038" s="46">
        <f>LEFT(Tableau1[[#This Row],[Formacode]],3)</f>
        <v/>
      </c>
      <c r="D1038" s="47" t="n">
        <v>39033</v>
      </c>
      <c r="E1038" s="48">
        <f>"RNCP"&amp;D1038</f>
        <v/>
      </c>
      <c r="F1038" s="48" t="inlineStr">
        <is>
          <t>BAC PRO - Technicien d'études du bâtiment</t>
        </is>
      </c>
      <c r="G1038" s="49">
        <f>E1038&amp;" - "&amp;F1038</f>
        <v/>
      </c>
      <c r="H1038" s="36" t="inlineStr">
        <is>
          <t>RAS</t>
        </is>
      </c>
      <c r="I1038" s="45" t="inlineStr"/>
      <c r="J1038" s="45" t="inlineStr">
        <is>
          <t>RNCP39033</t>
        </is>
      </c>
      <c r="K1038" s="45" t="inlineStr">
        <is>
          <t>Technicien d'études du bâtiment</t>
        </is>
      </c>
      <c r="L1038" s="45" t="inlineStr">
        <is>
          <t>31/08/2029</t>
        </is>
      </c>
      <c r="M1038" s="45" t="inlineStr">
        <is>
          <t>22294 (Conduite chantier BTP) ; 31685 (DAO) ; 22279 (Maîtrise d'oeuvre BTP) ; 22232 (Métré BTP)</t>
        </is>
      </c>
      <c r="N1038" s="50" t="inlineStr">
        <is>
          <t>NON</t>
        </is>
      </c>
      <c r="O1038" s="45" t="inlineStr"/>
    </row>
    <row r="1039" customFormat="1" s="3">
      <c r="A1039" s="45" t="n"/>
      <c r="B1039" s="46" t="inlineStr">
        <is>
          <t>22279</t>
        </is>
      </c>
      <c r="C1039" s="46">
        <f>LEFT(Tableau1[[#This Row],[Formacode]],3)</f>
        <v/>
      </c>
      <c r="D1039" s="47" t="n">
        <v>39085</v>
      </c>
      <c r="E1039" s="48">
        <f>"RNCP"&amp;D1039</f>
        <v/>
      </c>
      <c r="F1039" s="48" t="inlineStr">
        <is>
          <t>BTS - Géologie appliquée</t>
        </is>
      </c>
      <c r="G1039" s="49">
        <f>E1039&amp;" - "&amp;F1039</f>
        <v/>
      </c>
      <c r="H1039" s="36" t="inlineStr">
        <is>
          <t>RAS</t>
        </is>
      </c>
      <c r="I1039" s="45" t="inlineStr"/>
      <c r="J1039" s="45" t="inlineStr">
        <is>
          <t>RNCP39085</t>
        </is>
      </c>
      <c r="K1039" s="45" t="inlineStr">
        <is>
          <t>Géologie appliquée</t>
        </is>
      </c>
      <c r="L1039" s="45" t="inlineStr">
        <is>
          <t>31/08/2029</t>
        </is>
      </c>
      <c r="M1039" s="45" t="inlineStr">
        <is>
          <t>12275 (Géologie) ; 22254 (BTP conception organisation) ; 12225 (Topographie)</t>
        </is>
      </c>
      <c r="N1039" s="50" t="inlineStr">
        <is>
          <t>NON</t>
        </is>
      </c>
      <c r="O1039" s="45" t="inlineStr"/>
    </row>
    <row r="1040" customFormat="1" s="3">
      <c r="A1040" s="45" t="n"/>
      <c r="B1040" s="46" t="inlineStr">
        <is>
          <t>22279</t>
        </is>
      </c>
      <c r="C1040" s="46">
        <f>LEFT(Tableau1[[#This Row],[Formacode]],3)</f>
        <v/>
      </c>
      <c r="D1040" s="47" t="n">
        <v>39217</v>
      </c>
      <c r="E1040" s="48">
        <f>"RNCP"&amp;D1040</f>
        <v/>
      </c>
      <c r="F1040" s="48" t="inlineStr">
        <is>
          <t>Expert en digitalisation et exploitation des bâtiments</t>
        </is>
      </c>
      <c r="G1040" s="49">
        <f>E1040&amp;" - "&amp;F1040</f>
        <v/>
      </c>
      <c r="H1040" s="36" t="inlineStr">
        <is>
          <t>RAS</t>
        </is>
      </c>
      <c r="I1040" s="45" t="inlineStr"/>
      <c r="J1040" s="45" t="inlineStr">
        <is>
          <t>RNCP39217</t>
        </is>
      </c>
      <c r="K1040" s="45" t="inlineStr">
        <is>
          <t>Expert en digitalisation et exploitation des bâtiments</t>
        </is>
      </c>
      <c r="L1040" s="45" t="inlineStr">
        <is>
          <t>27/06/2027</t>
        </is>
      </c>
      <c r="M1040" s="45" t="inlineStr">
        <is>
          <t>22211 (Performance énergétique bâtiment) ; 24162 (Gestion énergie) ; 70954 (Logiciel gestion projet) ; 22279 (Maîtrise d'oeuvre BTP) ; 31009 (Architecture système information)</t>
        </is>
      </c>
      <c r="N1040" s="50" t="inlineStr">
        <is>
          <t>NON</t>
        </is>
      </c>
      <c r="O1040" s="45" t="inlineStr"/>
    </row>
    <row r="1041" customFormat="1" s="3">
      <c r="A1041" s="45" t="n"/>
      <c r="B1041" s="46" t="inlineStr">
        <is>
          <t>22279</t>
        </is>
      </c>
      <c r="C1041" s="46">
        <f>LEFT(Tableau1[[#This Row],[Formacode]],3)</f>
        <v/>
      </c>
      <c r="D1041" s="47" t="n">
        <v>39408</v>
      </c>
      <c r="E1041" s="48">
        <f>"RNCP"&amp;D1041</f>
        <v/>
      </c>
      <c r="F1041" s="48" t="inlineStr">
        <is>
          <t>TP - Coordinateur BIM du bâtiment</t>
        </is>
      </c>
      <c r="G1041" s="49">
        <f>E1041&amp;" - "&amp;F1041</f>
        <v/>
      </c>
      <c r="H1041" s="36" t="inlineStr">
        <is>
          <t>RAS</t>
        </is>
      </c>
      <c r="I1041" s="45" t="inlineStr"/>
      <c r="J1041" s="45" t="inlineStr">
        <is>
          <t>RNCP39408</t>
        </is>
      </c>
      <c r="K1041" s="45" t="inlineStr">
        <is>
          <t>Coordinateur BIM du bâtiment</t>
        </is>
      </c>
      <c r="L1041" s="45" t="inlineStr">
        <is>
          <t>29/09/2029</t>
        </is>
      </c>
      <c r="M1041" s="45" t="inlineStr">
        <is>
          <t>22252 (Dessin BTP) ; 22279 (Maîtrise d'oeuvre BTP)</t>
        </is>
      </c>
      <c r="N1041" s="50" t="inlineStr">
        <is>
          <t>NON</t>
        </is>
      </c>
      <c r="O1041" s="45" t="inlineStr"/>
    </row>
    <row r="1042" customFormat="1" s="3">
      <c r="A1042" s="45" t="n"/>
      <c r="B1042" s="46" t="inlineStr">
        <is>
          <t>22279</t>
        </is>
      </c>
      <c r="C1042" s="46">
        <f>LEFT(Tableau1[[#This Row],[Formacode]],3)</f>
        <v/>
      </c>
      <c r="D1042" s="47" t="n">
        <v>39514</v>
      </c>
      <c r="E1042" s="48">
        <f>"RNCP"&amp;D1042</f>
        <v/>
      </c>
      <c r="F1042" s="48" t="inlineStr">
        <is>
          <t>BAC PRO - Ouvrages du bâtiment : métallerie</t>
        </is>
      </c>
      <c r="G1042" s="49">
        <f>E1042&amp;" - "&amp;F1042</f>
        <v/>
      </c>
      <c r="H1042" s="36" t="inlineStr">
        <is>
          <t>RAS</t>
        </is>
      </c>
      <c r="I1042" s="45" t="inlineStr"/>
      <c r="J1042" s="45" t="inlineStr">
        <is>
          <t>RNCP39514</t>
        </is>
      </c>
      <c r="K1042" s="45" t="inlineStr">
        <is>
          <t>Ouvrages du bâtiment : métallerie</t>
        </is>
      </c>
      <c r="L1042" s="45" t="inlineStr">
        <is>
          <t>31/08/2027</t>
        </is>
      </c>
      <c r="M1042" s="45" t="inlineStr">
        <is>
          <t>22254 (BTP conception organisation) ; 22478 (Métallerie serrurerie)</t>
        </is>
      </c>
      <c r="N1042" s="50" t="inlineStr">
        <is>
          <t>NON</t>
        </is>
      </c>
      <c r="O1042" s="45" t="inlineStr"/>
    </row>
    <row r="1043" customFormat="1" s="3">
      <c r="A1043" s="45" t="n"/>
      <c r="B1043" s="46" t="inlineStr">
        <is>
          <t>22279</t>
        </is>
      </c>
      <c r="C1043" s="46">
        <f>LEFT(Tableau1[[#This Row],[Formacode]],3)</f>
        <v/>
      </c>
      <c r="D1043" s="47" t="n">
        <v>40259</v>
      </c>
      <c r="E1043" s="48">
        <f>"RNCP"&amp;D1043</f>
        <v/>
      </c>
      <c r="F1043" s="48" t="inlineStr">
        <is>
          <t>Couvreur-zingueur (BM)</t>
        </is>
      </c>
      <c r="G1043" s="49">
        <f>E1043&amp;" - "&amp;F1043</f>
        <v/>
      </c>
      <c r="H1043" s="36" t="inlineStr">
        <is>
          <t>RAS</t>
        </is>
      </c>
      <c r="I1043" s="45" t="inlineStr"/>
      <c r="J1043" s="45" t="inlineStr">
        <is>
          <t>RNCP40259</t>
        </is>
      </c>
      <c r="K1043" s="45" t="inlineStr">
        <is>
          <t>Couvreur-zingueur (BM)</t>
        </is>
      </c>
      <c r="L1043" s="45" t="inlineStr">
        <is>
          <t>28/02/2028</t>
        </is>
      </c>
      <c r="M1043" s="45" t="inlineStr">
        <is>
          <t>22437 (Couverture) ; 32097 (Gestion entreprise artisanale) ; 22254 (BTP conception organisation)</t>
        </is>
      </c>
      <c r="N1043" s="50" t="inlineStr">
        <is>
          <t>NON</t>
        </is>
      </c>
      <c r="O1043" s="45" t="inlineStr"/>
    </row>
    <row r="1044" customFormat="1" s="3">
      <c r="A1044" s="63" t="n"/>
      <c r="B1044" s="64" t="inlineStr">
        <is>
          <t>22295</t>
        </is>
      </c>
      <c r="C1044" s="64">
        <f>LEFT(Tableau1[[#This Row],[Formacode]],3)</f>
        <v/>
      </c>
      <c r="D1044" s="65" t="n">
        <v>35503</v>
      </c>
      <c r="E1044" s="66">
        <f>"RNCP"&amp;D1044</f>
        <v/>
      </c>
      <c r="F1044" s="66" t="inlineStr">
        <is>
          <t>TP - Chargé d'affaires du bâtiment</t>
        </is>
      </c>
      <c r="G1044" s="67">
        <f>E1044&amp;" - "&amp;F1044</f>
        <v/>
      </c>
      <c r="H1044" s="38" t="inlineStr">
        <is>
          <t>Expiré / remplacé</t>
        </is>
      </c>
      <c r="I1044" s="63" t="inlineStr">
        <is>
          <t>Fiche inactive — remplacée par RNCP42032 (Chargé d’affaires du bâtiment)</t>
        </is>
      </c>
      <c r="J1044" s="63" t="inlineStr">
        <is>
          <t>RNCP42032</t>
        </is>
      </c>
      <c r="K1044" s="63" t="inlineStr">
        <is>
          <t>Chargé d’affaires du bâtiment</t>
        </is>
      </c>
      <c r="L1044" s="63" t="inlineStr">
        <is>
          <t>13/04/2026</t>
        </is>
      </c>
      <c r="M1044" s="63" t="inlineStr">
        <is>
          <t>22257 (Commercialisation BTP) ; 22293 (Conduite travaux BTP) ; 22279 (Maîtrise d'oeuvre BTP)</t>
        </is>
      </c>
      <c r="N1044" s="68" t="inlineStr">
        <is>
          <t>NON</t>
        </is>
      </c>
      <c r="O1044" s="63" t="inlineStr"/>
    </row>
    <row r="1045" customFormat="1" s="3">
      <c r="A1045" s="45" t="n"/>
      <c r="B1045" s="46" t="inlineStr">
        <is>
          <t>22295</t>
        </is>
      </c>
      <c r="C1045" s="46">
        <f>LEFT(Tableau1[[#This Row],[Formacode]],3)</f>
        <v/>
      </c>
      <c r="D1045" s="47" t="n">
        <v>37445</v>
      </c>
      <c r="E1045" s="48">
        <f>"RNCP"&amp;D1045</f>
        <v/>
      </c>
      <c r="F1045" s="48" t="inlineStr">
        <is>
          <t>TP - Technicien d'intervention de réseaux de télécommunications en fibre optique</t>
        </is>
      </c>
      <c r="G1045" s="49">
        <f>E1045&amp;" - "&amp;F1045</f>
        <v/>
      </c>
      <c r="H1045" s="36" t="inlineStr">
        <is>
          <t>RAS</t>
        </is>
      </c>
      <c r="I1045" s="45" t="inlineStr"/>
      <c r="J1045" s="45" t="inlineStr">
        <is>
          <t>RNCP37445</t>
        </is>
      </c>
      <c r="K1045" s="45" t="inlineStr">
        <is>
          <t>Technicien d'intervention de réseaux de télécommunications en fibre optique</t>
        </is>
      </c>
      <c r="L1045" s="45" t="inlineStr">
        <is>
          <t>29/07/2028</t>
        </is>
      </c>
      <c r="M1045" s="45" t="inlineStr">
        <is>
          <t>24229 (Transmission fibre optique) ; 22254 (BTP conception organisation)</t>
        </is>
      </c>
      <c r="N1045" s="50" t="inlineStr">
        <is>
          <t>NON</t>
        </is>
      </c>
      <c r="O1045" s="45" t="inlineStr"/>
    </row>
    <row r="1046" ht="28.8" customFormat="1" customHeight="1" s="3">
      <c r="A1046" s="45" t="n"/>
      <c r="B1046" s="46" t="inlineStr">
        <is>
          <t>22295</t>
        </is>
      </c>
      <c r="C1046" s="46">
        <f>LEFT(Tableau1[[#This Row],[Formacode]],3)</f>
        <v/>
      </c>
      <c r="D1046" s="47" t="n">
        <v>38098</v>
      </c>
      <c r="E1046" s="48">
        <f>"RNCP"&amp;D1046</f>
        <v/>
      </c>
      <c r="F1046" s="48" t="inlineStr">
        <is>
          <t>TP - Encadrant technique d'une opération de traitement de l'amiante ou d'autres polluants particulaires</t>
        </is>
      </c>
      <c r="G1046" s="49">
        <f>E1046&amp;" - "&amp;F1046</f>
        <v/>
      </c>
      <c r="H1046" s="36" t="inlineStr">
        <is>
          <t>RAS</t>
        </is>
      </c>
      <c r="I1046" s="45" t="inlineStr"/>
      <c r="J1046" s="45" t="inlineStr">
        <is>
          <t>RNCP38098</t>
        </is>
      </c>
      <c r="K1046" s="45" t="inlineStr">
        <is>
          <t>Encadrant technique d'une opération de traitement de l'amiante ou d'autres polluants particulaires</t>
        </is>
      </c>
      <c r="L1046" s="45" t="inlineStr">
        <is>
          <t>01/01/2029</t>
        </is>
      </c>
      <c r="M1046" s="45" t="inlineStr">
        <is>
          <t>22265 (Risque amiante) ; 12562 (Pollution) ; 23062 (Métallurgie)</t>
        </is>
      </c>
      <c r="N1046" s="50" t="inlineStr">
        <is>
          <t>NON</t>
        </is>
      </c>
      <c r="O1046" s="45" t="inlineStr"/>
    </row>
    <row r="1047" ht="28.8" customFormat="1" customHeight="1" s="3">
      <c r="A1047" s="45" t="n"/>
      <c r="B1047" s="46" t="inlineStr">
        <is>
          <t>22295</t>
        </is>
      </c>
      <c r="C1047" s="46">
        <f>LEFT(Tableau1[[#This Row],[Formacode]],3)</f>
        <v/>
      </c>
      <c r="D1047" s="47" t="n">
        <v>38099</v>
      </c>
      <c r="E1047" s="48">
        <f>"RNCP"&amp;D1047</f>
        <v/>
      </c>
      <c r="F1047" s="48" t="inlineStr">
        <is>
          <t>TP - Opérateur de chantier de traitement de l'amiante ou d'autres polluants particulaires</t>
        </is>
      </c>
      <c r="G1047" s="49">
        <f>E1047&amp;" - "&amp;F1047</f>
        <v/>
      </c>
      <c r="H1047" s="36" t="inlineStr">
        <is>
          <t>RAS</t>
        </is>
      </c>
      <c r="I1047" s="45" t="inlineStr"/>
      <c r="J1047" s="45" t="inlineStr">
        <is>
          <t>RNCP38099</t>
        </is>
      </c>
      <c r="K1047" s="45" t="inlineStr">
        <is>
          <t>Opérateur de chantier de traitement de l'amiante ou d'autres polluants particulaires</t>
        </is>
      </c>
      <c r="L1047" s="45" t="inlineStr">
        <is>
          <t>01/01/2029</t>
        </is>
      </c>
      <c r="M1047" s="45" t="inlineStr">
        <is>
          <t>22265 (Risque amiante) ; 12562 (Pollution) ; 23062 (Métallurgie)</t>
        </is>
      </c>
      <c r="N1047" s="50" t="inlineStr">
        <is>
          <t>NON</t>
        </is>
      </c>
      <c r="O1047" s="45" t="inlineStr"/>
    </row>
    <row r="1048" ht="28.8" customFormat="1" customHeight="1" s="3">
      <c r="A1048" s="45" t="n"/>
      <c r="B1048" s="46" t="inlineStr">
        <is>
          <t>22295</t>
        </is>
      </c>
      <c r="C1048" s="46">
        <f>LEFT(Tableau1[[#This Row],[Formacode]],3)</f>
        <v/>
      </c>
      <c r="D1048" s="47" t="n">
        <v>38100</v>
      </c>
      <c r="E1048" s="48">
        <f>"RNCP"&amp;D1048</f>
        <v/>
      </c>
      <c r="F1048" s="48" t="inlineStr">
        <is>
          <t>TP - Encadrant de chantier de traitement de l'amiante ou d'autres polluants particulaires</t>
        </is>
      </c>
      <c r="G1048" s="49">
        <f>E1048&amp;" - "&amp;F1048</f>
        <v/>
      </c>
      <c r="H1048" s="36" t="inlineStr">
        <is>
          <t>RAS</t>
        </is>
      </c>
      <c r="I1048" s="45" t="inlineStr"/>
      <c r="J1048" s="45" t="inlineStr">
        <is>
          <t>RNCP38100</t>
        </is>
      </c>
      <c r="K1048" s="45" t="inlineStr">
        <is>
          <t>Encadrant de chantier de traitement de l'amiante ou d'autres polluants particulaires</t>
        </is>
      </c>
      <c r="L1048" s="45" t="inlineStr">
        <is>
          <t>01/01/2029</t>
        </is>
      </c>
      <c r="M1048" s="45" t="inlineStr">
        <is>
          <t>22265 (Risque amiante) ; 12562 (Pollution) ; 23062 (Métallurgie)</t>
        </is>
      </c>
      <c r="N1048" s="50" t="inlineStr">
        <is>
          <t>NON</t>
        </is>
      </c>
      <c r="O1048" s="45" t="inlineStr"/>
    </row>
    <row r="1049" customFormat="1" s="3">
      <c r="A1049" s="45" t="n"/>
      <c r="B1049" s="46" t="inlineStr">
        <is>
          <t>22295</t>
        </is>
      </c>
      <c r="C1049" s="46">
        <f>LEFT(Tableau1[[#This Row],[Formacode]],3)</f>
        <v/>
      </c>
      <c r="D1049" s="47" t="n">
        <v>38287</v>
      </c>
      <c r="E1049" s="48">
        <f>"RNCP"&amp;D1049</f>
        <v/>
      </c>
      <c r="F1049" s="48" t="inlineStr">
        <is>
          <t>CQP Opérateur en désamiantage</t>
        </is>
      </c>
      <c r="G1049" s="49">
        <f>E1049&amp;" - "&amp;F1049</f>
        <v/>
      </c>
      <c r="H1049" s="36" t="inlineStr">
        <is>
          <t>RAS</t>
        </is>
      </c>
      <c r="I1049" s="45" t="inlineStr"/>
      <c r="J1049" s="45" t="inlineStr">
        <is>
          <t>RNCP38287</t>
        </is>
      </c>
      <c r="K1049" s="45" t="inlineStr">
        <is>
          <t>CQP Opérateur en désamiantage</t>
        </is>
      </c>
      <c r="L1049" s="45" t="inlineStr">
        <is>
          <t>15/11/2028</t>
        </is>
      </c>
      <c r="M1049" s="45" t="inlineStr">
        <is>
          <t>22265 (Risque amiante)</t>
        </is>
      </c>
      <c r="N1049" s="50" t="inlineStr">
        <is>
          <t>NON</t>
        </is>
      </c>
      <c r="O1049" s="45" t="inlineStr"/>
    </row>
    <row r="1050" customFormat="1" s="3">
      <c r="A1050" s="45" t="n"/>
      <c r="B1050" s="46" t="inlineStr">
        <is>
          <t>22295</t>
        </is>
      </c>
      <c r="C1050" s="46">
        <f>LEFT(Tableau1[[#This Row],[Formacode]],3)</f>
        <v/>
      </c>
      <c r="D1050" s="47" t="n">
        <v>38724</v>
      </c>
      <c r="E1050" s="48">
        <f>"RNCP"&amp;D1050</f>
        <v/>
      </c>
      <c r="F1050" s="48" t="inlineStr">
        <is>
          <t>BP - Métiers de la pierre</t>
        </is>
      </c>
      <c r="G1050" s="49">
        <f>E1050&amp;" - "&amp;F1050</f>
        <v/>
      </c>
      <c r="H1050" s="36" t="inlineStr">
        <is>
          <t>RAS</t>
        </is>
      </c>
      <c r="I1050" s="45" t="inlineStr"/>
      <c r="J1050" s="45" t="inlineStr">
        <is>
          <t>RNCP38724</t>
        </is>
      </c>
      <c r="K1050" s="45" t="inlineStr">
        <is>
          <t>Métiers de la pierre</t>
        </is>
      </c>
      <c r="L1050" s="45" t="inlineStr">
        <is>
          <t>31/12/2028</t>
        </is>
      </c>
      <c r="M1050" s="45" t="inlineStr">
        <is>
          <t>22254 (BTP conception organisation) ; 45502 (Taille pierre)</t>
        </is>
      </c>
      <c r="N1050" s="50" t="inlineStr">
        <is>
          <t>NON</t>
        </is>
      </c>
      <c r="O1050" s="45" t="inlineStr"/>
    </row>
    <row r="1051" customFormat="1" s="3">
      <c r="A1051" s="45" t="n"/>
      <c r="B1051" s="46" t="inlineStr">
        <is>
          <t>22295</t>
        </is>
      </c>
      <c r="C1051" s="46">
        <f>LEFT(Tableau1[[#This Row],[Formacode]],3)</f>
        <v/>
      </c>
      <c r="D1051" s="47" t="n">
        <v>39085</v>
      </c>
      <c r="E1051" s="48">
        <f>"RNCP"&amp;D1051</f>
        <v/>
      </c>
      <c r="F1051" s="48" t="inlineStr">
        <is>
          <t>BTS - Géologie appliquée</t>
        </is>
      </c>
      <c r="G1051" s="49">
        <f>E1051&amp;" - "&amp;F1051</f>
        <v/>
      </c>
      <c r="H1051" s="36" t="inlineStr">
        <is>
          <t>RAS</t>
        </is>
      </c>
      <c r="I1051" s="45" t="inlineStr"/>
      <c r="J1051" s="45" t="inlineStr">
        <is>
          <t>RNCP39085</t>
        </is>
      </c>
      <c r="K1051" s="45" t="inlineStr">
        <is>
          <t>Géologie appliquée</t>
        </is>
      </c>
      <c r="L1051" s="45" t="inlineStr">
        <is>
          <t>31/08/2029</t>
        </is>
      </c>
      <c r="M1051" s="45" t="inlineStr">
        <is>
          <t>12275 (Géologie) ; 22254 (BTP conception organisation) ; 12225 (Topographie)</t>
        </is>
      </c>
      <c r="N1051" s="50" t="inlineStr">
        <is>
          <t>NON</t>
        </is>
      </c>
      <c r="O1051" s="45" t="inlineStr"/>
    </row>
    <row r="1052" customFormat="1" s="3">
      <c r="A1052" s="45" t="n"/>
      <c r="B1052" s="46" t="inlineStr">
        <is>
          <t>22295</t>
        </is>
      </c>
      <c r="C1052" s="46">
        <f>LEFT(Tableau1[[#This Row],[Formacode]],3)</f>
        <v/>
      </c>
      <c r="D1052" s="47" t="n">
        <v>39514</v>
      </c>
      <c r="E1052" s="48">
        <f>"RNCP"&amp;D1052</f>
        <v/>
      </c>
      <c r="F1052" s="48" t="inlineStr">
        <is>
          <t>BAC PRO - Ouvrages du bâtiment : métallerie</t>
        </is>
      </c>
      <c r="G1052" s="49">
        <f>E1052&amp;" - "&amp;F1052</f>
        <v/>
      </c>
      <c r="H1052" s="36" t="inlineStr">
        <is>
          <t>RAS</t>
        </is>
      </c>
      <c r="I1052" s="45" t="inlineStr"/>
      <c r="J1052" s="45" t="inlineStr">
        <is>
          <t>RNCP39514</t>
        </is>
      </c>
      <c r="K1052" s="45" t="inlineStr">
        <is>
          <t>Ouvrages du bâtiment : métallerie</t>
        </is>
      </c>
      <c r="L1052" s="45" t="inlineStr">
        <is>
          <t>31/08/2027</t>
        </is>
      </c>
      <c r="M1052" s="45" t="inlineStr">
        <is>
          <t>22254 (BTP conception organisation) ; 22478 (Métallerie serrurerie)</t>
        </is>
      </c>
      <c r="N1052" s="50" t="inlineStr">
        <is>
          <t>NON</t>
        </is>
      </c>
      <c r="O1052" s="45" t="inlineStr"/>
    </row>
    <row r="1053" customFormat="1" s="3">
      <c r="A1053" s="45" t="n"/>
      <c r="B1053" s="46" t="inlineStr">
        <is>
          <t>22295</t>
        </is>
      </c>
      <c r="C1053" s="46">
        <f>LEFT(Tableau1[[#This Row],[Formacode]],3)</f>
        <v/>
      </c>
      <c r="D1053" s="47" t="n">
        <v>39718</v>
      </c>
      <c r="E1053" s="48">
        <f>"RNCP"&amp;D1053</f>
        <v/>
      </c>
      <c r="F1053" s="48" t="inlineStr">
        <is>
          <t>CQP Opérateur d'intervention en milieu sensible</t>
        </is>
      </c>
      <c r="G1053" s="49">
        <f>E1053&amp;" - "&amp;F1053</f>
        <v/>
      </c>
      <c r="H1053" s="36" t="inlineStr">
        <is>
          <t>RAS</t>
        </is>
      </c>
      <c r="I1053" s="45" t="inlineStr"/>
      <c r="J1053" s="45" t="inlineStr">
        <is>
          <t>RNCP39718</t>
        </is>
      </c>
      <c r="K1053" s="45" t="inlineStr">
        <is>
          <t>CQP Opérateur d'intervention en milieu sensible</t>
        </is>
      </c>
      <c r="L1053" s="45" t="inlineStr">
        <is>
          <t>31/10/2029</t>
        </is>
      </c>
      <c r="M1053" s="45" t="inlineStr">
        <is>
          <t>22201 (Risque sanitaire bâtiment) ; 12592 (Gestion déchet industriel) ; 24114 (Retraitement combustible irradié) ; 12541 (Assainissement)</t>
        </is>
      </c>
      <c r="N1053" s="50" t="inlineStr">
        <is>
          <t>NON</t>
        </is>
      </c>
      <c r="O1053" s="45" t="inlineStr"/>
    </row>
    <row r="1054" customFormat="1" s="3">
      <c r="A1054" s="45" t="n"/>
      <c r="B1054" s="46" t="inlineStr">
        <is>
          <t>22295</t>
        </is>
      </c>
      <c r="C1054" s="46">
        <f>LEFT(Tableau1[[#This Row],[Formacode]],3)</f>
        <v/>
      </c>
      <c r="D1054" s="47" t="n">
        <v>40259</v>
      </c>
      <c r="E1054" s="48">
        <f>"RNCP"&amp;D1054</f>
        <v/>
      </c>
      <c r="F1054" s="48" t="inlineStr">
        <is>
          <t>Couvreur-zingueur (BM)</t>
        </is>
      </c>
      <c r="G1054" s="49">
        <f>E1054&amp;" - "&amp;F1054</f>
        <v/>
      </c>
      <c r="H1054" s="36" t="inlineStr">
        <is>
          <t>RAS</t>
        </is>
      </c>
      <c r="I1054" s="45" t="inlineStr"/>
      <c r="J1054" s="45" t="inlineStr">
        <is>
          <t>RNCP40259</t>
        </is>
      </c>
      <c r="K1054" s="45" t="inlineStr">
        <is>
          <t>Couvreur-zingueur (BM)</t>
        </is>
      </c>
      <c r="L1054" s="45" t="inlineStr">
        <is>
          <t>28/02/2028</t>
        </is>
      </c>
      <c r="M1054" s="45" t="inlineStr">
        <is>
          <t>22437 (Couverture) ; 32097 (Gestion entreprise artisanale) ; 22254 (BTP conception organisation)</t>
        </is>
      </c>
      <c r="N1054" s="50" t="inlineStr">
        <is>
          <t>NON</t>
        </is>
      </c>
      <c r="O1054" s="45" t="inlineStr"/>
    </row>
    <row r="1055" customFormat="1" s="3">
      <c r="A1055" s="63" t="n"/>
      <c r="B1055" s="64" t="inlineStr">
        <is>
          <t>22307</t>
        </is>
      </c>
      <c r="C1055" s="64">
        <f>LEFT(Tableau1[[#This Row],[Formacode]],3)</f>
        <v/>
      </c>
      <c r="D1055" s="65" t="n">
        <v>35503</v>
      </c>
      <c r="E1055" s="66">
        <f>"RNCP"&amp;D1055</f>
        <v/>
      </c>
      <c r="F1055" s="66" t="inlineStr">
        <is>
          <t>TP - Chargé d'affaires du bâtiment</t>
        </is>
      </c>
      <c r="G1055" s="67">
        <f>E1055&amp;" - "&amp;F1055</f>
        <v/>
      </c>
      <c r="H1055" s="38" t="inlineStr">
        <is>
          <t>Expiré / remplacé</t>
        </is>
      </c>
      <c r="I1055" s="63" t="inlineStr">
        <is>
          <t>Fiche inactive — remplacée par RNCP42032 (Chargé d’affaires du bâtiment)</t>
        </is>
      </c>
      <c r="J1055" s="63" t="inlineStr">
        <is>
          <t>RNCP42032</t>
        </is>
      </c>
      <c r="K1055" s="63" t="inlineStr">
        <is>
          <t>Chargé d’affaires du bâtiment</t>
        </is>
      </c>
      <c r="L1055" s="63" t="inlineStr">
        <is>
          <t>13/04/2026</t>
        </is>
      </c>
      <c r="M1055" s="63" t="inlineStr">
        <is>
          <t>22257 (Commercialisation BTP) ; 22293 (Conduite travaux BTP) ; 22279 (Maîtrise d'oeuvre BTP)</t>
        </is>
      </c>
      <c r="N1055" s="68" t="inlineStr">
        <is>
          <t>NON</t>
        </is>
      </c>
      <c r="O1055" s="63" t="inlineStr"/>
    </row>
    <row r="1056" customFormat="1" s="3">
      <c r="A1056" s="45" t="n"/>
      <c r="B1056" s="46" t="inlineStr">
        <is>
          <t>22307</t>
        </is>
      </c>
      <c r="C1056" s="46">
        <f>LEFT(Tableau1[[#This Row],[Formacode]],3)</f>
        <v/>
      </c>
      <c r="D1056" s="47" t="n">
        <v>38550</v>
      </c>
      <c r="E1056" s="48">
        <f>"RNCP"&amp;D1056</f>
        <v/>
      </c>
      <c r="F1056" s="48" t="inlineStr">
        <is>
          <t>TP - Tailleur de pierre</t>
        </is>
      </c>
      <c r="G1056" s="49">
        <f>E1056&amp;" - "&amp;F1056</f>
        <v/>
      </c>
      <c r="H1056" s="36" t="inlineStr">
        <is>
          <t>RAS</t>
        </is>
      </c>
      <c r="I1056" s="45" t="inlineStr"/>
      <c r="J1056" s="45" t="inlineStr">
        <is>
          <t>RNCP38550</t>
        </is>
      </c>
      <c r="K1056" s="45" t="inlineStr">
        <is>
          <t>Tailleur de pierre</t>
        </is>
      </c>
      <c r="L1056" s="45" t="inlineStr">
        <is>
          <t>23/03/2029</t>
        </is>
      </c>
      <c r="M1056" s="45" t="inlineStr">
        <is>
          <t>45502 (Taille pierre) ; 22354 (Bâtiment gros oeuvre)</t>
        </is>
      </c>
      <c r="N1056" s="50" t="inlineStr">
        <is>
          <t>NON</t>
        </is>
      </c>
      <c r="O1056" s="45" t="inlineStr"/>
    </row>
    <row r="1057" customFormat="1" s="3">
      <c r="A1057" s="45" t="n"/>
      <c r="B1057" s="46" t="inlineStr">
        <is>
          <t>22307</t>
        </is>
      </c>
      <c r="C1057" s="46">
        <f>LEFT(Tableau1[[#This Row],[Formacode]],3)</f>
        <v/>
      </c>
      <c r="D1057" s="47" t="n">
        <v>38721</v>
      </c>
      <c r="E1057" s="48">
        <f>"RNCP"&amp;D1057</f>
        <v/>
      </c>
      <c r="F1057" s="48" t="inlineStr">
        <is>
          <t>TP - Chef de chantier gros œuvre</t>
        </is>
      </c>
      <c r="G1057" s="49">
        <f>E1057&amp;" - "&amp;F1057</f>
        <v/>
      </c>
      <c r="H1057" s="36" t="inlineStr">
        <is>
          <t>RAS</t>
        </is>
      </c>
      <c r="I1057" s="45" t="inlineStr"/>
      <c r="J1057" s="45" t="inlineStr">
        <is>
          <t>RNCP38721</t>
        </is>
      </c>
      <c r="K1057" s="45" t="inlineStr">
        <is>
          <t>Chef de chantier gros œuvre</t>
        </is>
      </c>
      <c r="L1057" s="45" t="inlineStr">
        <is>
          <t>20/04/2029</t>
        </is>
      </c>
      <c r="M1057" s="45" t="inlineStr">
        <is>
          <t>22294 (Conduite chantier BTP) ; 22354 (Bâtiment gros oeuvre)</t>
        </is>
      </c>
      <c r="N1057" s="50" t="inlineStr">
        <is>
          <t>NON</t>
        </is>
      </c>
      <c r="O1057" s="45" t="inlineStr"/>
    </row>
    <row r="1058" customFormat="1" s="3">
      <c r="A1058" s="45" t="n"/>
      <c r="B1058" s="46" t="inlineStr">
        <is>
          <t>22307</t>
        </is>
      </c>
      <c r="C1058" s="46">
        <f>LEFT(Tableau1[[#This Row],[Formacode]],3)</f>
        <v/>
      </c>
      <c r="D1058" s="47" t="n">
        <v>38746</v>
      </c>
      <c r="E1058" s="48">
        <f>"RNCP"&amp;D1058</f>
        <v/>
      </c>
      <c r="F1058" s="48" t="inlineStr">
        <is>
          <t>TP - Chef d'équipe gros œuvre</t>
        </is>
      </c>
      <c r="G1058" s="49">
        <f>E1058&amp;" - "&amp;F1058</f>
        <v/>
      </c>
      <c r="H1058" s="36" t="inlineStr">
        <is>
          <t>RAS</t>
        </is>
      </c>
      <c r="I1058" s="45" t="inlineStr"/>
      <c r="J1058" s="45" t="inlineStr">
        <is>
          <t>RNCP38746</t>
        </is>
      </c>
      <c r="K1058" s="45" t="inlineStr">
        <is>
          <t>Chef d'équipe gros œuvre</t>
        </is>
      </c>
      <c r="L1058" s="45" t="inlineStr">
        <is>
          <t>21/10/2029</t>
        </is>
      </c>
      <c r="M1058" s="45" t="inlineStr">
        <is>
          <t>22294 (Conduite chantier BTP) ; 22354 (Bâtiment gros oeuvre)</t>
        </is>
      </c>
      <c r="N1058" s="50" t="inlineStr">
        <is>
          <t>NON</t>
        </is>
      </c>
      <c r="O1058" s="45" t="inlineStr"/>
    </row>
    <row r="1059" customFormat="1" s="3">
      <c r="A1059" s="51" t="n"/>
      <c r="B1059" s="52" t="inlineStr">
        <is>
          <t>22307</t>
        </is>
      </c>
      <c r="C1059" s="52">
        <f>LEFT(Tableau1[[#This Row],[Formacode]],3)</f>
        <v/>
      </c>
      <c r="D1059" s="53" t="n">
        <v>40217</v>
      </c>
      <c r="E1059" s="54">
        <f>"RNCP"&amp;D1059</f>
        <v/>
      </c>
      <c r="F1059" s="54" t="inlineStr">
        <is>
          <t>TP - Conducteur de travaux du bâtiment et du génie civil</t>
        </is>
      </c>
      <c r="G1059" s="55">
        <f>E1059&amp;" - "&amp;F1059</f>
        <v/>
      </c>
      <c r="H1059" s="37" t="inlineStr">
        <is>
          <t>À vérifier</t>
        </is>
      </c>
      <c r="I1059" s="51" t="inlineStr">
        <is>
          <t>Échéance le 20/10/2026 (dans 94 j)</t>
        </is>
      </c>
      <c r="J1059" s="51" t="inlineStr">
        <is>
          <t>RNCP40217</t>
        </is>
      </c>
      <c r="K1059" s="51" t="inlineStr">
        <is>
          <t>Conducteur de travaux du bâtiment et du génie civil</t>
        </is>
      </c>
      <c r="L1059" s="51" t="inlineStr">
        <is>
          <t>20/10/2026</t>
        </is>
      </c>
      <c r="M1059" s="51" t="inlineStr">
        <is>
          <t>22293 (Conduite travaux BTP) ; 22054 (Travaux publics) ; 22354 (Bâtiment gros oeuvre)</t>
        </is>
      </c>
      <c r="N1059" s="62" t="inlineStr">
        <is>
          <t>NON</t>
        </is>
      </c>
      <c r="O1059" s="51" t="inlineStr"/>
    </row>
    <row r="1060" customFormat="1" s="3">
      <c r="A1060" s="63" t="n"/>
      <c r="B1060" s="64" t="inlineStr">
        <is>
          <t>22312</t>
        </is>
      </c>
      <c r="C1060" s="64">
        <f>LEFT(Tableau1[[#This Row],[Formacode]],3)</f>
        <v/>
      </c>
      <c r="D1060" s="65" t="n">
        <v>35348</v>
      </c>
      <c r="E1060" s="66">
        <f>"RNCP"&amp;D1060</f>
        <v/>
      </c>
      <c r="F1060" s="66" t="inlineStr">
        <is>
          <t>TP - Monteur levageur de structures métalliques</t>
        </is>
      </c>
      <c r="G1060" s="67">
        <f>E1060&amp;" - "&amp;F1060</f>
        <v/>
      </c>
      <c r="H1060" s="38" t="inlineStr">
        <is>
          <t>Expiré / remplacé</t>
        </is>
      </c>
      <c r="I1060" s="63" t="inlineStr">
        <is>
          <t>Fiche inactive (échéance 17/03/2026) — aucun successeur publié</t>
        </is>
      </c>
      <c r="J1060" s="63" t="inlineStr">
        <is>
          <t>RNCP35348</t>
        </is>
      </c>
      <c r="K1060" s="63" t="inlineStr">
        <is>
          <t>Monteur levageur de structures métalliques</t>
        </is>
      </c>
      <c r="L1060" s="63" t="inlineStr">
        <is>
          <t>17/03/2026</t>
        </is>
      </c>
      <c r="M1060" s="63" t="inlineStr">
        <is>
          <t>22387 (Construction métallique) ; 22314 (Charpente métallique)</t>
        </is>
      </c>
      <c r="N1060" s="68" t="inlineStr">
        <is>
          <t>NON</t>
        </is>
      </c>
      <c r="O1060" s="63" t="inlineStr"/>
    </row>
    <row r="1061" customFormat="1" s="3">
      <c r="A1061" s="63" t="n"/>
      <c r="B1061" s="64" t="inlineStr">
        <is>
          <t>22312</t>
        </is>
      </c>
      <c r="C1061" s="64">
        <f>LEFT(Tableau1[[#This Row],[Formacode]],3)</f>
        <v/>
      </c>
      <c r="D1061" s="65" t="n">
        <v>35503</v>
      </c>
      <c r="E1061" s="66">
        <f>"RNCP"&amp;D1061</f>
        <v/>
      </c>
      <c r="F1061" s="66" t="inlineStr">
        <is>
          <t>TP - Chargé d'affaires du bâtiment</t>
        </is>
      </c>
      <c r="G1061" s="67">
        <f>E1061&amp;" - "&amp;F1061</f>
        <v/>
      </c>
      <c r="H1061" s="38" t="inlineStr">
        <is>
          <t>Expiré / remplacé</t>
        </is>
      </c>
      <c r="I1061" s="63" t="inlineStr">
        <is>
          <t>Fiche inactive — remplacée par RNCP42032 (Chargé d’affaires du bâtiment)</t>
        </is>
      </c>
      <c r="J1061" s="63" t="inlineStr">
        <is>
          <t>RNCP42032</t>
        </is>
      </c>
      <c r="K1061" s="63" t="inlineStr">
        <is>
          <t>Chargé d’affaires du bâtiment</t>
        </is>
      </c>
      <c r="L1061" s="63" t="inlineStr">
        <is>
          <t>13/04/2026</t>
        </is>
      </c>
      <c r="M1061" s="63" t="inlineStr">
        <is>
          <t>22257 (Commercialisation BTP) ; 22293 (Conduite travaux BTP) ; 22279 (Maîtrise d'oeuvre BTP)</t>
        </is>
      </c>
      <c r="N1061" s="68" t="inlineStr">
        <is>
          <t>NON</t>
        </is>
      </c>
      <c r="O1061" s="63" t="inlineStr"/>
    </row>
    <row r="1062" customFormat="1" s="3">
      <c r="A1062" s="63" t="n"/>
      <c r="B1062" s="64" t="inlineStr">
        <is>
          <t>22312</t>
        </is>
      </c>
      <c r="C1062" s="64">
        <f>LEFT(Tableau1[[#This Row],[Formacode]],3)</f>
        <v/>
      </c>
      <c r="D1062" s="65" t="n">
        <v>35508</v>
      </c>
      <c r="E1062" s="66">
        <f>"RNCP"&amp;D1062</f>
        <v/>
      </c>
      <c r="F1062" s="66" t="inlineStr">
        <is>
          <t>TP - Charpentier bois</t>
        </is>
      </c>
      <c r="G1062" s="67">
        <f>E1062&amp;" - "&amp;F1062</f>
        <v/>
      </c>
      <c r="H1062" s="38" t="inlineStr">
        <is>
          <t>Expiré / remplacé</t>
        </is>
      </c>
      <c r="I1062" s="63" t="inlineStr">
        <is>
          <t>Fiche inactive — remplacée par RNCP42101 (Charpentier bois)</t>
        </is>
      </c>
      <c r="J1062" s="63" t="inlineStr">
        <is>
          <t>RNCP42101</t>
        </is>
      </c>
      <c r="K1062" s="63" t="inlineStr">
        <is>
          <t>Charpentier bois</t>
        </is>
      </c>
      <c r="L1062" s="63" t="inlineStr">
        <is>
          <t>26/04/2026</t>
        </is>
      </c>
      <c r="M1062" s="63" t="inlineStr">
        <is>
          <t>22313 (Charpente bois)</t>
        </is>
      </c>
      <c r="N1062" s="68" t="inlineStr">
        <is>
          <t>NON</t>
        </is>
      </c>
      <c r="O1062" s="63" t="inlineStr"/>
    </row>
    <row r="1063" customFormat="1" s="3">
      <c r="A1063" s="45" t="n"/>
      <c r="B1063" s="46" t="inlineStr">
        <is>
          <t>22312</t>
        </is>
      </c>
      <c r="C1063" s="46">
        <f>LEFT(Tableau1[[#This Row],[Formacode]],3)</f>
        <v/>
      </c>
      <c r="D1063" s="47" t="n">
        <v>37308</v>
      </c>
      <c r="E1063" s="48">
        <f>"RNCP"&amp;D1063</f>
        <v/>
      </c>
      <c r="F1063" s="48" t="inlineStr">
        <is>
          <t>BAC PRO - Technicien fabrication bois et matériaux associés</t>
        </is>
      </c>
      <c r="G1063" s="49">
        <f>E1063&amp;" - "&amp;F1063</f>
        <v/>
      </c>
      <c r="H1063" s="36" t="inlineStr">
        <is>
          <t>RAS</t>
        </is>
      </c>
      <c r="I1063" s="45" t="inlineStr"/>
      <c r="J1063" s="45" t="inlineStr">
        <is>
          <t>RNCP37308</t>
        </is>
      </c>
      <c r="K1063" s="45" t="inlineStr">
        <is>
          <t>Technicien fabrication bois et matériaux associés</t>
        </is>
      </c>
      <c r="L1063" s="45" t="inlineStr">
        <is>
          <t>31/08/2028</t>
        </is>
      </c>
      <c r="M1063" s="45" t="inlineStr">
        <is>
          <t>45019 (Ameublement) ; 22313 (Charpente bois) ; 22416 (Menuiserie bois)</t>
        </is>
      </c>
      <c r="N1063" s="50" t="inlineStr">
        <is>
          <t>NON</t>
        </is>
      </c>
      <c r="O1063" s="45" t="inlineStr"/>
    </row>
    <row r="1064" customFormat="1" s="3">
      <c r="A1064" s="51" t="n"/>
      <c r="B1064" s="52" t="inlineStr">
        <is>
          <t>22312</t>
        </is>
      </c>
      <c r="C1064" s="52">
        <f>LEFT(Tableau1[[#This Row],[Formacode]],3)</f>
        <v/>
      </c>
      <c r="D1064" s="53" t="n">
        <v>37916</v>
      </c>
      <c r="E1064" s="54">
        <f>"RNCP"&amp;D1064</f>
        <v/>
      </c>
      <c r="F1064" s="54" t="inlineStr">
        <is>
          <t>BAC PRO - Technicien constructeur bois</t>
        </is>
      </c>
      <c r="G1064" s="55">
        <f>E1064&amp;" - "&amp;F1064</f>
        <v/>
      </c>
      <c r="H1064" s="37" t="inlineStr">
        <is>
          <t>À vérifier</t>
        </is>
      </c>
      <c r="I1064" s="51" t="inlineStr">
        <is>
          <t>Successeur déjà publié : RNCP41866 (Technicien constructeur bois) — préparer la bascule de l'offre CPF | Échéance le 31/08/2026 (dans 44 j)</t>
        </is>
      </c>
      <c r="J1064" s="51" t="inlineStr">
        <is>
          <t>RNCP41866</t>
        </is>
      </c>
      <c r="K1064" s="51" t="inlineStr">
        <is>
          <t>Technicien constructeur bois</t>
        </is>
      </c>
      <c r="L1064" s="51" t="inlineStr">
        <is>
          <t>31/08/2026</t>
        </is>
      </c>
      <c r="M1064" s="51" t="inlineStr">
        <is>
          <t>22396 (Construction bois) ; 22313 (Charpente bois)</t>
        </is>
      </c>
      <c r="N1064" s="62" t="inlineStr">
        <is>
          <t>NON</t>
        </is>
      </c>
      <c r="O1064" s="51" t="inlineStr"/>
    </row>
    <row r="1065" customFormat="1" s="3">
      <c r="A1065" s="45" t="n"/>
      <c r="B1065" s="46" t="inlineStr">
        <is>
          <t>22312</t>
        </is>
      </c>
      <c r="C1065" s="46">
        <f>LEFT(Tableau1[[#This Row],[Formacode]],3)</f>
        <v/>
      </c>
      <c r="D1065" s="47" t="n">
        <v>38550</v>
      </c>
      <c r="E1065" s="48">
        <f>"RNCP"&amp;D1065</f>
        <v/>
      </c>
      <c r="F1065" s="48" t="inlineStr">
        <is>
          <t>TP - Tailleur de pierre</t>
        </is>
      </c>
      <c r="G1065" s="49">
        <f>E1065&amp;" - "&amp;F1065</f>
        <v/>
      </c>
      <c r="H1065" s="36" t="inlineStr">
        <is>
          <t>RAS</t>
        </is>
      </c>
      <c r="I1065" s="45" t="inlineStr"/>
      <c r="J1065" s="45" t="inlineStr">
        <is>
          <t>RNCP38550</t>
        </is>
      </c>
      <c r="K1065" s="45" t="inlineStr">
        <is>
          <t>Tailleur de pierre</t>
        </is>
      </c>
      <c r="L1065" s="45" t="inlineStr">
        <is>
          <t>23/03/2029</t>
        </is>
      </c>
      <c r="M1065" s="45" t="inlineStr">
        <is>
          <t>45502 (Taille pierre) ; 22354 (Bâtiment gros oeuvre)</t>
        </is>
      </c>
      <c r="N1065" s="50" t="inlineStr">
        <is>
          <t>NON</t>
        </is>
      </c>
      <c r="O1065" s="45" t="inlineStr"/>
    </row>
    <row r="1066" customFormat="1" s="3">
      <c r="A1066" s="45" t="n"/>
      <c r="B1066" s="46" t="inlineStr">
        <is>
          <t>22312</t>
        </is>
      </c>
      <c r="C1066" s="46">
        <f>LEFT(Tableau1[[#This Row],[Formacode]],3)</f>
        <v/>
      </c>
      <c r="D1066" s="47" t="n">
        <v>38721</v>
      </c>
      <c r="E1066" s="48">
        <f>"RNCP"&amp;D1066</f>
        <v/>
      </c>
      <c r="F1066" s="48" t="inlineStr">
        <is>
          <t>TP - Chef de chantier gros œuvre</t>
        </is>
      </c>
      <c r="G1066" s="49">
        <f>E1066&amp;" - "&amp;F1066</f>
        <v/>
      </c>
      <c r="H1066" s="36" t="inlineStr">
        <is>
          <t>RAS</t>
        </is>
      </c>
      <c r="I1066" s="45" t="inlineStr"/>
      <c r="J1066" s="45" t="inlineStr">
        <is>
          <t>RNCP38721</t>
        </is>
      </c>
      <c r="K1066" s="45" t="inlineStr">
        <is>
          <t>Chef de chantier gros œuvre</t>
        </is>
      </c>
      <c r="L1066" s="45" t="inlineStr">
        <is>
          <t>20/04/2029</t>
        </is>
      </c>
      <c r="M1066" s="45" t="inlineStr">
        <is>
          <t>22294 (Conduite chantier BTP) ; 22354 (Bâtiment gros oeuvre)</t>
        </is>
      </c>
      <c r="N1066" s="50" t="inlineStr">
        <is>
          <t>NON</t>
        </is>
      </c>
      <c r="O1066" s="45" t="inlineStr"/>
    </row>
    <row r="1067" customFormat="1" s="3">
      <c r="A1067" s="45" t="n"/>
      <c r="B1067" s="46" t="inlineStr">
        <is>
          <t>22312</t>
        </is>
      </c>
      <c r="C1067" s="46">
        <f>LEFT(Tableau1[[#This Row],[Formacode]],3)</f>
        <v/>
      </c>
      <c r="D1067" s="47" t="n">
        <v>38746</v>
      </c>
      <c r="E1067" s="48">
        <f>"RNCP"&amp;D1067</f>
        <v/>
      </c>
      <c r="F1067" s="48" t="inlineStr">
        <is>
          <t>TP - Chef d'équipe gros œuvre</t>
        </is>
      </c>
      <c r="G1067" s="49">
        <f>E1067&amp;" - "&amp;F1067</f>
        <v/>
      </c>
      <c r="H1067" s="36" t="inlineStr">
        <is>
          <t>RAS</t>
        </is>
      </c>
      <c r="I1067" s="45" t="inlineStr"/>
      <c r="J1067" s="45" t="inlineStr">
        <is>
          <t>RNCP38746</t>
        </is>
      </c>
      <c r="K1067" s="45" t="inlineStr">
        <is>
          <t>Chef d'équipe gros œuvre</t>
        </is>
      </c>
      <c r="L1067" s="45" t="inlineStr">
        <is>
          <t>21/10/2029</t>
        </is>
      </c>
      <c r="M1067" s="45" t="inlineStr">
        <is>
          <t>22294 (Conduite chantier BTP) ; 22354 (Bâtiment gros oeuvre)</t>
        </is>
      </c>
      <c r="N1067" s="50" t="inlineStr">
        <is>
          <t>NON</t>
        </is>
      </c>
      <c r="O1067" s="45" t="inlineStr"/>
    </row>
    <row r="1068" customFormat="1" s="3">
      <c r="A1068" s="51" t="n"/>
      <c r="B1068" s="52" t="inlineStr">
        <is>
          <t>22312</t>
        </is>
      </c>
      <c r="C1068" s="52">
        <f>LEFT(Tableau1[[#This Row],[Formacode]],3)</f>
        <v/>
      </c>
      <c r="D1068" s="53" t="n">
        <v>40217</v>
      </c>
      <c r="E1068" s="54">
        <f>"RNCP"&amp;D1068</f>
        <v/>
      </c>
      <c r="F1068" s="54" t="inlineStr">
        <is>
          <t>TP - Conducteur de travaux du bâtiment et du génie civil</t>
        </is>
      </c>
      <c r="G1068" s="55">
        <f>E1068&amp;" - "&amp;F1068</f>
        <v/>
      </c>
      <c r="H1068" s="37" t="inlineStr">
        <is>
          <t>À vérifier</t>
        </is>
      </c>
      <c r="I1068" s="51" t="inlineStr">
        <is>
          <t>Échéance le 20/10/2026 (dans 94 j)</t>
        </is>
      </c>
      <c r="J1068" s="51" t="inlineStr">
        <is>
          <t>RNCP40217</t>
        </is>
      </c>
      <c r="K1068" s="51" t="inlineStr">
        <is>
          <t>Conducteur de travaux du bâtiment et du génie civil</t>
        </is>
      </c>
      <c r="L1068" s="51" t="inlineStr">
        <is>
          <t>20/10/2026</t>
        </is>
      </c>
      <c r="M1068" s="51" t="inlineStr">
        <is>
          <t>22293 (Conduite travaux BTP) ; 22054 (Travaux publics) ; 22354 (Bâtiment gros oeuvre)</t>
        </is>
      </c>
      <c r="N1068" s="62" t="inlineStr">
        <is>
          <t>NON</t>
        </is>
      </c>
      <c r="O1068" s="51" t="inlineStr"/>
    </row>
    <row r="1069" customFormat="1" s="3">
      <c r="A1069" s="45" t="n"/>
      <c r="B1069" s="46" t="inlineStr">
        <is>
          <t>22312</t>
        </is>
      </c>
      <c r="C1069" s="46">
        <f>LEFT(Tableau1[[#This Row],[Formacode]],3)</f>
        <v/>
      </c>
      <c r="D1069" s="47" t="n">
        <v>41012</v>
      </c>
      <c r="E1069" s="48">
        <f>"RNCP"&amp;D1069</f>
        <v/>
      </c>
      <c r="F1069" s="48" t="inlineStr">
        <is>
          <t>CAP - Charpentier bois</t>
        </is>
      </c>
      <c r="G1069" s="49">
        <f>E1069&amp;" - "&amp;F1069</f>
        <v/>
      </c>
      <c r="H1069" s="36" t="inlineStr">
        <is>
          <t>RAS</t>
        </is>
      </c>
      <c r="I1069" s="45" t="inlineStr"/>
      <c r="J1069" s="45" t="inlineStr">
        <is>
          <t>RNCP41012</t>
        </is>
      </c>
      <c r="K1069" s="45" t="inlineStr">
        <is>
          <t>Charpentier bois</t>
        </is>
      </c>
      <c r="L1069" s="45" t="inlineStr">
        <is>
          <t>31/08/2030</t>
        </is>
      </c>
      <c r="M1069" s="45" t="inlineStr">
        <is>
          <t>22313 (Charpente bois)</t>
        </is>
      </c>
      <c r="N1069" s="50" t="inlineStr">
        <is>
          <t>NON</t>
        </is>
      </c>
      <c r="O1069" s="45" t="inlineStr"/>
    </row>
    <row r="1070" ht="28.8" customFormat="1" customHeight="1" s="3">
      <c r="A1070" s="45" t="n"/>
      <c r="B1070" s="46" t="inlineStr">
        <is>
          <t>22312</t>
        </is>
      </c>
      <c r="C1070" s="46">
        <f>LEFT(Tableau1[[#This Row],[Formacode]],3)</f>
        <v/>
      </c>
      <c r="D1070" s="47" t="n">
        <v>41014</v>
      </c>
      <c r="E1070" s="48">
        <f>"RNCP"&amp;D1070</f>
        <v/>
      </c>
      <c r="F1070" s="48" t="inlineStr">
        <is>
          <t>BAC PRO - Interventions sur le patrimoine bâti - Options maçonnerie, charpente, couverture</t>
        </is>
      </c>
      <c r="G1070" s="49">
        <f>E1070&amp;" - "&amp;F1070</f>
        <v/>
      </c>
      <c r="H1070" s="36" t="inlineStr">
        <is>
          <t>RAS</t>
        </is>
      </c>
      <c r="I1070" s="45" t="inlineStr"/>
      <c r="J1070" s="45" t="inlineStr">
        <is>
          <t>RNCP41014</t>
        </is>
      </c>
      <c r="K1070" s="45" t="inlineStr">
        <is>
          <t>Interventions sur le patrimoine bâti - Options maçonnerie, charpente, couverture</t>
        </is>
      </c>
      <c r="L1070" s="45" t="inlineStr">
        <is>
          <t>31/08/2028</t>
        </is>
      </c>
      <c r="M1070" s="45" t="inlineStr">
        <is>
          <t>22485 (Rénovation bâtiment) ; 22334 (Maçonnerie) ; 22437 (Couverture) ; 22312 (Charpente)</t>
        </is>
      </c>
      <c r="N1070" s="50" t="inlineStr">
        <is>
          <t>NON</t>
        </is>
      </c>
      <c r="O1070" s="45" t="inlineStr"/>
    </row>
    <row r="1071" customFormat="1" s="3">
      <c r="A1071" s="45" t="n"/>
      <c r="B1071" s="46" t="inlineStr">
        <is>
          <t>22312</t>
        </is>
      </c>
      <c r="C1071" s="46">
        <f>LEFT(Tableau1[[#This Row],[Formacode]],3)</f>
        <v/>
      </c>
      <c r="D1071" s="47" t="n">
        <v>41841</v>
      </c>
      <c r="E1071" s="48">
        <f>"RNCP"&amp;D1071</f>
        <v/>
      </c>
      <c r="F1071" s="48" t="inlineStr">
        <is>
          <t>BP - Charpentier bois</t>
        </is>
      </c>
      <c r="G1071" s="49">
        <f>E1071&amp;" - "&amp;F1071</f>
        <v/>
      </c>
      <c r="H1071" s="36" t="inlineStr">
        <is>
          <t>RAS</t>
        </is>
      </c>
      <c r="I1071" s="45" t="inlineStr"/>
      <c r="J1071" s="45" t="inlineStr">
        <is>
          <t>RNCP41841</t>
        </is>
      </c>
      <c r="K1071" s="45" t="inlineStr">
        <is>
          <t>Charpentier bois</t>
        </is>
      </c>
      <c r="L1071" s="45" t="inlineStr">
        <is>
          <t>31/12/2027</t>
        </is>
      </c>
      <c r="M1071" s="45" t="inlineStr">
        <is>
          <t>22313 (Charpente bois)</t>
        </is>
      </c>
      <c r="N1071" s="50" t="inlineStr">
        <is>
          <t>NON</t>
        </is>
      </c>
      <c r="O1071" s="45" t="inlineStr"/>
    </row>
    <row r="1072" customFormat="1" s="3">
      <c r="A1072" s="63" t="n"/>
      <c r="B1072" s="64" t="inlineStr">
        <is>
          <t>22329</t>
        </is>
      </c>
      <c r="C1072" s="64">
        <f>LEFT(Tableau1[[#This Row],[Formacode]],3)</f>
        <v/>
      </c>
      <c r="D1072" s="65" t="n">
        <v>35503</v>
      </c>
      <c r="E1072" s="66">
        <f>"RNCP"&amp;D1072</f>
        <v/>
      </c>
      <c r="F1072" s="66" t="inlineStr">
        <is>
          <t>TP - Chargé d'affaires du bâtiment</t>
        </is>
      </c>
      <c r="G1072" s="67">
        <f>E1072&amp;" - "&amp;F1072</f>
        <v/>
      </c>
      <c r="H1072" s="38" t="inlineStr">
        <is>
          <t>Expiré / remplacé</t>
        </is>
      </c>
      <c r="I1072" s="63" t="inlineStr">
        <is>
          <t>Fiche inactive — remplacée par RNCP42032 (Chargé d’affaires du bâtiment)</t>
        </is>
      </c>
      <c r="J1072" s="63" t="inlineStr">
        <is>
          <t>RNCP42032</t>
        </is>
      </c>
      <c r="K1072" s="63" t="inlineStr">
        <is>
          <t>Chargé d’affaires du bâtiment</t>
        </is>
      </c>
      <c r="L1072" s="63" t="inlineStr">
        <is>
          <t>13/04/2026</t>
        </is>
      </c>
      <c r="M1072" s="63" t="inlineStr">
        <is>
          <t>22257 (Commercialisation BTP) ; 22293 (Conduite travaux BTP) ; 22279 (Maîtrise d'oeuvre BTP)</t>
        </is>
      </c>
      <c r="N1072" s="68" t="inlineStr">
        <is>
          <t>NON</t>
        </is>
      </c>
      <c r="O1072" s="63" t="inlineStr"/>
    </row>
    <row r="1073" customFormat="1" s="3">
      <c r="A1073" s="45" t="n"/>
      <c r="B1073" s="46" t="inlineStr">
        <is>
          <t>22329</t>
        </is>
      </c>
      <c r="C1073" s="46">
        <f>LEFT(Tableau1[[#This Row],[Formacode]],3)</f>
        <v/>
      </c>
      <c r="D1073" s="47" t="n">
        <v>38550</v>
      </c>
      <c r="E1073" s="48">
        <f>"RNCP"&amp;D1073</f>
        <v/>
      </c>
      <c r="F1073" s="48" t="inlineStr">
        <is>
          <t>TP - Tailleur de pierre</t>
        </is>
      </c>
      <c r="G1073" s="49">
        <f>E1073&amp;" - "&amp;F1073</f>
        <v/>
      </c>
      <c r="H1073" s="36" t="inlineStr">
        <is>
          <t>RAS</t>
        </is>
      </c>
      <c r="I1073" s="45" t="inlineStr"/>
      <c r="J1073" s="45" t="inlineStr">
        <is>
          <t>RNCP38550</t>
        </is>
      </c>
      <c r="K1073" s="45" t="inlineStr">
        <is>
          <t>Tailleur de pierre</t>
        </is>
      </c>
      <c r="L1073" s="45" t="inlineStr">
        <is>
          <t>23/03/2029</t>
        </is>
      </c>
      <c r="M1073" s="45" t="inlineStr">
        <is>
          <t>45502 (Taille pierre) ; 22354 (Bâtiment gros oeuvre)</t>
        </is>
      </c>
      <c r="N1073" s="50" t="inlineStr">
        <is>
          <t>NON</t>
        </is>
      </c>
      <c r="O1073" s="45" t="inlineStr"/>
    </row>
    <row r="1074" customFormat="1" s="3">
      <c r="A1074" s="45" t="n"/>
      <c r="B1074" s="46" t="inlineStr">
        <is>
          <t>22329</t>
        </is>
      </c>
      <c r="C1074" s="46">
        <f>LEFT(Tableau1[[#This Row],[Formacode]],3)</f>
        <v/>
      </c>
      <c r="D1074" s="47" t="n">
        <v>38721</v>
      </c>
      <c r="E1074" s="48">
        <f>"RNCP"&amp;D1074</f>
        <v/>
      </c>
      <c r="F1074" s="48" t="inlineStr">
        <is>
          <t>TP - Chef de chantier gros œuvre</t>
        </is>
      </c>
      <c r="G1074" s="49">
        <f>E1074&amp;" - "&amp;F1074</f>
        <v/>
      </c>
      <c r="H1074" s="36" t="inlineStr">
        <is>
          <t>RAS</t>
        </is>
      </c>
      <c r="I1074" s="45" t="inlineStr"/>
      <c r="J1074" s="45" t="inlineStr">
        <is>
          <t>RNCP38721</t>
        </is>
      </c>
      <c r="K1074" s="45" t="inlineStr">
        <is>
          <t>Chef de chantier gros œuvre</t>
        </is>
      </c>
      <c r="L1074" s="45" t="inlineStr">
        <is>
          <t>20/04/2029</t>
        </is>
      </c>
      <c r="M1074" s="45" t="inlineStr">
        <is>
          <t>22294 (Conduite chantier BTP) ; 22354 (Bâtiment gros oeuvre)</t>
        </is>
      </c>
      <c r="N1074" s="50" t="inlineStr">
        <is>
          <t>NON</t>
        </is>
      </c>
      <c r="O1074" s="45" t="inlineStr"/>
    </row>
    <row r="1075" customFormat="1" s="3">
      <c r="A1075" s="45" t="n"/>
      <c r="B1075" s="46" t="inlineStr">
        <is>
          <t>22329</t>
        </is>
      </c>
      <c r="C1075" s="46">
        <f>LEFT(Tableau1[[#This Row],[Formacode]],3)</f>
        <v/>
      </c>
      <c r="D1075" s="47" t="n">
        <v>38746</v>
      </c>
      <c r="E1075" s="48">
        <f>"RNCP"&amp;D1075</f>
        <v/>
      </c>
      <c r="F1075" s="48" t="inlineStr">
        <is>
          <t>TP - Chef d'équipe gros œuvre</t>
        </is>
      </c>
      <c r="G1075" s="49">
        <f>E1075&amp;" - "&amp;F1075</f>
        <v/>
      </c>
      <c r="H1075" s="36" t="inlineStr">
        <is>
          <t>RAS</t>
        </is>
      </c>
      <c r="I1075" s="45" t="inlineStr"/>
      <c r="J1075" s="45" t="inlineStr">
        <is>
          <t>RNCP38746</t>
        </is>
      </c>
      <c r="K1075" s="45" t="inlineStr">
        <is>
          <t>Chef d'équipe gros œuvre</t>
        </is>
      </c>
      <c r="L1075" s="45" t="inlineStr">
        <is>
          <t>21/10/2029</t>
        </is>
      </c>
      <c r="M1075" s="45" t="inlineStr">
        <is>
          <t>22294 (Conduite chantier BTP) ; 22354 (Bâtiment gros oeuvre)</t>
        </is>
      </c>
      <c r="N1075" s="50" t="inlineStr">
        <is>
          <t>NON</t>
        </is>
      </c>
      <c r="O1075" s="45" t="inlineStr"/>
    </row>
    <row r="1076" customFormat="1" s="3">
      <c r="A1076" s="45" t="n"/>
      <c r="B1076" s="46" t="inlineStr">
        <is>
          <t>22329</t>
        </is>
      </c>
      <c r="C1076" s="46">
        <f>LEFT(Tableau1[[#This Row],[Formacode]],3)</f>
        <v/>
      </c>
      <c r="D1076" s="47" t="n">
        <v>39886</v>
      </c>
      <c r="E1076" s="48">
        <f>"RNCP"&amp;D1076</f>
        <v/>
      </c>
      <c r="F1076" s="48" t="inlineStr">
        <is>
          <t>Diagnostiqueur de produits, équipements, matériaux et déchets issus des bâtiments</t>
        </is>
      </c>
      <c r="G1076" s="49">
        <f>E1076&amp;" - "&amp;F1076</f>
        <v/>
      </c>
      <c r="H1076" s="36" t="inlineStr">
        <is>
          <t>RAS</t>
        </is>
      </c>
      <c r="I1076" s="45" t="inlineStr"/>
      <c r="J1076" s="45" t="inlineStr">
        <is>
          <t>RNCP39886</t>
        </is>
      </c>
      <c r="K1076" s="45" t="inlineStr">
        <is>
          <t>Diagnostiqueur de produits, équipements, matériaux et déchets issus des bâtiments</t>
        </is>
      </c>
      <c r="L1076" s="45" t="inlineStr">
        <is>
          <t>28/11/2027</t>
        </is>
      </c>
      <c r="M1076" s="45" t="inlineStr">
        <is>
          <t>12582 (Gestion déchet) ; 42101 (Diagnostic immobilier) ; 22329 (Démolition) ; 22485 (Rénovation bâtiment)</t>
        </is>
      </c>
      <c r="N1076" s="50" t="inlineStr">
        <is>
          <t>NON</t>
        </is>
      </c>
      <c r="O1076" s="45" t="inlineStr"/>
    </row>
    <row r="1077" customFormat="1" s="3">
      <c r="A1077" s="51" t="n"/>
      <c r="B1077" s="52" t="inlineStr">
        <is>
          <t>22329</t>
        </is>
      </c>
      <c r="C1077" s="52">
        <f>LEFT(Tableau1[[#This Row],[Formacode]],3)</f>
        <v/>
      </c>
      <c r="D1077" s="53" t="n">
        <v>40217</v>
      </c>
      <c r="E1077" s="54">
        <f>"RNCP"&amp;D1077</f>
        <v/>
      </c>
      <c r="F1077" s="54" t="inlineStr">
        <is>
          <t>TP - Conducteur de travaux du bâtiment et du génie civil</t>
        </is>
      </c>
      <c r="G1077" s="55">
        <f>E1077&amp;" - "&amp;F1077</f>
        <v/>
      </c>
      <c r="H1077" s="37" t="inlineStr">
        <is>
          <t>À vérifier</t>
        </is>
      </c>
      <c r="I1077" s="51" t="inlineStr">
        <is>
          <t>Échéance le 20/10/2026 (dans 94 j)</t>
        </is>
      </c>
      <c r="J1077" s="51" t="inlineStr">
        <is>
          <t>RNCP40217</t>
        </is>
      </c>
      <c r="K1077" s="51" t="inlineStr">
        <is>
          <t>Conducteur de travaux du bâtiment et du génie civil</t>
        </is>
      </c>
      <c r="L1077" s="51" t="inlineStr">
        <is>
          <t>20/10/2026</t>
        </is>
      </c>
      <c r="M1077" s="51" t="inlineStr">
        <is>
          <t>22293 (Conduite travaux BTP) ; 22054 (Travaux publics) ; 22354 (Bâtiment gros oeuvre)</t>
        </is>
      </c>
      <c r="N1077" s="62" t="inlineStr">
        <is>
          <t>NON</t>
        </is>
      </c>
      <c r="O1077" s="51" t="inlineStr"/>
    </row>
    <row r="1078" customFormat="1" s="3">
      <c r="A1078" s="45" t="n"/>
      <c r="B1078" s="46" t="inlineStr">
        <is>
          <t>22329</t>
        </is>
      </c>
      <c r="C1078" s="46">
        <f>LEFT(Tableau1[[#This Row],[Formacode]],3)</f>
        <v/>
      </c>
      <c r="D1078" s="47" t="n">
        <v>40567</v>
      </c>
      <c r="E1078" s="48">
        <f>"RNCP"&amp;D1078</f>
        <v/>
      </c>
      <c r="F1078" s="48" t="inlineStr">
        <is>
          <t>Diagnostiqueur de produits, équipements, matériaux et déchets issus du bâtiment</t>
        </is>
      </c>
      <c r="G1078" s="49">
        <f>E1078&amp;" - "&amp;F1078</f>
        <v/>
      </c>
      <c r="H1078" s="36" t="inlineStr">
        <is>
          <t>RAS</t>
        </is>
      </c>
      <c r="I1078" s="45" t="inlineStr"/>
      <c r="J1078" s="45" t="inlineStr">
        <is>
          <t>RNCP40567</t>
        </is>
      </c>
      <c r="K1078" s="45" t="inlineStr">
        <is>
          <t>Diagnostiqueur de produits, équipements, matériaux et déchets issus du bâtiment</t>
        </is>
      </c>
      <c r="L1078" s="45" t="inlineStr">
        <is>
          <t>30/04/2028</t>
        </is>
      </c>
      <c r="M1078" s="45" t="inlineStr">
        <is>
          <t>12592 (Gestion déchet industriel) ; 12533 (Economie circulaire) ; 22269 (Maîtrise d'ouvrage BTP)</t>
        </is>
      </c>
      <c r="N1078" s="50" t="inlineStr">
        <is>
          <t>NON</t>
        </is>
      </c>
      <c r="O1078" s="45" t="inlineStr"/>
    </row>
    <row r="1079" customFormat="1" s="3">
      <c r="A1079" s="45" t="n"/>
      <c r="B1079" s="46" t="inlineStr">
        <is>
          <t>22329</t>
        </is>
      </c>
      <c r="C1079" s="46">
        <f>LEFT(Tableau1[[#This Row],[Formacode]],3)</f>
        <v/>
      </c>
      <c r="D1079" s="47" t="n">
        <v>40671</v>
      </c>
      <c r="E1079" s="48">
        <f>"RNCP"&amp;D1079</f>
        <v/>
      </c>
      <c r="F1079" s="48" t="inlineStr">
        <is>
          <t>Diagnostiqueur produits, équipements, matériaux et déchets issus du bâtiment</t>
        </is>
      </c>
      <c r="G1079" s="49">
        <f>E1079&amp;" - "&amp;F1079</f>
        <v/>
      </c>
      <c r="H1079" s="36" t="inlineStr">
        <is>
          <t>RAS</t>
        </is>
      </c>
      <c r="I1079" s="45" t="inlineStr"/>
      <c r="J1079" s="45" t="inlineStr">
        <is>
          <t>RNCP40671</t>
        </is>
      </c>
      <c r="K1079" s="45" t="inlineStr">
        <is>
          <t>Diagnostiqueur produits, équipements, matériaux et déchets issus du bâtiment</t>
        </is>
      </c>
      <c r="L1079" s="45" t="inlineStr">
        <is>
          <t>23/05/2027</t>
        </is>
      </c>
      <c r="M1079" s="45" t="inlineStr">
        <is>
          <t>42101 (Diagnostic immobilier) ; 12582 (Gestion déchet) ; 22329 (Démolition)</t>
        </is>
      </c>
      <c r="N1079" s="50" t="inlineStr">
        <is>
          <t>NON</t>
        </is>
      </c>
      <c r="O1079" s="45" t="inlineStr"/>
    </row>
    <row r="1080" customFormat="1" s="3">
      <c r="A1080" s="45" t="n"/>
      <c r="B1080" s="46" t="inlineStr">
        <is>
          <t>22329</t>
        </is>
      </c>
      <c r="C1080" s="46">
        <f>LEFT(Tableau1[[#This Row],[Formacode]],3)</f>
        <v/>
      </c>
      <c r="D1080" s="47" t="n">
        <v>40678</v>
      </c>
      <c r="E1080" s="48">
        <f>"RNCP"&amp;D1080</f>
        <v/>
      </c>
      <c r="F1080" s="48" t="inlineStr">
        <is>
          <t>Diagnostiqueur produits, équipements, matériaux et déchets issus du bâtiment</t>
        </is>
      </c>
      <c r="G1080" s="49">
        <f>E1080&amp;" - "&amp;F1080</f>
        <v/>
      </c>
      <c r="H1080" s="36" t="inlineStr">
        <is>
          <t>RAS</t>
        </is>
      </c>
      <c r="I1080" s="45" t="inlineStr"/>
      <c r="J1080" s="45" t="inlineStr">
        <is>
          <t>RNCP40678</t>
        </is>
      </c>
      <c r="K1080" s="45" t="inlineStr">
        <is>
          <t>Diagnostiqueur produits, équipements, matériaux et déchets issus du bâtiment</t>
        </is>
      </c>
      <c r="L1080" s="45" t="inlineStr">
        <is>
          <t>23/05/2027</t>
        </is>
      </c>
      <c r="M1080" s="45" t="inlineStr">
        <is>
          <t>42101 (Diagnostic immobilier) ; 12582 (Gestion déchet) ; 22329 (Démolition)</t>
        </is>
      </c>
      <c r="N1080" s="50" t="inlineStr">
        <is>
          <t>NON</t>
        </is>
      </c>
      <c r="O1080" s="45" t="inlineStr"/>
    </row>
    <row r="1081" customFormat="1" s="3">
      <c r="A1081" s="63" t="n"/>
      <c r="B1081" s="64" t="inlineStr">
        <is>
          <t>22334</t>
        </is>
      </c>
      <c r="C1081" s="64">
        <f>LEFT(Tableau1[[#This Row],[Formacode]],3)</f>
        <v/>
      </c>
      <c r="D1081" s="65" t="n">
        <v>35309</v>
      </c>
      <c r="E1081" s="66">
        <f>"RNCP"&amp;D1081</f>
        <v/>
      </c>
      <c r="F1081" s="66" t="inlineStr">
        <is>
          <t>TP - Maçon</t>
        </is>
      </c>
      <c r="G1081" s="67">
        <f>E1081&amp;" - "&amp;F1081</f>
        <v/>
      </c>
      <c r="H1081" s="38" t="inlineStr">
        <is>
          <t>Expiré / remplacé</t>
        </is>
      </c>
      <c r="I1081" s="63" t="inlineStr">
        <is>
          <t>Fiche inactive — remplacée par RNCP41907 (Maçon)</t>
        </is>
      </c>
      <c r="J1081" s="63" t="inlineStr">
        <is>
          <t>RNCP41907</t>
        </is>
      </c>
      <c r="K1081" s="63" t="inlineStr">
        <is>
          <t>Maçon</t>
        </is>
      </c>
      <c r="L1081" s="63" t="inlineStr">
        <is>
          <t>22/02/2026</t>
        </is>
      </c>
      <c r="M1081" s="63" t="inlineStr">
        <is>
          <t>22334 (Maçonnerie)</t>
        </is>
      </c>
      <c r="N1081" s="68" t="inlineStr">
        <is>
          <t>NON</t>
        </is>
      </c>
      <c r="O1081" s="63" t="inlineStr"/>
    </row>
    <row r="1082" customFormat="1" s="3">
      <c r="A1082" s="63" t="n"/>
      <c r="B1082" s="64" t="inlineStr">
        <is>
          <t>22334</t>
        </is>
      </c>
      <c r="C1082" s="64">
        <f>LEFT(Tableau1[[#This Row],[Formacode]],3)</f>
        <v/>
      </c>
      <c r="D1082" s="65" t="n">
        <v>35312</v>
      </c>
      <c r="E1082" s="66">
        <f>"RNCP"&amp;D1082</f>
        <v/>
      </c>
      <c r="F1082" s="66" t="inlineStr">
        <is>
          <t>TP - Coffreur bancheur</t>
        </is>
      </c>
      <c r="G1082" s="67">
        <f>E1082&amp;" - "&amp;F1082</f>
        <v/>
      </c>
      <c r="H1082" s="38" t="inlineStr">
        <is>
          <t>Expiré / remplacé</t>
        </is>
      </c>
      <c r="I1082" s="63" t="inlineStr">
        <is>
          <t>Fiche inactive — remplacée par RNCP41905 (Coffreur bancheur)</t>
        </is>
      </c>
      <c r="J1082" s="63" t="inlineStr">
        <is>
          <t>RNCP41905</t>
        </is>
      </c>
      <c r="K1082" s="63" t="inlineStr">
        <is>
          <t>Coffreur bancheur</t>
        </is>
      </c>
      <c r="L1082" s="63" t="inlineStr">
        <is>
          <t>04/03/2026</t>
        </is>
      </c>
      <c r="M1082" s="63" t="inlineStr">
        <is>
          <t>22311 (Coffrage) ; 22395 (Construction béton)</t>
        </is>
      </c>
      <c r="N1082" s="68" t="inlineStr">
        <is>
          <t>NON</t>
        </is>
      </c>
      <c r="O1082" s="63" t="inlineStr"/>
    </row>
    <row r="1083" customFormat="1" s="3">
      <c r="A1083" s="63" t="n"/>
      <c r="B1083" s="64" t="inlineStr">
        <is>
          <t>22334</t>
        </is>
      </c>
      <c r="C1083" s="64">
        <f>LEFT(Tableau1[[#This Row],[Formacode]],3)</f>
        <v/>
      </c>
      <c r="D1083" s="65" t="n">
        <v>35503</v>
      </c>
      <c r="E1083" s="66">
        <f>"RNCP"&amp;D1083</f>
        <v/>
      </c>
      <c r="F1083" s="66" t="inlineStr">
        <is>
          <t>TP - Chargé d'affaires du bâtiment</t>
        </is>
      </c>
      <c r="G1083" s="67">
        <f>E1083&amp;" - "&amp;F1083</f>
        <v/>
      </c>
      <c r="H1083" s="38" t="inlineStr">
        <is>
          <t>Expiré / remplacé</t>
        </is>
      </c>
      <c r="I1083" s="63" t="inlineStr">
        <is>
          <t>Fiche inactive — remplacée par RNCP42032 (Chargé d’affaires du bâtiment)</t>
        </is>
      </c>
      <c r="J1083" s="63" t="inlineStr">
        <is>
          <t>RNCP42032</t>
        </is>
      </c>
      <c r="K1083" s="63" t="inlineStr">
        <is>
          <t>Chargé d’affaires du bâtiment</t>
        </is>
      </c>
      <c r="L1083" s="63" t="inlineStr">
        <is>
          <t>13/04/2026</t>
        </is>
      </c>
      <c r="M1083" s="63" t="inlineStr">
        <is>
          <t>22257 (Commercialisation BTP) ; 22293 (Conduite travaux BTP) ; 22279 (Maîtrise d'oeuvre BTP)</t>
        </is>
      </c>
      <c r="N1083" s="68" t="inlineStr">
        <is>
          <t>NON</t>
        </is>
      </c>
      <c r="O1083" s="63" t="inlineStr"/>
    </row>
    <row r="1084" customFormat="1" s="3">
      <c r="A1084" s="51" t="n"/>
      <c r="B1084" s="52" t="inlineStr">
        <is>
          <t>22334</t>
        </is>
      </c>
      <c r="C1084" s="52">
        <f>LEFT(Tableau1[[#This Row],[Formacode]],3)</f>
        <v/>
      </c>
      <c r="D1084" s="53" t="n">
        <v>35715</v>
      </c>
      <c r="E1084" s="54">
        <f>"RNCP"&amp;D1084</f>
        <v/>
      </c>
      <c r="F1084" s="54" t="inlineStr">
        <is>
          <t>CAP - Maçon</t>
        </is>
      </c>
      <c r="G1084" s="55">
        <f>E1084&amp;" - "&amp;F1084</f>
        <v/>
      </c>
      <c r="H1084" s="37" t="inlineStr">
        <is>
          <t>À vérifier</t>
        </is>
      </c>
      <c r="I1084" s="51" t="inlineStr">
        <is>
          <t>Successeur déjà publié : RNCP41830 (Maçon) — préparer la bascule de l'offre CPF | Échéance le 31/08/2026 (dans 44 j)</t>
        </is>
      </c>
      <c r="J1084" s="51" t="inlineStr">
        <is>
          <t>RNCP41830</t>
        </is>
      </c>
      <c r="K1084" s="51" t="inlineStr">
        <is>
          <t>Maçon</t>
        </is>
      </c>
      <c r="L1084" s="51" t="inlineStr">
        <is>
          <t>31/08/2026</t>
        </is>
      </c>
      <c r="M1084" s="51" t="inlineStr">
        <is>
          <t>22395 (Construction béton) ; 22334 (Maçonnerie)</t>
        </is>
      </c>
      <c r="N1084" s="62" t="inlineStr">
        <is>
          <t>NON</t>
        </is>
      </c>
      <c r="O1084" s="51" t="inlineStr"/>
    </row>
    <row r="1085" customFormat="1" s="3">
      <c r="A1085" s="45" t="n"/>
      <c r="B1085" s="46" t="inlineStr">
        <is>
          <t>22334</t>
        </is>
      </c>
      <c r="C1085" s="46">
        <f>LEFT(Tableau1[[#This Row],[Formacode]],3)</f>
        <v/>
      </c>
      <c r="D1085" s="47" t="n">
        <v>36506</v>
      </c>
      <c r="E1085" s="48">
        <f>"RNCP"&amp;D1085</f>
        <v/>
      </c>
      <c r="F1085" s="48" t="inlineStr">
        <is>
          <t>CQP Compagnon professionnel maçon du patrimoine</t>
        </is>
      </c>
      <c r="G1085" s="49">
        <f>E1085&amp;" - "&amp;F1085</f>
        <v/>
      </c>
      <c r="H1085" s="36" t="inlineStr">
        <is>
          <t>RAS</t>
        </is>
      </c>
      <c r="I1085" s="45" t="inlineStr"/>
      <c r="J1085" s="45" t="inlineStr">
        <is>
          <t>RNCP36506</t>
        </is>
      </c>
      <c r="K1085" s="45" t="inlineStr">
        <is>
          <t>CQP Compagnon professionnel maçon du patrimoine</t>
        </is>
      </c>
      <c r="L1085" s="45" t="inlineStr">
        <is>
          <t>01/06/2027</t>
        </is>
      </c>
      <c r="M1085" s="45" t="inlineStr">
        <is>
          <t>22335 (Maçonnerie bâti ancien) ; 22303 (Maçonnerie pierre)</t>
        </is>
      </c>
      <c r="N1085" s="50" t="inlineStr">
        <is>
          <t>NON</t>
        </is>
      </c>
      <c r="O1085" s="45" t="inlineStr"/>
    </row>
    <row r="1086" customFormat="1" s="3">
      <c r="A1086" s="45" t="n"/>
      <c r="B1086" s="46" t="inlineStr">
        <is>
          <t>22334</t>
        </is>
      </c>
      <c r="C1086" s="46">
        <f>LEFT(Tableau1[[#This Row],[Formacode]],3)</f>
        <v/>
      </c>
      <c r="D1086" s="47" t="n">
        <v>38229</v>
      </c>
      <c r="E1086" s="48">
        <f>"RNCP"&amp;D1086</f>
        <v/>
      </c>
      <c r="F1086" s="48" t="inlineStr">
        <is>
          <t>BAC PRO - Aménagement et finition du bâtiment</t>
        </is>
      </c>
      <c r="G1086" s="49">
        <f>E1086&amp;" - "&amp;F1086</f>
        <v/>
      </c>
      <c r="H1086" s="36" t="inlineStr">
        <is>
          <t>RAS</t>
        </is>
      </c>
      <c r="I1086" s="45" t="inlineStr"/>
      <c r="J1086" s="45" t="inlineStr">
        <is>
          <t>RNCP38229</t>
        </is>
      </c>
      <c r="K1086" s="45" t="inlineStr">
        <is>
          <t>Aménagement et finition du bâtiment</t>
        </is>
      </c>
      <c r="L1086" s="45" t="inlineStr">
        <is>
          <t>31/08/2028</t>
        </is>
      </c>
      <c r="M1086" s="45" t="inlineStr">
        <is>
          <t>22334 (Maçonnerie) ; 22420 (Isolation bâtiment) ; 22434 (Vitrerie miroiterie) ; 22442 (Revêtement sol mur)</t>
        </is>
      </c>
      <c r="N1086" s="50" t="inlineStr">
        <is>
          <t>NON</t>
        </is>
      </c>
      <c r="O1086" s="45" t="inlineStr"/>
    </row>
    <row r="1087" customFormat="1" s="3">
      <c r="A1087" s="45" t="n"/>
      <c r="B1087" s="46" t="inlineStr">
        <is>
          <t>22334</t>
        </is>
      </c>
      <c r="C1087" s="46">
        <f>LEFT(Tableau1[[#This Row],[Formacode]],3)</f>
        <v/>
      </c>
      <c r="D1087" s="47" t="n">
        <v>38303</v>
      </c>
      <c r="E1087" s="48">
        <f>"RNCP"&amp;D1087</f>
        <v/>
      </c>
      <c r="F1087" s="48" t="inlineStr">
        <is>
          <t>BP - Maçon</t>
        </is>
      </c>
      <c r="G1087" s="49">
        <f>E1087&amp;" - "&amp;F1087</f>
        <v/>
      </c>
      <c r="H1087" s="36" t="inlineStr">
        <is>
          <t>RAS</t>
        </is>
      </c>
      <c r="I1087" s="45" t="inlineStr"/>
      <c r="J1087" s="45" t="inlineStr">
        <is>
          <t>RNCP38303</t>
        </is>
      </c>
      <c r="K1087" s="45" t="inlineStr">
        <is>
          <t>Maçon</t>
        </is>
      </c>
      <c r="L1087" s="45" t="inlineStr">
        <is>
          <t>31/08/2028</t>
        </is>
      </c>
      <c r="M1087" s="45" t="inlineStr">
        <is>
          <t>22395 (Construction béton) ; 22334 (Maçonnerie)</t>
        </is>
      </c>
      <c r="N1087" s="50" t="inlineStr">
        <is>
          <t>NON</t>
        </is>
      </c>
      <c r="O1087" s="45" t="inlineStr"/>
    </row>
    <row r="1088" customFormat="1" s="3">
      <c r="A1088" s="45" t="n"/>
      <c r="B1088" s="46" t="inlineStr">
        <is>
          <t>22334</t>
        </is>
      </c>
      <c r="C1088" s="46">
        <f>LEFT(Tableau1[[#This Row],[Formacode]],3)</f>
        <v/>
      </c>
      <c r="D1088" s="47" t="n">
        <v>38550</v>
      </c>
      <c r="E1088" s="48">
        <f>"RNCP"&amp;D1088</f>
        <v/>
      </c>
      <c r="F1088" s="48" t="inlineStr">
        <is>
          <t>TP - Tailleur de pierre</t>
        </is>
      </c>
      <c r="G1088" s="49">
        <f>E1088&amp;" - "&amp;F1088</f>
        <v/>
      </c>
      <c r="H1088" s="36" t="inlineStr">
        <is>
          <t>RAS</t>
        </is>
      </c>
      <c r="I1088" s="45" t="inlineStr"/>
      <c r="J1088" s="45" t="inlineStr">
        <is>
          <t>RNCP38550</t>
        </is>
      </c>
      <c r="K1088" s="45" t="inlineStr">
        <is>
          <t>Tailleur de pierre</t>
        </is>
      </c>
      <c r="L1088" s="45" t="inlineStr">
        <is>
          <t>23/03/2029</t>
        </is>
      </c>
      <c r="M1088" s="45" t="inlineStr">
        <is>
          <t>45502 (Taille pierre) ; 22354 (Bâtiment gros oeuvre)</t>
        </is>
      </c>
      <c r="N1088" s="50" t="inlineStr">
        <is>
          <t>NON</t>
        </is>
      </c>
      <c r="O1088" s="45" t="inlineStr"/>
    </row>
    <row r="1089" customFormat="1" s="3">
      <c r="A1089" s="51" t="n"/>
      <c r="B1089" s="52" t="inlineStr">
        <is>
          <t>22334</t>
        </is>
      </c>
      <c r="C1089" s="52">
        <f>LEFT(Tableau1[[#This Row],[Formacode]],3)</f>
        <v/>
      </c>
      <c r="D1089" s="53" t="n">
        <v>38711</v>
      </c>
      <c r="E1089" s="54">
        <f>"RNCP"&amp;D1089</f>
        <v/>
      </c>
      <c r="F1089" s="54" t="inlineStr">
        <is>
          <t>CS - Peinture décoration</t>
        </is>
      </c>
      <c r="G1089" s="55">
        <f>E1089&amp;" - "&amp;F1089</f>
        <v/>
      </c>
      <c r="H1089" s="37" t="inlineStr">
        <is>
          <t>À vérifier</t>
        </is>
      </c>
      <c r="I1089" s="51" t="inlineStr">
        <is>
          <t>Successeur déjà publié : RNCP41753 (Peintre décorateur créateur d'ambiances) — préparer la bascule de l'offre CPF | Échéance le 31/12/2026 (dans 166 j)</t>
        </is>
      </c>
      <c r="J1089" s="51" t="inlineStr">
        <is>
          <t>RNCP41753</t>
        </is>
      </c>
      <c r="K1089" s="51" t="inlineStr">
        <is>
          <t>Peintre décorateur créateur d'ambiances</t>
        </is>
      </c>
      <c r="L1089" s="51" t="inlineStr">
        <is>
          <t>31/12/2026</t>
        </is>
      </c>
      <c r="M1089" s="51" t="inlineStr">
        <is>
          <t>22301 (Enduit maçonnerie) ; 45501 (Peinture décorative)</t>
        </is>
      </c>
      <c r="N1089" s="62" t="inlineStr">
        <is>
          <t>NON</t>
        </is>
      </c>
      <c r="O1089" s="51" t="inlineStr"/>
    </row>
    <row r="1090" customFormat="1" s="3">
      <c r="A1090" s="45" t="n"/>
      <c r="B1090" s="46" t="inlineStr">
        <is>
          <t>22334</t>
        </is>
      </c>
      <c r="C1090" s="46">
        <f>LEFT(Tableau1[[#This Row],[Formacode]],3)</f>
        <v/>
      </c>
      <c r="D1090" s="47" t="n">
        <v>38721</v>
      </c>
      <c r="E1090" s="48">
        <f>"RNCP"&amp;D1090</f>
        <v/>
      </c>
      <c r="F1090" s="48" t="inlineStr">
        <is>
          <t>TP - Chef de chantier gros œuvre</t>
        </is>
      </c>
      <c r="G1090" s="49">
        <f>E1090&amp;" - "&amp;F1090</f>
        <v/>
      </c>
      <c r="H1090" s="36" t="inlineStr">
        <is>
          <t>RAS</t>
        </is>
      </c>
      <c r="I1090" s="45" t="inlineStr"/>
      <c r="J1090" s="45" t="inlineStr">
        <is>
          <t>RNCP38721</t>
        </is>
      </c>
      <c r="K1090" s="45" t="inlineStr">
        <is>
          <t>Chef de chantier gros œuvre</t>
        </is>
      </c>
      <c r="L1090" s="45" t="inlineStr">
        <is>
          <t>20/04/2029</t>
        </is>
      </c>
      <c r="M1090" s="45" t="inlineStr">
        <is>
          <t>22294 (Conduite chantier BTP) ; 22354 (Bâtiment gros oeuvre)</t>
        </is>
      </c>
      <c r="N1090" s="50" t="inlineStr">
        <is>
          <t>NON</t>
        </is>
      </c>
      <c r="O1090" s="45" t="inlineStr"/>
    </row>
    <row r="1091" customFormat="1" s="3">
      <c r="A1091" s="45" t="n"/>
      <c r="B1091" s="46" t="inlineStr">
        <is>
          <t>22334</t>
        </is>
      </c>
      <c r="C1091" s="46">
        <f>LEFT(Tableau1[[#This Row],[Formacode]],3)</f>
        <v/>
      </c>
      <c r="D1091" s="47" t="n">
        <v>38746</v>
      </c>
      <c r="E1091" s="48">
        <f>"RNCP"&amp;D1091</f>
        <v/>
      </c>
      <c r="F1091" s="48" t="inlineStr">
        <is>
          <t>TP - Chef d'équipe gros œuvre</t>
        </is>
      </c>
      <c r="G1091" s="49">
        <f>E1091&amp;" - "&amp;F1091</f>
        <v/>
      </c>
      <c r="H1091" s="36" t="inlineStr">
        <is>
          <t>RAS</t>
        </is>
      </c>
      <c r="I1091" s="45" t="inlineStr"/>
      <c r="J1091" s="45" t="inlineStr">
        <is>
          <t>RNCP38746</t>
        </is>
      </c>
      <c r="K1091" s="45" t="inlineStr">
        <is>
          <t>Chef d'équipe gros œuvre</t>
        </is>
      </c>
      <c r="L1091" s="45" t="inlineStr">
        <is>
          <t>21/10/2029</t>
        </is>
      </c>
      <c r="M1091" s="45" t="inlineStr">
        <is>
          <t>22294 (Conduite chantier BTP) ; 22354 (Bâtiment gros oeuvre)</t>
        </is>
      </c>
      <c r="N1091" s="50" t="inlineStr">
        <is>
          <t>NON</t>
        </is>
      </c>
      <c r="O1091" s="45" t="inlineStr"/>
    </row>
    <row r="1092" customFormat="1" s="3">
      <c r="A1092" s="45" t="n"/>
      <c r="B1092" s="46" t="inlineStr">
        <is>
          <t>22334</t>
        </is>
      </c>
      <c r="C1092" s="46">
        <f>LEFT(Tableau1[[#This Row],[Formacode]],3)</f>
        <v/>
      </c>
      <c r="D1092" s="47" t="n">
        <v>39178</v>
      </c>
      <c r="E1092" s="48">
        <f>"RNCP"&amp;D1092</f>
        <v/>
      </c>
      <c r="F1092" s="48" t="inlineStr">
        <is>
          <t>TP - Maçon du bâti ancien</t>
        </is>
      </c>
      <c r="G1092" s="49">
        <f>E1092&amp;" - "&amp;F1092</f>
        <v/>
      </c>
      <c r="H1092" s="36" t="inlineStr">
        <is>
          <t>RAS</t>
        </is>
      </c>
      <c r="I1092" s="45" t="inlineStr"/>
      <c r="J1092" s="45" t="inlineStr">
        <is>
          <t>RNCP39178</t>
        </is>
      </c>
      <c r="K1092" s="45" t="inlineStr">
        <is>
          <t>Maçon du bâti ancien</t>
        </is>
      </c>
      <c r="L1092" s="45" t="inlineStr">
        <is>
          <t>19/10/2029</t>
        </is>
      </c>
      <c r="M1092" s="45" t="inlineStr">
        <is>
          <t>22335 (Maçonnerie bâti ancien) ; 22311 (Coffrage) ; 22303 (Maçonnerie pierre) ; 22274 (Chantier BTP)</t>
        </is>
      </c>
      <c r="N1092" s="50" t="inlineStr">
        <is>
          <t>NON</t>
        </is>
      </c>
      <c r="O1092" s="45" t="inlineStr"/>
    </row>
    <row r="1093" customFormat="1" s="3">
      <c r="A1093" s="51" t="n"/>
      <c r="B1093" s="52" t="inlineStr">
        <is>
          <t>22334</t>
        </is>
      </c>
      <c r="C1093" s="52">
        <f>LEFT(Tableau1[[#This Row],[Formacode]],3)</f>
        <v/>
      </c>
      <c r="D1093" s="53" t="n">
        <v>40217</v>
      </c>
      <c r="E1093" s="54">
        <f>"RNCP"&amp;D1093</f>
        <v/>
      </c>
      <c r="F1093" s="54" t="inlineStr">
        <is>
          <t>TP - Conducteur de travaux du bâtiment et du génie civil</t>
        </is>
      </c>
      <c r="G1093" s="55">
        <f>E1093&amp;" - "&amp;F1093</f>
        <v/>
      </c>
      <c r="H1093" s="37" t="inlineStr">
        <is>
          <t>À vérifier</t>
        </is>
      </c>
      <c r="I1093" s="51" t="inlineStr">
        <is>
          <t>Échéance le 20/10/2026 (dans 94 j)</t>
        </is>
      </c>
      <c r="J1093" s="51" t="inlineStr">
        <is>
          <t>RNCP40217</t>
        </is>
      </c>
      <c r="K1093" s="51" t="inlineStr">
        <is>
          <t>Conducteur de travaux du bâtiment et du génie civil</t>
        </is>
      </c>
      <c r="L1093" s="51" t="inlineStr">
        <is>
          <t>20/10/2026</t>
        </is>
      </c>
      <c r="M1093" s="51" t="inlineStr">
        <is>
          <t>22293 (Conduite travaux BTP) ; 22054 (Travaux publics) ; 22354 (Bâtiment gros oeuvre)</t>
        </is>
      </c>
      <c r="N1093" s="62" t="inlineStr">
        <is>
          <t>NON</t>
        </is>
      </c>
      <c r="O1093" s="51" t="inlineStr"/>
    </row>
    <row r="1094" ht="28.8" customFormat="1" customHeight="1" s="3">
      <c r="A1094" s="45" t="n"/>
      <c r="B1094" s="46" t="inlineStr">
        <is>
          <t>22334</t>
        </is>
      </c>
      <c r="C1094" s="46">
        <f>LEFT(Tableau1[[#This Row],[Formacode]],3)</f>
        <v/>
      </c>
      <c r="D1094" s="47" t="n">
        <v>41014</v>
      </c>
      <c r="E1094" s="48">
        <f>"RNCP"&amp;D1094</f>
        <v/>
      </c>
      <c r="F1094" s="48" t="inlineStr">
        <is>
          <t>BAC PRO - Interventions sur le patrimoine bâti - Options maçonnerie, charpente, couverture</t>
        </is>
      </c>
      <c r="G1094" s="49">
        <f>E1094&amp;" - "&amp;F1094</f>
        <v/>
      </c>
      <c r="H1094" s="36" t="inlineStr">
        <is>
          <t>RAS</t>
        </is>
      </c>
      <c r="I1094" s="45" t="inlineStr"/>
      <c r="J1094" s="45" t="inlineStr">
        <is>
          <t>RNCP41014</t>
        </is>
      </c>
      <c r="K1094" s="45" t="inlineStr">
        <is>
          <t>Interventions sur le patrimoine bâti - Options maçonnerie, charpente, couverture</t>
        </is>
      </c>
      <c r="L1094" s="45" t="inlineStr">
        <is>
          <t>31/08/2028</t>
        </is>
      </c>
      <c r="M1094" s="45" t="inlineStr">
        <is>
          <t>22485 (Rénovation bâtiment) ; 22334 (Maçonnerie) ; 22437 (Couverture) ; 22312 (Charpente)</t>
        </is>
      </c>
      <c r="N1094" s="50" t="inlineStr">
        <is>
          <t>NON</t>
        </is>
      </c>
      <c r="O1094" s="45" t="inlineStr"/>
    </row>
    <row r="1095" customFormat="1" s="3">
      <c r="A1095" s="63" t="n"/>
      <c r="B1095" s="64" t="inlineStr">
        <is>
          <t>22339</t>
        </is>
      </c>
      <c r="C1095" s="64">
        <f>LEFT(Tableau1[[#This Row],[Formacode]],3)</f>
        <v/>
      </c>
      <c r="D1095" s="65" t="n">
        <v>35503</v>
      </c>
      <c r="E1095" s="66">
        <f>"RNCP"&amp;D1095</f>
        <v/>
      </c>
      <c r="F1095" s="66" t="inlineStr">
        <is>
          <t>TP - Chargé d'affaires du bâtiment</t>
        </is>
      </c>
      <c r="G1095" s="67">
        <f>E1095&amp;" - "&amp;F1095</f>
        <v/>
      </c>
      <c r="H1095" s="38" t="inlineStr">
        <is>
          <t>Expiré / remplacé</t>
        </is>
      </c>
      <c r="I1095" s="63" t="inlineStr">
        <is>
          <t>Fiche inactive — remplacée par RNCP42032 (Chargé d’affaires du bâtiment)</t>
        </is>
      </c>
      <c r="J1095" s="63" t="inlineStr">
        <is>
          <t>RNCP42032</t>
        </is>
      </c>
      <c r="K1095" s="63" t="inlineStr">
        <is>
          <t>Chargé d’affaires du bâtiment</t>
        </is>
      </c>
      <c r="L1095" s="63" t="inlineStr">
        <is>
          <t>13/04/2026</t>
        </is>
      </c>
      <c r="M1095" s="63" t="inlineStr">
        <is>
          <t>22257 (Commercialisation BTP) ; 22293 (Conduite travaux BTP) ; 22279 (Maîtrise d'oeuvre BTP)</t>
        </is>
      </c>
      <c r="N1095" s="68" t="inlineStr">
        <is>
          <t>NON</t>
        </is>
      </c>
      <c r="O1095" s="63" t="inlineStr"/>
    </row>
    <row r="1096" customFormat="1" s="3">
      <c r="A1096" s="45" t="n"/>
      <c r="B1096" s="46" t="inlineStr">
        <is>
          <t>22339</t>
        </is>
      </c>
      <c r="C1096" s="46">
        <f>LEFT(Tableau1[[#This Row],[Formacode]],3)</f>
        <v/>
      </c>
      <c r="D1096" s="47" t="n">
        <v>38550</v>
      </c>
      <c r="E1096" s="48">
        <f>"RNCP"&amp;D1096</f>
        <v/>
      </c>
      <c r="F1096" s="48" t="inlineStr">
        <is>
          <t>TP - Tailleur de pierre</t>
        </is>
      </c>
      <c r="G1096" s="49">
        <f>E1096&amp;" - "&amp;F1096</f>
        <v/>
      </c>
      <c r="H1096" s="36" t="inlineStr">
        <is>
          <t>RAS</t>
        </is>
      </c>
      <c r="I1096" s="45" t="inlineStr"/>
      <c r="J1096" s="45" t="inlineStr">
        <is>
          <t>RNCP38550</t>
        </is>
      </c>
      <c r="K1096" s="45" t="inlineStr">
        <is>
          <t>Tailleur de pierre</t>
        </is>
      </c>
      <c r="L1096" s="45" t="inlineStr">
        <is>
          <t>23/03/2029</t>
        </is>
      </c>
      <c r="M1096" s="45" t="inlineStr">
        <is>
          <t>45502 (Taille pierre) ; 22354 (Bâtiment gros oeuvre)</t>
        </is>
      </c>
      <c r="N1096" s="50" t="inlineStr">
        <is>
          <t>NON</t>
        </is>
      </c>
      <c r="O1096" s="45" t="inlineStr"/>
    </row>
    <row r="1097" customFormat="1" s="3">
      <c r="A1097" s="45" t="n"/>
      <c r="B1097" s="46" t="inlineStr">
        <is>
          <t>22339</t>
        </is>
      </c>
      <c r="C1097" s="46">
        <f>LEFT(Tableau1[[#This Row],[Formacode]],3)</f>
        <v/>
      </c>
      <c r="D1097" s="47" t="n">
        <v>38721</v>
      </c>
      <c r="E1097" s="48">
        <f>"RNCP"&amp;D1097</f>
        <v/>
      </c>
      <c r="F1097" s="48" t="inlineStr">
        <is>
          <t>TP - Chef de chantier gros œuvre</t>
        </is>
      </c>
      <c r="G1097" s="49">
        <f>E1097&amp;" - "&amp;F1097</f>
        <v/>
      </c>
      <c r="H1097" s="36" t="inlineStr">
        <is>
          <t>RAS</t>
        </is>
      </c>
      <c r="I1097" s="45" t="inlineStr"/>
      <c r="J1097" s="45" t="inlineStr">
        <is>
          <t>RNCP38721</t>
        </is>
      </c>
      <c r="K1097" s="45" t="inlineStr">
        <is>
          <t>Chef de chantier gros œuvre</t>
        </is>
      </c>
      <c r="L1097" s="45" t="inlineStr">
        <is>
          <t>20/04/2029</t>
        </is>
      </c>
      <c r="M1097" s="45" t="inlineStr">
        <is>
          <t>22294 (Conduite chantier BTP) ; 22354 (Bâtiment gros oeuvre)</t>
        </is>
      </c>
      <c r="N1097" s="50" t="inlineStr">
        <is>
          <t>NON</t>
        </is>
      </c>
      <c r="O1097" s="45" t="inlineStr"/>
    </row>
    <row r="1098" customFormat="1" s="3">
      <c r="A1098" s="45" t="n"/>
      <c r="B1098" s="46" t="inlineStr">
        <is>
          <t>22339</t>
        </is>
      </c>
      <c r="C1098" s="46">
        <f>LEFT(Tableau1[[#This Row],[Formacode]],3)</f>
        <v/>
      </c>
      <c r="D1098" s="47" t="n">
        <v>38746</v>
      </c>
      <c r="E1098" s="48">
        <f>"RNCP"&amp;D1098</f>
        <v/>
      </c>
      <c r="F1098" s="48" t="inlineStr">
        <is>
          <t>TP - Chef d'équipe gros œuvre</t>
        </is>
      </c>
      <c r="G1098" s="49">
        <f>E1098&amp;" - "&amp;F1098</f>
        <v/>
      </c>
      <c r="H1098" s="36" t="inlineStr">
        <is>
          <t>RAS</t>
        </is>
      </c>
      <c r="I1098" s="45" t="inlineStr"/>
      <c r="J1098" s="45" t="inlineStr">
        <is>
          <t>RNCP38746</t>
        </is>
      </c>
      <c r="K1098" s="45" t="inlineStr">
        <is>
          <t>Chef d'équipe gros œuvre</t>
        </is>
      </c>
      <c r="L1098" s="45" t="inlineStr">
        <is>
          <t>21/10/2029</t>
        </is>
      </c>
      <c r="M1098" s="45" t="inlineStr">
        <is>
          <t>22294 (Conduite chantier BTP) ; 22354 (Bâtiment gros oeuvre)</t>
        </is>
      </c>
      <c r="N1098" s="50" t="inlineStr">
        <is>
          <t>NON</t>
        </is>
      </c>
      <c r="O1098" s="45" t="inlineStr"/>
    </row>
    <row r="1099" customFormat="1" s="3">
      <c r="A1099" s="51" t="n"/>
      <c r="B1099" s="52" t="inlineStr">
        <is>
          <t>22339</t>
        </is>
      </c>
      <c r="C1099" s="52">
        <f>LEFT(Tableau1[[#This Row],[Formacode]],3)</f>
        <v/>
      </c>
      <c r="D1099" s="53" t="n">
        <v>40217</v>
      </c>
      <c r="E1099" s="54">
        <f>"RNCP"&amp;D1099</f>
        <v/>
      </c>
      <c r="F1099" s="54" t="inlineStr">
        <is>
          <t>TP - Conducteur de travaux du bâtiment et du génie civil</t>
        </is>
      </c>
      <c r="G1099" s="55">
        <f>E1099&amp;" - "&amp;F1099</f>
        <v/>
      </c>
      <c r="H1099" s="37" t="inlineStr">
        <is>
          <t>À vérifier</t>
        </is>
      </c>
      <c r="I1099" s="51" t="inlineStr">
        <is>
          <t>Échéance le 20/10/2026 (dans 94 j)</t>
        </is>
      </c>
      <c r="J1099" s="51" t="inlineStr">
        <is>
          <t>RNCP40217</t>
        </is>
      </c>
      <c r="K1099" s="51" t="inlineStr">
        <is>
          <t>Conducteur de travaux du bâtiment et du génie civil</t>
        </is>
      </c>
      <c r="L1099" s="51" t="inlineStr">
        <is>
          <t>20/10/2026</t>
        </is>
      </c>
      <c r="M1099" s="51" t="inlineStr">
        <is>
          <t>22293 (Conduite travaux BTP) ; 22054 (Travaux publics) ; 22354 (Bâtiment gros oeuvre)</t>
        </is>
      </c>
      <c r="N1099" s="62" t="inlineStr">
        <is>
          <t>NON</t>
        </is>
      </c>
      <c r="O1099" s="51" t="inlineStr"/>
    </row>
    <row r="1100" customFormat="1" s="3">
      <c r="A1100" s="63" t="n"/>
      <c r="B1100" s="64" t="inlineStr">
        <is>
          <t>22348</t>
        </is>
      </c>
      <c r="C1100" s="64">
        <f>LEFT(Tableau1[[#This Row],[Formacode]],3)</f>
        <v/>
      </c>
      <c r="D1100" s="65" t="n">
        <v>35503</v>
      </c>
      <c r="E1100" s="66">
        <f>"RNCP"&amp;D1100</f>
        <v/>
      </c>
      <c r="F1100" s="66" t="inlineStr">
        <is>
          <t>TP - Chargé d'affaires du bâtiment</t>
        </is>
      </c>
      <c r="G1100" s="67">
        <f>E1100&amp;" - "&amp;F1100</f>
        <v/>
      </c>
      <c r="H1100" s="38" t="inlineStr">
        <is>
          <t>Expiré / remplacé</t>
        </is>
      </c>
      <c r="I1100" s="63" t="inlineStr">
        <is>
          <t>Fiche inactive — remplacée par RNCP42032 (Chargé d’affaires du bâtiment)</t>
        </is>
      </c>
      <c r="J1100" s="63" t="inlineStr">
        <is>
          <t>RNCP42032</t>
        </is>
      </c>
      <c r="K1100" s="63" t="inlineStr">
        <is>
          <t>Chargé d’affaires du bâtiment</t>
        </is>
      </c>
      <c r="L1100" s="63" t="inlineStr">
        <is>
          <t>13/04/2026</t>
        </is>
      </c>
      <c r="M1100" s="63" t="inlineStr">
        <is>
          <t>22257 (Commercialisation BTP) ; 22293 (Conduite travaux BTP) ; 22279 (Maîtrise d'oeuvre BTP)</t>
        </is>
      </c>
      <c r="N1100" s="68" t="inlineStr">
        <is>
          <t>NON</t>
        </is>
      </c>
      <c r="O1100" s="63" t="inlineStr"/>
    </row>
    <row r="1101" customFormat="1" s="3">
      <c r="A1101" s="45" t="n"/>
      <c r="B1101" s="46" t="inlineStr">
        <is>
          <t>22348</t>
        </is>
      </c>
      <c r="C1101" s="46">
        <f>LEFT(Tableau1[[#This Row],[Formacode]],3)</f>
        <v/>
      </c>
      <c r="D1101" s="47" t="n">
        <v>38550</v>
      </c>
      <c r="E1101" s="48">
        <f>"RNCP"&amp;D1101</f>
        <v/>
      </c>
      <c r="F1101" s="48" t="inlineStr">
        <is>
          <t>TP - Tailleur de pierre</t>
        </is>
      </c>
      <c r="G1101" s="49">
        <f>E1101&amp;" - "&amp;F1101</f>
        <v/>
      </c>
      <c r="H1101" s="36" t="inlineStr">
        <is>
          <t>RAS</t>
        </is>
      </c>
      <c r="I1101" s="45" t="inlineStr"/>
      <c r="J1101" s="45" t="inlineStr">
        <is>
          <t>RNCP38550</t>
        </is>
      </c>
      <c r="K1101" s="45" t="inlineStr">
        <is>
          <t>Tailleur de pierre</t>
        </is>
      </c>
      <c r="L1101" s="45" t="inlineStr">
        <is>
          <t>23/03/2029</t>
        </is>
      </c>
      <c r="M1101" s="45" t="inlineStr">
        <is>
          <t>45502 (Taille pierre) ; 22354 (Bâtiment gros oeuvre)</t>
        </is>
      </c>
      <c r="N1101" s="50" t="inlineStr">
        <is>
          <t>NON</t>
        </is>
      </c>
      <c r="O1101" s="45" t="inlineStr"/>
    </row>
    <row r="1102" customFormat="1" s="3">
      <c r="A1102" s="45" t="n"/>
      <c r="B1102" s="46" t="inlineStr">
        <is>
          <t>22348</t>
        </is>
      </c>
      <c r="C1102" s="46">
        <f>LEFT(Tableau1[[#This Row],[Formacode]],3)</f>
        <v/>
      </c>
      <c r="D1102" s="47" t="n">
        <v>38721</v>
      </c>
      <c r="E1102" s="48">
        <f>"RNCP"&amp;D1102</f>
        <v/>
      </c>
      <c r="F1102" s="48" t="inlineStr">
        <is>
          <t>TP - Chef de chantier gros œuvre</t>
        </is>
      </c>
      <c r="G1102" s="49">
        <f>E1102&amp;" - "&amp;F1102</f>
        <v/>
      </c>
      <c r="H1102" s="36" t="inlineStr">
        <is>
          <t>RAS</t>
        </is>
      </c>
      <c r="I1102" s="45" t="inlineStr"/>
      <c r="J1102" s="45" t="inlineStr">
        <is>
          <t>RNCP38721</t>
        </is>
      </c>
      <c r="K1102" s="45" t="inlineStr">
        <is>
          <t>Chef de chantier gros œuvre</t>
        </is>
      </c>
      <c r="L1102" s="45" t="inlineStr">
        <is>
          <t>20/04/2029</t>
        </is>
      </c>
      <c r="M1102" s="45" t="inlineStr">
        <is>
          <t>22294 (Conduite chantier BTP) ; 22354 (Bâtiment gros oeuvre)</t>
        </is>
      </c>
      <c r="N1102" s="50" t="inlineStr">
        <is>
          <t>NON</t>
        </is>
      </c>
      <c r="O1102" s="45" t="inlineStr"/>
    </row>
    <row r="1103" customFormat="1" s="3">
      <c r="A1103" s="45" t="n"/>
      <c r="B1103" s="46" t="inlineStr">
        <is>
          <t>22348</t>
        </is>
      </c>
      <c r="C1103" s="46">
        <f>LEFT(Tableau1[[#This Row],[Formacode]],3)</f>
        <v/>
      </c>
      <c r="D1103" s="47" t="n">
        <v>38746</v>
      </c>
      <c r="E1103" s="48">
        <f>"RNCP"&amp;D1103</f>
        <v/>
      </c>
      <c r="F1103" s="48" t="inlineStr">
        <is>
          <t>TP - Chef d'équipe gros œuvre</t>
        </is>
      </c>
      <c r="G1103" s="49">
        <f>E1103&amp;" - "&amp;F1103</f>
        <v/>
      </c>
      <c r="H1103" s="36" t="inlineStr">
        <is>
          <t>RAS</t>
        </is>
      </c>
      <c r="I1103" s="45" t="inlineStr"/>
      <c r="J1103" s="45" t="inlineStr">
        <is>
          <t>RNCP38746</t>
        </is>
      </c>
      <c r="K1103" s="45" t="inlineStr">
        <is>
          <t>Chef d'équipe gros œuvre</t>
        </is>
      </c>
      <c r="L1103" s="45" t="inlineStr">
        <is>
          <t>21/10/2029</t>
        </is>
      </c>
      <c r="M1103" s="45" t="inlineStr">
        <is>
          <t>22294 (Conduite chantier BTP) ; 22354 (Bâtiment gros oeuvre)</t>
        </is>
      </c>
      <c r="N1103" s="50" t="inlineStr">
        <is>
          <t>NON</t>
        </is>
      </c>
      <c r="O1103" s="45" t="inlineStr"/>
    </row>
    <row r="1104" customFormat="1" s="3">
      <c r="A1104" s="51" t="n"/>
      <c r="B1104" s="52" t="inlineStr">
        <is>
          <t>22348</t>
        </is>
      </c>
      <c r="C1104" s="52">
        <f>LEFT(Tableau1[[#This Row],[Formacode]],3)</f>
        <v/>
      </c>
      <c r="D1104" s="53" t="n">
        <v>40217</v>
      </c>
      <c r="E1104" s="54">
        <f>"RNCP"&amp;D1104</f>
        <v/>
      </c>
      <c r="F1104" s="54" t="inlineStr">
        <is>
          <t>TP - Conducteur de travaux du bâtiment et du génie civil</t>
        </is>
      </c>
      <c r="G1104" s="55">
        <f>E1104&amp;" - "&amp;F1104</f>
        <v/>
      </c>
      <c r="H1104" s="37" t="inlineStr">
        <is>
          <t>À vérifier</t>
        </is>
      </c>
      <c r="I1104" s="51" t="inlineStr">
        <is>
          <t>Échéance le 20/10/2026 (dans 94 j)</t>
        </is>
      </c>
      <c r="J1104" s="51" t="inlineStr">
        <is>
          <t>RNCP40217</t>
        </is>
      </c>
      <c r="K1104" s="51" t="inlineStr">
        <is>
          <t>Conducteur de travaux du bâtiment et du génie civil</t>
        </is>
      </c>
      <c r="L1104" s="51" t="inlineStr">
        <is>
          <t>20/10/2026</t>
        </is>
      </c>
      <c r="M1104" s="51" t="inlineStr">
        <is>
          <t>22293 (Conduite travaux BTP) ; 22054 (Travaux publics) ; 22354 (Bâtiment gros oeuvre)</t>
        </is>
      </c>
      <c r="N1104" s="62" t="inlineStr">
        <is>
          <t>NON</t>
        </is>
      </c>
      <c r="O1104" s="51" t="inlineStr"/>
    </row>
    <row r="1105" customFormat="1" s="3">
      <c r="A1105" s="63" t="n"/>
      <c r="B1105" s="64" t="inlineStr">
        <is>
          <t>22357</t>
        </is>
      </c>
      <c r="C1105" s="64">
        <f>LEFT(Tableau1[[#This Row],[Formacode]],3)</f>
        <v/>
      </c>
      <c r="D1105" s="65" t="n">
        <v>35503</v>
      </c>
      <c r="E1105" s="66">
        <f>"RNCP"&amp;D1105</f>
        <v/>
      </c>
      <c r="F1105" s="66" t="inlineStr">
        <is>
          <t>TP - Chargé d'affaires du bâtiment</t>
        </is>
      </c>
      <c r="G1105" s="67">
        <f>E1105&amp;" - "&amp;F1105</f>
        <v/>
      </c>
      <c r="H1105" s="38" t="inlineStr">
        <is>
          <t>Expiré / remplacé</t>
        </is>
      </c>
      <c r="I1105" s="63" t="inlineStr">
        <is>
          <t>Fiche inactive — remplacée par RNCP42032 (Chargé d’affaires du bâtiment)</t>
        </is>
      </c>
      <c r="J1105" s="63" t="inlineStr">
        <is>
          <t>RNCP42032</t>
        </is>
      </c>
      <c r="K1105" s="63" t="inlineStr">
        <is>
          <t>Chargé d’affaires du bâtiment</t>
        </is>
      </c>
      <c r="L1105" s="63" t="inlineStr">
        <is>
          <t>13/04/2026</t>
        </is>
      </c>
      <c r="M1105" s="63" t="inlineStr">
        <is>
          <t>22257 (Commercialisation BTP) ; 22293 (Conduite travaux BTP) ; 22279 (Maîtrise d'oeuvre BTP)</t>
        </is>
      </c>
      <c r="N1105" s="68" t="inlineStr">
        <is>
          <t>NON</t>
        </is>
      </c>
      <c r="O1105" s="63" t="inlineStr"/>
    </row>
    <row r="1106" customFormat="1" s="3">
      <c r="A1106" s="63" t="n"/>
      <c r="B1106" s="64" t="inlineStr">
        <is>
          <t>22357</t>
        </is>
      </c>
      <c r="C1106" s="64">
        <f>LEFT(Tableau1[[#This Row],[Formacode]],3)</f>
        <v/>
      </c>
      <c r="D1106" s="65" t="n">
        <v>35510</v>
      </c>
      <c r="E1106" s="66">
        <f>"RNCP"&amp;D1106</f>
        <v/>
      </c>
      <c r="F1106" s="66" t="inlineStr">
        <is>
          <t>TP - Agent de maintenance des bâtiments</t>
        </is>
      </c>
      <c r="G1106" s="67">
        <f>E1106&amp;" - "&amp;F1106</f>
        <v/>
      </c>
      <c r="H1106" s="38" t="inlineStr">
        <is>
          <t>Expiré / remplacé</t>
        </is>
      </c>
      <c r="I1106" s="63" t="inlineStr">
        <is>
          <t>Fiche inactive — remplacée par RNCP42031 (Agent de maintenance des bâtiments)</t>
        </is>
      </c>
      <c r="J1106" s="63" t="inlineStr">
        <is>
          <t>RNCP42031</t>
        </is>
      </c>
      <c r="K1106" s="63" t="inlineStr">
        <is>
          <t>Agent de maintenance des bâtiments</t>
        </is>
      </c>
      <c r="L1106" s="63" t="inlineStr">
        <is>
          <t>19/04/2026</t>
        </is>
      </c>
      <c r="M1106" s="63" t="inlineStr">
        <is>
          <t>22486 (Maintenance bâtiment)</t>
        </is>
      </c>
      <c r="N1106" s="68" t="inlineStr">
        <is>
          <t>NON</t>
        </is>
      </c>
      <c r="O1106" s="63" t="inlineStr"/>
    </row>
    <row r="1107" customFormat="1" s="3">
      <c r="A1107" s="45" t="n"/>
      <c r="B1107" s="46" t="inlineStr">
        <is>
          <t>22357</t>
        </is>
      </c>
      <c r="C1107" s="46">
        <f>LEFT(Tableau1[[#This Row],[Formacode]],3)</f>
        <v/>
      </c>
      <c r="D1107" s="47" t="n">
        <v>38550</v>
      </c>
      <c r="E1107" s="48">
        <f>"RNCP"&amp;D1107</f>
        <v/>
      </c>
      <c r="F1107" s="48" t="inlineStr">
        <is>
          <t>TP - Tailleur de pierre</t>
        </is>
      </c>
      <c r="G1107" s="49">
        <f>E1107&amp;" - "&amp;F1107</f>
        <v/>
      </c>
      <c r="H1107" s="36" t="inlineStr">
        <is>
          <t>RAS</t>
        </is>
      </c>
      <c r="I1107" s="45" t="inlineStr"/>
      <c r="J1107" s="45" t="inlineStr">
        <is>
          <t>RNCP38550</t>
        </is>
      </c>
      <c r="K1107" s="45" t="inlineStr">
        <is>
          <t>Tailleur de pierre</t>
        </is>
      </c>
      <c r="L1107" s="45" t="inlineStr">
        <is>
          <t>23/03/2029</t>
        </is>
      </c>
      <c r="M1107" s="45" t="inlineStr">
        <is>
          <t>45502 (Taille pierre) ; 22354 (Bâtiment gros oeuvre)</t>
        </is>
      </c>
      <c r="N1107" s="50" t="inlineStr">
        <is>
          <t>NON</t>
        </is>
      </c>
      <c r="O1107" s="45" t="inlineStr"/>
    </row>
    <row r="1108" customFormat="1" s="3">
      <c r="A1108" s="45" t="n"/>
      <c r="B1108" s="46" t="inlineStr">
        <is>
          <t>22357</t>
        </is>
      </c>
      <c r="C1108" s="46">
        <f>LEFT(Tableau1[[#This Row],[Formacode]],3)</f>
        <v/>
      </c>
      <c r="D1108" s="47" t="n">
        <v>38721</v>
      </c>
      <c r="E1108" s="48">
        <f>"RNCP"&amp;D1108</f>
        <v/>
      </c>
      <c r="F1108" s="48" t="inlineStr">
        <is>
          <t>TP - Chef de chantier gros œuvre</t>
        </is>
      </c>
      <c r="G1108" s="49">
        <f>E1108&amp;" - "&amp;F1108</f>
        <v/>
      </c>
      <c r="H1108" s="36" t="inlineStr">
        <is>
          <t>RAS</t>
        </is>
      </c>
      <c r="I1108" s="45" t="inlineStr"/>
      <c r="J1108" s="45" t="inlineStr">
        <is>
          <t>RNCP38721</t>
        </is>
      </c>
      <c r="K1108" s="45" t="inlineStr">
        <is>
          <t>Chef de chantier gros œuvre</t>
        </is>
      </c>
      <c r="L1108" s="45" t="inlineStr">
        <is>
          <t>20/04/2029</t>
        </is>
      </c>
      <c r="M1108" s="45" t="inlineStr">
        <is>
          <t>22294 (Conduite chantier BTP) ; 22354 (Bâtiment gros oeuvre)</t>
        </is>
      </c>
      <c r="N1108" s="50" t="inlineStr">
        <is>
          <t>NON</t>
        </is>
      </c>
      <c r="O1108" s="45" t="inlineStr"/>
    </row>
    <row r="1109" customFormat="1" s="3">
      <c r="A1109" s="45" t="n"/>
      <c r="B1109" s="46" t="inlineStr">
        <is>
          <t>22357</t>
        </is>
      </c>
      <c r="C1109" s="46">
        <f>LEFT(Tableau1[[#This Row],[Formacode]],3)</f>
        <v/>
      </c>
      <c r="D1109" s="47" t="n">
        <v>38746</v>
      </c>
      <c r="E1109" s="48">
        <f>"RNCP"&amp;D1109</f>
        <v/>
      </c>
      <c r="F1109" s="48" t="inlineStr">
        <is>
          <t>TP - Chef d'équipe gros œuvre</t>
        </is>
      </c>
      <c r="G1109" s="49">
        <f>E1109&amp;" - "&amp;F1109</f>
        <v/>
      </c>
      <c r="H1109" s="36" t="inlineStr">
        <is>
          <t>RAS</t>
        </is>
      </c>
      <c r="I1109" s="45" t="inlineStr"/>
      <c r="J1109" s="45" t="inlineStr">
        <is>
          <t>RNCP38746</t>
        </is>
      </c>
      <c r="K1109" s="45" t="inlineStr">
        <is>
          <t>Chef d'équipe gros œuvre</t>
        </is>
      </c>
      <c r="L1109" s="45" t="inlineStr">
        <is>
          <t>21/10/2029</t>
        </is>
      </c>
      <c r="M1109" s="45" t="inlineStr">
        <is>
          <t>22294 (Conduite chantier BTP) ; 22354 (Bâtiment gros oeuvre)</t>
        </is>
      </c>
      <c r="N1109" s="50" t="inlineStr">
        <is>
          <t>NON</t>
        </is>
      </c>
      <c r="O1109" s="45" t="inlineStr"/>
    </row>
    <row r="1110" customFormat="1" s="3">
      <c r="A1110" s="45" t="n"/>
      <c r="B1110" s="46" t="inlineStr">
        <is>
          <t>22357</t>
        </is>
      </c>
      <c r="C1110" s="46">
        <f>LEFT(Tableau1[[#This Row],[Formacode]],3)</f>
        <v/>
      </c>
      <c r="D1110" s="47" t="n">
        <v>39642</v>
      </c>
      <c r="E1110" s="48">
        <f>"RNCP"&amp;D1110</f>
        <v/>
      </c>
      <c r="F1110" s="48" t="inlineStr">
        <is>
          <t>CQP Scieur carotteur de béton</t>
        </is>
      </c>
      <c r="G1110" s="49">
        <f>E1110&amp;" - "&amp;F1110</f>
        <v/>
      </c>
      <c r="H1110" s="36" t="inlineStr">
        <is>
          <t>RAS</t>
        </is>
      </c>
      <c r="I1110" s="45" t="inlineStr"/>
      <c r="J1110" s="45" t="inlineStr">
        <is>
          <t>RNCP39642</t>
        </is>
      </c>
      <c r="K1110" s="45" t="inlineStr">
        <is>
          <t>CQP Scieur carotteur de béton</t>
        </is>
      </c>
      <c r="L1110" s="45" t="inlineStr">
        <is>
          <t>01/10/2029</t>
        </is>
      </c>
      <c r="M1110" s="45" t="inlineStr">
        <is>
          <t>22861 (Béton) ; 22378 (Réhabilitation bâtiment) ; 22485 (Rénovation bâtiment) ; 22395 (Construction béton)</t>
        </is>
      </c>
      <c r="N1110" s="50" t="inlineStr">
        <is>
          <t>NON</t>
        </is>
      </c>
      <c r="O1110" s="45" t="inlineStr"/>
    </row>
    <row r="1111" customFormat="1" s="3">
      <c r="A1111" s="51" t="n"/>
      <c r="B1111" s="52" t="inlineStr">
        <is>
          <t>22357</t>
        </is>
      </c>
      <c r="C1111" s="52">
        <f>LEFT(Tableau1[[#This Row],[Formacode]],3)</f>
        <v/>
      </c>
      <c r="D1111" s="53" t="n">
        <v>40217</v>
      </c>
      <c r="E1111" s="54">
        <f>"RNCP"&amp;D1111</f>
        <v/>
      </c>
      <c r="F1111" s="54" t="inlineStr">
        <is>
          <t>TP - Conducteur de travaux du bâtiment et du génie civil</t>
        </is>
      </c>
      <c r="G1111" s="55">
        <f>E1111&amp;" - "&amp;F1111</f>
        <v/>
      </c>
      <c r="H1111" s="37" t="inlineStr">
        <is>
          <t>À vérifier</t>
        </is>
      </c>
      <c r="I1111" s="51" t="inlineStr">
        <is>
          <t>Échéance le 20/10/2026 (dans 94 j)</t>
        </is>
      </c>
      <c r="J1111" s="51" t="inlineStr">
        <is>
          <t>RNCP40217</t>
        </is>
      </c>
      <c r="K1111" s="51" t="inlineStr">
        <is>
          <t>Conducteur de travaux du bâtiment et du génie civil</t>
        </is>
      </c>
      <c r="L1111" s="51" t="inlineStr">
        <is>
          <t>20/10/2026</t>
        </is>
      </c>
      <c r="M1111" s="51" t="inlineStr">
        <is>
          <t>22293 (Conduite travaux BTP) ; 22054 (Travaux publics) ; 22354 (Bâtiment gros oeuvre)</t>
        </is>
      </c>
      <c r="N1111" s="62" t="inlineStr">
        <is>
          <t>NON</t>
        </is>
      </c>
      <c r="O1111" s="51" t="inlineStr"/>
    </row>
    <row r="1112" customFormat="1" s="3">
      <c r="A1112" s="45" t="n"/>
      <c r="B1112" s="46" t="inlineStr">
        <is>
          <t>22357</t>
        </is>
      </c>
      <c r="C1112" s="46">
        <f>LEFT(Tableau1[[#This Row],[Formacode]],3)</f>
        <v/>
      </c>
      <c r="D1112" s="47" t="n">
        <v>41345</v>
      </c>
      <c r="E1112" s="48">
        <f>"RNCP"&amp;D1112</f>
        <v/>
      </c>
      <c r="F1112" s="48" t="inlineStr">
        <is>
          <t>CQP Couvreur lauzier calcaire</t>
        </is>
      </c>
      <c r="G1112" s="49">
        <f>E1112&amp;" - "&amp;F1112</f>
        <v/>
      </c>
      <c r="H1112" s="36" t="inlineStr">
        <is>
          <t>RAS</t>
        </is>
      </c>
      <c r="I1112" s="45" t="inlineStr"/>
      <c r="J1112" s="45" t="inlineStr">
        <is>
          <t>RNCP41345</t>
        </is>
      </c>
      <c r="K1112" s="45" t="inlineStr">
        <is>
          <t>CQP Couvreur lauzier calcaire</t>
        </is>
      </c>
      <c r="L1112" s="45" t="inlineStr">
        <is>
          <t>24/09/2030</t>
        </is>
      </c>
      <c r="M1112" s="45" t="inlineStr">
        <is>
          <t>22437 (Couverture) ; 22842 (Pierre naturelle) ; 22357 (Restauration réhabilitation) ; 22274 (Chantier BTP)</t>
        </is>
      </c>
      <c r="N1112" s="50" t="inlineStr">
        <is>
          <t>NON</t>
        </is>
      </c>
      <c r="O1112" s="45" t="inlineStr"/>
    </row>
    <row r="1113" customFormat="1" s="3">
      <c r="A1113" s="45" t="n"/>
      <c r="B1113" s="46" t="inlineStr">
        <is>
          <t>22357</t>
        </is>
      </c>
      <c r="C1113" s="46">
        <f>LEFT(Tableau1[[#This Row],[Formacode]],3)</f>
        <v/>
      </c>
      <c r="D1113" s="47" t="n">
        <v>41346</v>
      </c>
      <c r="E1113" s="48">
        <f>"RNCP"&amp;D1113</f>
        <v/>
      </c>
      <c r="F1113" s="48" t="inlineStr">
        <is>
          <t>CQP Couvreur lauzier schiste</t>
        </is>
      </c>
      <c r="G1113" s="49">
        <f>E1113&amp;" - "&amp;F1113</f>
        <v/>
      </c>
      <c r="H1113" s="36" t="inlineStr">
        <is>
          <t>RAS</t>
        </is>
      </c>
      <c r="I1113" s="45" t="inlineStr"/>
      <c r="J1113" s="45" t="inlineStr">
        <is>
          <t>RNCP41346</t>
        </is>
      </c>
      <c r="K1113" s="45" t="inlineStr">
        <is>
          <t>CQP Couvreur lauzier schiste</t>
        </is>
      </c>
      <c r="L1113" s="45" t="inlineStr">
        <is>
          <t>24/09/2030</t>
        </is>
      </c>
      <c r="M1113" s="45" t="inlineStr">
        <is>
          <t>22437 (Couverture) ; 22842 (Pierre naturelle) ; 22357 (Restauration réhabilitation) ; 22274 (Chantier BTP)</t>
        </is>
      </c>
      <c r="N1113" s="50" t="inlineStr">
        <is>
          <t>NON</t>
        </is>
      </c>
      <c r="O1113" s="45" t="inlineStr"/>
    </row>
    <row r="1114" customFormat="1" s="3">
      <c r="A1114" s="63" t="n"/>
      <c r="B1114" s="64" t="inlineStr">
        <is>
          <t>22361</t>
        </is>
      </c>
      <c r="C1114" s="64">
        <f>LEFT(Tableau1[[#This Row],[Formacode]],3)</f>
        <v/>
      </c>
      <c r="D1114" s="65" t="n">
        <v>35503</v>
      </c>
      <c r="E1114" s="66">
        <f>"RNCP"&amp;D1114</f>
        <v/>
      </c>
      <c r="F1114" s="66" t="inlineStr">
        <is>
          <t>TP - Chargé d'affaires du bâtiment</t>
        </is>
      </c>
      <c r="G1114" s="67">
        <f>E1114&amp;" - "&amp;F1114</f>
        <v/>
      </c>
      <c r="H1114" s="38" t="inlineStr">
        <is>
          <t>Expiré / remplacé</t>
        </is>
      </c>
      <c r="I1114" s="63" t="inlineStr">
        <is>
          <t>Fiche inactive — remplacée par RNCP42032 (Chargé d’affaires du bâtiment)</t>
        </is>
      </c>
      <c r="J1114" s="63" t="inlineStr">
        <is>
          <t>RNCP42032</t>
        </is>
      </c>
      <c r="K1114" s="63" t="inlineStr">
        <is>
          <t>Chargé d’affaires du bâtiment</t>
        </is>
      </c>
      <c r="L1114" s="63" t="inlineStr">
        <is>
          <t>13/04/2026</t>
        </is>
      </c>
      <c r="M1114" s="63" t="inlineStr">
        <is>
          <t>22257 (Commercialisation BTP) ; 22293 (Conduite travaux BTP) ; 22279 (Maîtrise d'oeuvre BTP)</t>
        </is>
      </c>
      <c r="N1114" s="68" t="inlineStr">
        <is>
          <t>NON</t>
        </is>
      </c>
      <c r="O1114" s="63" t="inlineStr"/>
    </row>
    <row r="1115" customFormat="1" s="3">
      <c r="A1115" s="45" t="n"/>
      <c r="B1115" s="46" t="inlineStr">
        <is>
          <t>22361</t>
        </is>
      </c>
      <c r="C1115" s="46">
        <f>LEFT(Tableau1[[#This Row],[Formacode]],3)</f>
        <v/>
      </c>
      <c r="D1115" s="47" t="n">
        <v>38550</v>
      </c>
      <c r="E1115" s="48">
        <f>"RNCP"&amp;D1115</f>
        <v/>
      </c>
      <c r="F1115" s="48" t="inlineStr">
        <is>
          <t>TP - Tailleur de pierre</t>
        </is>
      </c>
      <c r="G1115" s="49">
        <f>E1115&amp;" - "&amp;F1115</f>
        <v/>
      </c>
      <c r="H1115" s="36" t="inlineStr">
        <is>
          <t>RAS</t>
        </is>
      </c>
      <c r="I1115" s="45" t="inlineStr"/>
      <c r="J1115" s="45" t="inlineStr">
        <is>
          <t>RNCP38550</t>
        </is>
      </c>
      <c r="K1115" s="45" t="inlineStr">
        <is>
          <t>Tailleur de pierre</t>
        </is>
      </c>
      <c r="L1115" s="45" t="inlineStr">
        <is>
          <t>23/03/2029</t>
        </is>
      </c>
      <c r="M1115" s="45" t="inlineStr">
        <is>
          <t>45502 (Taille pierre) ; 22354 (Bâtiment gros oeuvre)</t>
        </is>
      </c>
      <c r="N1115" s="50" t="inlineStr">
        <is>
          <t>NON</t>
        </is>
      </c>
      <c r="O1115" s="45" t="inlineStr"/>
    </row>
    <row r="1116" customFormat="1" s="3">
      <c r="A1116" s="45" t="n"/>
      <c r="B1116" s="46" t="inlineStr">
        <is>
          <t>22361</t>
        </is>
      </c>
      <c r="C1116" s="46">
        <f>LEFT(Tableau1[[#This Row],[Formacode]],3)</f>
        <v/>
      </c>
      <c r="D1116" s="47" t="n">
        <v>38721</v>
      </c>
      <c r="E1116" s="48">
        <f>"RNCP"&amp;D1116</f>
        <v/>
      </c>
      <c r="F1116" s="48" t="inlineStr">
        <is>
          <t>TP - Chef de chantier gros œuvre</t>
        </is>
      </c>
      <c r="G1116" s="49">
        <f>E1116&amp;" - "&amp;F1116</f>
        <v/>
      </c>
      <c r="H1116" s="36" t="inlineStr">
        <is>
          <t>RAS</t>
        </is>
      </c>
      <c r="I1116" s="45" t="inlineStr"/>
      <c r="J1116" s="45" t="inlineStr">
        <is>
          <t>RNCP38721</t>
        </is>
      </c>
      <c r="K1116" s="45" t="inlineStr">
        <is>
          <t>Chef de chantier gros œuvre</t>
        </is>
      </c>
      <c r="L1116" s="45" t="inlineStr">
        <is>
          <t>20/04/2029</t>
        </is>
      </c>
      <c r="M1116" s="45" t="inlineStr">
        <is>
          <t>22294 (Conduite chantier BTP) ; 22354 (Bâtiment gros oeuvre)</t>
        </is>
      </c>
      <c r="N1116" s="50" t="inlineStr">
        <is>
          <t>NON</t>
        </is>
      </c>
      <c r="O1116" s="45" t="inlineStr"/>
    </row>
    <row r="1117" customFormat="1" s="3">
      <c r="A1117" s="45" t="n"/>
      <c r="B1117" s="46" t="inlineStr">
        <is>
          <t>22361</t>
        </is>
      </c>
      <c r="C1117" s="46">
        <f>LEFT(Tableau1[[#This Row],[Formacode]],3)</f>
        <v/>
      </c>
      <c r="D1117" s="47" t="n">
        <v>38746</v>
      </c>
      <c r="E1117" s="48">
        <f>"RNCP"&amp;D1117</f>
        <v/>
      </c>
      <c r="F1117" s="48" t="inlineStr">
        <is>
          <t>TP - Chef d'équipe gros œuvre</t>
        </is>
      </c>
      <c r="G1117" s="49">
        <f>E1117&amp;" - "&amp;F1117</f>
        <v/>
      </c>
      <c r="H1117" s="36" t="inlineStr">
        <is>
          <t>RAS</t>
        </is>
      </c>
      <c r="I1117" s="45" t="inlineStr"/>
      <c r="J1117" s="45" t="inlineStr">
        <is>
          <t>RNCP38746</t>
        </is>
      </c>
      <c r="K1117" s="45" t="inlineStr">
        <is>
          <t>Chef d'équipe gros œuvre</t>
        </is>
      </c>
      <c r="L1117" s="45" t="inlineStr">
        <is>
          <t>21/10/2029</t>
        </is>
      </c>
      <c r="M1117" s="45" t="inlineStr">
        <is>
          <t>22294 (Conduite chantier BTP) ; 22354 (Bâtiment gros oeuvre)</t>
        </is>
      </c>
      <c r="N1117" s="50" t="inlineStr">
        <is>
          <t>NON</t>
        </is>
      </c>
      <c r="O1117" s="45" t="inlineStr"/>
    </row>
    <row r="1118" customFormat="1" s="3">
      <c r="A1118" s="51" t="n"/>
      <c r="B1118" s="52" t="inlineStr">
        <is>
          <t>22361</t>
        </is>
      </c>
      <c r="C1118" s="52">
        <f>LEFT(Tableau1[[#This Row],[Formacode]],3)</f>
        <v/>
      </c>
      <c r="D1118" s="53" t="n">
        <v>40217</v>
      </c>
      <c r="E1118" s="54">
        <f>"RNCP"&amp;D1118</f>
        <v/>
      </c>
      <c r="F1118" s="54" t="inlineStr">
        <is>
          <t>TP - Conducteur de travaux du bâtiment et du génie civil</t>
        </is>
      </c>
      <c r="G1118" s="55">
        <f>E1118&amp;" - "&amp;F1118</f>
        <v/>
      </c>
      <c r="H1118" s="37" t="inlineStr">
        <is>
          <t>À vérifier</t>
        </is>
      </c>
      <c r="I1118" s="51" t="inlineStr">
        <is>
          <t>Échéance le 20/10/2026 (dans 94 j)</t>
        </is>
      </c>
      <c r="J1118" s="51" t="inlineStr">
        <is>
          <t>RNCP40217</t>
        </is>
      </c>
      <c r="K1118" s="51" t="inlineStr">
        <is>
          <t>Conducteur de travaux du bâtiment et du génie civil</t>
        </is>
      </c>
      <c r="L1118" s="51" t="inlineStr">
        <is>
          <t>20/10/2026</t>
        </is>
      </c>
      <c r="M1118" s="51" t="inlineStr">
        <is>
          <t>22293 (Conduite travaux BTP) ; 22054 (Travaux publics) ; 22354 (Bâtiment gros oeuvre)</t>
        </is>
      </c>
      <c r="N1118" s="62" t="inlineStr">
        <is>
          <t>NON</t>
        </is>
      </c>
      <c r="O1118" s="51" t="inlineStr"/>
    </row>
    <row r="1119" customFormat="1" s="3">
      <c r="A1119" s="63" t="n"/>
      <c r="B1119" s="64" t="inlineStr">
        <is>
          <t>22371</t>
        </is>
      </c>
      <c r="C1119" s="64">
        <f>LEFT(Tableau1[[#This Row],[Formacode]],3)</f>
        <v/>
      </c>
      <c r="D1119" s="65" t="n">
        <v>35503</v>
      </c>
      <c r="E1119" s="66">
        <f>"RNCP"&amp;D1119</f>
        <v/>
      </c>
      <c r="F1119" s="66" t="inlineStr">
        <is>
          <t>TP - Chargé d'affaires du bâtiment</t>
        </is>
      </c>
      <c r="G1119" s="67">
        <f>E1119&amp;" - "&amp;F1119</f>
        <v/>
      </c>
      <c r="H1119" s="38" t="inlineStr">
        <is>
          <t>Expiré / remplacé</t>
        </is>
      </c>
      <c r="I1119" s="63" t="inlineStr">
        <is>
          <t>Fiche inactive — remplacée par RNCP42032 (Chargé d’affaires du bâtiment)</t>
        </is>
      </c>
      <c r="J1119" s="63" t="inlineStr">
        <is>
          <t>RNCP42032</t>
        </is>
      </c>
      <c r="K1119" s="63" t="inlineStr">
        <is>
          <t>Chargé d’affaires du bâtiment</t>
        </is>
      </c>
      <c r="L1119" s="63" t="inlineStr">
        <is>
          <t>13/04/2026</t>
        </is>
      </c>
      <c r="M1119" s="63" t="inlineStr">
        <is>
          <t>22257 (Commercialisation BTP) ; 22293 (Conduite travaux BTP) ; 22279 (Maîtrise d'oeuvre BTP)</t>
        </is>
      </c>
      <c r="N1119" s="68" t="inlineStr">
        <is>
          <t>NON</t>
        </is>
      </c>
      <c r="O1119" s="63" t="inlineStr"/>
    </row>
    <row r="1120" customFormat="1" s="3">
      <c r="A1120" s="45" t="n"/>
      <c r="B1120" s="46" t="inlineStr">
        <is>
          <t>22371</t>
        </is>
      </c>
      <c r="C1120" s="46">
        <f>LEFT(Tableau1[[#This Row],[Formacode]],3)</f>
        <v/>
      </c>
      <c r="D1120" s="47" t="n">
        <v>38550</v>
      </c>
      <c r="E1120" s="48">
        <f>"RNCP"&amp;D1120</f>
        <v/>
      </c>
      <c r="F1120" s="48" t="inlineStr">
        <is>
          <t>TP - Tailleur de pierre</t>
        </is>
      </c>
      <c r="G1120" s="49">
        <f>E1120&amp;" - "&amp;F1120</f>
        <v/>
      </c>
      <c r="H1120" s="36" t="inlineStr">
        <is>
          <t>RAS</t>
        </is>
      </c>
      <c r="I1120" s="45" t="inlineStr"/>
      <c r="J1120" s="45" t="inlineStr">
        <is>
          <t>RNCP38550</t>
        </is>
      </c>
      <c r="K1120" s="45" t="inlineStr">
        <is>
          <t>Tailleur de pierre</t>
        </is>
      </c>
      <c r="L1120" s="45" t="inlineStr">
        <is>
          <t>23/03/2029</t>
        </is>
      </c>
      <c r="M1120" s="45" t="inlineStr">
        <is>
          <t>45502 (Taille pierre) ; 22354 (Bâtiment gros oeuvre)</t>
        </is>
      </c>
      <c r="N1120" s="50" t="inlineStr">
        <is>
          <t>NON</t>
        </is>
      </c>
      <c r="O1120" s="45" t="inlineStr"/>
    </row>
    <row r="1121" customFormat="1" s="3">
      <c r="A1121" s="45" t="n"/>
      <c r="B1121" s="46" t="inlineStr">
        <is>
          <t>22371</t>
        </is>
      </c>
      <c r="C1121" s="46">
        <f>LEFT(Tableau1[[#This Row],[Formacode]],3)</f>
        <v/>
      </c>
      <c r="D1121" s="47" t="n">
        <v>38721</v>
      </c>
      <c r="E1121" s="48">
        <f>"RNCP"&amp;D1121</f>
        <v/>
      </c>
      <c r="F1121" s="48" t="inlineStr">
        <is>
          <t>TP - Chef de chantier gros œuvre</t>
        </is>
      </c>
      <c r="G1121" s="49">
        <f>E1121&amp;" - "&amp;F1121</f>
        <v/>
      </c>
      <c r="H1121" s="36" t="inlineStr">
        <is>
          <t>RAS</t>
        </is>
      </c>
      <c r="I1121" s="45" t="inlineStr"/>
      <c r="J1121" s="45" t="inlineStr">
        <is>
          <t>RNCP38721</t>
        </is>
      </c>
      <c r="K1121" s="45" t="inlineStr">
        <is>
          <t>Chef de chantier gros œuvre</t>
        </is>
      </c>
      <c r="L1121" s="45" t="inlineStr">
        <is>
          <t>20/04/2029</t>
        </is>
      </c>
      <c r="M1121" s="45" t="inlineStr">
        <is>
          <t>22294 (Conduite chantier BTP) ; 22354 (Bâtiment gros oeuvre)</t>
        </is>
      </c>
      <c r="N1121" s="50" t="inlineStr">
        <is>
          <t>NON</t>
        </is>
      </c>
      <c r="O1121" s="45" t="inlineStr"/>
    </row>
    <row r="1122" customFormat="1" s="3">
      <c r="A1122" s="45" t="n"/>
      <c r="B1122" s="46" t="inlineStr">
        <is>
          <t>22371</t>
        </is>
      </c>
      <c r="C1122" s="46">
        <f>LEFT(Tableau1[[#This Row],[Formacode]],3)</f>
        <v/>
      </c>
      <c r="D1122" s="47" t="n">
        <v>38746</v>
      </c>
      <c r="E1122" s="48">
        <f>"RNCP"&amp;D1122</f>
        <v/>
      </c>
      <c r="F1122" s="48" t="inlineStr">
        <is>
          <t>TP - Chef d'équipe gros œuvre</t>
        </is>
      </c>
      <c r="G1122" s="49">
        <f>E1122&amp;" - "&amp;F1122</f>
        <v/>
      </c>
      <c r="H1122" s="36" t="inlineStr">
        <is>
          <t>RAS</t>
        </is>
      </c>
      <c r="I1122" s="45" t="inlineStr"/>
      <c r="J1122" s="45" t="inlineStr">
        <is>
          <t>RNCP38746</t>
        </is>
      </c>
      <c r="K1122" s="45" t="inlineStr">
        <is>
          <t>Chef d'équipe gros œuvre</t>
        </is>
      </c>
      <c r="L1122" s="45" t="inlineStr">
        <is>
          <t>21/10/2029</t>
        </is>
      </c>
      <c r="M1122" s="45" t="inlineStr">
        <is>
          <t>22294 (Conduite chantier BTP) ; 22354 (Bâtiment gros oeuvre)</t>
        </is>
      </c>
      <c r="N1122" s="50" t="inlineStr">
        <is>
          <t>NON</t>
        </is>
      </c>
      <c r="O1122" s="45" t="inlineStr"/>
    </row>
    <row r="1123" customFormat="1" s="3">
      <c r="A1123" s="51" t="n"/>
      <c r="B1123" s="52" t="inlineStr">
        <is>
          <t>22371</t>
        </is>
      </c>
      <c r="C1123" s="52">
        <f>LEFT(Tableau1[[#This Row],[Formacode]],3)</f>
        <v/>
      </c>
      <c r="D1123" s="53" t="n">
        <v>40217</v>
      </c>
      <c r="E1123" s="54">
        <f>"RNCP"&amp;D1123</f>
        <v/>
      </c>
      <c r="F1123" s="54" t="inlineStr">
        <is>
          <t>TP - Conducteur de travaux du bâtiment et du génie civil</t>
        </is>
      </c>
      <c r="G1123" s="55">
        <f>E1123&amp;" - "&amp;F1123</f>
        <v/>
      </c>
      <c r="H1123" s="37" t="inlineStr">
        <is>
          <t>À vérifier</t>
        </is>
      </c>
      <c r="I1123" s="51" t="inlineStr">
        <is>
          <t>Échéance le 20/10/2026 (dans 94 j)</t>
        </is>
      </c>
      <c r="J1123" s="51" t="inlineStr">
        <is>
          <t>RNCP40217</t>
        </is>
      </c>
      <c r="K1123" s="51" t="inlineStr">
        <is>
          <t>Conducteur de travaux du bâtiment et du génie civil</t>
        </is>
      </c>
      <c r="L1123" s="51" t="inlineStr">
        <is>
          <t>20/10/2026</t>
        </is>
      </c>
      <c r="M1123" s="51" t="inlineStr">
        <is>
          <t>22293 (Conduite travaux BTP) ; 22054 (Travaux publics) ; 22354 (Bâtiment gros oeuvre)</t>
        </is>
      </c>
      <c r="N1123" s="62" t="inlineStr">
        <is>
          <t>NON</t>
        </is>
      </c>
      <c r="O1123" s="51" t="inlineStr"/>
    </row>
    <row r="1124" customFormat="1" s="3">
      <c r="A1124" s="63" t="n"/>
      <c r="B1124" s="64" t="inlineStr">
        <is>
          <t>22374</t>
        </is>
      </c>
      <c r="C1124" s="64">
        <f>LEFT(Tableau1[[#This Row],[Formacode]],3)</f>
        <v/>
      </c>
      <c r="D1124" s="65" t="n">
        <v>35312</v>
      </c>
      <c r="E1124" s="66">
        <f>"RNCP"&amp;D1124</f>
        <v/>
      </c>
      <c r="F1124" s="66" t="inlineStr">
        <is>
          <t>TP - Coffreur bancheur</t>
        </is>
      </c>
      <c r="G1124" s="67">
        <f>E1124&amp;" - "&amp;F1124</f>
        <v/>
      </c>
      <c r="H1124" s="38" t="inlineStr">
        <is>
          <t>Expiré / remplacé</t>
        </is>
      </c>
      <c r="I1124" s="63" t="inlineStr">
        <is>
          <t>Fiche inactive — remplacée par RNCP41905 (Coffreur bancheur)</t>
        </is>
      </c>
      <c r="J1124" s="63" t="inlineStr">
        <is>
          <t>RNCP41905</t>
        </is>
      </c>
      <c r="K1124" s="63" t="inlineStr">
        <is>
          <t>Coffreur bancheur</t>
        </is>
      </c>
      <c r="L1124" s="63" t="inlineStr">
        <is>
          <t>04/03/2026</t>
        </is>
      </c>
      <c r="M1124" s="63" t="inlineStr">
        <is>
          <t>22311 (Coffrage) ; 22395 (Construction béton)</t>
        </is>
      </c>
      <c r="N1124" s="68" t="inlineStr">
        <is>
          <t>NON</t>
        </is>
      </c>
      <c r="O1124" s="63" t="inlineStr"/>
    </row>
    <row r="1125" customFormat="1" s="3">
      <c r="A1125" s="63" t="n"/>
      <c r="B1125" s="64" t="inlineStr">
        <is>
          <t>22374</t>
        </is>
      </c>
      <c r="C1125" s="64">
        <f>LEFT(Tableau1[[#This Row],[Formacode]],3)</f>
        <v/>
      </c>
      <c r="D1125" s="65" t="n">
        <v>35348</v>
      </c>
      <c r="E1125" s="66">
        <f>"RNCP"&amp;D1125</f>
        <v/>
      </c>
      <c r="F1125" s="66" t="inlineStr">
        <is>
          <t>TP - Monteur levageur de structures métalliques</t>
        </is>
      </c>
      <c r="G1125" s="67">
        <f>E1125&amp;" - "&amp;F1125</f>
        <v/>
      </c>
      <c r="H1125" s="38" t="inlineStr">
        <is>
          <t>Expiré / remplacé</t>
        </is>
      </c>
      <c r="I1125" s="63" t="inlineStr">
        <is>
          <t>Fiche inactive (échéance 17/03/2026) — aucun successeur publié</t>
        </is>
      </c>
      <c r="J1125" s="63" t="inlineStr">
        <is>
          <t>RNCP35348</t>
        </is>
      </c>
      <c r="K1125" s="63" t="inlineStr">
        <is>
          <t>Monteur levageur de structures métalliques</t>
        </is>
      </c>
      <c r="L1125" s="63" t="inlineStr">
        <is>
          <t>17/03/2026</t>
        </is>
      </c>
      <c r="M1125" s="63" t="inlineStr">
        <is>
          <t>22387 (Construction métallique) ; 22314 (Charpente métallique)</t>
        </is>
      </c>
      <c r="N1125" s="68" t="inlineStr">
        <is>
          <t>NON</t>
        </is>
      </c>
      <c r="O1125" s="63" t="inlineStr"/>
    </row>
    <row r="1126" customFormat="1" s="3">
      <c r="A1126" s="63" t="n"/>
      <c r="B1126" s="64" t="inlineStr">
        <is>
          <t>22374</t>
        </is>
      </c>
      <c r="C1126" s="64">
        <f>LEFT(Tableau1[[#This Row],[Formacode]],3)</f>
        <v/>
      </c>
      <c r="D1126" s="65" t="n">
        <v>35503</v>
      </c>
      <c r="E1126" s="66">
        <f>"RNCP"&amp;D1126</f>
        <v/>
      </c>
      <c r="F1126" s="66" t="inlineStr">
        <is>
          <t>TP - Chargé d'affaires du bâtiment</t>
        </is>
      </c>
      <c r="G1126" s="67">
        <f>E1126&amp;" - "&amp;F1126</f>
        <v/>
      </c>
      <c r="H1126" s="38" t="inlineStr">
        <is>
          <t>Expiré / remplacé</t>
        </is>
      </c>
      <c r="I1126" s="63" t="inlineStr">
        <is>
          <t>Fiche inactive — remplacée par RNCP42032 (Chargé d’affaires du bâtiment)</t>
        </is>
      </c>
      <c r="J1126" s="63" t="inlineStr">
        <is>
          <t>RNCP42032</t>
        </is>
      </c>
      <c r="K1126" s="63" t="inlineStr">
        <is>
          <t>Chargé d’affaires du bâtiment</t>
        </is>
      </c>
      <c r="L1126" s="63" t="inlineStr">
        <is>
          <t>13/04/2026</t>
        </is>
      </c>
      <c r="M1126" s="63" t="inlineStr">
        <is>
          <t>22257 (Commercialisation BTP) ; 22293 (Conduite travaux BTP) ; 22279 (Maîtrise d'oeuvre BTP)</t>
        </is>
      </c>
      <c r="N1126" s="68" t="inlineStr">
        <is>
          <t>NON</t>
        </is>
      </c>
      <c r="O1126" s="63" t="inlineStr"/>
    </row>
    <row r="1127" customFormat="1" s="3">
      <c r="A1127" s="63" t="n"/>
      <c r="B1127" s="64" t="inlineStr">
        <is>
          <t>22374</t>
        </is>
      </c>
      <c r="C1127" s="64">
        <f>LEFT(Tableau1[[#This Row],[Formacode]],3)</f>
        <v/>
      </c>
      <c r="D1127" s="65" t="n">
        <v>35507</v>
      </c>
      <c r="E1127" s="66">
        <f>"RNCP"&amp;D1127</f>
        <v/>
      </c>
      <c r="F1127" s="66" t="inlineStr">
        <is>
          <t>TP - Constructeur bois</t>
        </is>
      </c>
      <c r="G1127" s="67">
        <f>E1127&amp;" - "&amp;F1127</f>
        <v/>
      </c>
      <c r="H1127" s="38" t="inlineStr">
        <is>
          <t>Expiré / remplacé</t>
        </is>
      </c>
      <c r="I1127" s="63" t="inlineStr">
        <is>
          <t>Fiche inactive — remplacée par RNCP42102 (Constructeur bois)</t>
        </is>
      </c>
      <c r="J1127" s="63" t="inlineStr">
        <is>
          <t>RNCP42102</t>
        </is>
      </c>
      <c r="K1127" s="63" t="inlineStr">
        <is>
          <t>Constructeur bois</t>
        </is>
      </c>
      <c r="L1127" s="63" t="inlineStr">
        <is>
          <t>26/04/2026</t>
        </is>
      </c>
      <c r="M1127" s="63" t="inlineStr">
        <is>
          <t>22396 (Construction bois)</t>
        </is>
      </c>
      <c r="N1127" s="68" t="inlineStr">
        <is>
          <t>NON</t>
        </is>
      </c>
      <c r="O1127" s="63" t="inlineStr"/>
    </row>
    <row r="1128" customFormat="1" s="3">
      <c r="A1128" s="51" t="n"/>
      <c r="B1128" s="52" t="inlineStr">
        <is>
          <t>22374</t>
        </is>
      </c>
      <c r="C1128" s="52">
        <f>LEFT(Tableau1[[#This Row],[Formacode]],3)</f>
        <v/>
      </c>
      <c r="D1128" s="53" t="n">
        <v>35715</v>
      </c>
      <c r="E1128" s="54">
        <f>"RNCP"&amp;D1128</f>
        <v/>
      </c>
      <c r="F1128" s="54" t="inlineStr">
        <is>
          <t>CAP - Maçon</t>
        </is>
      </c>
      <c r="G1128" s="55">
        <f>E1128&amp;" - "&amp;F1128</f>
        <v/>
      </c>
      <c r="H1128" s="37" t="inlineStr">
        <is>
          <t>À vérifier</t>
        </is>
      </c>
      <c r="I1128" s="51" t="inlineStr">
        <is>
          <t>Successeur déjà publié : RNCP41830 (Maçon) — préparer la bascule de l'offre CPF | Échéance le 31/08/2026 (dans 44 j)</t>
        </is>
      </c>
      <c r="J1128" s="51" t="inlineStr">
        <is>
          <t>RNCP41830</t>
        </is>
      </c>
      <c r="K1128" s="51" t="inlineStr">
        <is>
          <t>Maçon</t>
        </is>
      </c>
      <c r="L1128" s="51" t="inlineStr">
        <is>
          <t>31/08/2026</t>
        </is>
      </c>
      <c r="M1128" s="51" t="inlineStr">
        <is>
          <t>22395 (Construction béton) ; 22334 (Maçonnerie)</t>
        </is>
      </c>
      <c r="N1128" s="62" t="inlineStr">
        <is>
          <t>NON</t>
        </is>
      </c>
      <c r="O1128" s="51" t="inlineStr"/>
    </row>
    <row r="1129" customFormat="1" s="3">
      <c r="A1129" s="51" t="n"/>
      <c r="B1129" s="52" t="inlineStr">
        <is>
          <t>22374</t>
        </is>
      </c>
      <c r="C1129" s="52">
        <f>LEFT(Tableau1[[#This Row],[Formacode]],3)</f>
        <v/>
      </c>
      <c r="D1129" s="53" t="n">
        <v>35802</v>
      </c>
      <c r="E1129" s="54">
        <f>"RNCP"&amp;D1129</f>
        <v/>
      </c>
      <c r="F1129" s="54" t="inlineStr">
        <is>
          <t>BTS - Management économique de la construction</t>
        </is>
      </c>
      <c r="G1129" s="55">
        <f>E1129&amp;" - "&amp;F1129</f>
        <v/>
      </c>
      <c r="H1129" s="37" t="inlineStr">
        <is>
          <t>À vérifier</t>
        </is>
      </c>
      <c r="I1129" s="51" t="inlineStr">
        <is>
          <t>Successeur déjà publié : RNCP41826 (Management économique de la construction) — préparer la bascule de l'offre CPF | Échéance le 31/08/2026 (dans 44 j)</t>
        </is>
      </c>
      <c r="J1129" s="51" t="inlineStr">
        <is>
          <t>RNCP41826</t>
        </is>
      </c>
      <c r="K1129" s="51" t="inlineStr">
        <is>
          <t>Management économique de la construction</t>
        </is>
      </c>
      <c r="L1129" s="51" t="inlineStr">
        <is>
          <t>31/08/2026</t>
        </is>
      </c>
      <c r="M1129" s="51" t="inlineStr">
        <is>
          <t>22293 (Conduite travaux BTP) ; 22279 (Maîtrise d'oeuvre BTP) ; 22259 (Marché travaux) ; 22230 (Métré spécialisé) ; 22374 (Construction)</t>
        </is>
      </c>
      <c r="N1129" s="62" t="inlineStr">
        <is>
          <t>NON</t>
        </is>
      </c>
      <c r="O1129" s="51" t="inlineStr"/>
    </row>
    <row r="1130" customFormat="1" s="3">
      <c r="A1130" s="51" t="n"/>
      <c r="B1130" s="52" t="inlineStr">
        <is>
          <t>22374</t>
        </is>
      </c>
      <c r="C1130" s="52">
        <f>LEFT(Tableau1[[#This Row],[Formacode]],3)</f>
        <v/>
      </c>
      <c r="D1130" s="53" t="n">
        <v>35937</v>
      </c>
      <c r="E1130" s="54">
        <f>"RNCP"&amp;D1130</f>
        <v/>
      </c>
      <c r="F1130" s="54" t="inlineStr">
        <is>
          <t>TP - Agent de fabrication et montage en chaudronnerie</t>
        </is>
      </c>
      <c r="G1130" s="55">
        <f>E1130&amp;" - "&amp;F1130</f>
        <v/>
      </c>
      <c r="H1130" s="37" t="inlineStr">
        <is>
          <t>À vérifier</t>
        </is>
      </c>
      <c r="I1130" s="51" t="inlineStr">
        <is>
          <t>Échéance le 08/10/2026 (dans 82 j)</t>
        </is>
      </c>
      <c r="J1130" s="51" t="inlineStr">
        <is>
          <t>RNCP35937</t>
        </is>
      </c>
      <c r="K1130" s="51" t="inlineStr">
        <is>
          <t>Agent de fabrication et montage en chaudronnerie</t>
        </is>
      </c>
      <c r="L1130" s="51" t="inlineStr">
        <is>
          <t>08/10/2026</t>
        </is>
      </c>
      <c r="M1130" s="51" t="inlineStr">
        <is>
          <t>23083 (Chaudronnerie) ; 22387 (Construction métallique) ; 23016 (Soudage MIG MAG)</t>
        </is>
      </c>
      <c r="N1130" s="62" t="inlineStr">
        <is>
          <t>NON</t>
        </is>
      </c>
      <c r="O1130" s="51" t="inlineStr"/>
    </row>
    <row r="1131" customFormat="1" s="3">
      <c r="A1131" s="45" t="n"/>
      <c r="B1131" s="46" t="inlineStr">
        <is>
          <t>22374</t>
        </is>
      </c>
      <c r="C1131" s="46">
        <f>LEFT(Tableau1[[#This Row],[Formacode]],3)</f>
        <v/>
      </c>
      <c r="D1131" s="47" t="n">
        <v>37290</v>
      </c>
      <c r="E1131" s="48">
        <f>"RNCP"&amp;D1131</f>
        <v/>
      </c>
      <c r="F1131" s="48" t="inlineStr">
        <is>
          <t>TP - Dessinateur projeteur en construction métallique</t>
        </is>
      </c>
      <c r="G1131" s="49">
        <f>E1131&amp;" - "&amp;F1131</f>
        <v/>
      </c>
      <c r="H1131" s="36" t="inlineStr">
        <is>
          <t>RAS</t>
        </is>
      </c>
      <c r="I1131" s="45" t="inlineStr"/>
      <c r="J1131" s="45" t="inlineStr">
        <is>
          <t>RNCP37290</t>
        </is>
      </c>
      <c r="K1131" s="45" t="inlineStr">
        <is>
          <t>Dessinateur projeteur en construction métallique</t>
        </is>
      </c>
      <c r="L1131" s="45" t="inlineStr">
        <is>
          <t>18/07/2028</t>
        </is>
      </c>
      <c r="M1131" s="45" t="inlineStr">
        <is>
          <t>22398 (Dessin construction) ; 31676 (Bureau d'études) ; 22252 (Dessin BTP)</t>
        </is>
      </c>
      <c r="N1131" s="50" t="inlineStr">
        <is>
          <t>NON</t>
        </is>
      </c>
      <c r="O1131" s="45" t="inlineStr"/>
    </row>
    <row r="1132" customFormat="1" s="3">
      <c r="A1132" s="45" t="n"/>
      <c r="B1132" s="46" t="inlineStr">
        <is>
          <t>22374</t>
        </is>
      </c>
      <c r="C1132" s="46">
        <f>LEFT(Tableau1[[#This Row],[Formacode]],3)</f>
        <v/>
      </c>
      <c r="D1132" s="47" t="n">
        <v>37293</v>
      </c>
      <c r="E1132" s="48">
        <f>"RNCP"&amp;D1132</f>
        <v/>
      </c>
      <c r="F1132" s="48" t="inlineStr">
        <is>
          <t>TP - Dessinateur projeteur d'ouvrages de métallerie</t>
        </is>
      </c>
      <c r="G1132" s="49">
        <f>E1132&amp;" - "&amp;F1132</f>
        <v/>
      </c>
      <c r="H1132" s="36" t="inlineStr">
        <is>
          <t>RAS</t>
        </is>
      </c>
      <c r="I1132" s="45" t="inlineStr"/>
      <c r="J1132" s="45" t="inlineStr">
        <is>
          <t>RNCP37293</t>
        </is>
      </c>
      <c r="K1132" s="45" t="inlineStr">
        <is>
          <t>Dessinateur projeteur d'ouvrages de métallerie</t>
        </is>
      </c>
      <c r="L1132" s="45" t="inlineStr">
        <is>
          <t>11/04/2028</t>
        </is>
      </c>
      <c r="M1132" s="45" t="inlineStr">
        <is>
          <t>22398 (Dessin construction) ; 22252 (Dessin BTP) ; 22232 (Métré BTP) ; 31676 (Bureau d'études)</t>
        </is>
      </c>
      <c r="N1132" s="50" t="inlineStr">
        <is>
          <t>NON</t>
        </is>
      </c>
      <c r="O1132" s="45" t="inlineStr"/>
    </row>
    <row r="1133" customFormat="1" s="3">
      <c r="A1133" s="51" t="n"/>
      <c r="B1133" s="52" t="inlineStr">
        <is>
          <t>22374</t>
        </is>
      </c>
      <c r="C1133" s="52">
        <f>LEFT(Tableau1[[#This Row],[Formacode]],3)</f>
        <v/>
      </c>
      <c r="D1133" s="53" t="n">
        <v>37916</v>
      </c>
      <c r="E1133" s="54">
        <f>"RNCP"&amp;D1133</f>
        <v/>
      </c>
      <c r="F1133" s="54" t="inlineStr">
        <is>
          <t>BAC PRO - Technicien constructeur bois</t>
        </is>
      </c>
      <c r="G1133" s="55">
        <f>E1133&amp;" - "&amp;F1133</f>
        <v/>
      </c>
      <c r="H1133" s="37" t="inlineStr">
        <is>
          <t>À vérifier</t>
        </is>
      </c>
      <c r="I1133" s="51" t="inlineStr">
        <is>
          <t>Successeur déjà publié : RNCP41866 (Technicien constructeur bois) — préparer la bascule de l'offre CPF | Échéance le 31/08/2026 (dans 44 j)</t>
        </is>
      </c>
      <c r="J1133" s="51" t="inlineStr">
        <is>
          <t>RNCP41866</t>
        </is>
      </c>
      <c r="K1133" s="51" t="inlineStr">
        <is>
          <t>Technicien constructeur bois</t>
        </is>
      </c>
      <c r="L1133" s="51" t="inlineStr">
        <is>
          <t>31/08/2026</t>
        </is>
      </c>
      <c r="M1133" s="51" t="inlineStr">
        <is>
          <t>22396 (Construction bois) ; 22313 (Charpente bois)</t>
        </is>
      </c>
      <c r="N1133" s="62" t="inlineStr">
        <is>
          <t>NON</t>
        </is>
      </c>
      <c r="O1133" s="51" t="inlineStr"/>
    </row>
    <row r="1134" customFormat="1" s="3">
      <c r="A1134" s="45" t="n"/>
      <c r="B1134" s="46" t="inlineStr">
        <is>
          <t>22374</t>
        </is>
      </c>
      <c r="C1134" s="46">
        <f>LEFT(Tableau1[[#This Row],[Formacode]],3)</f>
        <v/>
      </c>
      <c r="D1134" s="47" t="n">
        <v>38218</v>
      </c>
      <c r="E1134" s="48">
        <f>"RNCP"&amp;D1134</f>
        <v/>
      </c>
      <c r="F1134" s="48" t="inlineStr">
        <is>
          <t>BTS - Architectures en métal : conception et réalisation</t>
        </is>
      </c>
      <c r="G1134" s="49">
        <f>E1134&amp;" - "&amp;F1134</f>
        <v/>
      </c>
      <c r="H1134" s="36" t="inlineStr">
        <is>
          <t>RAS</t>
        </is>
      </c>
      <c r="I1134" s="45" t="inlineStr"/>
      <c r="J1134" s="45" t="inlineStr">
        <is>
          <t>RNCP38218</t>
        </is>
      </c>
      <c r="K1134" s="45" t="inlineStr">
        <is>
          <t>Architectures en métal : conception et réalisation</t>
        </is>
      </c>
      <c r="L1134" s="45" t="inlineStr">
        <is>
          <t>31/12/2028</t>
        </is>
      </c>
      <c r="M1134" s="45" t="inlineStr">
        <is>
          <t>22387 (Construction métallique)</t>
        </is>
      </c>
      <c r="N1134" s="50" t="inlineStr">
        <is>
          <t>NON</t>
        </is>
      </c>
      <c r="O1134" s="45" t="inlineStr"/>
    </row>
    <row r="1135" customFormat="1" s="3">
      <c r="A1135" s="45" t="n"/>
      <c r="B1135" s="46" t="inlineStr">
        <is>
          <t>22374</t>
        </is>
      </c>
      <c r="C1135" s="46">
        <f>LEFT(Tableau1[[#This Row],[Formacode]],3)</f>
        <v/>
      </c>
      <c r="D1135" s="47" t="n">
        <v>38303</v>
      </c>
      <c r="E1135" s="48">
        <f>"RNCP"&amp;D1135</f>
        <v/>
      </c>
      <c r="F1135" s="48" t="inlineStr">
        <is>
          <t>BP - Maçon</t>
        </is>
      </c>
      <c r="G1135" s="49">
        <f>E1135&amp;" - "&amp;F1135</f>
        <v/>
      </c>
      <c r="H1135" s="36" t="inlineStr">
        <is>
          <t>RAS</t>
        </is>
      </c>
      <c r="I1135" s="45" t="inlineStr"/>
      <c r="J1135" s="45" t="inlineStr">
        <is>
          <t>RNCP38303</t>
        </is>
      </c>
      <c r="K1135" s="45" t="inlineStr">
        <is>
          <t>Maçon</t>
        </is>
      </c>
      <c r="L1135" s="45" t="inlineStr">
        <is>
          <t>31/08/2028</t>
        </is>
      </c>
      <c r="M1135" s="45" t="inlineStr">
        <is>
          <t>22395 (Construction béton) ; 22334 (Maçonnerie)</t>
        </is>
      </c>
      <c r="N1135" s="50" t="inlineStr">
        <is>
          <t>NON</t>
        </is>
      </c>
      <c r="O1135" s="45" t="inlineStr"/>
    </row>
    <row r="1136" customFormat="1" s="3">
      <c r="A1136" s="45" t="n"/>
      <c r="B1136" s="46" t="inlineStr">
        <is>
          <t>22374</t>
        </is>
      </c>
      <c r="C1136" s="46">
        <f>LEFT(Tableau1[[#This Row],[Formacode]],3)</f>
        <v/>
      </c>
      <c r="D1136" s="47" t="n">
        <v>38337</v>
      </c>
      <c r="E1136" s="48">
        <f>"RNCP"&amp;D1136</f>
        <v/>
      </c>
      <c r="F1136" s="48" t="inlineStr">
        <is>
          <t>BAC PRO - Technicien en chaudronnerie industrielle</t>
        </is>
      </c>
      <c r="G1136" s="49">
        <f>E1136&amp;" - "&amp;F1136</f>
        <v/>
      </c>
      <c r="H1136" s="36" t="inlineStr">
        <is>
          <t>RAS</t>
        </is>
      </c>
      <c r="I1136" s="45" t="inlineStr"/>
      <c r="J1136" s="45" t="inlineStr">
        <is>
          <t>RNCP38337</t>
        </is>
      </c>
      <c r="K1136" s="45" t="inlineStr">
        <is>
          <t>Technicien en chaudronnerie industrielle</t>
        </is>
      </c>
      <c r="L1136" s="45" t="inlineStr">
        <is>
          <t>31/08/2028</t>
        </is>
      </c>
      <c r="M1136" s="45" t="inlineStr">
        <is>
          <t>23083 (Chaudronnerie) ; 22387 (Construction métallique) ; 22834 (Matériau métallique)</t>
        </is>
      </c>
      <c r="N1136" s="50" t="inlineStr">
        <is>
          <t>NON</t>
        </is>
      </c>
      <c r="O1136" s="45" t="inlineStr"/>
    </row>
    <row r="1137" customFormat="1" s="3">
      <c r="A1137" s="45" t="n"/>
      <c r="B1137" s="46" t="inlineStr">
        <is>
          <t>22374</t>
        </is>
      </c>
      <c r="C1137" s="46">
        <f>LEFT(Tableau1[[#This Row],[Formacode]],3)</f>
        <v/>
      </c>
      <c r="D1137" s="47" t="n">
        <v>38550</v>
      </c>
      <c r="E1137" s="48">
        <f>"RNCP"&amp;D1137</f>
        <v/>
      </c>
      <c r="F1137" s="48" t="inlineStr">
        <is>
          <t>TP - Tailleur de pierre</t>
        </is>
      </c>
      <c r="G1137" s="49">
        <f>E1137&amp;" - "&amp;F1137</f>
        <v/>
      </c>
      <c r="H1137" s="36" t="inlineStr">
        <is>
          <t>RAS</t>
        </is>
      </c>
      <c r="I1137" s="45" t="inlineStr"/>
      <c r="J1137" s="45" t="inlineStr">
        <is>
          <t>RNCP38550</t>
        </is>
      </c>
      <c r="K1137" s="45" t="inlineStr">
        <is>
          <t>Tailleur de pierre</t>
        </is>
      </c>
      <c r="L1137" s="45" t="inlineStr">
        <is>
          <t>23/03/2029</t>
        </is>
      </c>
      <c r="M1137" s="45" t="inlineStr">
        <is>
          <t>45502 (Taille pierre) ; 22354 (Bâtiment gros oeuvre)</t>
        </is>
      </c>
      <c r="N1137" s="50" t="inlineStr">
        <is>
          <t>NON</t>
        </is>
      </c>
      <c r="O1137" s="45" t="inlineStr"/>
    </row>
    <row r="1138" customFormat="1" s="3">
      <c r="A1138" s="45" t="n"/>
      <c r="B1138" s="46" t="inlineStr">
        <is>
          <t>22374</t>
        </is>
      </c>
      <c r="C1138" s="46">
        <f>LEFT(Tableau1[[#This Row],[Formacode]],3)</f>
        <v/>
      </c>
      <c r="D1138" s="47" t="n">
        <v>38578</v>
      </c>
      <c r="E1138" s="48">
        <f>"RNCP"&amp;D1138</f>
        <v/>
      </c>
      <c r="F1138" s="48" t="inlineStr">
        <is>
          <t>BTS - Systèmes constructifs bois et habitat</t>
        </is>
      </c>
      <c r="G1138" s="49">
        <f>E1138&amp;" - "&amp;F1138</f>
        <v/>
      </c>
      <c r="H1138" s="36" t="inlineStr">
        <is>
          <t>RAS</t>
        </is>
      </c>
      <c r="I1138" s="45" t="inlineStr"/>
      <c r="J1138" s="45" t="inlineStr">
        <is>
          <t>RNCP38578</t>
        </is>
      </c>
      <c r="K1138" s="45" t="inlineStr">
        <is>
          <t>Systèmes constructifs bois et habitat</t>
        </is>
      </c>
      <c r="L1138" s="45" t="inlineStr">
        <is>
          <t>31/08/2029</t>
        </is>
      </c>
      <c r="M1138" s="45" t="inlineStr">
        <is>
          <t>22396 (Construction bois) ; 22294 (Conduite chantier BTP)</t>
        </is>
      </c>
      <c r="N1138" s="50" t="inlineStr">
        <is>
          <t>NON</t>
        </is>
      </c>
      <c r="O1138" s="45" t="inlineStr"/>
    </row>
    <row r="1139" customFormat="1" s="3">
      <c r="A1139" s="45" t="n"/>
      <c r="B1139" s="46" t="inlineStr">
        <is>
          <t>22374</t>
        </is>
      </c>
      <c r="C1139" s="46">
        <f>LEFT(Tableau1[[#This Row],[Formacode]],3)</f>
        <v/>
      </c>
      <c r="D1139" s="47" t="n">
        <v>38719</v>
      </c>
      <c r="E1139" s="48">
        <f>"RNCP"&amp;D1139</f>
        <v/>
      </c>
      <c r="F1139" s="48" t="inlineStr">
        <is>
          <t>TP - Métallier</t>
        </is>
      </c>
      <c r="G1139" s="49">
        <f>E1139&amp;" - "&amp;F1139</f>
        <v/>
      </c>
      <c r="H1139" s="36" t="inlineStr">
        <is>
          <t>RAS</t>
        </is>
      </c>
      <c r="I1139" s="45" t="inlineStr"/>
      <c r="J1139" s="45" t="inlineStr">
        <is>
          <t>RNCP38719</t>
        </is>
      </c>
      <c r="K1139" s="45" t="inlineStr">
        <is>
          <t>Métallier</t>
        </is>
      </c>
      <c r="L1139" s="45" t="inlineStr">
        <is>
          <t>24/07/2029</t>
        </is>
      </c>
      <c r="M1139" s="45" t="inlineStr">
        <is>
          <t>22387 (Construction métallique)</t>
        </is>
      </c>
      <c r="N1139" s="50" t="inlineStr">
        <is>
          <t>NON</t>
        </is>
      </c>
      <c r="O1139" s="45" t="inlineStr"/>
    </row>
    <row r="1140" customFormat="1" s="3">
      <c r="A1140" s="45" t="n"/>
      <c r="B1140" s="46" t="inlineStr">
        <is>
          <t>22374</t>
        </is>
      </c>
      <c r="C1140" s="46">
        <f>LEFT(Tableau1[[#This Row],[Formacode]],3)</f>
        <v/>
      </c>
      <c r="D1140" s="47" t="n">
        <v>38721</v>
      </c>
      <c r="E1140" s="48">
        <f>"RNCP"&amp;D1140</f>
        <v/>
      </c>
      <c r="F1140" s="48" t="inlineStr">
        <is>
          <t>TP - Chef de chantier gros œuvre</t>
        </is>
      </c>
      <c r="G1140" s="49">
        <f>E1140&amp;" - "&amp;F1140</f>
        <v/>
      </c>
      <c r="H1140" s="36" t="inlineStr">
        <is>
          <t>RAS</t>
        </is>
      </c>
      <c r="I1140" s="45" t="inlineStr"/>
      <c r="J1140" s="45" t="inlineStr">
        <is>
          <t>RNCP38721</t>
        </is>
      </c>
      <c r="K1140" s="45" t="inlineStr">
        <is>
          <t>Chef de chantier gros œuvre</t>
        </is>
      </c>
      <c r="L1140" s="45" t="inlineStr">
        <is>
          <t>20/04/2029</t>
        </is>
      </c>
      <c r="M1140" s="45" t="inlineStr">
        <is>
          <t>22294 (Conduite chantier BTP) ; 22354 (Bâtiment gros oeuvre)</t>
        </is>
      </c>
      <c r="N1140" s="50" t="inlineStr">
        <is>
          <t>NON</t>
        </is>
      </c>
      <c r="O1140" s="45" t="inlineStr"/>
    </row>
    <row r="1141" customFormat="1" s="3">
      <c r="A1141" s="45" t="n"/>
      <c r="B1141" s="46" t="inlineStr">
        <is>
          <t>22374</t>
        </is>
      </c>
      <c r="C1141" s="46">
        <f>LEFT(Tableau1[[#This Row],[Formacode]],3)</f>
        <v/>
      </c>
      <c r="D1141" s="47" t="n">
        <v>38746</v>
      </c>
      <c r="E1141" s="48">
        <f>"RNCP"&amp;D1141</f>
        <v/>
      </c>
      <c r="F1141" s="48" t="inlineStr">
        <is>
          <t>TP - Chef d'équipe gros œuvre</t>
        </is>
      </c>
      <c r="G1141" s="49">
        <f>E1141&amp;" - "&amp;F1141</f>
        <v/>
      </c>
      <c r="H1141" s="36" t="inlineStr">
        <is>
          <t>RAS</t>
        </is>
      </c>
      <c r="I1141" s="45" t="inlineStr"/>
      <c r="J1141" s="45" t="inlineStr">
        <is>
          <t>RNCP38746</t>
        </is>
      </c>
      <c r="K1141" s="45" t="inlineStr">
        <is>
          <t>Chef d'équipe gros œuvre</t>
        </is>
      </c>
      <c r="L1141" s="45" t="inlineStr">
        <is>
          <t>21/10/2029</t>
        </is>
      </c>
      <c r="M1141" s="45" t="inlineStr">
        <is>
          <t>22294 (Conduite chantier BTP) ; 22354 (Bâtiment gros oeuvre)</t>
        </is>
      </c>
      <c r="N1141" s="50" t="inlineStr">
        <is>
          <t>NON</t>
        </is>
      </c>
      <c r="O1141" s="45" t="inlineStr"/>
    </row>
    <row r="1142" customFormat="1" s="3">
      <c r="A1142" s="45" t="n"/>
      <c r="B1142" s="46" t="inlineStr">
        <is>
          <t>22374</t>
        </is>
      </c>
      <c r="C1142" s="46">
        <f>LEFT(Tableau1[[#This Row],[Formacode]],3)</f>
        <v/>
      </c>
      <c r="D1142" s="47" t="n">
        <v>38749</v>
      </c>
      <c r="E1142" s="48">
        <f>"RNCP"&amp;D1142</f>
        <v/>
      </c>
      <c r="F1142" s="48" t="inlineStr">
        <is>
          <t>TP - Assistant chef de chantier gros œuvre</t>
        </is>
      </c>
      <c r="G1142" s="49">
        <f>E1142&amp;" - "&amp;F1142</f>
        <v/>
      </c>
      <c r="H1142" s="36" t="inlineStr">
        <is>
          <t>RAS</t>
        </is>
      </c>
      <c r="I1142" s="45" t="inlineStr"/>
      <c r="J1142" s="45" t="inlineStr">
        <is>
          <t>RNCP38749</t>
        </is>
      </c>
      <c r="K1142" s="45" t="inlineStr">
        <is>
          <t>Assistant chef de chantier gros œuvre</t>
        </is>
      </c>
      <c r="L1142" s="45" t="inlineStr">
        <is>
          <t>16/07/2029</t>
        </is>
      </c>
      <c r="M1142" s="45" t="inlineStr">
        <is>
          <t>22294 (Conduite chantier BTP) ; 22395 (Construction béton)</t>
        </is>
      </c>
      <c r="N1142" s="50" t="inlineStr">
        <is>
          <t>NON</t>
        </is>
      </c>
      <c r="O1142" s="45" t="inlineStr"/>
    </row>
    <row r="1143" customFormat="1" s="3">
      <c r="A1143" s="45" t="n"/>
      <c r="B1143" s="46" t="inlineStr">
        <is>
          <t>22374</t>
        </is>
      </c>
      <c r="C1143" s="46">
        <f>LEFT(Tableau1[[#This Row],[Formacode]],3)</f>
        <v/>
      </c>
      <c r="D1143" s="47" t="n">
        <v>38882</v>
      </c>
      <c r="E1143" s="48">
        <f>"RNCP"&amp;D1143</f>
        <v/>
      </c>
      <c r="F1143" s="48" t="inlineStr">
        <is>
          <t>BTS - Développement et réalisation bois</t>
        </is>
      </c>
      <c r="G1143" s="49">
        <f>E1143&amp;" - "&amp;F1143</f>
        <v/>
      </c>
      <c r="H1143" s="36" t="inlineStr">
        <is>
          <t>RAS</t>
        </is>
      </c>
      <c r="I1143" s="45" t="inlineStr"/>
      <c r="J1143" s="45" t="inlineStr">
        <is>
          <t>RNCP38882</t>
        </is>
      </c>
      <c r="K1143" s="45" t="inlineStr">
        <is>
          <t>Développement et réalisation bois</t>
        </is>
      </c>
      <c r="L1143" s="45" t="inlineStr">
        <is>
          <t>31/08/2029</t>
        </is>
      </c>
      <c r="M1143" s="45" t="inlineStr">
        <is>
          <t>22396 (Construction bois) ; 22416 (Menuiserie bois)</t>
        </is>
      </c>
      <c r="N1143" s="50" t="inlineStr">
        <is>
          <t>NON</t>
        </is>
      </c>
      <c r="O1143" s="45" t="inlineStr"/>
    </row>
    <row r="1144" customFormat="1" s="3">
      <c r="A1144" s="45" t="n"/>
      <c r="B1144" s="46" t="inlineStr">
        <is>
          <t>22374</t>
        </is>
      </c>
      <c r="C1144" s="46">
        <f>LEFT(Tableau1[[#This Row],[Formacode]],3)</f>
        <v/>
      </c>
      <c r="D1144" s="47" t="n">
        <v>39642</v>
      </c>
      <c r="E1144" s="48">
        <f>"RNCP"&amp;D1144</f>
        <v/>
      </c>
      <c r="F1144" s="48" t="inlineStr">
        <is>
          <t>CQP Scieur carotteur de béton</t>
        </is>
      </c>
      <c r="G1144" s="49">
        <f>E1144&amp;" - "&amp;F1144</f>
        <v/>
      </c>
      <c r="H1144" s="36" t="inlineStr">
        <is>
          <t>RAS</t>
        </is>
      </c>
      <c r="I1144" s="45" t="inlineStr"/>
      <c r="J1144" s="45" t="inlineStr">
        <is>
          <t>RNCP39642</t>
        </is>
      </c>
      <c r="K1144" s="45" t="inlineStr">
        <is>
          <t>CQP Scieur carotteur de béton</t>
        </is>
      </c>
      <c r="L1144" s="45" t="inlineStr">
        <is>
          <t>01/10/2029</t>
        </is>
      </c>
      <c r="M1144" s="45" t="inlineStr">
        <is>
          <t>22861 (Béton) ; 22378 (Réhabilitation bâtiment) ; 22485 (Rénovation bâtiment) ; 22395 (Construction béton)</t>
        </is>
      </c>
      <c r="N1144" s="50" t="inlineStr">
        <is>
          <t>NON</t>
        </is>
      </c>
      <c r="O1144" s="45" t="inlineStr"/>
    </row>
    <row r="1145" customFormat="1" s="3">
      <c r="A1145" s="51" t="n"/>
      <c r="B1145" s="52" t="inlineStr">
        <is>
          <t>22374</t>
        </is>
      </c>
      <c r="C1145" s="52">
        <f>LEFT(Tableau1[[#This Row],[Formacode]],3)</f>
        <v/>
      </c>
      <c r="D1145" s="53" t="n">
        <v>40217</v>
      </c>
      <c r="E1145" s="54">
        <f>"RNCP"&amp;D1145</f>
        <v/>
      </c>
      <c r="F1145" s="54" t="inlineStr">
        <is>
          <t>TP - Conducteur de travaux du bâtiment et du génie civil</t>
        </is>
      </c>
      <c r="G1145" s="55">
        <f>E1145&amp;" - "&amp;F1145</f>
        <v/>
      </c>
      <c r="H1145" s="37" t="inlineStr">
        <is>
          <t>À vérifier</t>
        </is>
      </c>
      <c r="I1145" s="51" t="inlineStr">
        <is>
          <t>Échéance le 20/10/2026 (dans 94 j)</t>
        </is>
      </c>
      <c r="J1145" s="51" t="inlineStr">
        <is>
          <t>RNCP40217</t>
        </is>
      </c>
      <c r="K1145" s="51" t="inlineStr">
        <is>
          <t>Conducteur de travaux du bâtiment et du génie civil</t>
        </is>
      </c>
      <c r="L1145" s="51" t="inlineStr">
        <is>
          <t>20/10/2026</t>
        </is>
      </c>
      <c r="M1145" s="51" t="inlineStr">
        <is>
          <t>22293 (Conduite travaux BTP) ; 22054 (Travaux publics) ; 22354 (Bâtiment gros oeuvre)</t>
        </is>
      </c>
      <c r="N1145" s="62" t="inlineStr">
        <is>
          <t>NON</t>
        </is>
      </c>
      <c r="O1145" s="51" t="inlineStr"/>
    </row>
    <row r="1146" customFormat="1" s="3">
      <c r="A1146" s="45" t="n"/>
      <c r="B1146" s="46" t="inlineStr">
        <is>
          <t>22374</t>
        </is>
      </c>
      <c r="C1146" s="46">
        <f>LEFT(Tableau1[[#This Row],[Formacode]],3)</f>
        <v/>
      </c>
      <c r="D1146" s="47" t="n">
        <v>40335</v>
      </c>
      <c r="E1146" s="48">
        <f>"RNCP"&amp;D1146</f>
        <v/>
      </c>
      <c r="F1146" s="48" t="inlineStr">
        <is>
          <t>CAP - Constructeur d'ouvrages en béton armé</t>
        </is>
      </c>
      <c r="G1146" s="49">
        <f>E1146&amp;" - "&amp;F1146</f>
        <v/>
      </c>
      <c r="H1146" s="36" t="inlineStr">
        <is>
          <t>RAS</t>
        </is>
      </c>
      <c r="I1146" s="45" t="inlineStr"/>
      <c r="J1146" s="45" t="inlineStr">
        <is>
          <t>RNCP40335</t>
        </is>
      </c>
      <c r="K1146" s="45" t="inlineStr">
        <is>
          <t>Constructeur d'ouvrages en béton armé</t>
        </is>
      </c>
      <c r="L1146" s="45" t="inlineStr">
        <is>
          <t>31/08/2030</t>
        </is>
      </c>
      <c r="M1146" s="45" t="inlineStr">
        <is>
          <t>22395 (Construction béton) ; 22860 (Béton armé)</t>
        </is>
      </c>
      <c r="N1146" s="50" t="inlineStr">
        <is>
          <t>NON</t>
        </is>
      </c>
      <c r="O1146" s="45" t="inlineStr"/>
    </row>
    <row r="1147" customFormat="1" s="3">
      <c r="A1147" s="45" t="n"/>
      <c r="B1147" s="46" t="inlineStr">
        <is>
          <t>22374</t>
        </is>
      </c>
      <c r="C1147" s="46">
        <f>LEFT(Tableau1[[#This Row],[Formacode]],3)</f>
        <v/>
      </c>
      <c r="D1147" s="47" t="n">
        <v>41334</v>
      </c>
      <c r="E1147" s="48">
        <f>"RNCP"&amp;D1147</f>
        <v/>
      </c>
      <c r="F1147" s="48" t="inlineStr">
        <is>
          <t>CQP Dessinateur d’études industrielles</t>
        </is>
      </c>
      <c r="G1147" s="49">
        <f>E1147&amp;" - "&amp;F1147</f>
        <v/>
      </c>
      <c r="H1147" s="36" t="inlineStr">
        <is>
          <t>RAS</t>
        </is>
      </c>
      <c r="I1147" s="45" t="inlineStr"/>
      <c r="J1147" s="45" t="inlineStr">
        <is>
          <t>RNCP41334</t>
        </is>
      </c>
      <c r="K1147" s="45" t="inlineStr">
        <is>
          <t>CQP Dessinateur d’études industrielles</t>
        </is>
      </c>
      <c r="L1147" s="45" t="inlineStr">
        <is>
          <t>24/09/2030</t>
        </is>
      </c>
      <c r="M1147" s="45" t="inlineStr">
        <is>
          <t>31686 (Dessin industriel) ; 22398 (Dessin construction) ; 23692 (Dessin construction mécanique) ; 31684 (CAO)</t>
        </is>
      </c>
      <c r="N1147" s="50" t="inlineStr">
        <is>
          <t>NON</t>
        </is>
      </c>
      <c r="O1147" s="45" t="inlineStr"/>
    </row>
    <row r="1148" customFormat="1" s="3">
      <c r="A1148" s="45" t="n"/>
      <c r="B1148" s="46" t="inlineStr">
        <is>
          <t>22374</t>
        </is>
      </c>
      <c r="C1148" s="46">
        <f>LEFT(Tableau1[[#This Row],[Formacode]],3)</f>
        <v/>
      </c>
      <c r="D1148" s="47" t="n">
        <v>41531</v>
      </c>
      <c r="E1148" s="48">
        <f>"RNCP"&amp;D1148</f>
        <v/>
      </c>
      <c r="F1148" s="48" t="inlineStr">
        <is>
          <t>TP - Technicien d'études en construction bois</t>
        </is>
      </c>
      <c r="G1148" s="49">
        <f>E1148&amp;" - "&amp;F1148</f>
        <v/>
      </c>
      <c r="H1148" s="36" t="inlineStr">
        <is>
          <t>RAS</t>
        </is>
      </c>
      <c r="I1148" s="45" t="inlineStr"/>
      <c r="J1148" s="45" t="inlineStr">
        <is>
          <t>RNCP41531</t>
        </is>
      </c>
      <c r="K1148" s="45" t="inlineStr">
        <is>
          <t>Technicien d'études en construction bois</t>
        </is>
      </c>
      <c r="L1148" s="45" t="inlineStr">
        <is>
          <t>28/12/2030</t>
        </is>
      </c>
      <c r="M1148" s="45" t="inlineStr">
        <is>
          <t>22252 (Dessin BTP) ; 22396 (Construction bois)</t>
        </is>
      </c>
      <c r="N1148" s="50" t="inlineStr">
        <is>
          <t>NON</t>
        </is>
      </c>
      <c r="O1148" s="45" t="inlineStr"/>
    </row>
    <row r="1149" customFormat="1" s="3">
      <c r="A1149" s="63" t="n"/>
      <c r="B1149" s="64" t="inlineStr">
        <is>
          <t>22411</t>
        </is>
      </c>
      <c r="C1149" s="64">
        <f>LEFT(Tableau1[[#This Row],[Formacode]],3)</f>
        <v/>
      </c>
      <c r="D1149" s="65" t="n">
        <v>35723</v>
      </c>
      <c r="E1149" s="66">
        <f>"RNCP"&amp;D1149</f>
        <v/>
      </c>
      <c r="F1149" s="66" t="inlineStr">
        <is>
          <t>TP - Monteur en calorifuge industriel</t>
        </is>
      </c>
      <c r="G1149" s="67">
        <f>E1149&amp;" - "&amp;F1149</f>
        <v/>
      </c>
      <c r="H1149" s="38" t="inlineStr">
        <is>
          <t>Expiré / remplacé</t>
        </is>
      </c>
      <c r="I1149" s="63" t="inlineStr">
        <is>
          <t>Fiche inactive (échéance 29/06/2026) — aucun successeur publié</t>
        </is>
      </c>
      <c r="J1149" s="63" t="inlineStr">
        <is>
          <t>RNCP35723</t>
        </is>
      </c>
      <c r="K1149" s="63" t="inlineStr">
        <is>
          <t>Monteur en calorifuge industriel</t>
        </is>
      </c>
      <c r="L1149" s="63" t="inlineStr">
        <is>
          <t>29/06/2026</t>
        </is>
      </c>
      <c r="M1149" s="63" t="inlineStr">
        <is>
          <t>22425 (Isolation thermique)</t>
        </is>
      </c>
      <c r="N1149" s="68" t="inlineStr">
        <is>
          <t>NON</t>
        </is>
      </c>
      <c r="O1149" s="63" t="inlineStr"/>
    </row>
    <row r="1150" customFormat="1" s="3">
      <c r="A1150" s="51" t="n"/>
      <c r="B1150" s="52" t="inlineStr">
        <is>
          <t>22411</t>
        </is>
      </c>
      <c r="C1150" s="52">
        <f>LEFT(Tableau1[[#This Row],[Formacode]],3)</f>
        <v/>
      </c>
      <c r="D1150" s="53" t="n">
        <v>35809</v>
      </c>
      <c r="E1150" s="54">
        <f>"RNCP"&amp;D1150</f>
        <v/>
      </c>
      <c r="F1150" s="54" t="inlineStr">
        <is>
          <t>BTS - Finition, aménagement des bâtiments : conception et réalisation</t>
        </is>
      </c>
      <c r="G1150" s="55">
        <f>E1150&amp;" - "&amp;F1150</f>
        <v/>
      </c>
      <c r="H1150" s="37" t="inlineStr">
        <is>
          <t>À vérifier</t>
        </is>
      </c>
      <c r="I1150" s="51" t="inlineStr">
        <is>
          <t>Successeur déjà publié : RNCP41827 (Finitions, aménagement des bâtiments : conception et réalisation) — préparer la bascule de l'offre CPF | Échéance le 31/08/2026 (dans 44 j)</t>
        </is>
      </c>
      <c r="J1150" s="51" t="inlineStr">
        <is>
          <t>RNCP41827</t>
        </is>
      </c>
      <c r="K1150" s="51" t="inlineStr">
        <is>
          <t>Finitions, aménagement des bâtiments : conception et réalisation</t>
        </is>
      </c>
      <c r="L1150" s="51" t="inlineStr">
        <is>
          <t>31/08/2026</t>
        </is>
      </c>
      <c r="M1150" s="51" t="inlineStr">
        <is>
          <t>22274 (Chantier BTP) ; 22248 (Gestion entreprise BTP)</t>
        </is>
      </c>
      <c r="N1150" s="62" t="inlineStr">
        <is>
          <t>NON</t>
        </is>
      </c>
      <c r="O1150" s="51" t="inlineStr"/>
    </row>
    <row r="1151" customFormat="1" s="3">
      <c r="A1151" s="51" t="n"/>
      <c r="B1151" s="52" t="inlineStr">
        <is>
          <t>22411</t>
        </is>
      </c>
      <c r="C1151" s="52">
        <f>LEFT(Tableau1[[#This Row],[Formacode]],3)</f>
        <v/>
      </c>
      <c r="D1151" s="53" t="n">
        <v>35889</v>
      </c>
      <c r="E1151" s="54">
        <f>"RNCP"&amp;D1151</f>
        <v/>
      </c>
      <c r="F1151" s="54" t="inlineStr">
        <is>
          <t>CAP - Couvreur</t>
        </is>
      </c>
      <c r="G1151" s="55">
        <f>E1151&amp;" - "&amp;F1151</f>
        <v/>
      </c>
      <c r="H1151" s="37" t="inlineStr">
        <is>
          <t>À vérifier</t>
        </is>
      </c>
      <c r="I1151" s="51" t="inlineStr">
        <is>
          <t>Successeur déjà publié : RNCP41834 (Couvreur) — préparer la bascule de l'offre CPF | Échéance le 31/08/2026 (dans 44 j)</t>
        </is>
      </c>
      <c r="J1151" s="51" t="inlineStr">
        <is>
          <t>RNCP41834</t>
        </is>
      </c>
      <c r="K1151" s="51" t="inlineStr">
        <is>
          <t>Couvreur</t>
        </is>
      </c>
      <c r="L1151" s="51" t="inlineStr">
        <is>
          <t>31/08/2026</t>
        </is>
      </c>
      <c r="M1151" s="51" t="inlineStr">
        <is>
          <t>22437 (Couverture)</t>
        </is>
      </c>
      <c r="N1151" s="62" t="inlineStr">
        <is>
          <t>NON</t>
        </is>
      </c>
      <c r="O1151" s="51" t="inlineStr"/>
    </row>
    <row r="1152" customFormat="1" s="3">
      <c r="A1152" s="45" t="n"/>
      <c r="B1152" s="46" t="inlineStr">
        <is>
          <t>22411</t>
        </is>
      </c>
      <c r="C1152" s="46">
        <f>LEFT(Tableau1[[#This Row],[Formacode]],3)</f>
        <v/>
      </c>
      <c r="D1152" s="47" t="n">
        <v>36101</v>
      </c>
      <c r="E1152" s="48">
        <f>"RNCP"&amp;D1152</f>
        <v/>
      </c>
      <c r="F1152" s="48" t="inlineStr">
        <is>
          <t>TP - Couvreur-zingueur</t>
        </is>
      </c>
      <c r="G1152" s="49">
        <f>E1152&amp;" - "&amp;F1152</f>
        <v/>
      </c>
      <c r="H1152" s="36" t="inlineStr">
        <is>
          <t>RAS</t>
        </is>
      </c>
      <c r="I1152" s="45" t="inlineStr"/>
      <c r="J1152" s="45" t="inlineStr">
        <is>
          <t>RNCP36101</t>
        </is>
      </c>
      <c r="K1152" s="45" t="inlineStr">
        <is>
          <t>Couvreur-zingueur</t>
        </is>
      </c>
      <c r="L1152" s="45" t="inlineStr">
        <is>
          <t>06/03/2027</t>
        </is>
      </c>
      <c r="M1152" s="45" t="inlineStr">
        <is>
          <t>22437 (Couverture)</t>
        </is>
      </c>
      <c r="N1152" s="50" t="inlineStr">
        <is>
          <t>NON</t>
        </is>
      </c>
      <c r="O1152" s="45" t="inlineStr"/>
    </row>
    <row r="1153" customFormat="1" s="3">
      <c r="A1153" s="45" t="n"/>
      <c r="B1153" s="46" t="inlineStr">
        <is>
          <t>22411</t>
        </is>
      </c>
      <c r="C1153" s="46">
        <f>LEFT(Tableau1[[#This Row],[Formacode]],3)</f>
        <v/>
      </c>
      <c r="D1153" s="47" t="n">
        <v>36230</v>
      </c>
      <c r="E1153" s="48">
        <f>"RNCP"&amp;D1153</f>
        <v/>
      </c>
      <c r="F1153" s="48" t="inlineStr">
        <is>
          <t>CQP Étancheur sur béton avec revêtement bitumineux</t>
        </is>
      </c>
      <c r="G1153" s="49">
        <f>E1153&amp;" - "&amp;F1153</f>
        <v/>
      </c>
      <c r="H1153" s="36" t="inlineStr">
        <is>
          <t>RAS</t>
        </is>
      </c>
      <c r="I1153" s="45" t="inlineStr"/>
      <c r="J1153" s="45" t="inlineStr">
        <is>
          <t>RNCP36230</t>
        </is>
      </c>
      <c r="K1153" s="45" t="inlineStr">
        <is>
          <t>CQP Étancheur sur béton avec revêtement bitumineux</t>
        </is>
      </c>
      <c r="L1153" s="45" t="inlineStr">
        <is>
          <t>25/02/2027</t>
        </is>
      </c>
      <c r="M1153" s="45" t="inlineStr">
        <is>
          <t>22421 (Étanchéité)</t>
        </is>
      </c>
      <c r="N1153" s="50" t="inlineStr">
        <is>
          <t>NON</t>
        </is>
      </c>
      <c r="O1153" s="45" t="inlineStr"/>
    </row>
    <row r="1154" customFormat="1" s="3">
      <c r="A1154" s="45" t="n"/>
      <c r="B1154" s="46" t="inlineStr">
        <is>
          <t>22411</t>
        </is>
      </c>
      <c r="C1154" s="46">
        <f>LEFT(Tableau1[[#This Row],[Formacode]],3)</f>
        <v/>
      </c>
      <c r="D1154" s="47" t="n">
        <v>36475</v>
      </c>
      <c r="E1154" s="48">
        <f>"RNCP"&amp;D1154</f>
        <v/>
      </c>
      <c r="F1154" s="48" t="inlineStr">
        <is>
          <t>CQP Étancheur aéronautique</t>
        </is>
      </c>
      <c r="G1154" s="49">
        <f>E1154&amp;" - "&amp;F1154</f>
        <v/>
      </c>
      <c r="H1154" s="36" t="inlineStr">
        <is>
          <t>RAS</t>
        </is>
      </c>
      <c r="I1154" s="45" t="inlineStr"/>
      <c r="J1154" s="45" t="inlineStr">
        <is>
          <t>RNCP36475</t>
        </is>
      </c>
      <c r="K1154" s="45" t="inlineStr">
        <is>
          <t>CQP Étancheur aéronautique</t>
        </is>
      </c>
      <c r="L1154" s="45" t="inlineStr">
        <is>
          <t>01/06/2027</t>
        </is>
      </c>
      <c r="M1154" s="45" t="inlineStr">
        <is>
          <t>22421 (Étanchéité) ; 23613 (Construction aéronautique)</t>
        </is>
      </c>
      <c r="N1154" s="50" t="inlineStr">
        <is>
          <t>NON</t>
        </is>
      </c>
      <c r="O1154" s="45" t="inlineStr"/>
    </row>
    <row r="1155" customFormat="1" s="3">
      <c r="A1155" s="45" t="n"/>
      <c r="B1155" s="46" t="inlineStr">
        <is>
          <t>22411</t>
        </is>
      </c>
      <c r="C1155" s="46">
        <f>LEFT(Tableau1[[#This Row],[Formacode]],3)</f>
        <v/>
      </c>
      <c r="D1155" s="47" t="n">
        <v>37495</v>
      </c>
      <c r="E1155" s="48">
        <f>"RNCP"&amp;D1155</f>
        <v/>
      </c>
      <c r="F1155" s="48" t="inlineStr">
        <is>
          <t>BTS - Enveloppe des bâtiments : conception et réalisation</t>
        </is>
      </c>
      <c r="G1155" s="49">
        <f>E1155&amp;" - "&amp;F1155</f>
        <v/>
      </c>
      <c r="H1155" s="36" t="inlineStr">
        <is>
          <t>RAS</t>
        </is>
      </c>
      <c r="I1155" s="45" t="inlineStr"/>
      <c r="J1155" s="45" t="inlineStr">
        <is>
          <t>RNCP37495</t>
        </is>
      </c>
      <c r="K1155" s="45" t="inlineStr">
        <is>
          <t>Enveloppe des bâtiments : conception et réalisation</t>
        </is>
      </c>
      <c r="L1155" s="45" t="inlineStr">
        <is>
          <t>31/12/2028</t>
        </is>
      </c>
      <c r="M1155" s="45" t="inlineStr">
        <is>
          <t>22411 (Enveloppe bâtiment)</t>
        </is>
      </c>
      <c r="N1155" s="50" t="inlineStr">
        <is>
          <t>NON</t>
        </is>
      </c>
      <c r="O1155" s="45" t="inlineStr"/>
    </row>
    <row r="1156" customFormat="1" s="3">
      <c r="A1156" s="45" t="n"/>
      <c r="B1156" s="46" t="inlineStr">
        <is>
          <t>22411</t>
        </is>
      </c>
      <c r="C1156" s="46">
        <f>LEFT(Tableau1[[#This Row],[Formacode]],3)</f>
        <v/>
      </c>
      <c r="D1156" s="47" t="n">
        <v>37701</v>
      </c>
      <c r="E1156" s="48">
        <f>"RNCP"&amp;D1156</f>
        <v/>
      </c>
      <c r="F1156" s="48" t="inlineStr">
        <is>
          <t>TP - Etancheur toiture bâtiment</t>
        </is>
      </c>
      <c r="G1156" s="49">
        <f>E1156&amp;" - "&amp;F1156</f>
        <v/>
      </c>
      <c r="H1156" s="36" t="inlineStr">
        <is>
          <t>RAS</t>
        </is>
      </c>
      <c r="I1156" s="45" t="inlineStr"/>
      <c r="J1156" s="45" t="inlineStr">
        <is>
          <t>RNCP37701</t>
        </is>
      </c>
      <c r="K1156" s="45" t="inlineStr">
        <is>
          <t>Etancheur toiture bâtiment</t>
        </is>
      </c>
      <c r="L1156" s="45" t="inlineStr">
        <is>
          <t>29/06/2028</t>
        </is>
      </c>
      <c r="M1156" s="45" t="inlineStr">
        <is>
          <t>22421 (Étanchéité)</t>
        </is>
      </c>
      <c r="N1156" s="50" t="inlineStr">
        <is>
          <t>NON</t>
        </is>
      </c>
      <c r="O1156" s="45" t="inlineStr"/>
    </row>
    <row r="1157" customFormat="1" s="3">
      <c r="A1157" s="45" t="n"/>
      <c r="B1157" s="46" t="inlineStr">
        <is>
          <t>22411</t>
        </is>
      </c>
      <c r="C1157" s="46">
        <f>LEFT(Tableau1[[#This Row],[Formacode]],3)</f>
        <v/>
      </c>
      <c r="D1157" s="47" t="n">
        <v>37892</v>
      </c>
      <c r="E1157" s="48">
        <f>"RNCP"&amp;D1157</f>
        <v/>
      </c>
      <c r="F1157" s="48" t="inlineStr">
        <is>
          <t>CAP - Etancheur du bâtiment et des travaux publics</t>
        </is>
      </c>
      <c r="G1157" s="49">
        <f>E1157&amp;" - "&amp;F1157</f>
        <v/>
      </c>
      <c r="H1157" s="36" t="inlineStr">
        <is>
          <t>RAS</t>
        </is>
      </c>
      <c r="I1157" s="45" t="inlineStr"/>
      <c r="J1157" s="45" t="inlineStr">
        <is>
          <t>RNCP37892</t>
        </is>
      </c>
      <c r="K1157" s="45" t="inlineStr">
        <is>
          <t>Etancheur du bâtiment et des travaux publics</t>
        </is>
      </c>
      <c r="L1157" s="45" t="inlineStr">
        <is>
          <t>31/08/2028</t>
        </is>
      </c>
      <c r="M1157" s="45" t="inlineStr">
        <is>
          <t>22421 (Étanchéité)</t>
        </is>
      </c>
      <c r="N1157" s="50" t="inlineStr">
        <is>
          <t>NON</t>
        </is>
      </c>
      <c r="O1157" s="45" t="inlineStr"/>
    </row>
    <row r="1158" customFormat="1" s="3">
      <c r="A1158" s="45" t="n"/>
      <c r="B1158" s="46" t="inlineStr">
        <is>
          <t>22411</t>
        </is>
      </c>
      <c r="C1158" s="46">
        <f>LEFT(Tableau1[[#This Row],[Formacode]],3)</f>
        <v/>
      </c>
      <c r="D1158" s="47" t="n">
        <v>37893</v>
      </c>
      <c r="E1158" s="48">
        <f>"RNCP"&amp;D1158</f>
        <v/>
      </c>
      <c r="F1158" s="48" t="inlineStr">
        <is>
          <t>CAP - Menuisier aluminium-verre</t>
        </is>
      </c>
      <c r="G1158" s="49">
        <f>E1158&amp;" - "&amp;F1158</f>
        <v/>
      </c>
      <c r="H1158" s="36" t="inlineStr">
        <is>
          <t>RAS</t>
        </is>
      </c>
      <c r="I1158" s="45" t="inlineStr"/>
      <c r="J1158" s="45" t="inlineStr">
        <is>
          <t>RNCP37893</t>
        </is>
      </c>
      <c r="K1158" s="45" t="inlineStr">
        <is>
          <t>Menuisier aluminium-verre</t>
        </is>
      </c>
      <c r="L1158" s="45" t="inlineStr">
        <is>
          <t>31/07/2028</t>
        </is>
      </c>
      <c r="M1158" s="45" t="inlineStr">
        <is>
          <t>22468 (Menuiserie aluminium) ; 22434 (Vitrerie miroiterie)</t>
        </is>
      </c>
      <c r="N1158" s="50" t="inlineStr">
        <is>
          <t>NON</t>
        </is>
      </c>
      <c r="O1158" s="45" t="inlineStr"/>
    </row>
    <row r="1159" customFormat="1" s="3">
      <c r="A1159" s="45" t="n"/>
      <c r="B1159" s="46" t="inlineStr">
        <is>
          <t>22411</t>
        </is>
      </c>
      <c r="C1159" s="46">
        <f>LEFT(Tableau1[[#This Row],[Formacode]],3)</f>
        <v/>
      </c>
      <c r="D1159" s="47" t="n">
        <v>37920</v>
      </c>
      <c r="E1159" s="48">
        <f>"RNCP"&amp;D1159</f>
        <v/>
      </c>
      <c r="F1159" s="48" t="inlineStr">
        <is>
          <t>CS - Zingueur</t>
        </is>
      </c>
      <c r="G1159" s="49">
        <f>E1159&amp;" - "&amp;F1159</f>
        <v/>
      </c>
      <c r="H1159" s="36" t="inlineStr">
        <is>
          <t>RAS</t>
        </is>
      </c>
      <c r="I1159" s="45" t="inlineStr"/>
      <c r="J1159" s="45" t="inlineStr">
        <is>
          <t>RNCP37920</t>
        </is>
      </c>
      <c r="K1159" s="45" t="inlineStr">
        <is>
          <t>Zingueur</t>
        </is>
      </c>
      <c r="L1159" s="45" t="inlineStr">
        <is>
          <t>31/08/2028</t>
        </is>
      </c>
      <c r="M1159" s="45" t="inlineStr">
        <is>
          <t>22439 (Zinguerie)</t>
        </is>
      </c>
      <c r="N1159" s="50" t="inlineStr">
        <is>
          <t>NON</t>
        </is>
      </c>
      <c r="O1159" s="45" t="inlineStr"/>
    </row>
    <row r="1160" customFormat="1" s="3">
      <c r="A1160" s="45" t="n"/>
      <c r="B1160" s="46" t="inlineStr">
        <is>
          <t>22411</t>
        </is>
      </c>
      <c r="C1160" s="46">
        <f>LEFT(Tableau1[[#This Row],[Formacode]],3)</f>
        <v/>
      </c>
      <c r="D1160" s="47" t="n">
        <v>38229</v>
      </c>
      <c r="E1160" s="48">
        <f>"RNCP"&amp;D1160</f>
        <v/>
      </c>
      <c r="F1160" s="48" t="inlineStr">
        <is>
          <t>BAC PRO - Aménagement et finition du bâtiment</t>
        </is>
      </c>
      <c r="G1160" s="49">
        <f>E1160&amp;" - "&amp;F1160</f>
        <v/>
      </c>
      <c r="H1160" s="36" t="inlineStr">
        <is>
          <t>RAS</t>
        </is>
      </c>
      <c r="I1160" s="45" t="inlineStr"/>
      <c r="J1160" s="45" t="inlineStr">
        <is>
          <t>RNCP38229</t>
        </is>
      </c>
      <c r="K1160" s="45" t="inlineStr">
        <is>
          <t>Aménagement et finition du bâtiment</t>
        </is>
      </c>
      <c r="L1160" s="45" t="inlineStr">
        <is>
          <t>31/08/2028</t>
        </is>
      </c>
      <c r="M1160" s="45" t="inlineStr">
        <is>
          <t>22334 (Maçonnerie) ; 22420 (Isolation bâtiment) ; 22434 (Vitrerie miroiterie) ; 22442 (Revêtement sol mur)</t>
        </is>
      </c>
      <c r="N1160" s="50" t="inlineStr">
        <is>
          <t>NON</t>
        </is>
      </c>
      <c r="O1160" s="45" t="inlineStr"/>
    </row>
    <row r="1161" customFormat="1" s="3">
      <c r="A1161" s="45" t="n"/>
      <c r="B1161" s="46" t="inlineStr">
        <is>
          <t>22411</t>
        </is>
      </c>
      <c r="C1161" s="46">
        <f>LEFT(Tableau1[[#This Row],[Formacode]],3)</f>
        <v/>
      </c>
      <c r="D1161" s="47" t="n">
        <v>38300</v>
      </c>
      <c r="E1161" s="48">
        <f>"RNCP"&amp;D1161</f>
        <v/>
      </c>
      <c r="F1161" s="48" t="inlineStr">
        <is>
          <t>BP - Etanchéité du bâtiment et des travaux publics</t>
        </is>
      </c>
      <c r="G1161" s="49">
        <f>E1161&amp;" - "&amp;F1161</f>
        <v/>
      </c>
      <c r="H1161" s="36" t="inlineStr">
        <is>
          <t>RAS</t>
        </is>
      </c>
      <c r="I1161" s="45" t="inlineStr"/>
      <c r="J1161" s="45" t="inlineStr">
        <is>
          <t>RNCP38300</t>
        </is>
      </c>
      <c r="K1161" s="45" t="inlineStr">
        <is>
          <t>Etanchéité du bâtiment et des travaux publics</t>
        </is>
      </c>
      <c r="L1161" s="45" t="inlineStr">
        <is>
          <t>31/08/2028</t>
        </is>
      </c>
      <c r="M1161" s="45" t="inlineStr">
        <is>
          <t>22437 (Couverture) ; 22421 (Étanchéité)</t>
        </is>
      </c>
      <c r="N1161" s="50" t="inlineStr">
        <is>
          <t>NON</t>
        </is>
      </c>
      <c r="O1161" s="45" t="inlineStr"/>
    </row>
    <row r="1162" customFormat="1" s="3">
      <c r="A1162" s="45" t="n"/>
      <c r="B1162" s="46" t="inlineStr">
        <is>
          <t>22411</t>
        </is>
      </c>
      <c r="C1162" s="46">
        <f>LEFT(Tableau1[[#This Row],[Formacode]],3)</f>
        <v/>
      </c>
      <c r="D1162" s="47" t="n">
        <v>38383</v>
      </c>
      <c r="E1162" s="48">
        <f>"RNCP"&amp;D1162</f>
        <v/>
      </c>
      <c r="F1162" s="48" t="inlineStr">
        <is>
          <t>BTS - Etude et réalisation d'agencement</t>
        </is>
      </c>
      <c r="G1162" s="49">
        <f>E1162&amp;" - "&amp;F1162</f>
        <v/>
      </c>
      <c r="H1162" s="36" t="inlineStr">
        <is>
          <t>RAS</t>
        </is>
      </c>
      <c r="I1162" s="45" t="inlineStr"/>
      <c r="J1162" s="45" t="inlineStr">
        <is>
          <t>RNCP38383</t>
        </is>
      </c>
      <c r="K1162" s="45" t="inlineStr">
        <is>
          <t>Etude et réalisation d'agencement</t>
        </is>
      </c>
      <c r="L1162" s="45" t="inlineStr">
        <is>
          <t>31/12/2028</t>
        </is>
      </c>
      <c r="M1162" s="45" t="inlineStr">
        <is>
          <t>45015 (Architecture intérieure) ; 22454 (Bâtiment second oeuvre)</t>
        </is>
      </c>
      <c r="N1162" s="50" t="inlineStr">
        <is>
          <t>NON</t>
        </is>
      </c>
      <c r="O1162" s="45" t="inlineStr"/>
    </row>
    <row r="1163" customFormat="1" s="3">
      <c r="A1163" s="45" t="n"/>
      <c r="B1163" s="46" t="inlineStr">
        <is>
          <t>22411</t>
        </is>
      </c>
      <c r="C1163" s="46">
        <f>LEFT(Tableau1[[#This Row],[Formacode]],3)</f>
        <v/>
      </c>
      <c r="D1163" s="47" t="n">
        <v>38723</v>
      </c>
      <c r="E1163" s="48">
        <f>"RNCP"&amp;D1163</f>
        <v/>
      </c>
      <c r="F1163" s="48" t="inlineStr">
        <is>
          <t>TP - Conducteur de travaux aménagement finitions</t>
        </is>
      </c>
      <c r="G1163" s="49">
        <f>E1163&amp;" - "&amp;F1163</f>
        <v/>
      </c>
      <c r="H1163" s="36" t="inlineStr">
        <is>
          <t>RAS</t>
        </is>
      </c>
      <c r="I1163" s="45" t="inlineStr"/>
      <c r="J1163" s="45" t="inlineStr">
        <is>
          <t>RNCP38723</t>
        </is>
      </c>
      <c r="K1163" s="45" t="inlineStr">
        <is>
          <t>Conducteur de travaux aménagement finitions</t>
        </is>
      </c>
      <c r="L1163" s="45" t="inlineStr">
        <is>
          <t>07/05/2029</t>
        </is>
      </c>
      <c r="M1163" s="45" t="inlineStr">
        <is>
          <t>22293 (Conduite travaux BTP) ; 22442 (Revêtement sol mur) ; 22485 (Rénovation bâtiment) ; 22411 (Enveloppe bâtiment)</t>
        </is>
      </c>
      <c r="N1163" s="50" t="inlineStr">
        <is>
          <t>NON</t>
        </is>
      </c>
      <c r="O1163" s="45" t="inlineStr"/>
    </row>
    <row r="1164" customFormat="1" s="3">
      <c r="A1164" s="51" t="n"/>
      <c r="B1164" s="52" t="inlineStr">
        <is>
          <t>22411</t>
        </is>
      </c>
      <c r="C1164" s="52">
        <f>LEFT(Tableau1[[#This Row],[Formacode]],3)</f>
        <v/>
      </c>
      <c r="D1164" s="53" t="n">
        <v>38725</v>
      </c>
      <c r="E1164" s="54">
        <f>"RNCP"&amp;D1164</f>
        <v/>
      </c>
      <c r="F1164" s="54" t="inlineStr">
        <is>
          <t>BP - Couvreur</t>
        </is>
      </c>
      <c r="G1164" s="55">
        <f>E1164&amp;" - "&amp;F1164</f>
        <v/>
      </c>
      <c r="H1164" s="37" t="inlineStr">
        <is>
          <t>À vérifier</t>
        </is>
      </c>
      <c r="I1164" s="51" t="inlineStr">
        <is>
          <t>Échéance le 31/12/2026 (dans 166 j)</t>
        </is>
      </c>
      <c r="J1164" s="51" t="inlineStr">
        <is>
          <t>RNCP38725</t>
        </is>
      </c>
      <c r="K1164" s="51" t="inlineStr">
        <is>
          <t>Couvreur</t>
        </is>
      </c>
      <c r="L1164" s="51" t="inlineStr">
        <is>
          <t>31/12/2026</t>
        </is>
      </c>
      <c r="M1164" s="51" t="inlineStr">
        <is>
          <t>22437 (Couverture)</t>
        </is>
      </c>
      <c r="N1164" s="62" t="inlineStr">
        <is>
          <t>NON</t>
        </is>
      </c>
      <c r="O1164" s="51" t="inlineStr"/>
    </row>
    <row r="1165" customFormat="1" s="3">
      <c r="A1165" s="45" t="n"/>
      <c r="B1165" s="46" t="inlineStr">
        <is>
          <t>22411</t>
        </is>
      </c>
      <c r="C1165" s="46">
        <f>LEFT(Tableau1[[#This Row],[Formacode]],3)</f>
        <v/>
      </c>
      <c r="D1165" s="47" t="n">
        <v>38747</v>
      </c>
      <c r="E1165" s="48">
        <f>"RNCP"&amp;D1165</f>
        <v/>
      </c>
      <c r="F1165" s="48" t="inlineStr">
        <is>
          <t>TP - Chef de chantier aménagement finitions</t>
        </is>
      </c>
      <c r="G1165" s="49">
        <f>E1165&amp;" - "&amp;F1165</f>
        <v/>
      </c>
      <c r="H1165" s="36" t="inlineStr">
        <is>
          <t>RAS</t>
        </is>
      </c>
      <c r="I1165" s="45" t="inlineStr"/>
      <c r="J1165" s="45" t="inlineStr">
        <is>
          <t>RNCP38747</t>
        </is>
      </c>
      <c r="K1165" s="45" t="inlineStr">
        <is>
          <t>Chef de chantier aménagement finitions</t>
        </is>
      </c>
      <c r="L1165" s="45" t="inlineStr">
        <is>
          <t>18/08/2029</t>
        </is>
      </c>
      <c r="M1165" s="45" t="inlineStr">
        <is>
          <t>22294 (Conduite chantier BTP) ; 22454 (Bâtiment second oeuvre)</t>
        </is>
      </c>
      <c r="N1165" s="50" t="inlineStr">
        <is>
          <t>NON</t>
        </is>
      </c>
      <c r="O1165" s="45" t="inlineStr"/>
    </row>
    <row r="1166" customFormat="1" s="3">
      <c r="A1166" s="45" t="n"/>
      <c r="B1166" s="46" t="inlineStr">
        <is>
          <t>22411</t>
        </is>
      </c>
      <c r="C1166" s="46">
        <f>LEFT(Tableau1[[#This Row],[Formacode]],3)</f>
        <v/>
      </c>
      <c r="D1166" s="47" t="n">
        <v>38751</v>
      </c>
      <c r="E1166" s="48">
        <f>"RNCP"&amp;D1166</f>
        <v/>
      </c>
      <c r="F1166" s="48" t="inlineStr">
        <is>
          <t>TP - Chef d'équipe en aménagement finitions</t>
        </is>
      </c>
      <c r="G1166" s="49">
        <f>E1166&amp;" - "&amp;F1166</f>
        <v/>
      </c>
      <c r="H1166" s="36" t="inlineStr">
        <is>
          <t>RAS</t>
        </is>
      </c>
      <c r="I1166" s="45" t="inlineStr"/>
      <c r="J1166" s="45" t="inlineStr">
        <is>
          <t>RNCP38751</t>
        </is>
      </c>
      <c r="K1166" s="45" t="inlineStr">
        <is>
          <t>Chef d'équipe en aménagement finitions</t>
        </is>
      </c>
      <c r="L1166" s="45" t="inlineStr">
        <is>
          <t>13/07/2029</t>
        </is>
      </c>
      <c r="M1166" s="45" t="inlineStr">
        <is>
          <t>22294 (Conduite chantier BTP) ; 22442 (Revêtement sol mur) ; 22411 (Enveloppe bâtiment) ; 22485 (Rénovation bâtiment)</t>
        </is>
      </c>
      <c r="N1166" s="50" t="inlineStr">
        <is>
          <t>NON</t>
        </is>
      </c>
      <c r="O1166" s="45" t="inlineStr"/>
    </row>
    <row r="1167" customFormat="1" s="3">
      <c r="A1167" s="45" t="n"/>
      <c r="B1167" s="46" t="inlineStr">
        <is>
          <t>22411</t>
        </is>
      </c>
      <c r="C1167" s="46">
        <f>LEFT(Tableau1[[#This Row],[Formacode]],3)</f>
        <v/>
      </c>
      <c r="D1167" s="47" t="n">
        <v>39032</v>
      </c>
      <c r="E1167" s="48">
        <f>"RNCP"&amp;D1167</f>
        <v/>
      </c>
      <c r="F1167" s="48" t="inlineStr">
        <is>
          <t>CAP - Métiers du plâtre et de l'isolation</t>
        </is>
      </c>
      <c r="G1167" s="49">
        <f>E1167&amp;" - "&amp;F1167</f>
        <v/>
      </c>
      <c r="H1167" s="36" t="inlineStr">
        <is>
          <t>RAS</t>
        </is>
      </c>
      <c r="I1167" s="45" t="inlineStr"/>
      <c r="J1167" s="45" t="inlineStr">
        <is>
          <t>RNCP39032</t>
        </is>
      </c>
      <c r="K1167" s="45" t="inlineStr">
        <is>
          <t>Métiers du plâtre et de l'isolation</t>
        </is>
      </c>
      <c r="L1167" s="45" t="inlineStr">
        <is>
          <t>31/08/2029</t>
        </is>
      </c>
      <c r="M1167" s="45" t="inlineStr">
        <is>
          <t>22403 (Plaque plâtre) ; 22420 (Isolation bâtiment)</t>
        </is>
      </c>
      <c r="N1167" s="50" t="inlineStr">
        <is>
          <t>NON</t>
        </is>
      </c>
      <c r="O1167" s="45" t="inlineStr"/>
    </row>
    <row r="1168" customFormat="1" s="3">
      <c r="A1168" s="45" t="n"/>
      <c r="B1168" s="46" t="inlineStr">
        <is>
          <t>22411</t>
        </is>
      </c>
      <c r="C1168" s="46">
        <f>LEFT(Tableau1[[#This Row],[Formacode]],3)</f>
        <v/>
      </c>
      <c r="D1168" s="47" t="n">
        <v>39357</v>
      </c>
      <c r="E1168" s="48">
        <f>"RNCP"&amp;D1168</f>
        <v/>
      </c>
      <c r="F1168" s="48" t="inlineStr">
        <is>
          <t>CQP Installateur mainteneur de système de pompe à chaleur</t>
        </is>
      </c>
      <c r="G1168" s="49">
        <f>E1168&amp;" - "&amp;F1168</f>
        <v/>
      </c>
      <c r="H1168" s="36" t="inlineStr">
        <is>
          <t>RAS</t>
        </is>
      </c>
      <c r="I1168" s="45" t="inlineStr"/>
      <c r="J1168" s="45" t="inlineStr">
        <is>
          <t>RNCP39357</t>
        </is>
      </c>
      <c r="K1168" s="45" t="inlineStr">
        <is>
          <t>CQP Installateur mainteneur de système de pompe à chaleur</t>
        </is>
      </c>
      <c r="L1168" s="45" t="inlineStr">
        <is>
          <t>19/07/2027</t>
        </is>
      </c>
      <c r="M1168" s="45" t="inlineStr">
        <is>
          <t>22675 (Pompe à chaleur) ; 22454 (Bâtiment second oeuvre) ; 22685 (Installation thermique sanitaire)</t>
        </is>
      </c>
      <c r="N1168" s="50" t="inlineStr">
        <is>
          <t>NON</t>
        </is>
      </c>
      <c r="O1168" s="45" t="inlineStr"/>
    </row>
    <row r="1169" ht="28.8" customFormat="1" customHeight="1" s="3">
      <c r="A1169" s="45" t="n"/>
      <c r="B1169" s="46" t="inlineStr">
        <is>
          <t>22411</t>
        </is>
      </c>
      <c r="C1169" s="46">
        <f>LEFT(Tableau1[[#This Row],[Formacode]],3)</f>
        <v/>
      </c>
      <c r="D1169" s="47" t="n">
        <v>39358</v>
      </c>
      <c r="E1169" s="48">
        <f>"RNCP"&amp;D1169</f>
        <v/>
      </c>
      <c r="F1169" s="48" t="inlineStr">
        <is>
          <t>CQP Installateur mainteneur de systèmes de ventilation et gestion de la qualité d'air intérieur</t>
        </is>
      </c>
      <c r="G1169" s="49">
        <f>E1169&amp;" - "&amp;F1169</f>
        <v/>
      </c>
      <c r="H1169" s="36" t="inlineStr">
        <is>
          <t>RAS</t>
        </is>
      </c>
      <c r="I1169" s="45" t="inlineStr"/>
      <c r="J1169" s="45" t="inlineStr">
        <is>
          <t>RNCP39358</t>
        </is>
      </c>
      <c r="K1169" s="45" t="inlineStr">
        <is>
          <t>CQP Installateur mainteneur de systèmes de ventilation et gestion de la qualité d'air intérieur</t>
        </is>
      </c>
      <c r="L1169" s="45" t="inlineStr">
        <is>
          <t>19/07/2027</t>
        </is>
      </c>
      <c r="M1169" s="45" t="inlineStr">
        <is>
          <t>22635 (Climatisation) ; 22454 (Bâtiment second oeuvre)</t>
        </is>
      </c>
      <c r="N1169" s="50" t="inlineStr">
        <is>
          <t>NON</t>
        </is>
      </c>
      <c r="O1169" s="45" t="inlineStr"/>
    </row>
    <row r="1170" customFormat="1" s="3">
      <c r="A1170" s="45" t="n"/>
      <c r="B1170" s="46" t="inlineStr">
        <is>
          <t>22411</t>
        </is>
      </c>
      <c r="C1170" s="46">
        <f>LEFT(Tableau1[[#This Row],[Formacode]],3)</f>
        <v/>
      </c>
      <c r="D1170" s="47" t="n">
        <v>39748</v>
      </c>
      <c r="E1170" s="48">
        <f>"RNCP"&amp;D1170</f>
        <v/>
      </c>
      <c r="F1170" s="48" t="inlineStr">
        <is>
          <t>Chargé de projet énergie et bâtiment durables</t>
        </is>
      </c>
      <c r="G1170" s="49">
        <f>E1170&amp;" - "&amp;F1170</f>
        <v/>
      </c>
      <c r="H1170" s="36" t="inlineStr">
        <is>
          <t>RAS</t>
        </is>
      </c>
      <c r="I1170" s="45" t="inlineStr"/>
      <c r="J1170" s="45" t="inlineStr">
        <is>
          <t>RNCP39748</t>
        </is>
      </c>
      <c r="K1170" s="45" t="inlineStr">
        <is>
          <t>Chargé de projet énergie et bâtiment durables</t>
        </is>
      </c>
      <c r="L1170" s="45" t="inlineStr">
        <is>
          <t>31/10/2027</t>
        </is>
      </c>
      <c r="M1170" s="45" t="inlineStr">
        <is>
          <t>32135 (Conduite projet) ; 24170 (Conseil énergie) ; 22411 (Enveloppe bâtiment) ; 22485 (Rénovation bâtiment) ; 24147 (Énergie renouvelable)</t>
        </is>
      </c>
      <c r="N1170" s="50" t="inlineStr">
        <is>
          <t>NON</t>
        </is>
      </c>
      <c r="O1170" s="45" t="inlineStr"/>
    </row>
    <row r="1171" customFormat="1" s="3">
      <c r="A1171" s="45" t="n"/>
      <c r="B1171" s="46" t="inlineStr">
        <is>
          <t>22411</t>
        </is>
      </c>
      <c r="C1171" s="46">
        <f>LEFT(Tableau1[[#This Row],[Formacode]],3)</f>
        <v/>
      </c>
      <c r="D1171" s="47" t="n">
        <v>39806</v>
      </c>
      <c r="E1171" s="48">
        <f>"RNCP"&amp;D1171</f>
        <v/>
      </c>
      <c r="F1171" s="48" t="inlineStr">
        <is>
          <t>BAC PRO - Menuiserie Aluminium- Verre</t>
        </is>
      </c>
      <c r="G1171" s="49">
        <f>E1171&amp;" - "&amp;F1171</f>
        <v/>
      </c>
      <c r="H1171" s="36" t="inlineStr">
        <is>
          <t>RAS</t>
        </is>
      </c>
      <c r="I1171" s="45" t="inlineStr"/>
      <c r="J1171" s="45" t="inlineStr">
        <is>
          <t>RNCP39806</t>
        </is>
      </c>
      <c r="K1171" s="45" t="inlineStr">
        <is>
          <t>Menuiserie Aluminium- Verre</t>
        </is>
      </c>
      <c r="L1171" s="45" t="inlineStr">
        <is>
          <t>31/12/2027</t>
        </is>
      </c>
      <c r="M1171" s="45" t="inlineStr">
        <is>
          <t>22468 (Menuiserie aluminium) ; 22434 (Vitrerie miroiterie)</t>
        </is>
      </c>
      <c r="N1171" s="50" t="inlineStr">
        <is>
          <t>NON</t>
        </is>
      </c>
      <c r="O1171" s="45" t="inlineStr"/>
    </row>
    <row r="1172" customFormat="1" s="3">
      <c r="A1172" s="45" t="n"/>
      <c r="B1172" s="46" t="inlineStr">
        <is>
          <t>22411</t>
        </is>
      </c>
      <c r="C1172" s="46">
        <f>LEFT(Tableau1[[#This Row],[Formacode]],3)</f>
        <v/>
      </c>
      <c r="D1172" s="47" t="n">
        <v>39891</v>
      </c>
      <c r="E1172" s="48">
        <f>"RNCP"&amp;D1172</f>
        <v/>
      </c>
      <c r="F1172" s="48" t="inlineStr">
        <is>
          <t>TP - Peintre façadier itéiste</t>
        </is>
      </c>
      <c r="G1172" s="49">
        <f>E1172&amp;" - "&amp;F1172</f>
        <v/>
      </c>
      <c r="H1172" s="36" t="inlineStr">
        <is>
          <t>RAS</t>
        </is>
      </c>
      <c r="I1172" s="45" t="inlineStr"/>
      <c r="J1172" s="45" t="inlineStr">
        <is>
          <t>RNCP39891</t>
        </is>
      </c>
      <c r="K1172" s="45" t="inlineStr">
        <is>
          <t>Peintre façadier itéiste</t>
        </is>
      </c>
      <c r="L1172" s="45" t="inlineStr">
        <is>
          <t>18/08/2027</t>
        </is>
      </c>
      <c r="M1172" s="45" t="inlineStr">
        <is>
          <t>22490 (Façade)</t>
        </is>
      </c>
      <c r="N1172" s="50" t="inlineStr">
        <is>
          <t>NON</t>
        </is>
      </c>
      <c r="O1172" s="45" t="inlineStr"/>
    </row>
    <row r="1173" customFormat="1" s="3">
      <c r="A1173" s="45" t="n"/>
      <c r="B1173" s="46" t="inlineStr">
        <is>
          <t>22411</t>
        </is>
      </c>
      <c r="C1173" s="46">
        <f>LEFT(Tableau1[[#This Row],[Formacode]],3)</f>
        <v/>
      </c>
      <c r="D1173" s="47" t="n">
        <v>40259</v>
      </c>
      <c r="E1173" s="48">
        <f>"RNCP"&amp;D1173</f>
        <v/>
      </c>
      <c r="F1173" s="48" t="inlineStr">
        <is>
          <t>Couvreur-zingueur (BM)</t>
        </is>
      </c>
      <c r="G1173" s="49">
        <f>E1173&amp;" - "&amp;F1173</f>
        <v/>
      </c>
      <c r="H1173" s="36" t="inlineStr">
        <is>
          <t>RAS</t>
        </is>
      </c>
      <c r="I1173" s="45" t="inlineStr"/>
      <c r="J1173" s="45" t="inlineStr">
        <is>
          <t>RNCP40259</t>
        </is>
      </c>
      <c r="K1173" s="45" t="inlineStr">
        <is>
          <t>Couvreur-zingueur (BM)</t>
        </is>
      </c>
      <c r="L1173" s="45" t="inlineStr">
        <is>
          <t>28/02/2028</t>
        </is>
      </c>
      <c r="M1173" s="45" t="inlineStr">
        <is>
          <t>22437 (Couverture) ; 32097 (Gestion entreprise artisanale) ; 22254 (BTP conception organisation)</t>
        </is>
      </c>
      <c r="N1173" s="50" t="inlineStr">
        <is>
          <t>NON</t>
        </is>
      </c>
      <c r="O1173" s="45" t="inlineStr"/>
    </row>
    <row r="1174" ht="28.8" customFormat="1" customHeight="1" s="3">
      <c r="A1174" s="45" t="n"/>
      <c r="B1174" s="46" t="inlineStr">
        <is>
          <t>22411</t>
        </is>
      </c>
      <c r="C1174" s="46">
        <f>LEFT(Tableau1[[#This Row],[Formacode]],3)</f>
        <v/>
      </c>
      <c r="D1174" s="47" t="n">
        <v>41014</v>
      </c>
      <c r="E1174" s="48">
        <f>"RNCP"&amp;D1174</f>
        <v/>
      </c>
      <c r="F1174" s="48" t="inlineStr">
        <is>
          <t>BAC PRO - Interventions sur le patrimoine bâti - Options maçonnerie, charpente, couverture</t>
        </is>
      </c>
      <c r="G1174" s="49">
        <f>E1174&amp;" - "&amp;F1174</f>
        <v/>
      </c>
      <c r="H1174" s="36" t="inlineStr">
        <is>
          <t>RAS</t>
        </is>
      </c>
      <c r="I1174" s="45" t="inlineStr"/>
      <c r="J1174" s="45" t="inlineStr">
        <is>
          <t>RNCP41014</t>
        </is>
      </c>
      <c r="K1174" s="45" t="inlineStr">
        <is>
          <t>Interventions sur le patrimoine bâti - Options maçonnerie, charpente, couverture</t>
        </is>
      </c>
      <c r="L1174" s="45" t="inlineStr">
        <is>
          <t>31/08/2028</t>
        </is>
      </c>
      <c r="M1174" s="45" t="inlineStr">
        <is>
          <t>22485 (Rénovation bâtiment) ; 22334 (Maçonnerie) ; 22437 (Couverture) ; 22312 (Charpente)</t>
        </is>
      </c>
      <c r="N1174" s="50" t="inlineStr">
        <is>
          <t>NON</t>
        </is>
      </c>
      <c r="O1174" s="45" t="inlineStr"/>
    </row>
    <row r="1175" customFormat="1" s="3">
      <c r="A1175" s="45" t="n"/>
      <c r="B1175" s="46" t="inlineStr">
        <is>
          <t>22411</t>
        </is>
      </c>
      <c r="C1175" s="46">
        <f>LEFT(Tableau1[[#This Row],[Formacode]],3)</f>
        <v/>
      </c>
      <c r="D1175" s="47" t="n">
        <v>41345</v>
      </c>
      <c r="E1175" s="48">
        <f>"RNCP"&amp;D1175</f>
        <v/>
      </c>
      <c r="F1175" s="48" t="inlineStr">
        <is>
          <t>CQP Couvreur lauzier calcaire</t>
        </is>
      </c>
      <c r="G1175" s="49">
        <f>E1175&amp;" - "&amp;F1175</f>
        <v/>
      </c>
      <c r="H1175" s="36" t="inlineStr">
        <is>
          <t>RAS</t>
        </is>
      </c>
      <c r="I1175" s="45" t="inlineStr"/>
      <c r="J1175" s="45" t="inlineStr">
        <is>
          <t>RNCP41345</t>
        </is>
      </c>
      <c r="K1175" s="45" t="inlineStr">
        <is>
          <t>CQP Couvreur lauzier calcaire</t>
        </is>
      </c>
      <c r="L1175" s="45" t="inlineStr">
        <is>
          <t>24/09/2030</t>
        </is>
      </c>
      <c r="M1175" s="45" t="inlineStr">
        <is>
          <t>22437 (Couverture) ; 22842 (Pierre naturelle) ; 22357 (Restauration réhabilitation) ; 22274 (Chantier BTP)</t>
        </is>
      </c>
      <c r="N1175" s="50" t="inlineStr">
        <is>
          <t>NON</t>
        </is>
      </c>
      <c r="O1175" s="45" t="inlineStr"/>
    </row>
    <row r="1176" customFormat="1" s="3">
      <c r="A1176" s="45" t="n"/>
      <c r="B1176" s="46" t="inlineStr">
        <is>
          <t>22411</t>
        </is>
      </c>
      <c r="C1176" s="46">
        <f>LEFT(Tableau1[[#This Row],[Formacode]],3)</f>
        <v/>
      </c>
      <c r="D1176" s="47" t="n">
        <v>41346</v>
      </c>
      <c r="E1176" s="48">
        <f>"RNCP"&amp;D1176</f>
        <v/>
      </c>
      <c r="F1176" s="48" t="inlineStr">
        <is>
          <t>CQP Couvreur lauzier schiste</t>
        </is>
      </c>
      <c r="G1176" s="49">
        <f>E1176&amp;" - "&amp;F1176</f>
        <v/>
      </c>
      <c r="H1176" s="36" t="inlineStr">
        <is>
          <t>RAS</t>
        </is>
      </c>
      <c r="I1176" s="45" t="inlineStr"/>
      <c r="J1176" s="45" t="inlineStr">
        <is>
          <t>RNCP41346</t>
        </is>
      </c>
      <c r="K1176" s="45" t="inlineStr">
        <is>
          <t>CQP Couvreur lauzier schiste</t>
        </is>
      </c>
      <c r="L1176" s="45" t="inlineStr">
        <is>
          <t>24/09/2030</t>
        </is>
      </c>
      <c r="M1176" s="45" t="inlineStr">
        <is>
          <t>22437 (Couverture) ; 22842 (Pierre naturelle) ; 22357 (Restauration réhabilitation) ; 22274 (Chantier BTP)</t>
        </is>
      </c>
      <c r="N1176" s="50" t="inlineStr">
        <is>
          <t>NON</t>
        </is>
      </c>
      <c r="O1176" s="45" t="inlineStr"/>
    </row>
    <row r="1177" customFormat="1" s="3">
      <c r="A1177" s="51" t="n"/>
      <c r="B1177" s="52" t="inlineStr">
        <is>
          <t>22435</t>
        </is>
      </c>
      <c r="C1177" s="52">
        <f>LEFT(Tableau1[[#This Row],[Formacode]],3)</f>
        <v/>
      </c>
      <c r="D1177" s="53" t="n">
        <v>35809</v>
      </c>
      <c r="E1177" s="54">
        <f>"RNCP"&amp;D1177</f>
        <v/>
      </c>
      <c r="F1177" s="54" t="inlineStr">
        <is>
          <t>BTS - Finition, aménagement des bâtiments : conception et réalisation</t>
        </is>
      </c>
      <c r="G1177" s="55">
        <f>E1177&amp;" - "&amp;F1177</f>
        <v/>
      </c>
      <c r="H1177" s="37" t="inlineStr">
        <is>
          <t>À vérifier</t>
        </is>
      </c>
      <c r="I1177" s="51" t="inlineStr">
        <is>
          <t>Successeur déjà publié : RNCP41827 (Finitions, aménagement des bâtiments : conception et réalisation) — préparer la bascule de l'offre CPF | Échéance le 31/08/2026 (dans 44 j)</t>
        </is>
      </c>
      <c r="J1177" s="51" t="inlineStr">
        <is>
          <t>RNCP41827</t>
        </is>
      </c>
      <c r="K1177" s="51" t="inlineStr">
        <is>
          <t>Finitions, aménagement des bâtiments : conception et réalisation</t>
        </is>
      </c>
      <c r="L1177" s="51" t="inlineStr">
        <is>
          <t>31/08/2026</t>
        </is>
      </c>
      <c r="M1177" s="51" t="inlineStr">
        <is>
          <t>22274 (Chantier BTP) ; 22248 (Gestion entreprise BTP)</t>
        </is>
      </c>
      <c r="N1177" s="62" t="inlineStr">
        <is>
          <t>NON</t>
        </is>
      </c>
      <c r="O1177" s="51" t="inlineStr"/>
    </row>
    <row r="1178" customFormat="1" s="3">
      <c r="A1178" s="51" t="n"/>
      <c r="B1178" s="52" t="inlineStr">
        <is>
          <t>22435</t>
        </is>
      </c>
      <c r="C1178" s="52">
        <f>LEFT(Tableau1[[#This Row],[Formacode]],3)</f>
        <v/>
      </c>
      <c r="D1178" s="53" t="n">
        <v>35823</v>
      </c>
      <c r="E1178" s="54">
        <f>"RNCP"&amp;D1178</f>
        <v/>
      </c>
      <c r="F1178" s="54" t="inlineStr">
        <is>
          <t>TP - Menuisier de fabrication bois et dérivés</t>
        </is>
      </c>
      <c r="G1178" s="55">
        <f>E1178&amp;" - "&amp;F1178</f>
        <v/>
      </c>
      <c r="H1178" s="37" t="inlineStr">
        <is>
          <t>À vérifier</t>
        </is>
      </c>
      <c r="I1178" s="51" t="inlineStr">
        <is>
          <t>Échéance le 24/10/2026 (dans 98 j)</t>
        </is>
      </c>
      <c r="J1178" s="51" t="inlineStr">
        <is>
          <t>RNCP35823</t>
        </is>
      </c>
      <c r="K1178" s="51" t="inlineStr">
        <is>
          <t>Menuisier de fabrication bois et dérivés</t>
        </is>
      </c>
      <c r="L1178" s="51" t="inlineStr">
        <is>
          <t>24/10/2026</t>
        </is>
      </c>
      <c r="M1178" s="51" t="inlineStr">
        <is>
          <t>22416 (Menuiserie bois)</t>
        </is>
      </c>
      <c r="N1178" s="62" t="inlineStr">
        <is>
          <t>NON</t>
        </is>
      </c>
      <c r="O1178" s="51" t="inlineStr"/>
    </row>
    <row r="1179" customFormat="1" s="3">
      <c r="A1179" s="51" t="n"/>
      <c r="B1179" s="52" t="inlineStr">
        <is>
          <t>22435</t>
        </is>
      </c>
      <c r="C1179" s="52">
        <f>LEFT(Tableau1[[#This Row],[Formacode]],3)</f>
        <v/>
      </c>
      <c r="D1179" s="53" t="n">
        <v>35974</v>
      </c>
      <c r="E1179" s="54">
        <f>"RNCP"&amp;D1179</f>
        <v/>
      </c>
      <c r="F1179" s="54" t="inlineStr">
        <is>
          <t>CAP - Menuisier installateur</t>
        </is>
      </c>
      <c r="G1179" s="55">
        <f>E1179&amp;" - "&amp;F1179</f>
        <v/>
      </c>
      <c r="H1179" s="37" t="inlineStr">
        <is>
          <t>À vérifier</t>
        </is>
      </c>
      <c r="I1179" s="51" t="inlineStr">
        <is>
          <t>Successeur déjà publié : RNCP41836 (Menuisier installateur) — préparer la bascule de l'offre CPF | Échéance le 31/08/2026 (dans 44 j)</t>
        </is>
      </c>
      <c r="J1179" s="51" t="inlineStr">
        <is>
          <t>RNCP41836</t>
        </is>
      </c>
      <c r="K1179" s="51" t="inlineStr">
        <is>
          <t>Menuisier installateur</t>
        </is>
      </c>
      <c r="L1179" s="51" t="inlineStr">
        <is>
          <t>31/08/2026</t>
        </is>
      </c>
      <c r="M1179" s="51" t="inlineStr">
        <is>
          <t>22404 (Menuiserie agencement) ; 22416 (Menuiserie bois)</t>
        </is>
      </c>
      <c r="N1179" s="62" t="inlineStr">
        <is>
          <t>NON</t>
        </is>
      </c>
      <c r="O1179" s="51" t="inlineStr"/>
    </row>
    <row r="1180" customFormat="1" s="3">
      <c r="A1180" s="51" t="n"/>
      <c r="B1180" s="52" t="inlineStr">
        <is>
          <t>22435</t>
        </is>
      </c>
      <c r="C1180" s="52">
        <f>LEFT(Tableau1[[#This Row],[Formacode]],3)</f>
        <v/>
      </c>
      <c r="D1180" s="53" t="n">
        <v>36112</v>
      </c>
      <c r="E1180" s="54">
        <f>"RNCP"&amp;D1180</f>
        <v/>
      </c>
      <c r="F1180" s="54" t="inlineStr">
        <is>
          <t>CAP - Menuisier fabricant</t>
        </is>
      </c>
      <c r="G1180" s="55">
        <f>E1180&amp;" - "&amp;F1180</f>
        <v/>
      </c>
      <c r="H1180" s="37" t="inlineStr">
        <is>
          <t>À vérifier</t>
        </is>
      </c>
      <c r="I1180" s="51" t="inlineStr">
        <is>
          <t>Successeur déjà publié : RNCP41835 (Menuisier fabricant) — préparer la bascule de l'offre CPF | Échéance le 31/08/2026 (dans 44 j)</t>
        </is>
      </c>
      <c r="J1180" s="51" t="inlineStr">
        <is>
          <t>RNCP41835</t>
        </is>
      </c>
      <c r="K1180" s="51" t="inlineStr">
        <is>
          <t>Menuisier fabricant</t>
        </is>
      </c>
      <c r="L1180" s="51" t="inlineStr">
        <is>
          <t>31/08/2026</t>
        </is>
      </c>
      <c r="M1180" s="51" t="inlineStr">
        <is>
          <t>22404 (Menuiserie agencement) ; 22416 (Menuiserie bois) ; 45019 (Ameublement)</t>
        </is>
      </c>
      <c r="N1180" s="62" t="inlineStr">
        <is>
          <t>NON</t>
        </is>
      </c>
      <c r="O1180" s="51" t="inlineStr"/>
    </row>
    <row r="1181" customFormat="1" s="3">
      <c r="A1181" s="45" t="n"/>
      <c r="B1181" s="46" t="inlineStr">
        <is>
          <t>22435</t>
        </is>
      </c>
      <c r="C1181" s="46">
        <f>LEFT(Tableau1[[#This Row],[Formacode]],3)</f>
        <v/>
      </c>
      <c r="D1181" s="47" t="n">
        <v>36239</v>
      </c>
      <c r="E1181" s="48">
        <f>"RNCP"&amp;D1181</f>
        <v/>
      </c>
      <c r="F1181" s="48" t="inlineStr">
        <is>
          <t>TP - Technicien d'études en agencement intérieur</t>
        </is>
      </c>
      <c r="G1181" s="49">
        <f>E1181&amp;" - "&amp;F1181</f>
        <v/>
      </c>
      <c r="H1181" s="36" t="inlineStr">
        <is>
          <t>RAS</t>
        </is>
      </c>
      <c r="I1181" s="45" t="inlineStr"/>
      <c r="J1181" s="45" t="inlineStr">
        <is>
          <t>RNCP36239</t>
        </is>
      </c>
      <c r="K1181" s="45" t="inlineStr">
        <is>
          <t>Technicien d'études en agencement intérieur</t>
        </is>
      </c>
      <c r="L1181" s="45" t="inlineStr">
        <is>
          <t>17/05/2027</t>
        </is>
      </c>
      <c r="M1181" s="45" t="inlineStr">
        <is>
          <t>22252 (Dessin BTP) ; 22232 (Métré BTP) ; 22404 (Menuiserie agencement)</t>
        </is>
      </c>
      <c r="N1181" s="50" t="inlineStr">
        <is>
          <t>NON</t>
        </is>
      </c>
      <c r="O1181" s="45" t="inlineStr"/>
    </row>
    <row r="1182" customFormat="1" s="3">
      <c r="A1182" s="45" t="n"/>
      <c r="B1182" s="46" t="inlineStr">
        <is>
          <t>22435</t>
        </is>
      </c>
      <c r="C1182" s="46">
        <f>LEFT(Tableau1[[#This Row],[Formacode]],3)</f>
        <v/>
      </c>
      <c r="D1182" s="47" t="n">
        <v>36256</v>
      </c>
      <c r="E1182" s="48">
        <f>"RNCP"&amp;D1182</f>
        <v/>
      </c>
      <c r="F1182" s="48" t="inlineStr">
        <is>
          <t>TP - Menuisier agenceur</t>
        </is>
      </c>
      <c r="G1182" s="49">
        <f>E1182&amp;" - "&amp;F1182</f>
        <v/>
      </c>
      <c r="H1182" s="36" t="inlineStr">
        <is>
          <t>RAS</t>
        </is>
      </c>
      <c r="I1182" s="45" t="inlineStr"/>
      <c r="J1182" s="45" t="inlineStr">
        <is>
          <t>RNCP36256</t>
        </is>
      </c>
      <c r="K1182" s="45" t="inlineStr">
        <is>
          <t>Menuisier agenceur</t>
        </is>
      </c>
      <c r="L1182" s="45" t="inlineStr">
        <is>
          <t>21/10/2027</t>
        </is>
      </c>
      <c r="M1182" s="45" t="inlineStr">
        <is>
          <t>22415 (Dessin traçage menuiserie) ; 22404 (Menuiserie agencement) ; 22416 (Menuiserie bois)</t>
        </is>
      </c>
      <c r="N1182" s="50" t="inlineStr">
        <is>
          <t>NON</t>
        </is>
      </c>
      <c r="O1182" s="45" t="inlineStr"/>
    </row>
    <row r="1183" customFormat="1" s="3">
      <c r="A1183" s="45" t="n"/>
      <c r="B1183" s="46" t="inlineStr">
        <is>
          <t>22435</t>
        </is>
      </c>
      <c r="C1183" s="46">
        <f>LEFT(Tableau1[[#This Row],[Formacode]],3)</f>
        <v/>
      </c>
      <c r="D1183" s="47" t="n">
        <v>37120</v>
      </c>
      <c r="E1183" s="48">
        <f>"RNCP"&amp;D1183</f>
        <v/>
      </c>
      <c r="F1183" s="48" t="inlineStr">
        <is>
          <t>TP - Menuisier installateur</t>
        </is>
      </c>
      <c r="G1183" s="49">
        <f>E1183&amp;" - "&amp;F1183</f>
        <v/>
      </c>
      <c r="H1183" s="36" t="inlineStr">
        <is>
          <t>RAS</t>
        </is>
      </c>
      <c r="I1183" s="45" t="inlineStr"/>
      <c r="J1183" s="45" t="inlineStr">
        <is>
          <t>RNCP37120</t>
        </is>
      </c>
      <c r="K1183" s="45" t="inlineStr">
        <is>
          <t>Menuisier installateur</t>
        </is>
      </c>
      <c r="L1183" s="45" t="inlineStr">
        <is>
          <t>26/02/2028</t>
        </is>
      </c>
      <c r="M1183" s="45" t="inlineStr">
        <is>
          <t>22406 (Escalier bois) ; 22408 (Cuisine salle de bains)</t>
        </is>
      </c>
      <c r="N1183" s="50" t="inlineStr">
        <is>
          <t>NON</t>
        </is>
      </c>
      <c r="O1183" s="45" t="inlineStr"/>
    </row>
    <row r="1184" customFormat="1" s="3">
      <c r="A1184" s="45" t="n"/>
      <c r="B1184" s="46" t="inlineStr">
        <is>
          <t>22435</t>
        </is>
      </c>
      <c r="C1184" s="46">
        <f>LEFT(Tableau1[[#This Row],[Formacode]],3)</f>
        <v/>
      </c>
      <c r="D1184" s="47" t="n">
        <v>37308</v>
      </c>
      <c r="E1184" s="48">
        <f>"RNCP"&amp;D1184</f>
        <v/>
      </c>
      <c r="F1184" s="48" t="inlineStr">
        <is>
          <t>BAC PRO - Technicien fabrication bois et matériaux associés</t>
        </is>
      </c>
      <c r="G1184" s="49">
        <f>E1184&amp;" - "&amp;F1184</f>
        <v/>
      </c>
      <c r="H1184" s="36" t="inlineStr">
        <is>
          <t>RAS</t>
        </is>
      </c>
      <c r="I1184" s="45" t="inlineStr"/>
      <c r="J1184" s="45" t="inlineStr">
        <is>
          <t>RNCP37308</t>
        </is>
      </c>
      <c r="K1184" s="45" t="inlineStr">
        <is>
          <t>Technicien fabrication bois et matériaux associés</t>
        </is>
      </c>
      <c r="L1184" s="45" t="inlineStr">
        <is>
          <t>31/08/2028</t>
        </is>
      </c>
      <c r="M1184" s="45" t="inlineStr">
        <is>
          <t>45019 (Ameublement) ; 22313 (Charpente bois) ; 22416 (Menuiserie bois)</t>
        </is>
      </c>
      <c r="N1184" s="50" t="inlineStr">
        <is>
          <t>NON</t>
        </is>
      </c>
      <c r="O1184" s="45" t="inlineStr"/>
    </row>
    <row r="1185" customFormat="1" s="3">
      <c r="A1185" s="51" t="n"/>
      <c r="B1185" s="52" t="inlineStr">
        <is>
          <t>22435</t>
        </is>
      </c>
      <c r="C1185" s="52">
        <f>LEFT(Tableau1[[#This Row],[Formacode]],3)</f>
        <v/>
      </c>
      <c r="D1185" s="53" t="n">
        <v>37911</v>
      </c>
      <c r="E1185" s="54">
        <f>"RNCP"&amp;D1185</f>
        <v/>
      </c>
      <c r="F1185" s="54" t="inlineStr">
        <is>
          <t>BAC PRO - Etude et réalisation d'agencement</t>
        </is>
      </c>
      <c r="G1185" s="55">
        <f>E1185&amp;" - "&amp;F1185</f>
        <v/>
      </c>
      <c r="H1185" s="37" t="inlineStr">
        <is>
          <t>À vérifier</t>
        </is>
      </c>
      <c r="I1185" s="51" t="inlineStr">
        <is>
          <t>Successeur déjà publié : RNCP41837 (Etude et réalisation d'agencement) — préparer la bascule de l'offre CPF | Échéance le 31/08/2026 (dans 44 j)</t>
        </is>
      </c>
      <c r="J1185" s="51" t="inlineStr">
        <is>
          <t>RNCP41837</t>
        </is>
      </c>
      <c r="K1185" s="51" t="inlineStr">
        <is>
          <t>Etude et réalisation d'agencement</t>
        </is>
      </c>
      <c r="L1185" s="51" t="inlineStr">
        <is>
          <t>31/08/2026</t>
        </is>
      </c>
      <c r="M1185" s="51" t="inlineStr">
        <is>
          <t>45015 (Architecture intérieure) ; 22404 (Menuiserie agencement)</t>
        </is>
      </c>
      <c r="N1185" s="62" t="inlineStr">
        <is>
          <t>NON</t>
        </is>
      </c>
      <c r="O1185" s="51" t="inlineStr"/>
    </row>
    <row r="1186" customFormat="1" s="3">
      <c r="A1186" s="51" t="n"/>
      <c r="B1186" s="52" t="inlineStr">
        <is>
          <t>22435</t>
        </is>
      </c>
      <c r="C1186" s="52">
        <f>LEFT(Tableau1[[#This Row],[Formacode]],3)</f>
        <v/>
      </c>
      <c r="D1186" s="53" t="n">
        <v>37917</v>
      </c>
      <c r="E1186" s="54">
        <f>"RNCP"&amp;D1186</f>
        <v/>
      </c>
      <c r="F1186" s="54" t="inlineStr">
        <is>
          <t>BAC PRO - Technicien menuisier agenceur</t>
        </is>
      </c>
      <c r="G1186" s="55">
        <f>E1186&amp;" - "&amp;F1186</f>
        <v/>
      </c>
      <c r="H1186" s="37" t="inlineStr">
        <is>
          <t>À vérifier</t>
        </is>
      </c>
      <c r="I1186" s="51" t="inlineStr">
        <is>
          <t>Successeur déjà publié : RNCP41867 (Technicien menuisier agenceur) — préparer la bascule de l'offre CPF | Échéance le 31/08/2026 (dans 44 j)</t>
        </is>
      </c>
      <c r="J1186" s="51" t="inlineStr">
        <is>
          <t>RNCP41867</t>
        </is>
      </c>
      <c r="K1186" s="51" t="inlineStr">
        <is>
          <t>Technicien menuisier agenceur</t>
        </is>
      </c>
      <c r="L1186" s="51" t="inlineStr">
        <is>
          <t>31/08/2026</t>
        </is>
      </c>
      <c r="M1186" s="51" t="inlineStr">
        <is>
          <t>22404 (Menuiserie agencement) ; 22416 (Menuiserie bois)</t>
        </is>
      </c>
      <c r="N1186" s="62" t="inlineStr">
        <is>
          <t>NON</t>
        </is>
      </c>
      <c r="O1186" s="51" t="inlineStr"/>
    </row>
    <row r="1187" customFormat="1" s="3">
      <c r="A1187" s="45" t="n"/>
      <c r="B1187" s="46" t="inlineStr">
        <is>
          <t>22435</t>
        </is>
      </c>
      <c r="C1187" s="46">
        <f>LEFT(Tableau1[[#This Row],[Formacode]],3)</f>
        <v/>
      </c>
      <c r="D1187" s="47" t="n">
        <v>38383</v>
      </c>
      <c r="E1187" s="48">
        <f>"RNCP"&amp;D1187</f>
        <v/>
      </c>
      <c r="F1187" s="48" t="inlineStr">
        <is>
          <t>BTS - Etude et réalisation d'agencement</t>
        </is>
      </c>
      <c r="G1187" s="49">
        <f>E1187&amp;" - "&amp;F1187</f>
        <v/>
      </c>
      <c r="H1187" s="36" t="inlineStr">
        <is>
          <t>RAS</t>
        </is>
      </c>
      <c r="I1187" s="45" t="inlineStr"/>
      <c r="J1187" s="45" t="inlineStr">
        <is>
          <t>RNCP38383</t>
        </is>
      </c>
      <c r="K1187" s="45" t="inlineStr">
        <is>
          <t>Etude et réalisation d'agencement</t>
        </is>
      </c>
      <c r="L1187" s="45" t="inlineStr">
        <is>
          <t>31/12/2028</t>
        </is>
      </c>
      <c r="M1187" s="45" t="inlineStr">
        <is>
          <t>45015 (Architecture intérieure) ; 22454 (Bâtiment second oeuvre)</t>
        </is>
      </c>
      <c r="N1187" s="50" t="inlineStr">
        <is>
          <t>NON</t>
        </is>
      </c>
      <c r="O1187" s="45" t="inlineStr"/>
    </row>
    <row r="1188" customFormat="1" s="3">
      <c r="A1188" s="45" t="n"/>
      <c r="B1188" s="46" t="inlineStr">
        <is>
          <t>22435</t>
        </is>
      </c>
      <c r="C1188" s="46">
        <f>LEFT(Tableau1[[#This Row],[Formacode]],3)</f>
        <v/>
      </c>
      <c r="D1188" s="47" t="n">
        <v>38728</v>
      </c>
      <c r="E1188" s="48">
        <f>"RNCP"&amp;D1188</f>
        <v/>
      </c>
      <c r="F1188" s="48" t="inlineStr">
        <is>
          <t>BP - Menuisier aluminium-verre</t>
        </is>
      </c>
      <c r="G1188" s="49">
        <f>E1188&amp;" - "&amp;F1188</f>
        <v/>
      </c>
      <c r="H1188" s="36" t="inlineStr">
        <is>
          <t>RAS</t>
        </is>
      </c>
      <c r="I1188" s="45" t="inlineStr"/>
      <c r="J1188" s="45" t="inlineStr">
        <is>
          <t>RNCP38728</t>
        </is>
      </c>
      <c r="K1188" s="45" t="inlineStr">
        <is>
          <t>Menuisier aluminium-verre</t>
        </is>
      </c>
      <c r="L1188" s="45" t="inlineStr">
        <is>
          <t>31/12/2028</t>
        </is>
      </c>
      <c r="M1188" s="45" t="inlineStr">
        <is>
          <t>22435 (Menuiserie)</t>
        </is>
      </c>
      <c r="N1188" s="50" t="inlineStr">
        <is>
          <t>NON</t>
        </is>
      </c>
      <c r="O1188" s="45" t="inlineStr"/>
    </row>
    <row r="1189" customFormat="1" s="3">
      <c r="A1189" s="45" t="n"/>
      <c r="B1189" s="46" t="inlineStr">
        <is>
          <t>22435</t>
        </is>
      </c>
      <c r="C1189" s="46">
        <f>LEFT(Tableau1[[#This Row],[Formacode]],3)</f>
        <v/>
      </c>
      <c r="D1189" s="47" t="n">
        <v>38747</v>
      </c>
      <c r="E1189" s="48">
        <f>"RNCP"&amp;D1189</f>
        <v/>
      </c>
      <c r="F1189" s="48" t="inlineStr">
        <is>
          <t>TP - Chef de chantier aménagement finitions</t>
        </is>
      </c>
      <c r="G1189" s="49">
        <f>E1189&amp;" - "&amp;F1189</f>
        <v/>
      </c>
      <c r="H1189" s="36" t="inlineStr">
        <is>
          <t>RAS</t>
        </is>
      </c>
      <c r="I1189" s="45" t="inlineStr"/>
      <c r="J1189" s="45" t="inlineStr">
        <is>
          <t>RNCP38747</t>
        </is>
      </c>
      <c r="K1189" s="45" t="inlineStr">
        <is>
          <t>Chef de chantier aménagement finitions</t>
        </is>
      </c>
      <c r="L1189" s="45" t="inlineStr">
        <is>
          <t>18/08/2029</t>
        </is>
      </c>
      <c r="M1189" s="45" t="inlineStr">
        <is>
          <t>22294 (Conduite chantier BTP) ; 22454 (Bâtiment second oeuvre)</t>
        </is>
      </c>
      <c r="N1189" s="50" t="inlineStr">
        <is>
          <t>NON</t>
        </is>
      </c>
      <c r="O1189" s="45" t="inlineStr"/>
    </row>
    <row r="1190" customFormat="1" s="3">
      <c r="A1190" s="63" t="n"/>
      <c r="B1190" s="64" t="inlineStr">
        <is>
          <t>22435</t>
        </is>
      </c>
      <c r="C1190" s="64">
        <f>LEFT(Tableau1[[#This Row],[Formacode]],3)</f>
        <v/>
      </c>
      <c r="D1190" s="65" t="n">
        <v>38784</v>
      </c>
      <c r="E1190" s="66">
        <f>"RNCP"&amp;D1190</f>
        <v/>
      </c>
      <c r="F1190" s="66" t="inlineStr">
        <is>
          <t>CQP Assembleur-monteur de menuiseries extérieures en plasturgie</t>
        </is>
      </c>
      <c r="G1190" s="67">
        <f>E1190&amp;" - "&amp;F1190</f>
        <v/>
      </c>
      <c r="H1190" s="38" t="inlineStr">
        <is>
          <t>Expiré / remplacé</t>
        </is>
      </c>
      <c r="I1190" s="63" t="inlineStr">
        <is>
          <t>Fiche inactive (échéance 27/03/2026) — aucun successeur publié</t>
        </is>
      </c>
      <c r="J1190" s="63" t="inlineStr">
        <is>
          <t>RNCP38784</t>
        </is>
      </c>
      <c r="K1190" s="63" t="inlineStr">
        <is>
          <t>CQP Assembleur-monteur de menuiseries extérieures en plasturgie</t>
        </is>
      </c>
      <c r="L1190" s="63" t="inlineStr">
        <is>
          <t>27/03/2026</t>
        </is>
      </c>
      <c r="M1190" s="63" t="inlineStr">
        <is>
          <t>22417 (Menuiserie plastique) ; 23021 (Plasturgie)</t>
        </is>
      </c>
      <c r="N1190" s="68" t="inlineStr">
        <is>
          <t>NON</t>
        </is>
      </c>
      <c r="O1190" s="63" t="inlineStr"/>
    </row>
    <row r="1191" customFormat="1" s="3">
      <c r="A1191" s="45" t="n"/>
      <c r="B1191" s="46" t="inlineStr">
        <is>
          <t>22435</t>
        </is>
      </c>
      <c r="C1191" s="46">
        <f>LEFT(Tableau1[[#This Row],[Formacode]],3)</f>
        <v/>
      </c>
      <c r="D1191" s="47" t="n">
        <v>38882</v>
      </c>
      <c r="E1191" s="48">
        <f>"RNCP"&amp;D1191</f>
        <v/>
      </c>
      <c r="F1191" s="48" t="inlineStr">
        <is>
          <t>BTS - Développement et réalisation bois</t>
        </is>
      </c>
      <c r="G1191" s="49">
        <f>E1191&amp;" - "&amp;F1191</f>
        <v/>
      </c>
      <c r="H1191" s="36" t="inlineStr">
        <is>
          <t>RAS</t>
        </is>
      </c>
      <c r="I1191" s="45" t="inlineStr"/>
      <c r="J1191" s="45" t="inlineStr">
        <is>
          <t>RNCP38882</t>
        </is>
      </c>
      <c r="K1191" s="45" t="inlineStr">
        <is>
          <t>Développement et réalisation bois</t>
        </is>
      </c>
      <c r="L1191" s="45" t="inlineStr">
        <is>
          <t>31/08/2029</t>
        </is>
      </c>
      <c r="M1191" s="45" t="inlineStr">
        <is>
          <t>22396 (Construction bois) ; 22416 (Menuiserie bois)</t>
        </is>
      </c>
      <c r="N1191" s="50" t="inlineStr">
        <is>
          <t>NON</t>
        </is>
      </c>
      <c r="O1191" s="45" t="inlineStr"/>
    </row>
    <row r="1192" customFormat="1" s="3">
      <c r="A1192" s="45" t="n"/>
      <c r="B1192" s="46" t="inlineStr">
        <is>
          <t>22435</t>
        </is>
      </c>
      <c r="C1192" s="46">
        <f>LEFT(Tableau1[[#This Row],[Formacode]],3)</f>
        <v/>
      </c>
      <c r="D1192" s="47" t="n">
        <v>39357</v>
      </c>
      <c r="E1192" s="48">
        <f>"RNCP"&amp;D1192</f>
        <v/>
      </c>
      <c r="F1192" s="48" t="inlineStr">
        <is>
          <t>CQP Installateur mainteneur de système de pompe à chaleur</t>
        </is>
      </c>
      <c r="G1192" s="49">
        <f>E1192&amp;" - "&amp;F1192</f>
        <v/>
      </c>
      <c r="H1192" s="36" t="inlineStr">
        <is>
          <t>RAS</t>
        </is>
      </c>
      <c r="I1192" s="45" t="inlineStr"/>
      <c r="J1192" s="45" t="inlineStr">
        <is>
          <t>RNCP39357</t>
        </is>
      </c>
      <c r="K1192" s="45" t="inlineStr">
        <is>
          <t>CQP Installateur mainteneur de système de pompe à chaleur</t>
        </is>
      </c>
      <c r="L1192" s="45" t="inlineStr">
        <is>
          <t>19/07/2027</t>
        </is>
      </c>
      <c r="M1192" s="45" t="inlineStr">
        <is>
          <t>22675 (Pompe à chaleur) ; 22454 (Bâtiment second oeuvre) ; 22685 (Installation thermique sanitaire)</t>
        </is>
      </c>
      <c r="N1192" s="50" t="inlineStr">
        <is>
          <t>NON</t>
        </is>
      </c>
      <c r="O1192" s="45" t="inlineStr"/>
    </row>
    <row r="1193" ht="28.8" customFormat="1" customHeight="1" s="3">
      <c r="A1193" s="45" t="n"/>
      <c r="B1193" s="46" t="inlineStr">
        <is>
          <t>22435</t>
        </is>
      </c>
      <c r="C1193" s="46">
        <f>LEFT(Tableau1[[#This Row],[Formacode]],3)</f>
        <v/>
      </c>
      <c r="D1193" s="47" t="n">
        <v>39358</v>
      </c>
      <c r="E1193" s="48">
        <f>"RNCP"&amp;D1193</f>
        <v/>
      </c>
      <c r="F1193" s="48" t="inlineStr">
        <is>
          <t>CQP Installateur mainteneur de systèmes de ventilation et gestion de la qualité d'air intérieur</t>
        </is>
      </c>
      <c r="G1193" s="49">
        <f>E1193&amp;" - "&amp;F1193</f>
        <v/>
      </c>
      <c r="H1193" s="36" t="inlineStr">
        <is>
          <t>RAS</t>
        </is>
      </c>
      <c r="I1193" s="45" t="inlineStr"/>
      <c r="J1193" s="45" t="inlineStr">
        <is>
          <t>RNCP39358</t>
        </is>
      </c>
      <c r="K1193" s="45" t="inlineStr">
        <is>
          <t>CQP Installateur mainteneur de systèmes de ventilation et gestion de la qualité d'air intérieur</t>
        </is>
      </c>
      <c r="L1193" s="45" t="inlineStr">
        <is>
          <t>19/07/2027</t>
        </is>
      </c>
      <c r="M1193" s="45" t="inlineStr">
        <is>
          <t>22635 (Climatisation) ; 22454 (Bâtiment second oeuvre)</t>
        </is>
      </c>
      <c r="N1193" s="50" t="inlineStr">
        <is>
          <t>NON</t>
        </is>
      </c>
      <c r="O1193" s="45" t="inlineStr"/>
    </row>
    <row r="1194" customFormat="1" s="3">
      <c r="A1194" s="45" t="n"/>
      <c r="B1194" s="46" t="inlineStr">
        <is>
          <t>22435</t>
        </is>
      </c>
      <c r="C1194" s="46">
        <f>LEFT(Tableau1[[#This Row],[Formacode]],3)</f>
        <v/>
      </c>
      <c r="D1194" s="47" t="n">
        <v>39365</v>
      </c>
      <c r="E1194" s="48">
        <f>"RNCP"&amp;D1194</f>
        <v/>
      </c>
      <c r="F1194" s="48" t="inlineStr">
        <is>
          <t>CQP Concepteur-Vendeur de cuisines et/ou aménagement intérieur</t>
        </is>
      </c>
      <c r="G1194" s="49">
        <f>E1194&amp;" - "&amp;F1194</f>
        <v/>
      </c>
      <c r="H1194" s="36" t="inlineStr">
        <is>
          <t>RAS</t>
        </is>
      </c>
      <c r="I1194" s="45" t="inlineStr"/>
      <c r="J1194" s="45" t="inlineStr">
        <is>
          <t>RNCP39365</t>
        </is>
      </c>
      <c r="K1194" s="45" t="inlineStr">
        <is>
          <t>CQP Concepteur-Vendeur de cuisines et/ou aménagement intérieur</t>
        </is>
      </c>
      <c r="L1194" s="45" t="inlineStr">
        <is>
          <t>19/07/2029</t>
        </is>
      </c>
      <c r="M1194" s="45" t="inlineStr">
        <is>
          <t>34536 (Vente équipement maison) ; 22408 (Cuisine salle de bains)</t>
        </is>
      </c>
      <c r="N1194" s="50" t="inlineStr">
        <is>
          <t>NON</t>
        </is>
      </c>
      <c r="O1194" s="45" t="inlineStr"/>
    </row>
    <row r="1195" customFormat="1" s="3">
      <c r="A1195" s="45" t="n"/>
      <c r="B1195" s="46" t="inlineStr">
        <is>
          <t>22435</t>
        </is>
      </c>
      <c r="C1195" s="46">
        <f>LEFT(Tableau1[[#This Row],[Formacode]],3)</f>
        <v/>
      </c>
      <c r="D1195" s="47" t="n">
        <v>39648</v>
      </c>
      <c r="E1195" s="48">
        <f>"RNCP"&amp;D1195</f>
        <v/>
      </c>
      <c r="F1195" s="48" t="inlineStr">
        <is>
          <t>CAP - Menuisier en sièges</t>
        </is>
      </c>
      <c r="G1195" s="49">
        <f>E1195&amp;" - "&amp;F1195</f>
        <v/>
      </c>
      <c r="H1195" s="36" t="inlineStr">
        <is>
          <t>RAS</t>
        </is>
      </c>
      <c r="I1195" s="45" t="inlineStr"/>
      <c r="J1195" s="45" t="inlineStr">
        <is>
          <t>RNCP39648</t>
        </is>
      </c>
      <c r="K1195" s="45" t="inlineStr">
        <is>
          <t>Menuisier en sièges</t>
        </is>
      </c>
      <c r="L1195" s="45" t="inlineStr">
        <is>
          <t>31/08/2027</t>
        </is>
      </c>
      <c r="M1195" s="45" t="inlineStr">
        <is>
          <t>45554 (Artisanat art) ; 45019 (Ameublement) ; 22881 (Bois) ; 22416 (Menuiserie bois)</t>
        </is>
      </c>
      <c r="N1195" s="50" t="inlineStr">
        <is>
          <t>NON</t>
        </is>
      </c>
      <c r="O1195" s="45" t="inlineStr"/>
    </row>
    <row r="1196" customFormat="1" s="3">
      <c r="A1196" s="51" t="n"/>
      <c r="B1196" s="52" t="inlineStr">
        <is>
          <t>22435</t>
        </is>
      </c>
      <c r="C1196" s="52">
        <f>LEFT(Tableau1[[#This Row],[Formacode]],3)</f>
        <v/>
      </c>
      <c r="D1196" s="53" t="n">
        <v>40003</v>
      </c>
      <c r="E1196" s="54">
        <f>"RNCP"&amp;D1196</f>
        <v/>
      </c>
      <c r="F1196" s="54" t="inlineStr">
        <is>
          <t>Décorateur</t>
        </is>
      </c>
      <c r="G1196" s="55">
        <f>E1196&amp;" - "&amp;F1196</f>
        <v/>
      </c>
      <c r="H1196" s="37" t="inlineStr">
        <is>
          <t>À vérifier</t>
        </is>
      </c>
      <c r="I1196" s="51" t="inlineStr">
        <is>
          <t>Échéance le 18/12/2026 (dans 153 j)</t>
        </is>
      </c>
      <c r="J1196" s="51" t="inlineStr">
        <is>
          <t>RNCP40003</t>
        </is>
      </c>
      <c r="K1196" s="51" t="inlineStr">
        <is>
          <t>Décorateur</t>
        </is>
      </c>
      <c r="L1196" s="51" t="inlineStr">
        <is>
          <t>18/12/2026</t>
        </is>
      </c>
      <c r="M1196" s="51" t="inlineStr">
        <is>
          <t>22404 (Menuiserie agencement) ; 45015 (Architecture intérieure)</t>
        </is>
      </c>
      <c r="N1196" s="62" t="inlineStr">
        <is>
          <t>NON</t>
        </is>
      </c>
      <c r="O1196" s="51" t="inlineStr"/>
    </row>
    <row r="1197" customFormat="1" s="3">
      <c r="A1197" s="45" t="n"/>
      <c r="B1197" s="46" t="inlineStr">
        <is>
          <t>22435</t>
        </is>
      </c>
      <c r="C1197" s="46">
        <f>LEFT(Tableau1[[#This Row],[Formacode]],3)</f>
        <v/>
      </c>
      <c r="D1197" s="47" t="n">
        <v>40869</v>
      </c>
      <c r="E1197" s="48">
        <f>"RNCP"&amp;D1197</f>
        <v/>
      </c>
      <c r="F1197" s="48" t="inlineStr">
        <is>
          <t>Décorateur d’intérieur et aménagement d’espace</t>
        </is>
      </c>
      <c r="G1197" s="49">
        <f>E1197&amp;" - "&amp;F1197</f>
        <v/>
      </c>
      <c r="H1197" s="36" t="inlineStr">
        <is>
          <t>RAS</t>
        </is>
      </c>
      <c r="I1197" s="45" t="inlineStr"/>
      <c r="J1197" s="45" t="inlineStr">
        <is>
          <t>RNCP40869</t>
        </is>
      </c>
      <c r="K1197" s="45" t="inlineStr">
        <is>
          <t>Décorateur d’intérieur et aménagement d’espace</t>
        </is>
      </c>
      <c r="L1197" s="45" t="inlineStr">
        <is>
          <t>25/06/2027</t>
        </is>
      </c>
      <c r="M1197" s="45" t="inlineStr">
        <is>
          <t>45015 (Architecture intérieure) ; 45501 (Peinture décorative) ; 22408 (Cuisine salle de bains) ; 42159 (Valorisation immobilière)</t>
        </is>
      </c>
      <c r="N1197" s="50" t="inlineStr">
        <is>
          <t>NON</t>
        </is>
      </c>
      <c r="O1197" s="45" t="inlineStr"/>
    </row>
    <row r="1198" customFormat="1" s="3">
      <c r="A1198" s="45" t="n"/>
      <c r="B1198" s="46" t="inlineStr">
        <is>
          <t>22435</t>
        </is>
      </c>
      <c r="C1198" s="46">
        <f>LEFT(Tableau1[[#This Row],[Formacode]],3)</f>
        <v/>
      </c>
      <c r="D1198" s="47" t="n">
        <v>41087</v>
      </c>
      <c r="E1198" s="48">
        <f>"RNCP"&amp;D1198</f>
        <v/>
      </c>
      <c r="F1198" s="48" t="inlineStr">
        <is>
          <t>Menuisier de bâtiment et d'agencement (BM)</t>
        </is>
      </c>
      <c r="G1198" s="49">
        <f>E1198&amp;" - "&amp;F1198</f>
        <v/>
      </c>
      <c r="H1198" s="36" t="inlineStr">
        <is>
          <t>RAS</t>
        </is>
      </c>
      <c r="I1198" s="45" t="inlineStr"/>
      <c r="J1198" s="45" t="inlineStr">
        <is>
          <t>RNCP41087</t>
        </is>
      </c>
      <c r="K1198" s="45" t="inlineStr">
        <is>
          <t>Menuisier de bâtiment et d'agencement (BM)</t>
        </is>
      </c>
      <c r="L1198" s="45" t="inlineStr">
        <is>
          <t>18/07/2030</t>
        </is>
      </c>
      <c r="M1198" s="45" t="inlineStr">
        <is>
          <t>22435 (Menuiserie)</t>
        </is>
      </c>
      <c r="N1198" s="50" t="inlineStr">
        <is>
          <t>NON</t>
        </is>
      </c>
      <c r="O1198" s="45" t="inlineStr"/>
    </row>
    <row r="1199" customFormat="1" s="3">
      <c r="A1199" s="45" t="n"/>
      <c r="B1199" s="46" t="inlineStr">
        <is>
          <t>22435</t>
        </is>
      </c>
      <c r="C1199" s="46">
        <f>LEFT(Tableau1[[#This Row],[Formacode]],3)</f>
        <v/>
      </c>
      <c r="D1199" s="47" t="n">
        <v>41357</v>
      </c>
      <c r="E1199" s="48">
        <f>"RNCP"&amp;D1199</f>
        <v/>
      </c>
      <c r="F1199" s="48" t="inlineStr">
        <is>
          <t>Designer en espaces intérieurs</t>
        </is>
      </c>
      <c r="G1199" s="49">
        <f>E1199&amp;" - "&amp;F1199</f>
        <v/>
      </c>
      <c r="H1199" s="36" t="inlineStr">
        <is>
          <t>RAS</t>
        </is>
      </c>
      <c r="I1199" s="45" t="inlineStr"/>
      <c r="J1199" s="45" t="inlineStr">
        <is>
          <t>RNCP41357</t>
        </is>
      </c>
      <c r="K1199" s="45" t="inlineStr">
        <is>
          <t>Designer en espaces intérieurs</t>
        </is>
      </c>
      <c r="L1199" s="45" t="inlineStr">
        <is>
          <t>24/09/2028</t>
        </is>
      </c>
      <c r="M1199" s="45" t="inlineStr">
        <is>
          <t>45015 (Architecture intérieure) ; 42159 (Valorisation immobilière) ; 45501 (Peinture décorative) ; 22408 (Cuisine salle de bains)</t>
        </is>
      </c>
      <c r="N1199" s="50" t="inlineStr">
        <is>
          <t>NON</t>
        </is>
      </c>
      <c r="O1199" s="45" t="inlineStr"/>
    </row>
    <row r="1200" customFormat="1" s="3">
      <c r="A1200" s="45" t="n"/>
      <c r="B1200" s="46" t="inlineStr">
        <is>
          <t>22435</t>
        </is>
      </c>
      <c r="C1200" s="46">
        <f>LEFT(Tableau1[[#This Row],[Formacode]],3)</f>
        <v/>
      </c>
      <c r="D1200" s="47" t="n">
        <v>41842</v>
      </c>
      <c r="E1200" s="48">
        <f>"RNCP"&amp;D1200</f>
        <v/>
      </c>
      <c r="F1200" s="48" t="inlineStr">
        <is>
          <t>BP - Menuisier</t>
        </is>
      </c>
      <c r="G1200" s="49">
        <f>E1200&amp;" - "&amp;F1200</f>
        <v/>
      </c>
      <c r="H1200" s="36" t="inlineStr">
        <is>
          <t>RAS</t>
        </is>
      </c>
      <c r="I1200" s="45" t="inlineStr"/>
      <c r="J1200" s="45" t="inlineStr">
        <is>
          <t>RNCP41842</t>
        </is>
      </c>
      <c r="K1200" s="45" t="inlineStr">
        <is>
          <t>Menuisier</t>
        </is>
      </c>
      <c r="L1200" s="45" t="inlineStr">
        <is>
          <t>31/12/2027</t>
        </is>
      </c>
      <c r="M1200" s="45" t="inlineStr">
        <is>
          <t>22435 (Menuiserie)</t>
        </is>
      </c>
      <c r="N1200" s="50" t="inlineStr">
        <is>
          <t>NON</t>
        </is>
      </c>
      <c r="O1200" s="45" t="inlineStr"/>
    </row>
    <row r="1201" customFormat="1" s="3">
      <c r="A1201" s="51" t="n"/>
      <c r="B1201" s="52" t="inlineStr">
        <is>
          <t>22441</t>
        </is>
      </c>
      <c r="C1201" s="52">
        <f>LEFT(Tableau1[[#This Row],[Formacode]],3)</f>
        <v/>
      </c>
      <c r="D1201" s="53" t="n">
        <v>35809</v>
      </c>
      <c r="E1201" s="54">
        <f>"RNCP"&amp;D1201</f>
        <v/>
      </c>
      <c r="F1201" s="54" t="inlineStr">
        <is>
          <t>BTS - Finition, aménagement des bâtiments : conception et réalisation</t>
        </is>
      </c>
      <c r="G1201" s="55">
        <f>E1201&amp;" - "&amp;F1201</f>
        <v/>
      </c>
      <c r="H1201" s="37" t="inlineStr">
        <is>
          <t>À vérifier</t>
        </is>
      </c>
      <c r="I1201" s="51" t="inlineStr">
        <is>
          <t>Successeur déjà publié : RNCP41827 (Finitions, aménagement des bâtiments : conception et réalisation) — préparer la bascule de l'offre CPF | Échéance le 31/08/2026 (dans 44 j)</t>
        </is>
      </c>
      <c r="J1201" s="51" t="inlineStr">
        <is>
          <t>RNCP41827</t>
        </is>
      </c>
      <c r="K1201" s="51" t="inlineStr">
        <is>
          <t>Finitions, aménagement des bâtiments : conception et réalisation</t>
        </is>
      </c>
      <c r="L1201" s="51" t="inlineStr">
        <is>
          <t>31/08/2026</t>
        </is>
      </c>
      <c r="M1201" s="51" t="inlineStr">
        <is>
          <t>22274 (Chantier BTP) ; 22248 (Gestion entreprise BTP)</t>
        </is>
      </c>
      <c r="N1201" s="62" t="inlineStr">
        <is>
          <t>NON</t>
        </is>
      </c>
      <c r="O1201" s="51" t="inlineStr"/>
    </row>
    <row r="1202" customFormat="1" s="3">
      <c r="A1202" s="45" t="n"/>
      <c r="B1202" s="46" t="inlineStr">
        <is>
          <t>22441</t>
        </is>
      </c>
      <c r="C1202" s="46">
        <f>LEFT(Tableau1[[#This Row],[Formacode]],3)</f>
        <v/>
      </c>
      <c r="D1202" s="47" t="n">
        <v>37305</v>
      </c>
      <c r="E1202" s="48">
        <f>"RNCP"&amp;D1202</f>
        <v/>
      </c>
      <c r="F1202" s="48" t="inlineStr">
        <is>
          <t>CAP - Signalétique et décors graphiques</t>
        </is>
      </c>
      <c r="G1202" s="49">
        <f>E1202&amp;" - "&amp;F1202</f>
        <v/>
      </c>
      <c r="H1202" s="36" t="inlineStr">
        <is>
          <t>RAS</t>
        </is>
      </c>
      <c r="I1202" s="45" t="inlineStr"/>
      <c r="J1202" s="45" t="inlineStr">
        <is>
          <t>RNCP37305</t>
        </is>
      </c>
      <c r="K1202" s="45" t="inlineStr">
        <is>
          <t>Signalétique et décors graphiques</t>
        </is>
      </c>
      <c r="L1202" s="45" t="inlineStr">
        <is>
          <t>31/08/2028</t>
        </is>
      </c>
      <c r="M1202" s="45" t="inlineStr">
        <is>
          <t>22441 (Signalétique enseigne)</t>
        </is>
      </c>
      <c r="N1202" s="50" t="inlineStr">
        <is>
          <t>NON</t>
        </is>
      </c>
      <c r="O1202" s="45" t="inlineStr"/>
    </row>
    <row r="1203" customFormat="1" s="3">
      <c r="A1203" s="45" t="n"/>
      <c r="B1203" s="46" t="inlineStr">
        <is>
          <t>22441</t>
        </is>
      </c>
      <c r="C1203" s="46">
        <f>LEFT(Tableau1[[#This Row],[Formacode]],3)</f>
        <v/>
      </c>
      <c r="D1203" s="47" t="n">
        <v>38383</v>
      </c>
      <c r="E1203" s="48">
        <f>"RNCP"&amp;D1203</f>
        <v/>
      </c>
      <c r="F1203" s="48" t="inlineStr">
        <is>
          <t>BTS - Etude et réalisation d'agencement</t>
        </is>
      </c>
      <c r="G1203" s="49">
        <f>E1203&amp;" - "&amp;F1203</f>
        <v/>
      </c>
      <c r="H1203" s="36" t="inlineStr">
        <is>
          <t>RAS</t>
        </is>
      </c>
      <c r="I1203" s="45" t="inlineStr"/>
      <c r="J1203" s="45" t="inlineStr">
        <is>
          <t>RNCP38383</t>
        </is>
      </c>
      <c r="K1203" s="45" t="inlineStr">
        <is>
          <t>Etude et réalisation d'agencement</t>
        </is>
      </c>
      <c r="L1203" s="45" t="inlineStr">
        <is>
          <t>31/12/2028</t>
        </is>
      </c>
      <c r="M1203" s="45" t="inlineStr">
        <is>
          <t>45015 (Architecture intérieure) ; 22454 (Bâtiment second oeuvre)</t>
        </is>
      </c>
      <c r="N1203" s="50" t="inlineStr">
        <is>
          <t>NON</t>
        </is>
      </c>
      <c r="O1203" s="45" t="inlineStr"/>
    </row>
    <row r="1204" customFormat="1" s="3">
      <c r="A1204" s="45" t="n"/>
      <c r="B1204" s="46" t="inlineStr">
        <is>
          <t>22441</t>
        </is>
      </c>
      <c r="C1204" s="46">
        <f>LEFT(Tableau1[[#This Row],[Formacode]],3)</f>
        <v/>
      </c>
      <c r="D1204" s="47" t="n">
        <v>38747</v>
      </c>
      <c r="E1204" s="48">
        <f>"RNCP"&amp;D1204</f>
        <v/>
      </c>
      <c r="F1204" s="48" t="inlineStr">
        <is>
          <t>TP - Chef de chantier aménagement finitions</t>
        </is>
      </c>
      <c r="G1204" s="49">
        <f>E1204&amp;" - "&amp;F1204</f>
        <v/>
      </c>
      <c r="H1204" s="36" t="inlineStr">
        <is>
          <t>RAS</t>
        </is>
      </c>
      <c r="I1204" s="45" t="inlineStr"/>
      <c r="J1204" s="45" t="inlineStr">
        <is>
          <t>RNCP38747</t>
        </is>
      </c>
      <c r="K1204" s="45" t="inlineStr">
        <is>
          <t>Chef de chantier aménagement finitions</t>
        </is>
      </c>
      <c r="L1204" s="45" t="inlineStr">
        <is>
          <t>18/08/2029</t>
        </is>
      </c>
      <c r="M1204" s="45" t="inlineStr">
        <is>
          <t>22294 (Conduite chantier BTP) ; 22454 (Bâtiment second oeuvre)</t>
        </is>
      </c>
      <c r="N1204" s="50" t="inlineStr">
        <is>
          <t>NON</t>
        </is>
      </c>
      <c r="O1204" s="45" t="inlineStr"/>
    </row>
    <row r="1205" customFormat="1" s="3">
      <c r="A1205" s="45" t="n"/>
      <c r="B1205" s="46" t="inlineStr">
        <is>
          <t>22441</t>
        </is>
      </c>
      <c r="C1205" s="46">
        <f>LEFT(Tableau1[[#This Row],[Formacode]],3)</f>
        <v/>
      </c>
      <c r="D1205" s="47" t="n">
        <v>39357</v>
      </c>
      <c r="E1205" s="48">
        <f>"RNCP"&amp;D1205</f>
        <v/>
      </c>
      <c r="F1205" s="48" t="inlineStr">
        <is>
          <t>CQP Installateur mainteneur de système de pompe à chaleur</t>
        </is>
      </c>
      <c r="G1205" s="49">
        <f>E1205&amp;" - "&amp;F1205</f>
        <v/>
      </c>
      <c r="H1205" s="36" t="inlineStr">
        <is>
          <t>RAS</t>
        </is>
      </c>
      <c r="I1205" s="45" t="inlineStr"/>
      <c r="J1205" s="45" t="inlineStr">
        <is>
          <t>RNCP39357</t>
        </is>
      </c>
      <c r="K1205" s="45" t="inlineStr">
        <is>
          <t>CQP Installateur mainteneur de système de pompe à chaleur</t>
        </is>
      </c>
      <c r="L1205" s="45" t="inlineStr">
        <is>
          <t>19/07/2027</t>
        </is>
      </c>
      <c r="M1205" s="45" t="inlineStr">
        <is>
          <t>22675 (Pompe à chaleur) ; 22454 (Bâtiment second oeuvre) ; 22685 (Installation thermique sanitaire)</t>
        </is>
      </c>
      <c r="N1205" s="50" t="inlineStr">
        <is>
          <t>NON</t>
        </is>
      </c>
      <c r="O1205" s="45" t="inlineStr"/>
    </row>
    <row r="1206" ht="28.8" customFormat="1" customHeight="1" s="3">
      <c r="A1206" s="45" t="n"/>
      <c r="B1206" s="46" t="inlineStr">
        <is>
          <t>22441</t>
        </is>
      </c>
      <c r="C1206" s="46">
        <f>LEFT(Tableau1[[#This Row],[Formacode]],3)</f>
        <v/>
      </c>
      <c r="D1206" s="47" t="n">
        <v>39358</v>
      </c>
      <c r="E1206" s="48">
        <f>"RNCP"&amp;D1206</f>
        <v/>
      </c>
      <c r="F1206" s="48" t="inlineStr">
        <is>
          <t>CQP Installateur mainteneur de systèmes de ventilation et gestion de la qualité d'air intérieur</t>
        </is>
      </c>
      <c r="G1206" s="49">
        <f>E1206&amp;" - "&amp;F1206</f>
        <v/>
      </c>
      <c r="H1206" s="36" t="inlineStr">
        <is>
          <t>RAS</t>
        </is>
      </c>
      <c r="I1206" s="45" t="inlineStr"/>
      <c r="J1206" s="45" t="inlineStr">
        <is>
          <t>RNCP39358</t>
        </is>
      </c>
      <c r="K1206" s="45" t="inlineStr">
        <is>
          <t>CQP Installateur mainteneur de systèmes de ventilation et gestion de la qualité d'air intérieur</t>
        </is>
      </c>
      <c r="L1206" s="45" t="inlineStr">
        <is>
          <t>19/07/2027</t>
        </is>
      </c>
      <c r="M1206" s="45" t="inlineStr">
        <is>
          <t>22635 (Climatisation) ; 22454 (Bâtiment second oeuvre)</t>
        </is>
      </c>
      <c r="N1206" s="50" t="inlineStr">
        <is>
          <t>NON</t>
        </is>
      </c>
      <c r="O1206" s="45" t="inlineStr"/>
    </row>
    <row r="1207" customFormat="1" s="3">
      <c r="A1207" s="45" t="n"/>
      <c r="B1207" s="46" t="inlineStr">
        <is>
          <t>22441</t>
        </is>
      </c>
      <c r="C1207" s="46">
        <f>LEFT(Tableau1[[#This Row],[Formacode]],3)</f>
        <v/>
      </c>
      <c r="D1207" s="47" t="n">
        <v>39703</v>
      </c>
      <c r="E1207" s="48">
        <f>"RNCP"&amp;D1207</f>
        <v/>
      </c>
      <c r="F1207" s="48" t="inlineStr">
        <is>
          <t>CAP - Métiers de l'enseigne et de la signalétique</t>
        </is>
      </c>
      <c r="G1207" s="49">
        <f>E1207&amp;" - "&amp;F1207</f>
        <v/>
      </c>
      <c r="H1207" s="36" t="inlineStr">
        <is>
          <t>RAS</t>
        </is>
      </c>
      <c r="I1207" s="45" t="inlineStr"/>
      <c r="J1207" s="45" t="inlineStr">
        <is>
          <t>RNCP39703</t>
        </is>
      </c>
      <c r="K1207" s="45" t="inlineStr">
        <is>
          <t>Métiers de l'enseigne et de la signalétique</t>
        </is>
      </c>
      <c r="L1207" s="45" t="inlineStr">
        <is>
          <t>31/12/2029</t>
        </is>
      </c>
      <c r="M1207" s="45" t="inlineStr">
        <is>
          <t>22441 (Signalétique enseigne)</t>
        </is>
      </c>
      <c r="N1207" s="50" t="inlineStr">
        <is>
          <t>NON</t>
        </is>
      </c>
      <c r="O1207" s="45" t="inlineStr"/>
    </row>
    <row r="1208" customFormat="1" s="3">
      <c r="A1208" s="45" t="n"/>
      <c r="B1208" s="46" t="inlineStr">
        <is>
          <t>22441</t>
        </is>
      </c>
      <c r="C1208" s="46">
        <f>LEFT(Tableau1[[#This Row],[Formacode]],3)</f>
        <v/>
      </c>
      <c r="D1208" s="47" t="n">
        <v>39940</v>
      </c>
      <c r="E1208" s="48">
        <f>"RNCP"&amp;D1208</f>
        <v/>
      </c>
      <c r="F1208" s="48" t="inlineStr">
        <is>
          <t>CAP - Souffleur de verre options Enseigne lumineuse et Verrerie scientifique</t>
        </is>
      </c>
      <c r="G1208" s="49">
        <f>E1208&amp;" - "&amp;F1208</f>
        <v/>
      </c>
      <c r="H1208" s="36" t="inlineStr">
        <is>
          <t>RAS</t>
        </is>
      </c>
      <c r="I1208" s="45" t="inlineStr"/>
      <c r="J1208" s="45" t="inlineStr">
        <is>
          <t>RNCP39940</t>
        </is>
      </c>
      <c r="K1208" s="45" t="inlineStr">
        <is>
          <t>Souffleur de verre options Enseigne lumineuse et Verrerie scientifique</t>
        </is>
      </c>
      <c r="L1208" s="45" t="inlineStr">
        <is>
          <t>31/08/2027</t>
        </is>
      </c>
      <c r="M1208" s="45" t="inlineStr">
        <is>
          <t>45567 (Verrerie art) ; 22820 (Verre) ; 22441 (Signalétique enseigne)</t>
        </is>
      </c>
      <c r="N1208" s="50" t="inlineStr">
        <is>
          <t>NON</t>
        </is>
      </c>
      <c r="O1208" s="45" t="inlineStr"/>
    </row>
    <row r="1209" customFormat="1" s="3">
      <c r="A1209" s="63" t="n"/>
      <c r="B1209" s="64" t="inlineStr">
        <is>
          <t>22442</t>
        </is>
      </c>
      <c r="C1209" s="64">
        <f>LEFT(Tableau1[[#This Row],[Formacode]],3)</f>
        <v/>
      </c>
      <c r="D1209" s="65" t="n">
        <v>35509</v>
      </c>
      <c r="E1209" s="66">
        <f>"RNCP"&amp;D1209</f>
        <v/>
      </c>
      <c r="F1209" s="66" t="inlineStr">
        <is>
          <t>TP - Carreleur-chapiste</t>
        </is>
      </c>
      <c r="G1209" s="67">
        <f>E1209&amp;" - "&amp;F1209</f>
        <v/>
      </c>
      <c r="H1209" s="38" t="inlineStr">
        <is>
          <t>Expiré / remplacé</t>
        </is>
      </c>
      <c r="I1209" s="63" t="inlineStr">
        <is>
          <t>Fiche inactive — remplacée par RNCP42139 (Carreleur-chapiste)</t>
        </is>
      </c>
      <c r="J1209" s="63" t="inlineStr">
        <is>
          <t>RNCP42139</t>
        </is>
      </c>
      <c r="K1209" s="63" t="inlineStr">
        <is>
          <t>Carreleur-chapiste</t>
        </is>
      </c>
      <c r="L1209" s="63" t="inlineStr">
        <is>
          <t>23/05/2026</t>
        </is>
      </c>
      <c r="M1209" s="63" t="inlineStr">
        <is>
          <t>22440 (Carrelage mosaïque)</t>
        </is>
      </c>
      <c r="N1209" s="68" t="inlineStr">
        <is>
          <t>NON</t>
        </is>
      </c>
      <c r="O1209" s="63" t="inlineStr"/>
    </row>
    <row r="1210" customFormat="1" s="3">
      <c r="A1210" s="51" t="n"/>
      <c r="B1210" s="52" t="inlineStr">
        <is>
          <t>22442</t>
        </is>
      </c>
      <c r="C1210" s="52">
        <f>LEFT(Tableau1[[#This Row],[Formacode]],3)</f>
        <v/>
      </c>
      <c r="D1210" s="53" t="n">
        <v>35809</v>
      </c>
      <c r="E1210" s="54">
        <f>"RNCP"&amp;D1210</f>
        <v/>
      </c>
      <c r="F1210" s="54" t="inlineStr">
        <is>
          <t>BTS - Finition, aménagement des bâtiments : conception et réalisation</t>
        </is>
      </c>
      <c r="G1210" s="55">
        <f>E1210&amp;" - "&amp;F1210</f>
        <v/>
      </c>
      <c r="H1210" s="37" t="inlineStr">
        <is>
          <t>À vérifier</t>
        </is>
      </c>
      <c r="I1210" s="51" t="inlineStr">
        <is>
          <t>Successeur déjà publié : RNCP41827 (Finitions, aménagement des bâtiments : conception et réalisation) — préparer la bascule de l'offre CPF | Échéance le 31/08/2026 (dans 44 j)</t>
        </is>
      </c>
      <c r="J1210" s="51" t="inlineStr">
        <is>
          <t>RNCP41827</t>
        </is>
      </c>
      <c r="K1210" s="51" t="inlineStr">
        <is>
          <t>Finitions, aménagement des bâtiments : conception et réalisation</t>
        </is>
      </c>
      <c r="L1210" s="51" t="inlineStr">
        <is>
          <t>31/08/2026</t>
        </is>
      </c>
      <c r="M1210" s="51" t="inlineStr">
        <is>
          <t>22274 (Chantier BTP) ; 22248 (Gestion entreprise BTP)</t>
        </is>
      </c>
      <c r="N1210" s="62" t="inlineStr">
        <is>
          <t>NON</t>
        </is>
      </c>
      <c r="O1210" s="51" t="inlineStr"/>
    </row>
    <row r="1211" customFormat="1" s="3">
      <c r="A1211" s="45" t="n"/>
      <c r="B1211" s="46" t="inlineStr">
        <is>
          <t>22442</t>
        </is>
      </c>
      <c r="C1211" s="46">
        <f>LEFT(Tableau1[[#This Row],[Formacode]],3)</f>
        <v/>
      </c>
      <c r="D1211" s="47" t="n">
        <v>36257</v>
      </c>
      <c r="E1211" s="48">
        <f>"RNCP"&amp;D1211</f>
        <v/>
      </c>
      <c r="F1211" s="48" t="inlineStr">
        <is>
          <t>TP - Peintre en bâtiment</t>
        </is>
      </c>
      <c r="G1211" s="49">
        <f>E1211&amp;" - "&amp;F1211</f>
        <v/>
      </c>
      <c r="H1211" s="36" t="inlineStr">
        <is>
          <t>RAS</t>
        </is>
      </c>
      <c r="I1211" s="45" t="inlineStr"/>
      <c r="J1211" s="45" t="inlineStr">
        <is>
          <t>RNCP36257</t>
        </is>
      </c>
      <c r="K1211" s="45" t="inlineStr">
        <is>
          <t>Peintre en bâtiment</t>
        </is>
      </c>
      <c r="L1211" s="45" t="inlineStr">
        <is>
          <t>18/08/2027</t>
        </is>
      </c>
      <c r="M1211" s="45" t="inlineStr">
        <is>
          <t>22472 (Peinture bâtiment)</t>
        </is>
      </c>
      <c r="N1211" s="50" t="inlineStr">
        <is>
          <t>NON</t>
        </is>
      </c>
      <c r="O1211" s="45" t="inlineStr"/>
    </row>
    <row r="1212" customFormat="1" s="3">
      <c r="A1212" s="45" t="n"/>
      <c r="B1212" s="46" t="inlineStr">
        <is>
          <t>22442</t>
        </is>
      </c>
      <c r="C1212" s="46">
        <f>LEFT(Tableau1[[#This Row],[Formacode]],3)</f>
        <v/>
      </c>
      <c r="D1212" s="47" t="n">
        <v>36259</v>
      </c>
      <c r="E1212" s="48">
        <f>"RNCP"&amp;D1212</f>
        <v/>
      </c>
      <c r="F1212" s="48" t="inlineStr">
        <is>
          <t>TP - Solier moquettiste</t>
        </is>
      </c>
      <c r="G1212" s="49">
        <f>E1212&amp;" - "&amp;F1212</f>
        <v/>
      </c>
      <c r="H1212" s="36" t="inlineStr">
        <is>
          <t>RAS</t>
        </is>
      </c>
      <c r="I1212" s="45" t="inlineStr"/>
      <c r="J1212" s="45" t="inlineStr">
        <is>
          <t>RNCP36259</t>
        </is>
      </c>
      <c r="K1212" s="45" t="inlineStr">
        <is>
          <t>Solier moquettiste</t>
        </is>
      </c>
      <c r="L1212" s="45" t="inlineStr">
        <is>
          <t>18/08/2027</t>
        </is>
      </c>
      <c r="M1212" s="45" t="inlineStr">
        <is>
          <t>22442 (Revêtement sol mur)</t>
        </is>
      </c>
      <c r="N1212" s="50" t="inlineStr">
        <is>
          <t>NON</t>
        </is>
      </c>
      <c r="O1212" s="45" t="inlineStr"/>
    </row>
    <row r="1213" customFormat="1" s="3">
      <c r="A1213" s="45" t="n"/>
      <c r="B1213" s="46" t="inlineStr">
        <is>
          <t>22442</t>
        </is>
      </c>
      <c r="C1213" s="46">
        <f>LEFT(Tableau1[[#This Row],[Formacode]],3)</f>
        <v/>
      </c>
      <c r="D1213" s="47" t="n">
        <v>36427</v>
      </c>
      <c r="E1213" s="48">
        <f>"RNCP"&amp;D1213</f>
        <v/>
      </c>
      <c r="F1213" s="48" t="inlineStr">
        <is>
          <t>CAP - Staffeur ornemaniste</t>
        </is>
      </c>
      <c r="G1213" s="49">
        <f>E1213&amp;" - "&amp;F1213</f>
        <v/>
      </c>
      <c r="H1213" s="36" t="inlineStr">
        <is>
          <t>RAS</t>
        </is>
      </c>
      <c r="I1213" s="45" t="inlineStr"/>
      <c r="J1213" s="45" t="inlineStr">
        <is>
          <t>RNCP36427</t>
        </is>
      </c>
      <c r="K1213" s="45" t="inlineStr">
        <is>
          <t>Staffeur ornemaniste</t>
        </is>
      </c>
      <c r="L1213" s="45" t="inlineStr">
        <is>
          <t>31/08/2027</t>
        </is>
      </c>
      <c r="M1213" s="45" t="inlineStr">
        <is>
          <t>22401 (Staff) ; 45554 (Artisanat art)</t>
        </is>
      </c>
      <c r="N1213" s="50" t="inlineStr">
        <is>
          <t>NON</t>
        </is>
      </c>
      <c r="O1213" s="45" t="inlineStr"/>
    </row>
    <row r="1214" customFormat="1" s="3">
      <c r="A1214" s="45" t="n"/>
      <c r="B1214" s="46" t="inlineStr">
        <is>
          <t>22442</t>
        </is>
      </c>
      <c r="C1214" s="46">
        <f>LEFT(Tableau1[[#This Row],[Formacode]],3)</f>
        <v/>
      </c>
      <c r="D1214" s="47" t="n">
        <v>37122</v>
      </c>
      <c r="E1214" s="48">
        <f>"RNCP"&amp;D1214</f>
        <v/>
      </c>
      <c r="F1214" s="48" t="inlineStr">
        <is>
          <t>TP - Plaquiste</t>
        </is>
      </c>
      <c r="G1214" s="49">
        <f>E1214&amp;" - "&amp;F1214</f>
        <v/>
      </c>
      <c r="H1214" s="36" t="inlineStr">
        <is>
          <t>RAS</t>
        </is>
      </c>
      <c r="I1214" s="45" t="inlineStr"/>
      <c r="J1214" s="45" t="inlineStr">
        <is>
          <t>RNCP37122</t>
        </is>
      </c>
      <c r="K1214" s="45" t="inlineStr">
        <is>
          <t>Plaquiste</t>
        </is>
      </c>
      <c r="L1214" s="45" t="inlineStr">
        <is>
          <t>05/03/2028</t>
        </is>
      </c>
      <c r="M1214" s="45" t="inlineStr">
        <is>
          <t>22412 (Plâtrerie)</t>
        </is>
      </c>
      <c r="N1214" s="50" t="inlineStr">
        <is>
          <t>NON</t>
        </is>
      </c>
      <c r="O1214" s="45" t="inlineStr"/>
    </row>
    <row r="1215" customFormat="1" s="3">
      <c r="A1215" s="45" t="n"/>
      <c r="B1215" s="46" t="inlineStr">
        <is>
          <t>22442</t>
        </is>
      </c>
      <c r="C1215" s="46">
        <f>LEFT(Tableau1[[#This Row],[Formacode]],3)</f>
        <v/>
      </c>
      <c r="D1215" s="47" t="n">
        <v>37874</v>
      </c>
      <c r="E1215" s="48">
        <f>"RNCP"&amp;D1215</f>
        <v/>
      </c>
      <c r="F1215" s="48" t="inlineStr">
        <is>
          <t>TP - Plâtrier traditionnel</t>
        </is>
      </c>
      <c r="G1215" s="49">
        <f>E1215&amp;" - "&amp;F1215</f>
        <v/>
      </c>
      <c r="H1215" s="36" t="inlineStr">
        <is>
          <t>RAS</t>
        </is>
      </c>
      <c r="I1215" s="45" t="inlineStr"/>
      <c r="J1215" s="45" t="inlineStr">
        <is>
          <t>RNCP37874</t>
        </is>
      </c>
      <c r="K1215" s="45" t="inlineStr">
        <is>
          <t>Plâtrier traditionnel</t>
        </is>
      </c>
      <c r="L1215" s="45" t="inlineStr">
        <is>
          <t>27/09/2028</t>
        </is>
      </c>
      <c r="M1215" s="45" t="inlineStr">
        <is>
          <t>22412 (Plâtrerie)</t>
        </is>
      </c>
      <c r="N1215" s="50" t="inlineStr">
        <is>
          <t>NON</t>
        </is>
      </c>
      <c r="O1215" s="45" t="inlineStr"/>
    </row>
    <row r="1216" customFormat="1" s="3">
      <c r="A1216" s="45" t="n"/>
      <c r="B1216" s="46" t="inlineStr">
        <is>
          <t>22442</t>
        </is>
      </c>
      <c r="C1216" s="46">
        <f>LEFT(Tableau1[[#This Row],[Formacode]],3)</f>
        <v/>
      </c>
      <c r="D1216" s="47" t="n">
        <v>37918</v>
      </c>
      <c r="E1216" s="48">
        <f>"RNCP"&amp;D1216</f>
        <v/>
      </c>
      <c r="F1216" s="48" t="inlineStr">
        <is>
          <t>CS - Plâtrier</t>
        </is>
      </c>
      <c r="G1216" s="49">
        <f>E1216&amp;" - "&amp;F1216</f>
        <v/>
      </c>
      <c r="H1216" s="36" t="inlineStr">
        <is>
          <t>RAS</t>
        </is>
      </c>
      <c r="I1216" s="45" t="inlineStr"/>
      <c r="J1216" s="45" t="inlineStr">
        <is>
          <t>RNCP37918</t>
        </is>
      </c>
      <c r="K1216" s="45" t="inlineStr">
        <is>
          <t>Plâtrier</t>
        </is>
      </c>
      <c r="L1216" s="45" t="inlineStr">
        <is>
          <t>31/08/2028</t>
        </is>
      </c>
      <c r="M1216" s="45" t="inlineStr">
        <is>
          <t>22412 (Plâtrerie)</t>
        </is>
      </c>
      <c r="N1216" s="50" t="inlineStr">
        <is>
          <t>NON</t>
        </is>
      </c>
      <c r="O1216" s="45" t="inlineStr"/>
    </row>
    <row r="1217" customFormat="1" s="3">
      <c r="A1217" s="45" t="n"/>
      <c r="B1217" s="46" t="inlineStr">
        <is>
          <t>22442</t>
        </is>
      </c>
      <c r="C1217" s="46">
        <f>LEFT(Tableau1[[#This Row],[Formacode]],3)</f>
        <v/>
      </c>
      <c r="D1217" s="47" t="n">
        <v>38229</v>
      </c>
      <c r="E1217" s="48">
        <f>"RNCP"&amp;D1217</f>
        <v/>
      </c>
      <c r="F1217" s="48" t="inlineStr">
        <is>
          <t>BAC PRO - Aménagement et finition du bâtiment</t>
        </is>
      </c>
      <c r="G1217" s="49">
        <f>E1217&amp;" - "&amp;F1217</f>
        <v/>
      </c>
      <c r="H1217" s="36" t="inlineStr">
        <is>
          <t>RAS</t>
        </is>
      </c>
      <c r="I1217" s="45" t="inlineStr"/>
      <c r="J1217" s="45" t="inlineStr">
        <is>
          <t>RNCP38229</t>
        </is>
      </c>
      <c r="K1217" s="45" t="inlineStr">
        <is>
          <t>Aménagement et finition du bâtiment</t>
        </is>
      </c>
      <c r="L1217" s="45" t="inlineStr">
        <is>
          <t>31/08/2028</t>
        </is>
      </c>
      <c r="M1217" s="45" t="inlineStr">
        <is>
          <t>22334 (Maçonnerie) ; 22420 (Isolation bâtiment) ; 22434 (Vitrerie miroiterie) ; 22442 (Revêtement sol mur)</t>
        </is>
      </c>
      <c r="N1217" s="50" t="inlineStr">
        <is>
          <t>NON</t>
        </is>
      </c>
      <c r="O1217" s="45" t="inlineStr"/>
    </row>
    <row r="1218" customFormat="1" s="3">
      <c r="A1218" s="45" t="n"/>
      <c r="B1218" s="46" t="inlineStr">
        <is>
          <t>22442</t>
        </is>
      </c>
      <c r="C1218" s="46">
        <f>LEFT(Tableau1[[#This Row],[Formacode]],3)</f>
        <v/>
      </c>
      <c r="D1218" s="47" t="n">
        <v>38230</v>
      </c>
      <c r="E1218" s="48">
        <f>"RNCP"&amp;D1218</f>
        <v/>
      </c>
      <c r="F1218" s="48" t="inlineStr">
        <is>
          <t>BP - Carreleur mosaiste</t>
        </is>
      </c>
      <c r="G1218" s="49">
        <f>E1218&amp;" - "&amp;F1218</f>
        <v/>
      </c>
      <c r="H1218" s="36" t="inlineStr">
        <is>
          <t>RAS</t>
        </is>
      </c>
      <c r="I1218" s="45" t="inlineStr"/>
      <c r="J1218" s="45" t="inlineStr">
        <is>
          <t>RNCP38230</t>
        </is>
      </c>
      <c r="K1218" s="45" t="inlineStr">
        <is>
          <t>Carreleur mosaiste</t>
        </is>
      </c>
      <c r="L1218" s="45" t="inlineStr">
        <is>
          <t>31/08/2029</t>
        </is>
      </c>
      <c r="M1218" s="45" t="inlineStr">
        <is>
          <t>22440 (Carrelage mosaïque)</t>
        </is>
      </c>
      <c r="N1218" s="50" t="inlineStr">
        <is>
          <t>NON</t>
        </is>
      </c>
      <c r="O1218" s="45" t="inlineStr"/>
    </row>
    <row r="1219" customFormat="1" s="3">
      <c r="A1219" s="45" t="n"/>
      <c r="B1219" s="46" t="inlineStr">
        <is>
          <t>22442</t>
        </is>
      </c>
      <c r="C1219" s="46">
        <f>LEFT(Tableau1[[#This Row],[Formacode]],3)</f>
        <v/>
      </c>
      <c r="D1219" s="47" t="n">
        <v>38309</v>
      </c>
      <c r="E1219" s="48">
        <f>"RNCP"&amp;D1219</f>
        <v/>
      </c>
      <c r="F1219" s="48" t="inlineStr">
        <is>
          <t>BP - Métiers du plâtre et de l'isolation</t>
        </is>
      </c>
      <c r="G1219" s="49">
        <f>E1219&amp;" - "&amp;F1219</f>
        <v/>
      </c>
      <c r="H1219" s="36" t="inlineStr">
        <is>
          <t>RAS</t>
        </is>
      </c>
      <c r="I1219" s="45" t="inlineStr"/>
      <c r="J1219" s="45" t="inlineStr">
        <is>
          <t>RNCP38309</t>
        </is>
      </c>
      <c r="K1219" s="45" t="inlineStr">
        <is>
          <t>Métiers du plâtre et de l'isolation</t>
        </is>
      </c>
      <c r="L1219" s="45" t="inlineStr">
        <is>
          <t>31/12/2028</t>
        </is>
      </c>
      <c r="M1219" s="45" t="inlineStr">
        <is>
          <t>22403 (Plaque plâtre)</t>
        </is>
      </c>
      <c r="N1219" s="50" t="inlineStr">
        <is>
          <t>NON</t>
        </is>
      </c>
      <c r="O1219" s="45" t="inlineStr"/>
    </row>
    <row r="1220" customFormat="1" s="3">
      <c r="A1220" s="45" t="n"/>
      <c r="B1220" s="46" t="inlineStr">
        <is>
          <t>22442</t>
        </is>
      </c>
      <c r="C1220" s="46">
        <f>LEFT(Tableau1[[#This Row],[Formacode]],3)</f>
        <v/>
      </c>
      <c r="D1220" s="47" t="n">
        <v>38383</v>
      </c>
      <c r="E1220" s="48">
        <f>"RNCP"&amp;D1220</f>
        <v/>
      </c>
      <c r="F1220" s="48" t="inlineStr">
        <is>
          <t>BTS - Etude et réalisation d'agencement</t>
        </is>
      </c>
      <c r="G1220" s="49">
        <f>E1220&amp;" - "&amp;F1220</f>
        <v/>
      </c>
      <c r="H1220" s="36" t="inlineStr">
        <is>
          <t>RAS</t>
        </is>
      </c>
      <c r="I1220" s="45" t="inlineStr"/>
      <c r="J1220" s="45" t="inlineStr">
        <is>
          <t>RNCP38383</t>
        </is>
      </c>
      <c r="K1220" s="45" t="inlineStr">
        <is>
          <t>Etude et réalisation d'agencement</t>
        </is>
      </c>
      <c r="L1220" s="45" t="inlineStr">
        <is>
          <t>31/12/2028</t>
        </is>
      </c>
      <c r="M1220" s="45" t="inlineStr">
        <is>
          <t>45015 (Architecture intérieure) ; 22454 (Bâtiment second oeuvre)</t>
        </is>
      </c>
      <c r="N1220" s="50" t="inlineStr">
        <is>
          <t>NON</t>
        </is>
      </c>
      <c r="O1220" s="45" t="inlineStr"/>
    </row>
    <row r="1221" customFormat="1" s="3">
      <c r="A1221" s="45" t="n"/>
      <c r="B1221" s="46" t="inlineStr">
        <is>
          <t>22442</t>
        </is>
      </c>
      <c r="C1221" s="46">
        <f>LEFT(Tableau1[[#This Row],[Formacode]],3)</f>
        <v/>
      </c>
      <c r="D1221" s="47" t="n">
        <v>38723</v>
      </c>
      <c r="E1221" s="48">
        <f>"RNCP"&amp;D1221</f>
        <v/>
      </c>
      <c r="F1221" s="48" t="inlineStr">
        <is>
          <t>TP - Conducteur de travaux aménagement finitions</t>
        </is>
      </c>
      <c r="G1221" s="49">
        <f>E1221&amp;" - "&amp;F1221</f>
        <v/>
      </c>
      <c r="H1221" s="36" t="inlineStr">
        <is>
          <t>RAS</t>
        </is>
      </c>
      <c r="I1221" s="45" t="inlineStr"/>
      <c r="J1221" s="45" t="inlineStr">
        <is>
          <t>RNCP38723</t>
        </is>
      </c>
      <c r="K1221" s="45" t="inlineStr">
        <is>
          <t>Conducteur de travaux aménagement finitions</t>
        </is>
      </c>
      <c r="L1221" s="45" t="inlineStr">
        <is>
          <t>07/05/2029</t>
        </is>
      </c>
      <c r="M1221" s="45" t="inlineStr">
        <is>
          <t>22293 (Conduite travaux BTP) ; 22442 (Revêtement sol mur) ; 22485 (Rénovation bâtiment) ; 22411 (Enveloppe bâtiment)</t>
        </is>
      </c>
      <c r="N1221" s="50" t="inlineStr">
        <is>
          <t>NON</t>
        </is>
      </c>
      <c r="O1221" s="45" t="inlineStr"/>
    </row>
    <row r="1222" customFormat="1" s="3">
      <c r="A1222" s="51" t="n"/>
      <c r="B1222" s="52" t="inlineStr">
        <is>
          <t>22442</t>
        </is>
      </c>
      <c r="C1222" s="52">
        <f>LEFT(Tableau1[[#This Row],[Formacode]],3)</f>
        <v/>
      </c>
      <c r="D1222" s="53" t="n">
        <v>38740</v>
      </c>
      <c r="E1222" s="54">
        <f>"RNCP"&amp;D1222</f>
        <v/>
      </c>
      <c r="F1222" s="54" t="inlineStr">
        <is>
          <t>BP - Peintre applicateur de revêtements</t>
        </is>
      </c>
      <c r="G1222" s="55">
        <f>E1222&amp;" - "&amp;F1222</f>
        <v/>
      </c>
      <c r="H1222" s="37" t="inlineStr">
        <is>
          <t>À vérifier</t>
        </is>
      </c>
      <c r="I1222" s="51" t="inlineStr">
        <is>
          <t>Successeur déjà publié : RNCP42256 (Peintre applicateur de revêtements) — préparer la bascule de l'offre CPF | Échéance le 31/12/2026 (dans 166 j)</t>
        </is>
      </c>
      <c r="J1222" s="51" t="inlineStr">
        <is>
          <t>RNCP42256</t>
        </is>
      </c>
      <c r="K1222" s="51" t="inlineStr">
        <is>
          <t>Peintre applicateur de revêtements</t>
        </is>
      </c>
      <c r="L1222" s="51" t="inlineStr">
        <is>
          <t>31/12/2026</t>
        </is>
      </c>
      <c r="M1222" s="51" t="inlineStr">
        <is>
          <t>22472 (Peinture bâtiment) ; 22412 (Plâtrerie)</t>
        </is>
      </c>
      <c r="N1222" s="62" t="inlineStr">
        <is>
          <t>NON</t>
        </is>
      </c>
      <c r="O1222" s="51" t="inlineStr"/>
    </row>
    <row r="1223" customFormat="1" s="3">
      <c r="A1223" s="45" t="n"/>
      <c r="B1223" s="46" t="inlineStr">
        <is>
          <t>22442</t>
        </is>
      </c>
      <c r="C1223" s="46">
        <f>LEFT(Tableau1[[#This Row],[Formacode]],3)</f>
        <v/>
      </c>
      <c r="D1223" s="47" t="n">
        <v>38747</v>
      </c>
      <c r="E1223" s="48">
        <f>"RNCP"&amp;D1223</f>
        <v/>
      </c>
      <c r="F1223" s="48" t="inlineStr">
        <is>
          <t>TP - Chef de chantier aménagement finitions</t>
        </is>
      </c>
      <c r="G1223" s="49">
        <f>E1223&amp;" - "&amp;F1223</f>
        <v/>
      </c>
      <c r="H1223" s="36" t="inlineStr">
        <is>
          <t>RAS</t>
        </is>
      </c>
      <c r="I1223" s="45" t="inlineStr"/>
      <c r="J1223" s="45" t="inlineStr">
        <is>
          <t>RNCP38747</t>
        </is>
      </c>
      <c r="K1223" s="45" t="inlineStr">
        <is>
          <t>Chef de chantier aménagement finitions</t>
        </is>
      </c>
      <c r="L1223" s="45" t="inlineStr">
        <is>
          <t>18/08/2029</t>
        </is>
      </c>
      <c r="M1223" s="45" t="inlineStr">
        <is>
          <t>22294 (Conduite chantier BTP) ; 22454 (Bâtiment second oeuvre)</t>
        </is>
      </c>
      <c r="N1223" s="50" t="inlineStr">
        <is>
          <t>NON</t>
        </is>
      </c>
      <c r="O1223" s="45" t="inlineStr"/>
    </row>
    <row r="1224" customFormat="1" s="3">
      <c r="A1224" s="45" t="n"/>
      <c r="B1224" s="46" t="inlineStr">
        <is>
          <t>22442</t>
        </is>
      </c>
      <c r="C1224" s="46">
        <f>LEFT(Tableau1[[#This Row],[Formacode]],3)</f>
        <v/>
      </c>
      <c r="D1224" s="47" t="n">
        <v>38751</v>
      </c>
      <c r="E1224" s="48">
        <f>"RNCP"&amp;D1224</f>
        <v/>
      </c>
      <c r="F1224" s="48" t="inlineStr">
        <is>
          <t>TP - Chef d'équipe en aménagement finitions</t>
        </is>
      </c>
      <c r="G1224" s="49">
        <f>E1224&amp;" - "&amp;F1224</f>
        <v/>
      </c>
      <c r="H1224" s="36" t="inlineStr">
        <is>
          <t>RAS</t>
        </is>
      </c>
      <c r="I1224" s="45" t="inlineStr"/>
      <c r="J1224" s="45" t="inlineStr">
        <is>
          <t>RNCP38751</t>
        </is>
      </c>
      <c r="K1224" s="45" t="inlineStr">
        <is>
          <t>Chef d'équipe en aménagement finitions</t>
        </is>
      </c>
      <c r="L1224" s="45" t="inlineStr">
        <is>
          <t>13/07/2029</t>
        </is>
      </c>
      <c r="M1224" s="45" t="inlineStr">
        <is>
          <t>22294 (Conduite chantier BTP) ; 22442 (Revêtement sol mur) ; 22411 (Enveloppe bâtiment) ; 22485 (Rénovation bâtiment)</t>
        </is>
      </c>
      <c r="N1224" s="50" t="inlineStr">
        <is>
          <t>NON</t>
        </is>
      </c>
      <c r="O1224" s="45" t="inlineStr"/>
    </row>
    <row r="1225" customFormat="1" s="3">
      <c r="A1225" s="45" t="n"/>
      <c r="B1225" s="46" t="inlineStr">
        <is>
          <t>22442</t>
        </is>
      </c>
      <c r="C1225" s="46">
        <f>LEFT(Tableau1[[#This Row],[Formacode]],3)</f>
        <v/>
      </c>
      <c r="D1225" s="47" t="n">
        <v>38758</v>
      </c>
      <c r="E1225" s="48">
        <f>"RNCP"&amp;D1225</f>
        <v/>
      </c>
      <c r="F1225" s="48" t="inlineStr">
        <is>
          <t>CS - Solier</t>
        </is>
      </c>
      <c r="G1225" s="49">
        <f>E1225&amp;" - "&amp;F1225</f>
        <v/>
      </c>
      <c r="H1225" s="36" t="inlineStr">
        <is>
          <t>RAS</t>
        </is>
      </c>
      <c r="I1225" s="45" t="inlineStr"/>
      <c r="J1225" s="45" t="inlineStr">
        <is>
          <t>RNCP38758</t>
        </is>
      </c>
      <c r="K1225" s="45" t="inlineStr">
        <is>
          <t>Solier</t>
        </is>
      </c>
      <c r="L1225" s="45" t="inlineStr">
        <is>
          <t>31/08/2029</t>
        </is>
      </c>
      <c r="M1225" s="45" t="inlineStr">
        <is>
          <t>22442 (Revêtement sol mur)</t>
        </is>
      </c>
      <c r="N1225" s="50" t="inlineStr">
        <is>
          <t>NON</t>
        </is>
      </c>
      <c r="O1225" s="45" t="inlineStr"/>
    </row>
    <row r="1226" customFormat="1" s="3">
      <c r="A1226" s="45" t="n"/>
      <c r="B1226" s="46" t="inlineStr">
        <is>
          <t>22442</t>
        </is>
      </c>
      <c r="C1226" s="46">
        <f>LEFT(Tableau1[[#This Row],[Formacode]],3)</f>
        <v/>
      </c>
      <c r="D1226" s="47" t="n">
        <v>39032</v>
      </c>
      <c r="E1226" s="48">
        <f>"RNCP"&amp;D1226</f>
        <v/>
      </c>
      <c r="F1226" s="48" t="inlineStr">
        <is>
          <t>CAP - Métiers du plâtre et de l'isolation</t>
        </is>
      </c>
      <c r="G1226" s="49">
        <f>E1226&amp;" - "&amp;F1226</f>
        <v/>
      </c>
      <c r="H1226" s="36" t="inlineStr">
        <is>
          <t>RAS</t>
        </is>
      </c>
      <c r="I1226" s="45" t="inlineStr"/>
      <c r="J1226" s="45" t="inlineStr">
        <is>
          <t>RNCP39032</t>
        </is>
      </c>
      <c r="K1226" s="45" t="inlineStr">
        <is>
          <t>Métiers du plâtre et de l'isolation</t>
        </is>
      </c>
      <c r="L1226" s="45" t="inlineStr">
        <is>
          <t>31/08/2029</t>
        </is>
      </c>
      <c r="M1226" s="45" t="inlineStr">
        <is>
          <t>22403 (Plaque plâtre) ; 22420 (Isolation bâtiment)</t>
        </is>
      </c>
      <c r="N1226" s="50" t="inlineStr">
        <is>
          <t>NON</t>
        </is>
      </c>
      <c r="O1226" s="45" t="inlineStr"/>
    </row>
    <row r="1227" customFormat="1" s="3">
      <c r="A1227" s="45" t="n"/>
      <c r="B1227" s="46" t="inlineStr">
        <is>
          <t>22442</t>
        </is>
      </c>
      <c r="C1227" s="46">
        <f>LEFT(Tableau1[[#This Row],[Formacode]],3)</f>
        <v/>
      </c>
      <c r="D1227" s="47" t="n">
        <v>39036</v>
      </c>
      <c r="E1227" s="48">
        <f>"RNCP"&amp;D1227</f>
        <v/>
      </c>
      <c r="F1227" s="48" t="inlineStr">
        <is>
          <t>CAP - Peintre applicateur de revêtements</t>
        </is>
      </c>
      <c r="G1227" s="49">
        <f>E1227&amp;" - "&amp;F1227</f>
        <v/>
      </c>
      <c r="H1227" s="36" t="inlineStr">
        <is>
          <t>RAS</t>
        </is>
      </c>
      <c r="I1227" s="45" t="inlineStr"/>
      <c r="J1227" s="45" t="inlineStr">
        <is>
          <t>RNCP39036</t>
        </is>
      </c>
      <c r="K1227" s="45" t="inlineStr">
        <is>
          <t>Peintre applicateur de revêtements</t>
        </is>
      </c>
      <c r="L1227" s="45" t="inlineStr">
        <is>
          <t>31/08/2029</t>
        </is>
      </c>
      <c r="M1227" s="45" t="inlineStr">
        <is>
          <t>22472 (Peinture bâtiment)</t>
        </is>
      </c>
      <c r="N1227" s="50" t="inlineStr">
        <is>
          <t>NON</t>
        </is>
      </c>
      <c r="O1227" s="45" t="inlineStr"/>
    </row>
    <row r="1228" customFormat="1" s="3">
      <c r="A1228" s="45" t="n"/>
      <c r="B1228" s="46" t="inlineStr">
        <is>
          <t>22442</t>
        </is>
      </c>
      <c r="C1228" s="46">
        <f>LEFT(Tableau1[[#This Row],[Formacode]],3)</f>
        <v/>
      </c>
      <c r="D1228" s="47" t="n">
        <v>39328</v>
      </c>
      <c r="E1228" s="48">
        <f>"RNCP"&amp;D1228</f>
        <v/>
      </c>
      <c r="F1228" s="48" t="inlineStr">
        <is>
          <t>CAP - Carreleur Mosaïste</t>
        </is>
      </c>
      <c r="G1228" s="49">
        <f>E1228&amp;" - "&amp;F1228</f>
        <v/>
      </c>
      <c r="H1228" s="36" t="inlineStr">
        <is>
          <t>RAS</t>
        </is>
      </c>
      <c r="I1228" s="45" t="inlineStr"/>
      <c r="J1228" s="45" t="inlineStr">
        <is>
          <t>RNCP39328</t>
        </is>
      </c>
      <c r="K1228" s="45" t="inlineStr">
        <is>
          <t>Carreleur Mosaïste</t>
        </is>
      </c>
      <c r="L1228" s="45" t="inlineStr">
        <is>
          <t>31/08/2027</t>
        </is>
      </c>
      <c r="M1228" s="45" t="inlineStr">
        <is>
          <t>22440 (Carrelage mosaïque)</t>
        </is>
      </c>
      <c r="N1228" s="50" t="inlineStr">
        <is>
          <t>NON</t>
        </is>
      </c>
      <c r="O1228" s="45" t="inlineStr"/>
    </row>
    <row r="1229" customFormat="1" s="3">
      <c r="A1229" s="45" t="n"/>
      <c r="B1229" s="46" t="inlineStr">
        <is>
          <t>22442</t>
        </is>
      </c>
      <c r="C1229" s="46">
        <f>LEFT(Tableau1[[#This Row],[Formacode]],3)</f>
        <v/>
      </c>
      <c r="D1229" s="47" t="n">
        <v>39357</v>
      </c>
      <c r="E1229" s="48">
        <f>"RNCP"&amp;D1229</f>
        <v/>
      </c>
      <c r="F1229" s="48" t="inlineStr">
        <is>
          <t>CQP Installateur mainteneur de système de pompe à chaleur</t>
        </is>
      </c>
      <c r="G1229" s="49">
        <f>E1229&amp;" - "&amp;F1229</f>
        <v/>
      </c>
      <c r="H1229" s="36" t="inlineStr">
        <is>
          <t>RAS</t>
        </is>
      </c>
      <c r="I1229" s="45" t="inlineStr"/>
      <c r="J1229" s="45" t="inlineStr">
        <is>
          <t>RNCP39357</t>
        </is>
      </c>
      <c r="K1229" s="45" t="inlineStr">
        <is>
          <t>CQP Installateur mainteneur de système de pompe à chaleur</t>
        </is>
      </c>
      <c r="L1229" s="45" t="inlineStr">
        <is>
          <t>19/07/2027</t>
        </is>
      </c>
      <c r="M1229" s="45" t="inlineStr">
        <is>
          <t>22675 (Pompe à chaleur) ; 22454 (Bâtiment second oeuvre) ; 22685 (Installation thermique sanitaire)</t>
        </is>
      </c>
      <c r="N1229" s="50" t="inlineStr">
        <is>
          <t>NON</t>
        </is>
      </c>
      <c r="O1229" s="45" t="inlineStr"/>
    </row>
    <row r="1230" ht="28.8" customFormat="1" customHeight="1" s="3">
      <c r="A1230" s="45" t="n"/>
      <c r="B1230" s="46" t="inlineStr">
        <is>
          <t>22442</t>
        </is>
      </c>
      <c r="C1230" s="46">
        <f>LEFT(Tableau1[[#This Row],[Formacode]],3)</f>
        <v/>
      </c>
      <c r="D1230" s="47" t="n">
        <v>39358</v>
      </c>
      <c r="E1230" s="48">
        <f>"RNCP"&amp;D1230</f>
        <v/>
      </c>
      <c r="F1230" s="48" t="inlineStr">
        <is>
          <t>CQP Installateur mainteneur de systèmes de ventilation et gestion de la qualité d'air intérieur</t>
        </is>
      </c>
      <c r="G1230" s="49">
        <f>E1230&amp;" - "&amp;F1230</f>
        <v/>
      </c>
      <c r="H1230" s="36" t="inlineStr">
        <is>
          <t>RAS</t>
        </is>
      </c>
      <c r="I1230" s="45" t="inlineStr"/>
      <c r="J1230" s="45" t="inlineStr">
        <is>
          <t>RNCP39358</t>
        </is>
      </c>
      <c r="K1230" s="45" t="inlineStr">
        <is>
          <t>CQP Installateur mainteneur de systèmes de ventilation et gestion de la qualité d'air intérieur</t>
        </is>
      </c>
      <c r="L1230" s="45" t="inlineStr">
        <is>
          <t>19/07/2027</t>
        </is>
      </c>
      <c r="M1230" s="45" t="inlineStr">
        <is>
          <t>22635 (Climatisation) ; 22454 (Bâtiment second oeuvre)</t>
        </is>
      </c>
      <c r="N1230" s="50" t="inlineStr">
        <is>
          <t>NON</t>
        </is>
      </c>
      <c r="O1230" s="45" t="inlineStr"/>
    </row>
    <row r="1231" customFormat="1" s="3">
      <c r="A1231" s="45" t="n"/>
      <c r="B1231" s="46" t="inlineStr">
        <is>
          <t>22442</t>
        </is>
      </c>
      <c r="C1231" s="46">
        <f>LEFT(Tableau1[[#This Row],[Formacode]],3)</f>
        <v/>
      </c>
      <c r="D1231" s="47" t="n">
        <v>40314</v>
      </c>
      <c r="E1231" s="48">
        <f>"RNCP"&amp;D1231</f>
        <v/>
      </c>
      <c r="F1231" s="48" t="inlineStr">
        <is>
          <t>TP - Plaquiste spécialisé</t>
        </is>
      </c>
      <c r="G1231" s="49">
        <f>E1231&amp;" - "&amp;F1231</f>
        <v/>
      </c>
      <c r="H1231" s="36" t="inlineStr">
        <is>
          <t>RAS</t>
        </is>
      </c>
      <c r="I1231" s="45" t="inlineStr"/>
      <c r="J1231" s="45" t="inlineStr">
        <is>
          <t>RNCP40314</t>
        </is>
      </c>
      <c r="K1231" s="45" t="inlineStr">
        <is>
          <t>Plaquiste spécialisé</t>
        </is>
      </c>
      <c r="L1231" s="45" t="inlineStr">
        <is>
          <t>31/03/2030</t>
        </is>
      </c>
      <c r="M1231" s="45" t="inlineStr">
        <is>
          <t>22403 (Plaque plâtre)</t>
        </is>
      </c>
      <c r="N1231" s="50" t="inlineStr">
        <is>
          <t>NON</t>
        </is>
      </c>
      <c r="O1231" s="45" t="inlineStr"/>
    </row>
    <row r="1232" customFormat="1" s="3">
      <c r="A1232" s="45" t="n"/>
      <c r="B1232" s="46" t="inlineStr">
        <is>
          <t>22442</t>
        </is>
      </c>
      <c r="C1232" s="46">
        <f>LEFT(Tableau1[[#This Row],[Formacode]],3)</f>
        <v/>
      </c>
      <c r="D1232" s="47" t="n">
        <v>40696</v>
      </c>
      <c r="E1232" s="48">
        <f>"RNCP"&amp;D1232</f>
        <v/>
      </c>
      <c r="F1232" s="48" t="inlineStr">
        <is>
          <t>TP - Peintre décorateur</t>
        </is>
      </c>
      <c r="G1232" s="49">
        <f>E1232&amp;" - "&amp;F1232</f>
        <v/>
      </c>
      <c r="H1232" s="36" t="inlineStr">
        <is>
          <t>RAS</t>
        </is>
      </c>
      <c r="I1232" s="45" t="inlineStr"/>
      <c r="J1232" s="45" t="inlineStr">
        <is>
          <t>RNCP40696</t>
        </is>
      </c>
      <c r="K1232" s="45" t="inlineStr">
        <is>
          <t>Peintre décorateur</t>
        </is>
      </c>
      <c r="L1232" s="45" t="inlineStr">
        <is>
          <t>31/07/2030</t>
        </is>
      </c>
      <c r="M1232" s="45" t="inlineStr">
        <is>
          <t>22480 (Peinture intérieure) ; 45040 (Décor accessoire spectacle) ; 45501 (Peinture décorative)</t>
        </is>
      </c>
      <c r="N1232" s="50" t="inlineStr">
        <is>
          <t>NON</t>
        </is>
      </c>
      <c r="O1232" s="45" t="inlineStr"/>
    </row>
    <row r="1233" customFormat="1" s="3">
      <c r="A1233" s="45" t="n"/>
      <c r="B1233" s="46" t="inlineStr">
        <is>
          <t>22442</t>
        </is>
      </c>
      <c r="C1233" s="46">
        <f>LEFT(Tableau1[[#This Row],[Formacode]],3)</f>
        <v/>
      </c>
      <c r="D1233" s="47" t="n">
        <v>40697</v>
      </c>
      <c r="E1233" s="48">
        <f>"RNCP"&amp;D1233</f>
        <v/>
      </c>
      <c r="F1233" s="48" t="inlineStr">
        <is>
          <t>TP - Peintre applicateur de revêtements techniques</t>
        </is>
      </c>
      <c r="G1233" s="49">
        <f>E1233&amp;" - "&amp;F1233</f>
        <v/>
      </c>
      <c r="H1233" s="36" t="inlineStr">
        <is>
          <t>RAS</t>
        </is>
      </c>
      <c r="I1233" s="45" t="inlineStr"/>
      <c r="J1233" s="45" t="inlineStr">
        <is>
          <t>RNCP40697</t>
        </is>
      </c>
      <c r="K1233" s="45" t="inlineStr">
        <is>
          <t>Peintre applicateur de revêtements techniques</t>
        </is>
      </c>
      <c r="L1233" s="45" t="inlineStr">
        <is>
          <t>31/07/2030</t>
        </is>
      </c>
      <c r="M1233" s="45" t="inlineStr">
        <is>
          <t>22480 (Peinture intérieure) ; 45501 (Peinture décorative)</t>
        </is>
      </c>
      <c r="N1233" s="50" t="inlineStr">
        <is>
          <t>NON</t>
        </is>
      </c>
      <c r="O1233" s="45" t="inlineStr"/>
    </row>
    <row r="1234" customFormat="1" s="3">
      <c r="A1234" s="51" t="n"/>
      <c r="B1234" s="52" t="inlineStr">
        <is>
          <t>22478</t>
        </is>
      </c>
      <c r="C1234" s="52">
        <f>LEFT(Tableau1[[#This Row],[Formacode]],3)</f>
        <v/>
      </c>
      <c r="D1234" s="53" t="n">
        <v>35809</v>
      </c>
      <c r="E1234" s="54">
        <f>"RNCP"&amp;D1234</f>
        <v/>
      </c>
      <c r="F1234" s="54" t="inlineStr">
        <is>
          <t>BTS - Finition, aménagement des bâtiments : conception et réalisation</t>
        </is>
      </c>
      <c r="G1234" s="55">
        <f>E1234&amp;" - "&amp;F1234</f>
        <v/>
      </c>
      <c r="H1234" s="37" t="inlineStr">
        <is>
          <t>À vérifier</t>
        </is>
      </c>
      <c r="I1234" s="51" t="inlineStr">
        <is>
          <t>Successeur déjà publié : RNCP41827 (Finitions, aménagement des bâtiments : conception et réalisation) — préparer la bascule de l'offre CPF | Échéance le 31/08/2026 (dans 44 j)</t>
        </is>
      </c>
      <c r="J1234" s="51" t="inlineStr">
        <is>
          <t>RNCP41827</t>
        </is>
      </c>
      <c r="K1234" s="51" t="inlineStr">
        <is>
          <t>Finitions, aménagement des bâtiments : conception et réalisation</t>
        </is>
      </c>
      <c r="L1234" s="51" t="inlineStr">
        <is>
          <t>31/08/2026</t>
        </is>
      </c>
      <c r="M1234" s="51" t="inlineStr">
        <is>
          <t>22274 (Chantier BTP) ; 22248 (Gestion entreprise BTP)</t>
        </is>
      </c>
      <c r="N1234" s="62" t="inlineStr">
        <is>
          <t>NON</t>
        </is>
      </c>
      <c r="O1234" s="51" t="inlineStr"/>
    </row>
    <row r="1235" customFormat="1" s="3">
      <c r="A1235" s="45" t="n"/>
      <c r="B1235" s="46" t="inlineStr">
        <is>
          <t>22478</t>
        </is>
      </c>
      <c r="C1235" s="46">
        <f>LEFT(Tableau1[[#This Row],[Formacode]],3)</f>
        <v/>
      </c>
      <c r="D1235" s="47" t="n">
        <v>37444</v>
      </c>
      <c r="E1235" s="48">
        <f>"RNCP"&amp;D1235</f>
        <v/>
      </c>
      <c r="F1235" s="48" t="inlineStr">
        <is>
          <t>TP - Menuisier aluminium</t>
        </is>
      </c>
      <c r="G1235" s="49">
        <f>E1235&amp;" - "&amp;F1235</f>
        <v/>
      </c>
      <c r="H1235" s="36" t="inlineStr">
        <is>
          <t>RAS</t>
        </is>
      </c>
      <c r="I1235" s="45" t="inlineStr"/>
      <c r="J1235" s="45" t="inlineStr">
        <is>
          <t>RNCP37444</t>
        </is>
      </c>
      <c r="K1235" s="45" t="inlineStr">
        <is>
          <t>Menuisier aluminium</t>
        </is>
      </c>
      <c r="L1235" s="45" t="inlineStr">
        <is>
          <t>29/07/2028</t>
        </is>
      </c>
      <c r="M1235" s="45" t="inlineStr">
        <is>
          <t>22468 (Menuiserie aluminium)</t>
        </is>
      </c>
      <c r="N1235" s="50" t="inlineStr">
        <is>
          <t>NON</t>
        </is>
      </c>
      <c r="O1235" s="45" t="inlineStr"/>
    </row>
    <row r="1236" customFormat="1" s="3">
      <c r="A1236" s="45" t="n"/>
      <c r="B1236" s="46" t="inlineStr">
        <is>
          <t>22478</t>
        </is>
      </c>
      <c r="C1236" s="46">
        <f>LEFT(Tableau1[[#This Row],[Formacode]],3)</f>
        <v/>
      </c>
      <c r="D1236" s="47" t="n">
        <v>37893</v>
      </c>
      <c r="E1236" s="48">
        <f>"RNCP"&amp;D1236</f>
        <v/>
      </c>
      <c r="F1236" s="48" t="inlineStr">
        <is>
          <t>CAP - Menuisier aluminium-verre</t>
        </is>
      </c>
      <c r="G1236" s="49">
        <f>E1236&amp;" - "&amp;F1236</f>
        <v/>
      </c>
      <c r="H1236" s="36" t="inlineStr">
        <is>
          <t>RAS</t>
        </is>
      </c>
      <c r="I1236" s="45" t="inlineStr"/>
      <c r="J1236" s="45" t="inlineStr">
        <is>
          <t>RNCP37893</t>
        </is>
      </c>
      <c r="K1236" s="45" t="inlineStr">
        <is>
          <t>Menuisier aluminium-verre</t>
        </is>
      </c>
      <c r="L1236" s="45" t="inlineStr">
        <is>
          <t>31/07/2028</t>
        </is>
      </c>
      <c r="M1236" s="45" t="inlineStr">
        <is>
          <t>22468 (Menuiserie aluminium) ; 22434 (Vitrerie miroiterie)</t>
        </is>
      </c>
      <c r="N1236" s="50" t="inlineStr">
        <is>
          <t>NON</t>
        </is>
      </c>
      <c r="O1236" s="45" t="inlineStr"/>
    </row>
    <row r="1237" customFormat="1" s="3">
      <c r="A1237" s="51" t="n"/>
      <c r="B1237" s="52" t="inlineStr">
        <is>
          <t>22478</t>
        </is>
      </c>
      <c r="C1237" s="52">
        <f>LEFT(Tableau1[[#This Row],[Formacode]],3)</f>
        <v/>
      </c>
      <c r="D1237" s="53" t="n">
        <v>37897</v>
      </c>
      <c r="E1237" s="54">
        <f>"RNCP"&amp;D1237</f>
        <v/>
      </c>
      <c r="F1237" s="54" t="inlineStr">
        <is>
          <t>CAP - Métallier</t>
        </is>
      </c>
      <c r="G1237" s="55">
        <f>E1237&amp;" - "&amp;F1237</f>
        <v/>
      </c>
      <c r="H1237" s="37" t="inlineStr">
        <is>
          <t>À vérifier</t>
        </is>
      </c>
      <c r="I1237" s="51" t="inlineStr">
        <is>
          <t>Successeur déjà publié : RNCP41831 (Métallier) — préparer la bascule de l'offre CPF | Échéance le 31/08/2026 (dans 44 j)</t>
        </is>
      </c>
      <c r="J1237" s="51" t="inlineStr">
        <is>
          <t>RNCP41831</t>
        </is>
      </c>
      <c r="K1237" s="51" t="inlineStr">
        <is>
          <t>Métallier</t>
        </is>
      </c>
      <c r="L1237" s="51" t="inlineStr">
        <is>
          <t>31/08/2026</t>
        </is>
      </c>
      <c r="M1237" s="51" t="inlineStr">
        <is>
          <t>22478 (Métallerie serrurerie)</t>
        </is>
      </c>
      <c r="N1237" s="62" t="inlineStr">
        <is>
          <t>NON</t>
        </is>
      </c>
      <c r="O1237" s="51" t="inlineStr"/>
    </row>
    <row r="1238" customFormat="1" s="3">
      <c r="A1238" s="45" t="n"/>
      <c r="B1238" s="46" t="inlineStr">
        <is>
          <t>22478</t>
        </is>
      </c>
      <c r="C1238" s="46">
        <f>LEFT(Tableau1[[#This Row],[Formacode]],3)</f>
        <v/>
      </c>
      <c r="D1238" s="47" t="n">
        <v>38383</v>
      </c>
      <c r="E1238" s="48">
        <f>"RNCP"&amp;D1238</f>
        <v/>
      </c>
      <c r="F1238" s="48" t="inlineStr">
        <is>
          <t>BTS - Etude et réalisation d'agencement</t>
        </is>
      </c>
      <c r="G1238" s="49">
        <f>E1238&amp;" - "&amp;F1238</f>
        <v/>
      </c>
      <c r="H1238" s="36" t="inlineStr">
        <is>
          <t>RAS</t>
        </is>
      </c>
      <c r="I1238" s="45" t="inlineStr"/>
      <c r="J1238" s="45" t="inlineStr">
        <is>
          <t>RNCP38383</t>
        </is>
      </c>
      <c r="K1238" s="45" t="inlineStr">
        <is>
          <t>Etude et réalisation d'agencement</t>
        </is>
      </c>
      <c r="L1238" s="45" t="inlineStr">
        <is>
          <t>31/12/2028</t>
        </is>
      </c>
      <c r="M1238" s="45" t="inlineStr">
        <is>
          <t>45015 (Architecture intérieure) ; 22454 (Bâtiment second oeuvre)</t>
        </is>
      </c>
      <c r="N1238" s="50" t="inlineStr">
        <is>
          <t>NON</t>
        </is>
      </c>
      <c r="O1238" s="45" t="inlineStr"/>
    </row>
    <row r="1239" customFormat="1" s="3">
      <c r="A1239" s="45" t="n"/>
      <c r="B1239" s="46" t="inlineStr">
        <is>
          <t>22478</t>
        </is>
      </c>
      <c r="C1239" s="46">
        <f>LEFT(Tableau1[[#This Row],[Formacode]],3)</f>
        <v/>
      </c>
      <c r="D1239" s="47" t="n">
        <v>38392</v>
      </c>
      <c r="E1239" s="48">
        <f>"RNCP"&amp;D1239</f>
        <v/>
      </c>
      <c r="F1239" s="48" t="inlineStr">
        <is>
          <t>CAP - Ferronnier d'art</t>
        </is>
      </c>
      <c r="G1239" s="49">
        <f>E1239&amp;" - "&amp;F1239</f>
        <v/>
      </c>
      <c r="H1239" s="36" t="inlineStr">
        <is>
          <t>RAS</t>
        </is>
      </c>
      <c r="I1239" s="45" t="inlineStr"/>
      <c r="J1239" s="45" t="inlineStr">
        <is>
          <t>RNCP38392</t>
        </is>
      </c>
      <c r="K1239" s="45" t="inlineStr">
        <is>
          <t>Ferronnier d'art</t>
        </is>
      </c>
      <c r="L1239" s="45" t="inlineStr">
        <is>
          <t>31/08/2028</t>
        </is>
      </c>
      <c r="M1239" s="45" t="inlineStr">
        <is>
          <t>45558 (Ferronnerie art) ; 22478 (Métallerie serrurerie)</t>
        </is>
      </c>
      <c r="N1239" s="50" t="inlineStr">
        <is>
          <t>NON</t>
        </is>
      </c>
      <c r="O1239" s="45" t="inlineStr"/>
    </row>
    <row r="1240" customFormat="1" s="3">
      <c r="A1240" s="45" t="n"/>
      <c r="B1240" s="46" t="inlineStr">
        <is>
          <t>22478</t>
        </is>
      </c>
      <c r="C1240" s="46">
        <f>LEFT(Tableau1[[#This Row],[Formacode]],3)</f>
        <v/>
      </c>
      <c r="D1240" s="47" t="n">
        <v>38720</v>
      </c>
      <c r="E1240" s="48">
        <f>"RNCP"&amp;D1240</f>
        <v/>
      </c>
      <c r="F1240" s="48" t="inlineStr">
        <is>
          <t>TP - Ferronnier</t>
        </is>
      </c>
      <c r="G1240" s="49">
        <f>E1240&amp;" - "&amp;F1240</f>
        <v/>
      </c>
      <c r="H1240" s="36" t="inlineStr">
        <is>
          <t>RAS</t>
        </is>
      </c>
      <c r="I1240" s="45" t="inlineStr"/>
      <c r="J1240" s="45" t="inlineStr">
        <is>
          <t>RNCP38720</t>
        </is>
      </c>
      <c r="K1240" s="45" t="inlineStr">
        <is>
          <t>Ferronnier</t>
        </is>
      </c>
      <c r="L1240" s="45" t="inlineStr">
        <is>
          <t>02/05/2029</t>
        </is>
      </c>
      <c r="M1240" s="45" t="inlineStr">
        <is>
          <t>22478 (Métallerie serrurerie)</t>
        </is>
      </c>
      <c r="N1240" s="50" t="inlineStr">
        <is>
          <t>NON</t>
        </is>
      </c>
      <c r="O1240" s="45" t="inlineStr"/>
    </row>
    <row r="1241" customFormat="1" s="3">
      <c r="A1241" s="45" t="n"/>
      <c r="B1241" s="46" t="inlineStr">
        <is>
          <t>22478</t>
        </is>
      </c>
      <c r="C1241" s="46">
        <f>LEFT(Tableau1[[#This Row],[Formacode]],3)</f>
        <v/>
      </c>
      <c r="D1241" s="47" t="n">
        <v>38727</v>
      </c>
      <c r="E1241" s="48">
        <f>"RNCP"&amp;D1241</f>
        <v/>
      </c>
      <c r="F1241" s="48" t="inlineStr">
        <is>
          <t>BP - Métallier</t>
        </is>
      </c>
      <c r="G1241" s="49">
        <f>E1241&amp;" - "&amp;F1241</f>
        <v/>
      </c>
      <c r="H1241" s="36" t="inlineStr">
        <is>
          <t>RAS</t>
        </is>
      </c>
      <c r="I1241" s="45" t="inlineStr"/>
      <c r="J1241" s="45" t="inlineStr">
        <is>
          <t>RNCP38727</t>
        </is>
      </c>
      <c r="K1241" s="45" t="inlineStr">
        <is>
          <t>Métallier</t>
        </is>
      </c>
      <c r="L1241" s="45" t="inlineStr">
        <is>
          <t>31/12/2028</t>
        </is>
      </c>
      <c r="M1241" s="45" t="inlineStr">
        <is>
          <t>22478 (Métallerie serrurerie)</t>
        </is>
      </c>
      <c r="N1241" s="50" t="inlineStr">
        <is>
          <t>NON</t>
        </is>
      </c>
      <c r="O1241" s="45" t="inlineStr"/>
    </row>
    <row r="1242" customFormat="1" s="3">
      <c r="A1242" s="45" t="n"/>
      <c r="B1242" s="46" t="inlineStr">
        <is>
          <t>22478</t>
        </is>
      </c>
      <c r="C1242" s="46">
        <f>LEFT(Tableau1[[#This Row],[Formacode]],3)</f>
        <v/>
      </c>
      <c r="D1242" s="47" t="n">
        <v>38747</v>
      </c>
      <c r="E1242" s="48">
        <f>"RNCP"&amp;D1242</f>
        <v/>
      </c>
      <c r="F1242" s="48" t="inlineStr">
        <is>
          <t>TP - Chef de chantier aménagement finitions</t>
        </is>
      </c>
      <c r="G1242" s="49">
        <f>E1242&amp;" - "&amp;F1242</f>
        <v/>
      </c>
      <c r="H1242" s="36" t="inlineStr">
        <is>
          <t>RAS</t>
        </is>
      </c>
      <c r="I1242" s="45" t="inlineStr"/>
      <c r="J1242" s="45" t="inlineStr">
        <is>
          <t>RNCP38747</t>
        </is>
      </c>
      <c r="K1242" s="45" t="inlineStr">
        <is>
          <t>Chef de chantier aménagement finitions</t>
        </is>
      </c>
      <c r="L1242" s="45" t="inlineStr">
        <is>
          <t>18/08/2029</t>
        </is>
      </c>
      <c r="M1242" s="45" t="inlineStr">
        <is>
          <t>22294 (Conduite chantier BTP) ; 22454 (Bâtiment second oeuvre)</t>
        </is>
      </c>
      <c r="N1242" s="50" t="inlineStr">
        <is>
          <t>NON</t>
        </is>
      </c>
      <c r="O1242" s="45" t="inlineStr"/>
    </row>
    <row r="1243" customFormat="1" s="3">
      <c r="A1243" s="45" t="n"/>
      <c r="B1243" s="46" t="inlineStr">
        <is>
          <t>22478</t>
        </is>
      </c>
      <c r="C1243" s="46">
        <f>LEFT(Tableau1[[#This Row],[Formacode]],3)</f>
        <v/>
      </c>
      <c r="D1243" s="47" t="n">
        <v>38757</v>
      </c>
      <c r="E1243" s="48">
        <f>"RNCP"&amp;D1243</f>
        <v/>
      </c>
      <c r="F1243" s="48" t="inlineStr">
        <is>
          <t>CS - Serrurier</t>
        </is>
      </c>
      <c r="G1243" s="49">
        <f>E1243&amp;" - "&amp;F1243</f>
        <v/>
      </c>
      <c r="H1243" s="36" t="inlineStr">
        <is>
          <t>RAS</t>
        </is>
      </c>
      <c r="I1243" s="45" t="inlineStr"/>
      <c r="J1243" s="45" t="inlineStr">
        <is>
          <t>RNCP38757</t>
        </is>
      </c>
      <c r="K1243" s="45" t="inlineStr">
        <is>
          <t>Serrurier</t>
        </is>
      </c>
      <c r="L1243" s="45" t="inlineStr">
        <is>
          <t>31/08/2029</t>
        </is>
      </c>
      <c r="M1243" s="45" t="inlineStr">
        <is>
          <t>22478 (Métallerie serrurerie)</t>
        </is>
      </c>
      <c r="N1243" s="50" t="inlineStr">
        <is>
          <t>NON</t>
        </is>
      </c>
      <c r="O1243" s="45" t="inlineStr"/>
    </row>
    <row r="1244" customFormat="1" s="3">
      <c r="A1244" s="45" t="n"/>
      <c r="B1244" s="46" t="inlineStr">
        <is>
          <t>22478</t>
        </is>
      </c>
      <c r="C1244" s="46">
        <f>LEFT(Tableau1[[#This Row],[Formacode]],3)</f>
        <v/>
      </c>
      <c r="D1244" s="47" t="n">
        <v>39357</v>
      </c>
      <c r="E1244" s="48">
        <f>"RNCP"&amp;D1244</f>
        <v/>
      </c>
      <c r="F1244" s="48" t="inlineStr">
        <is>
          <t>CQP Installateur mainteneur de système de pompe à chaleur</t>
        </is>
      </c>
      <c r="G1244" s="49">
        <f>E1244&amp;" - "&amp;F1244</f>
        <v/>
      </c>
      <c r="H1244" s="36" t="inlineStr">
        <is>
          <t>RAS</t>
        </is>
      </c>
      <c r="I1244" s="45" t="inlineStr"/>
      <c r="J1244" s="45" t="inlineStr">
        <is>
          <t>RNCP39357</t>
        </is>
      </c>
      <c r="K1244" s="45" t="inlineStr">
        <is>
          <t>CQP Installateur mainteneur de système de pompe à chaleur</t>
        </is>
      </c>
      <c r="L1244" s="45" t="inlineStr">
        <is>
          <t>19/07/2027</t>
        </is>
      </c>
      <c r="M1244" s="45" t="inlineStr">
        <is>
          <t>22675 (Pompe à chaleur) ; 22454 (Bâtiment second oeuvre) ; 22685 (Installation thermique sanitaire)</t>
        </is>
      </c>
      <c r="N1244" s="50" t="inlineStr">
        <is>
          <t>NON</t>
        </is>
      </c>
      <c r="O1244" s="45" t="inlineStr"/>
    </row>
    <row r="1245" ht="28.8" customFormat="1" customHeight="1" s="3">
      <c r="A1245" s="45" t="n"/>
      <c r="B1245" s="46" t="inlineStr">
        <is>
          <t>22478</t>
        </is>
      </c>
      <c r="C1245" s="46">
        <f>LEFT(Tableau1[[#This Row],[Formacode]],3)</f>
        <v/>
      </c>
      <c r="D1245" s="47" t="n">
        <v>39358</v>
      </c>
      <c r="E1245" s="48">
        <f>"RNCP"&amp;D1245</f>
        <v/>
      </c>
      <c r="F1245" s="48" t="inlineStr">
        <is>
          <t>CQP Installateur mainteneur de systèmes de ventilation et gestion de la qualité d'air intérieur</t>
        </is>
      </c>
      <c r="G1245" s="49">
        <f>E1245&amp;" - "&amp;F1245</f>
        <v/>
      </c>
      <c r="H1245" s="36" t="inlineStr">
        <is>
          <t>RAS</t>
        </is>
      </c>
      <c r="I1245" s="45" t="inlineStr"/>
      <c r="J1245" s="45" t="inlineStr">
        <is>
          <t>RNCP39358</t>
        </is>
      </c>
      <c r="K1245" s="45" t="inlineStr">
        <is>
          <t>CQP Installateur mainteneur de systèmes de ventilation et gestion de la qualité d'air intérieur</t>
        </is>
      </c>
      <c r="L1245" s="45" t="inlineStr">
        <is>
          <t>19/07/2027</t>
        </is>
      </c>
      <c r="M1245" s="45" t="inlineStr">
        <is>
          <t>22635 (Climatisation) ; 22454 (Bâtiment second oeuvre)</t>
        </is>
      </c>
      <c r="N1245" s="50" t="inlineStr">
        <is>
          <t>NON</t>
        </is>
      </c>
      <c r="O1245" s="45" t="inlineStr"/>
    </row>
    <row r="1246" customFormat="1" s="3">
      <c r="A1246" s="45" t="n"/>
      <c r="B1246" s="46" t="inlineStr">
        <is>
          <t>22478</t>
        </is>
      </c>
      <c r="C1246" s="46">
        <f>LEFT(Tableau1[[#This Row],[Formacode]],3)</f>
        <v/>
      </c>
      <c r="D1246" s="47" t="n">
        <v>39514</v>
      </c>
      <c r="E1246" s="48">
        <f>"RNCP"&amp;D1246</f>
        <v/>
      </c>
      <c r="F1246" s="48" t="inlineStr">
        <is>
          <t>BAC PRO - Ouvrages du bâtiment : métallerie</t>
        </is>
      </c>
      <c r="G1246" s="49">
        <f>E1246&amp;" - "&amp;F1246</f>
        <v/>
      </c>
      <c r="H1246" s="36" t="inlineStr">
        <is>
          <t>RAS</t>
        </is>
      </c>
      <c r="I1246" s="45" t="inlineStr"/>
      <c r="J1246" s="45" t="inlineStr">
        <is>
          <t>RNCP39514</t>
        </is>
      </c>
      <c r="K1246" s="45" t="inlineStr">
        <is>
          <t>Ouvrages du bâtiment : métallerie</t>
        </is>
      </c>
      <c r="L1246" s="45" t="inlineStr">
        <is>
          <t>31/08/2027</t>
        </is>
      </c>
      <c r="M1246" s="45" t="inlineStr">
        <is>
          <t>22254 (BTP conception organisation) ; 22478 (Métallerie serrurerie)</t>
        </is>
      </c>
      <c r="N1246" s="50" t="inlineStr">
        <is>
          <t>NON</t>
        </is>
      </c>
      <c r="O1246" s="45" t="inlineStr"/>
    </row>
    <row r="1247" customFormat="1" s="3">
      <c r="A1247" s="45" t="n"/>
      <c r="B1247" s="46" t="inlineStr">
        <is>
          <t>22478</t>
        </is>
      </c>
      <c r="C1247" s="46">
        <f>LEFT(Tableau1[[#This Row],[Formacode]],3)</f>
        <v/>
      </c>
      <c r="D1247" s="47" t="n">
        <v>39806</v>
      </c>
      <c r="E1247" s="48">
        <f>"RNCP"&amp;D1247</f>
        <v/>
      </c>
      <c r="F1247" s="48" t="inlineStr">
        <is>
          <t>BAC PRO - Menuiserie Aluminium- Verre</t>
        </is>
      </c>
      <c r="G1247" s="49">
        <f>E1247&amp;" - "&amp;F1247</f>
        <v/>
      </c>
      <c r="H1247" s="36" t="inlineStr">
        <is>
          <t>RAS</t>
        </is>
      </c>
      <c r="I1247" s="45" t="inlineStr"/>
      <c r="J1247" s="45" t="inlineStr">
        <is>
          <t>RNCP39806</t>
        </is>
      </c>
      <c r="K1247" s="45" t="inlineStr">
        <is>
          <t>Menuiserie Aluminium- Verre</t>
        </is>
      </c>
      <c r="L1247" s="45" t="inlineStr">
        <is>
          <t>31/12/2027</t>
        </is>
      </c>
      <c r="M1247" s="45" t="inlineStr">
        <is>
          <t>22468 (Menuiserie aluminium) ; 22434 (Vitrerie miroiterie)</t>
        </is>
      </c>
      <c r="N1247" s="50" t="inlineStr">
        <is>
          <t>NON</t>
        </is>
      </c>
      <c r="O1247" s="45" t="inlineStr"/>
    </row>
    <row r="1248" customFormat="1" s="3">
      <c r="A1248" s="51" t="n"/>
      <c r="B1248" s="52" t="inlineStr">
        <is>
          <t>22485</t>
        </is>
      </c>
      <c r="C1248" s="52">
        <f>LEFT(Tableau1[[#This Row],[Formacode]],3)</f>
        <v/>
      </c>
      <c r="D1248" s="53" t="n">
        <v>35809</v>
      </c>
      <c r="E1248" s="54">
        <f>"RNCP"&amp;D1248</f>
        <v/>
      </c>
      <c r="F1248" s="54" t="inlineStr">
        <is>
          <t>BTS - Finition, aménagement des bâtiments : conception et réalisation</t>
        </is>
      </c>
      <c r="G1248" s="55">
        <f>E1248&amp;" - "&amp;F1248</f>
        <v/>
      </c>
      <c r="H1248" s="37" t="inlineStr">
        <is>
          <t>À vérifier</t>
        </is>
      </c>
      <c r="I1248" s="51" t="inlineStr">
        <is>
          <t>Successeur déjà publié : RNCP41827 (Finitions, aménagement des bâtiments : conception et réalisation) — préparer la bascule de l'offre CPF | Échéance le 31/08/2026 (dans 44 j)</t>
        </is>
      </c>
      <c r="J1248" s="51" t="inlineStr">
        <is>
          <t>RNCP41827</t>
        </is>
      </c>
      <c r="K1248" s="51" t="inlineStr">
        <is>
          <t>Finitions, aménagement des bâtiments : conception et réalisation</t>
        </is>
      </c>
      <c r="L1248" s="51" t="inlineStr">
        <is>
          <t>31/08/2026</t>
        </is>
      </c>
      <c r="M1248" s="51" t="inlineStr">
        <is>
          <t>22274 (Chantier BTP) ; 22248 (Gestion entreprise BTP)</t>
        </is>
      </c>
      <c r="N1248" s="62" t="inlineStr">
        <is>
          <t>NON</t>
        </is>
      </c>
      <c r="O1248" s="51" t="inlineStr"/>
    </row>
    <row r="1249" customFormat="1" s="3">
      <c r="A1249" s="45" t="n"/>
      <c r="B1249" s="46" t="inlineStr">
        <is>
          <t>22485</t>
        </is>
      </c>
      <c r="C1249" s="46">
        <f>LEFT(Tableau1[[#This Row],[Formacode]],3)</f>
        <v/>
      </c>
      <c r="D1249" s="47" t="n">
        <v>37442</v>
      </c>
      <c r="E1249" s="48">
        <f>"RNCP"&amp;D1249</f>
        <v/>
      </c>
      <c r="F1249" s="48" t="inlineStr">
        <is>
          <t>TP - Electricien d'équipement du bâtiment</t>
        </is>
      </c>
      <c r="G1249" s="49">
        <f>E1249&amp;" - "&amp;F1249</f>
        <v/>
      </c>
      <c r="H1249" s="36" t="inlineStr">
        <is>
          <t>RAS</t>
        </is>
      </c>
      <c r="I1249" s="45" t="inlineStr"/>
      <c r="J1249" s="45" t="inlineStr">
        <is>
          <t>RNCP37442</t>
        </is>
      </c>
      <c r="K1249" s="45" t="inlineStr">
        <is>
          <t>Electricien d'équipement du bâtiment</t>
        </is>
      </c>
      <c r="L1249" s="45" t="inlineStr">
        <is>
          <t>02/09/2028</t>
        </is>
      </c>
      <c r="M1249" s="45" t="inlineStr">
        <is>
          <t>24066 (Installation électrique) ; 22211 (Performance énergétique bâtiment) ; 22485 (Rénovation bâtiment)</t>
        </is>
      </c>
      <c r="N1249" s="50" t="inlineStr">
        <is>
          <t>NON</t>
        </is>
      </c>
      <c r="O1249" s="45" t="inlineStr"/>
    </row>
    <row r="1250" customFormat="1" s="3">
      <c r="A1250" s="51" t="n"/>
      <c r="B1250" s="52" t="inlineStr">
        <is>
          <t>22485</t>
        </is>
      </c>
      <c r="C1250" s="52">
        <f>LEFT(Tableau1[[#This Row],[Formacode]],3)</f>
        <v/>
      </c>
      <c r="D1250" s="53" t="n">
        <v>37986</v>
      </c>
      <c r="E1250" s="54">
        <f>"RNCP"&amp;D1250</f>
        <v/>
      </c>
      <c r="F1250" s="54" t="inlineStr">
        <is>
          <t>Expert de la transition énergétique</t>
        </is>
      </c>
      <c r="G1250" s="55">
        <f>E1250&amp;" - "&amp;F1250</f>
        <v/>
      </c>
      <c r="H1250" s="37" t="inlineStr">
        <is>
          <t>À vérifier</t>
        </is>
      </c>
      <c r="I1250" s="51" t="inlineStr">
        <is>
          <t>Échéance le 20/09/2026 (dans 64 j)</t>
        </is>
      </c>
      <c r="J1250" s="51" t="inlineStr">
        <is>
          <t>RNCP37986</t>
        </is>
      </c>
      <c r="K1250" s="51" t="inlineStr">
        <is>
          <t>Expert de la transition énergétique</t>
        </is>
      </c>
      <c r="L1250" s="51" t="inlineStr">
        <is>
          <t>20/09/2026</t>
        </is>
      </c>
      <c r="M1250" s="51" t="inlineStr">
        <is>
          <t>22485 (Rénovation bâtiment) ; 22250 (Éco-construction) ; 22279 (Maîtrise d'oeuvre BTP) ; 22269 (Maîtrise d'ouvrage BTP) ; 24147 (Énergie renouvelable)</t>
        </is>
      </c>
      <c r="N1250" s="62" t="inlineStr">
        <is>
          <t>NON</t>
        </is>
      </c>
      <c r="O1250" s="51" t="inlineStr"/>
    </row>
    <row r="1251" customFormat="1" s="3">
      <c r="A1251" s="45" t="n"/>
      <c r="B1251" s="46" t="inlineStr">
        <is>
          <t>22485</t>
        </is>
      </c>
      <c r="C1251" s="46">
        <f>LEFT(Tableau1[[#This Row],[Formacode]],3)</f>
        <v/>
      </c>
      <c r="D1251" s="47" t="n">
        <v>38383</v>
      </c>
      <c r="E1251" s="48">
        <f>"RNCP"&amp;D1251</f>
        <v/>
      </c>
      <c r="F1251" s="48" t="inlineStr">
        <is>
          <t>BTS - Etude et réalisation d'agencement</t>
        </is>
      </c>
      <c r="G1251" s="49">
        <f>E1251&amp;" - "&amp;F1251</f>
        <v/>
      </c>
      <c r="H1251" s="36" t="inlineStr">
        <is>
          <t>RAS</t>
        </is>
      </c>
      <c r="I1251" s="45" t="inlineStr"/>
      <c r="J1251" s="45" t="inlineStr">
        <is>
          <t>RNCP38383</t>
        </is>
      </c>
      <c r="K1251" s="45" t="inlineStr">
        <is>
          <t>Etude et réalisation d'agencement</t>
        </is>
      </c>
      <c r="L1251" s="45" t="inlineStr">
        <is>
          <t>31/12/2028</t>
        </is>
      </c>
      <c r="M1251" s="45" t="inlineStr">
        <is>
          <t>45015 (Architecture intérieure) ; 22454 (Bâtiment second oeuvre)</t>
        </is>
      </c>
      <c r="N1251" s="50" t="inlineStr">
        <is>
          <t>NON</t>
        </is>
      </c>
      <c r="O1251" s="45" t="inlineStr"/>
    </row>
    <row r="1252" customFormat="1" s="3">
      <c r="A1252" s="45" t="n"/>
      <c r="B1252" s="46" t="inlineStr">
        <is>
          <t>22485</t>
        </is>
      </c>
      <c r="C1252" s="46">
        <f>LEFT(Tableau1[[#This Row],[Formacode]],3)</f>
        <v/>
      </c>
      <c r="D1252" s="47" t="n">
        <v>38546</v>
      </c>
      <c r="E1252" s="48">
        <f>"RNCP"&amp;D1252</f>
        <v/>
      </c>
      <c r="F1252" s="48" t="inlineStr">
        <is>
          <t>TP - Chargé d'études thermiques, énergétiques et environnementales du bâtiment</t>
        </is>
      </c>
      <c r="G1252" s="49">
        <f>E1252&amp;" - "&amp;F1252</f>
        <v/>
      </c>
      <c r="H1252" s="36" t="inlineStr">
        <is>
          <t>RAS</t>
        </is>
      </c>
      <c r="I1252" s="45" t="inlineStr"/>
      <c r="J1252" s="45" t="inlineStr">
        <is>
          <t>RNCP38546</t>
        </is>
      </c>
      <c r="K1252" s="45" t="inlineStr">
        <is>
          <t>Chargé d'études thermiques, énergétiques et environnementales du bâtiment</t>
        </is>
      </c>
      <c r="L1252" s="45" t="inlineStr">
        <is>
          <t>01/03/2029</t>
        </is>
      </c>
      <c r="M1252" s="45" t="inlineStr">
        <is>
          <t>22232 (Métré BTP) ; 22211 (Performance énergétique bâtiment) ; 22485 (Rénovation bâtiment)</t>
        </is>
      </c>
      <c r="N1252" s="50" t="inlineStr">
        <is>
          <t>NON</t>
        </is>
      </c>
      <c r="O1252" s="45" t="inlineStr"/>
    </row>
    <row r="1253" customFormat="1" s="3">
      <c r="A1253" s="45" t="n"/>
      <c r="B1253" s="46" t="inlineStr">
        <is>
          <t>22485</t>
        </is>
      </c>
      <c r="C1253" s="46">
        <f>LEFT(Tableau1[[#This Row],[Formacode]],3)</f>
        <v/>
      </c>
      <c r="D1253" s="47" t="n">
        <v>38723</v>
      </c>
      <c r="E1253" s="48">
        <f>"RNCP"&amp;D1253</f>
        <v/>
      </c>
      <c r="F1253" s="48" t="inlineStr">
        <is>
          <t>TP - Conducteur de travaux aménagement finitions</t>
        </is>
      </c>
      <c r="G1253" s="49">
        <f>E1253&amp;" - "&amp;F1253</f>
        <v/>
      </c>
      <c r="H1253" s="36" t="inlineStr">
        <is>
          <t>RAS</t>
        </is>
      </c>
      <c r="I1253" s="45" t="inlineStr"/>
      <c r="J1253" s="45" t="inlineStr">
        <is>
          <t>RNCP38723</t>
        </is>
      </c>
      <c r="K1253" s="45" t="inlineStr">
        <is>
          <t>Conducteur de travaux aménagement finitions</t>
        </is>
      </c>
      <c r="L1253" s="45" t="inlineStr">
        <is>
          <t>07/05/2029</t>
        </is>
      </c>
      <c r="M1253" s="45" t="inlineStr">
        <is>
          <t>22293 (Conduite travaux BTP) ; 22442 (Revêtement sol mur) ; 22485 (Rénovation bâtiment) ; 22411 (Enveloppe bâtiment)</t>
        </is>
      </c>
      <c r="N1253" s="50" t="inlineStr">
        <is>
          <t>NON</t>
        </is>
      </c>
      <c r="O1253" s="45" t="inlineStr"/>
    </row>
    <row r="1254" customFormat="1" s="3">
      <c r="A1254" s="45" t="n"/>
      <c r="B1254" s="46" t="inlineStr">
        <is>
          <t>22485</t>
        </is>
      </c>
      <c r="C1254" s="46">
        <f>LEFT(Tableau1[[#This Row],[Formacode]],3)</f>
        <v/>
      </c>
      <c r="D1254" s="47" t="n">
        <v>38747</v>
      </c>
      <c r="E1254" s="48">
        <f>"RNCP"&amp;D1254</f>
        <v/>
      </c>
      <c r="F1254" s="48" t="inlineStr">
        <is>
          <t>TP - Chef de chantier aménagement finitions</t>
        </is>
      </c>
      <c r="G1254" s="49">
        <f>E1254&amp;" - "&amp;F1254</f>
        <v/>
      </c>
      <c r="H1254" s="36" t="inlineStr">
        <is>
          <t>RAS</t>
        </is>
      </c>
      <c r="I1254" s="45" t="inlineStr"/>
      <c r="J1254" s="45" t="inlineStr">
        <is>
          <t>RNCP38747</t>
        </is>
      </c>
      <c r="K1254" s="45" t="inlineStr">
        <is>
          <t>Chef de chantier aménagement finitions</t>
        </is>
      </c>
      <c r="L1254" s="45" t="inlineStr">
        <is>
          <t>18/08/2029</t>
        </is>
      </c>
      <c r="M1254" s="45" t="inlineStr">
        <is>
          <t>22294 (Conduite chantier BTP) ; 22454 (Bâtiment second oeuvre)</t>
        </is>
      </c>
      <c r="N1254" s="50" t="inlineStr">
        <is>
          <t>NON</t>
        </is>
      </c>
      <c r="O1254" s="45" t="inlineStr"/>
    </row>
    <row r="1255" customFormat="1" s="3">
      <c r="A1255" s="45" t="n"/>
      <c r="B1255" s="46" t="inlineStr">
        <is>
          <t>22485</t>
        </is>
      </c>
      <c r="C1255" s="46">
        <f>LEFT(Tableau1[[#This Row],[Formacode]],3)</f>
        <v/>
      </c>
      <c r="D1255" s="47" t="n">
        <v>38751</v>
      </c>
      <c r="E1255" s="48">
        <f>"RNCP"&amp;D1255</f>
        <v/>
      </c>
      <c r="F1255" s="48" t="inlineStr">
        <is>
          <t>TP - Chef d'équipe en aménagement finitions</t>
        </is>
      </c>
      <c r="G1255" s="49">
        <f>E1255&amp;" - "&amp;F1255</f>
        <v/>
      </c>
      <c r="H1255" s="36" t="inlineStr">
        <is>
          <t>RAS</t>
        </is>
      </c>
      <c r="I1255" s="45" t="inlineStr"/>
      <c r="J1255" s="45" t="inlineStr">
        <is>
          <t>RNCP38751</t>
        </is>
      </c>
      <c r="K1255" s="45" t="inlineStr">
        <is>
          <t>Chef d'équipe en aménagement finitions</t>
        </is>
      </c>
      <c r="L1255" s="45" t="inlineStr">
        <is>
          <t>13/07/2029</t>
        </is>
      </c>
      <c r="M1255" s="45" t="inlineStr">
        <is>
          <t>22294 (Conduite chantier BTP) ; 22442 (Revêtement sol mur) ; 22411 (Enveloppe bâtiment) ; 22485 (Rénovation bâtiment)</t>
        </is>
      </c>
      <c r="N1255" s="50" t="inlineStr">
        <is>
          <t>NON</t>
        </is>
      </c>
      <c r="O1255" s="45" t="inlineStr"/>
    </row>
    <row r="1256" customFormat="1" s="3">
      <c r="A1256" s="45" t="n"/>
      <c r="B1256" s="46" t="inlineStr">
        <is>
          <t>22485</t>
        </is>
      </c>
      <c r="C1256" s="46">
        <f>LEFT(Tableau1[[#This Row],[Formacode]],3)</f>
        <v/>
      </c>
      <c r="D1256" s="47" t="n">
        <v>38931</v>
      </c>
      <c r="E1256" s="48">
        <f>"RNCP"&amp;D1256</f>
        <v/>
      </c>
      <c r="F1256" s="48" t="inlineStr">
        <is>
          <t>Chef de projet en rénovation énergétique performante et durable</t>
        </is>
      </c>
      <c r="G1256" s="49">
        <f>E1256&amp;" - "&amp;F1256</f>
        <v/>
      </c>
      <c r="H1256" s="36" t="inlineStr">
        <is>
          <t>RAS</t>
        </is>
      </c>
      <c r="I1256" s="45" t="inlineStr"/>
      <c r="J1256" s="45" t="inlineStr">
        <is>
          <t>RNCP38931</t>
        </is>
      </c>
      <c r="K1256" s="45" t="inlineStr">
        <is>
          <t>Chef de projet en rénovation énergétique performante et durable</t>
        </is>
      </c>
      <c r="L1256" s="45" t="inlineStr">
        <is>
          <t>26/04/2027</t>
        </is>
      </c>
      <c r="M1256" s="45" t="inlineStr">
        <is>
          <t>22485 (Rénovation bâtiment) ; 22215 (Audit énergétique bâtiment) ; 42105 (Diagnostic performance énergétique) ; 22210 (Réglementation thermique bâtiment)</t>
        </is>
      </c>
      <c r="N1256" s="50" t="inlineStr">
        <is>
          <t>NON</t>
        </is>
      </c>
      <c r="O1256" s="45" t="inlineStr"/>
    </row>
    <row r="1257" customFormat="1" s="3">
      <c r="A1257" s="45" t="n"/>
      <c r="B1257" s="46" t="inlineStr">
        <is>
          <t>22485</t>
        </is>
      </c>
      <c r="C1257" s="46">
        <f>LEFT(Tableau1[[#This Row],[Formacode]],3)</f>
        <v/>
      </c>
      <c r="D1257" s="47" t="n">
        <v>39180</v>
      </c>
      <c r="E1257" s="48">
        <f>"RNCP"&amp;D1257</f>
        <v/>
      </c>
      <c r="F1257" s="48" t="inlineStr">
        <is>
          <t>TP - Chargé d'accompagnement à la rénovation énergétique du bâtiment</t>
        </is>
      </c>
      <c r="G1257" s="49">
        <f>E1257&amp;" - "&amp;F1257</f>
        <v/>
      </c>
      <c r="H1257" s="36" t="inlineStr">
        <is>
          <t>RAS</t>
        </is>
      </c>
      <c r="I1257" s="45" t="inlineStr"/>
      <c r="J1257" s="45" t="inlineStr">
        <is>
          <t>RNCP39180</t>
        </is>
      </c>
      <c r="K1257" s="45" t="inlineStr">
        <is>
          <t>Chargé d'accompagnement à la rénovation énergétique du bâtiment</t>
        </is>
      </c>
      <c r="L1257" s="45" t="inlineStr">
        <is>
          <t>25/08/2029</t>
        </is>
      </c>
      <c r="M1257" s="45" t="inlineStr">
        <is>
          <t>22293 (Conduite travaux BTP) ; 22485 (Rénovation bâtiment) ; 22211 (Performance énergétique bâtiment) ; 22232 (Métré BTP)</t>
        </is>
      </c>
      <c r="N1257" s="50" t="inlineStr">
        <is>
          <t>NON</t>
        </is>
      </c>
      <c r="O1257" s="45" t="inlineStr"/>
    </row>
    <row r="1258" customFormat="1" s="3">
      <c r="A1258" s="45" t="n"/>
      <c r="B1258" s="46" t="inlineStr">
        <is>
          <t>22485</t>
        </is>
      </c>
      <c r="C1258" s="46">
        <f>LEFT(Tableau1[[#This Row],[Formacode]],3)</f>
        <v/>
      </c>
      <c r="D1258" s="47" t="n">
        <v>39225</v>
      </c>
      <c r="E1258" s="48">
        <f>"RNCP"&amp;D1258</f>
        <v/>
      </c>
      <c r="F1258" s="48" t="inlineStr">
        <is>
          <t>Technicien chef de projet en rénovation énergétique</t>
        </is>
      </c>
      <c r="G1258" s="49">
        <f>E1258&amp;" - "&amp;F1258</f>
        <v/>
      </c>
      <c r="H1258" s="36" t="inlineStr">
        <is>
          <t>RAS</t>
        </is>
      </c>
      <c r="I1258" s="45" t="inlineStr"/>
      <c r="J1258" s="45" t="inlineStr">
        <is>
          <t>RNCP39225</t>
        </is>
      </c>
      <c r="K1258" s="45" t="inlineStr">
        <is>
          <t>Technicien chef de projet en rénovation énergétique</t>
        </is>
      </c>
      <c r="L1258" s="45" t="inlineStr">
        <is>
          <t>27/06/2027</t>
        </is>
      </c>
      <c r="M1258" s="45" t="inlineStr">
        <is>
          <t>24154 (Énergie) ; 22215 (Audit énergétique bâtiment) ; 22210 (Réglementation thermique bâtiment) ; 22485 (Rénovation bâtiment)</t>
        </is>
      </c>
      <c r="N1258" s="50" t="inlineStr">
        <is>
          <t>NON</t>
        </is>
      </c>
      <c r="O1258" s="45" t="inlineStr"/>
    </row>
    <row r="1259" customFormat="1" s="3">
      <c r="A1259" s="45" t="n"/>
      <c r="B1259" s="46" t="inlineStr">
        <is>
          <t>22485</t>
        </is>
      </c>
      <c r="C1259" s="46">
        <f>LEFT(Tableau1[[#This Row],[Formacode]],3)</f>
        <v/>
      </c>
      <c r="D1259" s="47" t="n">
        <v>39357</v>
      </c>
      <c r="E1259" s="48">
        <f>"RNCP"&amp;D1259</f>
        <v/>
      </c>
      <c r="F1259" s="48" t="inlineStr">
        <is>
          <t>CQP Installateur mainteneur de système de pompe à chaleur</t>
        </is>
      </c>
      <c r="G1259" s="49">
        <f>E1259&amp;" - "&amp;F1259</f>
        <v/>
      </c>
      <c r="H1259" s="36" t="inlineStr">
        <is>
          <t>RAS</t>
        </is>
      </c>
      <c r="I1259" s="45" t="inlineStr"/>
      <c r="J1259" s="45" t="inlineStr">
        <is>
          <t>RNCP39357</t>
        </is>
      </c>
      <c r="K1259" s="45" t="inlineStr">
        <is>
          <t>CQP Installateur mainteneur de système de pompe à chaleur</t>
        </is>
      </c>
      <c r="L1259" s="45" t="inlineStr">
        <is>
          <t>19/07/2027</t>
        </is>
      </c>
      <c r="M1259" s="45" t="inlineStr">
        <is>
          <t>22675 (Pompe à chaleur) ; 22454 (Bâtiment second oeuvre) ; 22685 (Installation thermique sanitaire)</t>
        </is>
      </c>
      <c r="N1259" s="50" t="inlineStr">
        <is>
          <t>NON</t>
        </is>
      </c>
      <c r="O1259" s="45" t="inlineStr"/>
    </row>
    <row r="1260" ht="28.8" customFormat="1" customHeight="1" s="3">
      <c r="A1260" s="45" t="n"/>
      <c r="B1260" s="46" t="inlineStr">
        <is>
          <t>22485</t>
        </is>
      </c>
      <c r="C1260" s="46">
        <f>LEFT(Tableau1[[#This Row],[Formacode]],3)</f>
        <v/>
      </c>
      <c r="D1260" s="47" t="n">
        <v>39358</v>
      </c>
      <c r="E1260" s="48">
        <f>"RNCP"&amp;D1260</f>
        <v/>
      </c>
      <c r="F1260" s="48" t="inlineStr">
        <is>
          <t>CQP Installateur mainteneur de systèmes de ventilation et gestion de la qualité d'air intérieur</t>
        </is>
      </c>
      <c r="G1260" s="49">
        <f>E1260&amp;" - "&amp;F1260</f>
        <v/>
      </c>
      <c r="H1260" s="36" t="inlineStr">
        <is>
          <t>RAS</t>
        </is>
      </c>
      <c r="I1260" s="45" t="inlineStr"/>
      <c r="J1260" s="45" t="inlineStr">
        <is>
          <t>RNCP39358</t>
        </is>
      </c>
      <c r="K1260" s="45" t="inlineStr">
        <is>
          <t>CQP Installateur mainteneur de systèmes de ventilation et gestion de la qualité d'air intérieur</t>
        </is>
      </c>
      <c r="L1260" s="45" t="inlineStr">
        <is>
          <t>19/07/2027</t>
        </is>
      </c>
      <c r="M1260" s="45" t="inlineStr">
        <is>
          <t>22635 (Climatisation) ; 22454 (Bâtiment second oeuvre)</t>
        </is>
      </c>
      <c r="N1260" s="50" t="inlineStr">
        <is>
          <t>NON</t>
        </is>
      </c>
      <c r="O1260" s="45" t="inlineStr"/>
    </row>
    <row r="1261" customFormat="1" s="3">
      <c r="A1261" s="45" t="n"/>
      <c r="B1261" s="46" t="inlineStr">
        <is>
          <t>22485</t>
        </is>
      </c>
      <c r="C1261" s="46">
        <f>LEFT(Tableau1[[#This Row],[Formacode]],3)</f>
        <v/>
      </c>
      <c r="D1261" s="47" t="n">
        <v>39642</v>
      </c>
      <c r="E1261" s="48">
        <f>"RNCP"&amp;D1261</f>
        <v/>
      </c>
      <c r="F1261" s="48" t="inlineStr">
        <is>
          <t>CQP Scieur carotteur de béton</t>
        </is>
      </c>
      <c r="G1261" s="49">
        <f>E1261&amp;" - "&amp;F1261</f>
        <v/>
      </c>
      <c r="H1261" s="36" t="inlineStr">
        <is>
          <t>RAS</t>
        </is>
      </c>
      <c r="I1261" s="45" t="inlineStr"/>
      <c r="J1261" s="45" t="inlineStr">
        <is>
          <t>RNCP39642</t>
        </is>
      </c>
      <c r="K1261" s="45" t="inlineStr">
        <is>
          <t>CQP Scieur carotteur de béton</t>
        </is>
      </c>
      <c r="L1261" s="45" t="inlineStr">
        <is>
          <t>01/10/2029</t>
        </is>
      </c>
      <c r="M1261" s="45" t="inlineStr">
        <is>
          <t>22861 (Béton) ; 22378 (Réhabilitation bâtiment) ; 22485 (Rénovation bâtiment) ; 22395 (Construction béton)</t>
        </is>
      </c>
      <c r="N1261" s="50" t="inlineStr">
        <is>
          <t>NON</t>
        </is>
      </c>
      <c r="O1261" s="45" t="inlineStr"/>
    </row>
    <row r="1262" customFormat="1" s="3">
      <c r="A1262" s="45" t="n"/>
      <c r="B1262" s="46" t="inlineStr">
        <is>
          <t>22485</t>
        </is>
      </c>
      <c r="C1262" s="46">
        <f>LEFT(Tableau1[[#This Row],[Formacode]],3)</f>
        <v/>
      </c>
      <c r="D1262" s="47" t="n">
        <v>39748</v>
      </c>
      <c r="E1262" s="48">
        <f>"RNCP"&amp;D1262</f>
        <v/>
      </c>
      <c r="F1262" s="48" t="inlineStr">
        <is>
          <t>Chargé de projet énergie et bâtiment durables</t>
        </is>
      </c>
      <c r="G1262" s="49">
        <f>E1262&amp;" - "&amp;F1262</f>
        <v/>
      </c>
      <c r="H1262" s="36" t="inlineStr">
        <is>
          <t>RAS</t>
        </is>
      </c>
      <c r="I1262" s="45" t="inlineStr"/>
      <c r="J1262" s="45" t="inlineStr">
        <is>
          <t>RNCP39748</t>
        </is>
      </c>
      <c r="K1262" s="45" t="inlineStr">
        <is>
          <t>Chargé de projet énergie et bâtiment durables</t>
        </is>
      </c>
      <c r="L1262" s="45" t="inlineStr">
        <is>
          <t>31/10/2027</t>
        </is>
      </c>
      <c r="M1262" s="45" t="inlineStr">
        <is>
          <t>32135 (Conduite projet) ; 24170 (Conseil énergie) ; 22411 (Enveloppe bâtiment) ; 22485 (Rénovation bâtiment) ; 24147 (Énergie renouvelable)</t>
        </is>
      </c>
      <c r="N1262" s="50" t="inlineStr">
        <is>
          <t>NON</t>
        </is>
      </c>
      <c r="O1262" s="45" t="inlineStr"/>
    </row>
    <row r="1263" customFormat="1" s="3">
      <c r="A1263" s="45" t="n"/>
      <c r="B1263" s="46" t="inlineStr">
        <is>
          <t>22485</t>
        </is>
      </c>
      <c r="C1263" s="46">
        <f>LEFT(Tableau1[[#This Row],[Formacode]],3)</f>
        <v/>
      </c>
      <c r="D1263" s="47" t="n">
        <v>39886</v>
      </c>
      <c r="E1263" s="48">
        <f>"RNCP"&amp;D1263</f>
        <v/>
      </c>
      <c r="F1263" s="48" t="inlineStr">
        <is>
          <t>Diagnostiqueur de produits, équipements, matériaux et déchets issus des bâtiments</t>
        </is>
      </c>
      <c r="G1263" s="49">
        <f>E1263&amp;" - "&amp;F1263</f>
        <v/>
      </c>
      <c r="H1263" s="36" t="inlineStr">
        <is>
          <t>RAS</t>
        </is>
      </c>
      <c r="I1263" s="45" t="inlineStr"/>
      <c r="J1263" s="45" t="inlineStr">
        <is>
          <t>RNCP39886</t>
        </is>
      </c>
      <c r="K1263" s="45" t="inlineStr">
        <is>
          <t>Diagnostiqueur de produits, équipements, matériaux et déchets issus des bâtiments</t>
        </is>
      </c>
      <c r="L1263" s="45" t="inlineStr">
        <is>
          <t>28/11/2027</t>
        </is>
      </c>
      <c r="M1263" s="45" t="inlineStr">
        <is>
          <t>12582 (Gestion déchet) ; 42101 (Diagnostic immobilier) ; 22329 (Démolition) ; 22485 (Rénovation bâtiment)</t>
        </is>
      </c>
      <c r="N1263" s="50" t="inlineStr">
        <is>
          <t>NON</t>
        </is>
      </c>
      <c r="O1263" s="45" t="inlineStr"/>
    </row>
    <row r="1264" customFormat="1" s="3">
      <c r="A1264" s="45" t="n"/>
      <c r="B1264" s="46" t="inlineStr">
        <is>
          <t>22485</t>
        </is>
      </c>
      <c r="C1264" s="46">
        <f>LEFT(Tableau1[[#This Row],[Formacode]],3)</f>
        <v/>
      </c>
      <c r="D1264" s="47" t="n">
        <v>40381</v>
      </c>
      <c r="E1264" s="48">
        <f>"RNCP"&amp;D1264</f>
        <v/>
      </c>
      <c r="F1264" s="48" t="inlineStr">
        <is>
          <t>Chargé de gestion technique des bâtiments tertiaires et industriels</t>
        </is>
      </c>
      <c r="G1264" s="49">
        <f>E1264&amp;" - "&amp;F1264</f>
        <v/>
      </c>
      <c r="H1264" s="36" t="inlineStr">
        <is>
          <t>RAS</t>
        </is>
      </c>
      <c r="I1264" s="45" t="inlineStr"/>
      <c r="J1264" s="45" t="inlineStr">
        <is>
          <t>RNCP40381</t>
        </is>
      </c>
      <c r="K1264" s="45" t="inlineStr">
        <is>
          <t>Chargé de gestion technique des bâtiments tertiaires et industriels</t>
        </is>
      </c>
      <c r="L1264" s="45" t="inlineStr">
        <is>
          <t>28/03/2030</t>
        </is>
      </c>
      <c r="M1264" s="45" t="inlineStr">
        <is>
          <t>22499 (Immotique) ; 22636 (Régulation génie climatique) ; 22485 (Rénovation bâtiment) ; 22486 (Maintenance bâtiment)</t>
        </is>
      </c>
      <c r="N1264" s="50" t="inlineStr">
        <is>
          <t>NON</t>
        </is>
      </c>
      <c r="O1264" s="45" t="inlineStr"/>
    </row>
    <row r="1265" customFormat="1" s="3">
      <c r="A1265" s="45" t="n"/>
      <c r="B1265" s="46" t="inlineStr">
        <is>
          <t>22485</t>
        </is>
      </c>
      <c r="C1265" s="46">
        <f>LEFT(Tableau1[[#This Row],[Formacode]],3)</f>
        <v/>
      </c>
      <c r="D1265" s="47" t="n">
        <v>40392</v>
      </c>
      <c r="E1265" s="48">
        <f>"RNCP"&amp;D1265</f>
        <v/>
      </c>
      <c r="F1265" s="48" t="inlineStr">
        <is>
          <t>Technicien chef de projet en rénovation énergétique</t>
        </is>
      </c>
      <c r="G1265" s="49">
        <f>E1265&amp;" - "&amp;F1265</f>
        <v/>
      </c>
      <c r="H1265" s="36" t="inlineStr">
        <is>
          <t>RAS</t>
        </is>
      </c>
      <c r="I1265" s="45" t="inlineStr"/>
      <c r="J1265" s="45" t="inlineStr">
        <is>
          <t>RNCP40392</t>
        </is>
      </c>
      <c r="K1265" s="45" t="inlineStr">
        <is>
          <t>Technicien chef de projet en rénovation énergétique</t>
        </is>
      </c>
      <c r="L1265" s="45" t="inlineStr">
        <is>
          <t>28/03/2028</t>
        </is>
      </c>
      <c r="M1265" s="45" t="inlineStr">
        <is>
          <t>22215 (Audit énergétique bâtiment) ; 22210 (Réglementation thermique bâtiment) ; 22485 (Rénovation bâtiment)</t>
        </is>
      </c>
      <c r="N1265" s="50" t="inlineStr">
        <is>
          <t>NON</t>
        </is>
      </c>
      <c r="O1265" s="45" t="inlineStr"/>
    </row>
    <row r="1266" ht="28.8" customFormat="1" customHeight="1" s="3">
      <c r="A1266" s="45" t="n"/>
      <c r="B1266" s="46" t="inlineStr">
        <is>
          <t>22485</t>
        </is>
      </c>
      <c r="C1266" s="46">
        <f>LEFT(Tableau1[[#This Row],[Formacode]],3)</f>
        <v/>
      </c>
      <c r="D1266" s="47" t="n">
        <v>41014</v>
      </c>
      <c r="E1266" s="48">
        <f>"RNCP"&amp;D1266</f>
        <v/>
      </c>
      <c r="F1266" s="48" t="inlineStr">
        <is>
          <t>BAC PRO - Interventions sur le patrimoine bâti - Options maçonnerie, charpente, couverture</t>
        </is>
      </c>
      <c r="G1266" s="49">
        <f>E1266&amp;" - "&amp;F1266</f>
        <v/>
      </c>
      <c r="H1266" s="36" t="inlineStr">
        <is>
          <t>RAS</t>
        </is>
      </c>
      <c r="I1266" s="45" t="inlineStr"/>
      <c r="J1266" s="45" t="inlineStr">
        <is>
          <t>RNCP41014</t>
        </is>
      </c>
      <c r="K1266" s="45" t="inlineStr">
        <is>
          <t>Interventions sur le patrimoine bâti - Options maçonnerie, charpente, couverture</t>
        </is>
      </c>
      <c r="L1266" s="45" t="inlineStr">
        <is>
          <t>31/08/2028</t>
        </is>
      </c>
      <c r="M1266" s="45" t="inlineStr">
        <is>
          <t>22485 (Rénovation bâtiment) ; 22334 (Maçonnerie) ; 22437 (Couverture) ; 22312 (Charpente)</t>
        </is>
      </c>
      <c r="N1266" s="50" t="inlineStr">
        <is>
          <t>NON</t>
        </is>
      </c>
      <c r="O1266" s="45" t="inlineStr"/>
    </row>
    <row r="1267" customFormat="1" s="3">
      <c r="A1267" s="51" t="n"/>
      <c r="B1267" s="52" t="inlineStr">
        <is>
          <t>22486</t>
        </is>
      </c>
      <c r="C1267" s="52">
        <f>LEFT(Tableau1[[#This Row],[Formacode]],3)</f>
        <v/>
      </c>
      <c r="D1267" s="53" t="n">
        <v>35696</v>
      </c>
      <c r="E1267" s="54">
        <f>"RNCP"&amp;D1267</f>
        <v/>
      </c>
      <c r="F1267" s="54" t="inlineStr">
        <is>
          <t>CAP - Interventions en maintenance technique des bâtiments</t>
        </is>
      </c>
      <c r="G1267" s="55">
        <f>E1267&amp;" - "&amp;F1267</f>
        <v/>
      </c>
      <c r="H1267" s="37" t="inlineStr">
        <is>
          <t>À vérifier</t>
        </is>
      </c>
      <c r="I1267" s="51" t="inlineStr">
        <is>
          <t>Successeur déjà publié : RNCP41833 (Interventions en maintenance technique des bâtiments) — préparer la bascule de l'offre CPF | Échéance le 31/08/2026 (dans 44 j)</t>
        </is>
      </c>
      <c r="J1267" s="51" t="inlineStr">
        <is>
          <t>RNCP41833</t>
        </is>
      </c>
      <c r="K1267" s="51" t="inlineStr">
        <is>
          <t>Interventions en maintenance technique des bâtiments</t>
        </is>
      </c>
      <c r="L1267" s="51" t="inlineStr">
        <is>
          <t>31/08/2026</t>
        </is>
      </c>
      <c r="M1267" s="51" t="inlineStr">
        <is>
          <t>22486 (Maintenance bâtiment)</t>
        </is>
      </c>
      <c r="N1267" s="62" t="inlineStr">
        <is>
          <t>NON</t>
        </is>
      </c>
      <c r="O1267" s="51" t="inlineStr"/>
    </row>
    <row r="1268" customFormat="1" s="3">
      <c r="A1268" s="51" t="n"/>
      <c r="B1268" s="52" t="inlineStr">
        <is>
          <t>22486</t>
        </is>
      </c>
      <c r="C1268" s="52">
        <f>LEFT(Tableau1[[#This Row],[Formacode]],3)</f>
        <v/>
      </c>
      <c r="D1268" s="53" t="n">
        <v>35809</v>
      </c>
      <c r="E1268" s="54">
        <f>"RNCP"&amp;D1268</f>
        <v/>
      </c>
      <c r="F1268" s="54" t="inlineStr">
        <is>
          <t>BTS - Finition, aménagement des bâtiments : conception et réalisation</t>
        </is>
      </c>
      <c r="G1268" s="55">
        <f>E1268&amp;" - "&amp;F1268</f>
        <v/>
      </c>
      <c r="H1268" s="37" t="inlineStr">
        <is>
          <t>À vérifier</t>
        </is>
      </c>
      <c r="I1268" s="51" t="inlineStr">
        <is>
          <t>Successeur déjà publié : RNCP41827 (Finitions, aménagement des bâtiments : conception et réalisation) — préparer la bascule de l'offre CPF | Échéance le 31/08/2026 (dans 44 j)</t>
        </is>
      </c>
      <c r="J1268" s="51" t="inlineStr">
        <is>
          <t>RNCP41827</t>
        </is>
      </c>
      <c r="K1268" s="51" t="inlineStr">
        <is>
          <t>Finitions, aménagement des bâtiments : conception et réalisation</t>
        </is>
      </c>
      <c r="L1268" s="51" t="inlineStr">
        <is>
          <t>31/08/2026</t>
        </is>
      </c>
      <c r="M1268" s="51" t="inlineStr">
        <is>
          <t>22274 (Chantier BTP) ; 22248 (Gestion entreprise BTP)</t>
        </is>
      </c>
      <c r="N1268" s="62" t="inlineStr">
        <is>
          <t>NON</t>
        </is>
      </c>
      <c r="O1268" s="51" t="inlineStr"/>
    </row>
    <row r="1269" customFormat="1" s="3">
      <c r="A1269" s="45" t="n"/>
      <c r="B1269" s="46" t="inlineStr">
        <is>
          <t>22486</t>
        </is>
      </c>
      <c r="C1269" s="46">
        <f>LEFT(Tableau1[[#This Row],[Formacode]],3)</f>
        <v/>
      </c>
      <c r="D1269" s="47" t="n">
        <v>38383</v>
      </c>
      <c r="E1269" s="48">
        <f>"RNCP"&amp;D1269</f>
        <v/>
      </c>
      <c r="F1269" s="48" t="inlineStr">
        <is>
          <t>BTS - Etude et réalisation d'agencement</t>
        </is>
      </c>
      <c r="G1269" s="49">
        <f>E1269&amp;" - "&amp;F1269</f>
        <v/>
      </c>
      <c r="H1269" s="36" t="inlineStr">
        <is>
          <t>RAS</t>
        </is>
      </c>
      <c r="I1269" s="45" t="inlineStr"/>
      <c r="J1269" s="45" t="inlineStr">
        <is>
          <t>RNCP38383</t>
        </is>
      </c>
      <c r="K1269" s="45" t="inlineStr">
        <is>
          <t>Etude et réalisation d'agencement</t>
        </is>
      </c>
      <c r="L1269" s="45" t="inlineStr">
        <is>
          <t>31/12/2028</t>
        </is>
      </c>
      <c r="M1269" s="45" t="inlineStr">
        <is>
          <t>45015 (Architecture intérieure) ; 22454 (Bâtiment second oeuvre)</t>
        </is>
      </c>
      <c r="N1269" s="50" t="inlineStr">
        <is>
          <t>NON</t>
        </is>
      </c>
      <c r="O1269" s="45" t="inlineStr"/>
    </row>
    <row r="1270" customFormat="1" s="3">
      <c r="A1270" s="45" t="n"/>
      <c r="B1270" s="46" t="inlineStr">
        <is>
          <t>22486</t>
        </is>
      </c>
      <c r="C1270" s="46">
        <f>LEFT(Tableau1[[#This Row],[Formacode]],3)</f>
        <v/>
      </c>
      <c r="D1270" s="47" t="n">
        <v>38747</v>
      </c>
      <c r="E1270" s="48">
        <f>"RNCP"&amp;D1270</f>
        <v/>
      </c>
      <c r="F1270" s="48" t="inlineStr">
        <is>
          <t>TP - Chef de chantier aménagement finitions</t>
        </is>
      </c>
      <c r="G1270" s="49">
        <f>E1270&amp;" - "&amp;F1270</f>
        <v/>
      </c>
      <c r="H1270" s="36" t="inlineStr">
        <is>
          <t>RAS</t>
        </is>
      </c>
      <c r="I1270" s="45" t="inlineStr"/>
      <c r="J1270" s="45" t="inlineStr">
        <is>
          <t>RNCP38747</t>
        </is>
      </c>
      <c r="K1270" s="45" t="inlineStr">
        <is>
          <t>Chef de chantier aménagement finitions</t>
        </is>
      </c>
      <c r="L1270" s="45" t="inlineStr">
        <is>
          <t>18/08/2029</t>
        </is>
      </c>
      <c r="M1270" s="45" t="inlineStr">
        <is>
          <t>22294 (Conduite chantier BTP) ; 22454 (Bâtiment second oeuvre)</t>
        </is>
      </c>
      <c r="N1270" s="50" t="inlineStr">
        <is>
          <t>NON</t>
        </is>
      </c>
      <c r="O1270" s="45" t="inlineStr"/>
    </row>
    <row r="1271" customFormat="1" s="3">
      <c r="A1271" s="45" t="n"/>
      <c r="B1271" s="46" t="inlineStr">
        <is>
          <t>22486</t>
        </is>
      </c>
      <c r="C1271" s="46">
        <f>LEFT(Tableau1[[#This Row],[Formacode]],3)</f>
        <v/>
      </c>
      <c r="D1271" s="47" t="n">
        <v>39357</v>
      </c>
      <c r="E1271" s="48">
        <f>"RNCP"&amp;D1271</f>
        <v/>
      </c>
      <c r="F1271" s="48" t="inlineStr">
        <is>
          <t>CQP Installateur mainteneur de système de pompe à chaleur</t>
        </is>
      </c>
      <c r="G1271" s="49">
        <f>E1271&amp;" - "&amp;F1271</f>
        <v/>
      </c>
      <c r="H1271" s="36" t="inlineStr">
        <is>
          <t>RAS</t>
        </is>
      </c>
      <c r="I1271" s="45" t="inlineStr"/>
      <c r="J1271" s="45" t="inlineStr">
        <is>
          <t>RNCP39357</t>
        </is>
      </c>
      <c r="K1271" s="45" t="inlineStr">
        <is>
          <t>CQP Installateur mainteneur de système de pompe à chaleur</t>
        </is>
      </c>
      <c r="L1271" s="45" t="inlineStr">
        <is>
          <t>19/07/2027</t>
        </is>
      </c>
      <c r="M1271" s="45" t="inlineStr">
        <is>
          <t>22675 (Pompe à chaleur) ; 22454 (Bâtiment second oeuvre) ; 22685 (Installation thermique sanitaire)</t>
        </is>
      </c>
      <c r="N1271" s="50" t="inlineStr">
        <is>
          <t>NON</t>
        </is>
      </c>
      <c r="O1271" s="45" t="inlineStr"/>
    </row>
    <row r="1272" ht="28.8" customFormat="1" customHeight="1" s="3">
      <c r="A1272" s="45" t="n"/>
      <c r="B1272" s="46" t="inlineStr">
        <is>
          <t>22486</t>
        </is>
      </c>
      <c r="C1272" s="46">
        <f>LEFT(Tableau1[[#This Row],[Formacode]],3)</f>
        <v/>
      </c>
      <c r="D1272" s="47" t="n">
        <v>39358</v>
      </c>
      <c r="E1272" s="48">
        <f>"RNCP"&amp;D1272</f>
        <v/>
      </c>
      <c r="F1272" s="48" t="inlineStr">
        <is>
          <t>CQP Installateur mainteneur de systèmes de ventilation et gestion de la qualité d'air intérieur</t>
        </is>
      </c>
      <c r="G1272" s="49">
        <f>E1272&amp;" - "&amp;F1272</f>
        <v/>
      </c>
      <c r="H1272" s="36" t="inlineStr">
        <is>
          <t>RAS</t>
        </is>
      </c>
      <c r="I1272" s="45" t="inlineStr"/>
      <c r="J1272" s="45" t="inlineStr">
        <is>
          <t>RNCP39358</t>
        </is>
      </c>
      <c r="K1272" s="45" t="inlineStr">
        <is>
          <t>CQP Installateur mainteneur de systèmes de ventilation et gestion de la qualité d'air intérieur</t>
        </is>
      </c>
      <c r="L1272" s="45" t="inlineStr">
        <is>
          <t>19/07/2027</t>
        </is>
      </c>
      <c r="M1272" s="45" t="inlineStr">
        <is>
          <t>22635 (Climatisation) ; 22454 (Bâtiment second oeuvre)</t>
        </is>
      </c>
      <c r="N1272" s="50" t="inlineStr">
        <is>
          <t>NON</t>
        </is>
      </c>
      <c r="O1272" s="45" t="inlineStr"/>
    </row>
    <row r="1273" customFormat="1" s="3">
      <c r="A1273" s="45" t="n"/>
      <c r="B1273" s="46" t="inlineStr">
        <is>
          <t>22486</t>
        </is>
      </c>
      <c r="C1273" s="46">
        <f>LEFT(Tableau1[[#This Row],[Formacode]],3)</f>
        <v/>
      </c>
      <c r="D1273" s="47" t="n">
        <v>40381</v>
      </c>
      <c r="E1273" s="48">
        <f>"RNCP"&amp;D1273</f>
        <v/>
      </c>
      <c r="F1273" s="48" t="inlineStr">
        <is>
          <t>Chargé de gestion technique des bâtiments tertiaires et industriels</t>
        </is>
      </c>
      <c r="G1273" s="49">
        <f>E1273&amp;" - "&amp;F1273</f>
        <v/>
      </c>
      <c r="H1273" s="36" t="inlineStr">
        <is>
          <t>RAS</t>
        </is>
      </c>
      <c r="I1273" s="45" t="inlineStr"/>
      <c r="J1273" s="45" t="inlineStr">
        <is>
          <t>RNCP40381</t>
        </is>
      </c>
      <c r="K1273" s="45" t="inlineStr">
        <is>
          <t>Chargé de gestion technique des bâtiments tertiaires et industriels</t>
        </is>
      </c>
      <c r="L1273" s="45" t="inlineStr">
        <is>
          <t>28/03/2030</t>
        </is>
      </c>
      <c r="M1273" s="45" t="inlineStr">
        <is>
          <t>22499 (Immotique) ; 22636 (Régulation génie climatique) ; 22485 (Rénovation bâtiment) ; 22486 (Maintenance bâtiment)</t>
        </is>
      </c>
      <c r="N1273" s="50" t="inlineStr">
        <is>
          <t>NON</t>
        </is>
      </c>
      <c r="O1273" s="45" t="inlineStr"/>
    </row>
    <row r="1274" customFormat="1" s="3">
      <c r="A1274" s="51" t="n"/>
      <c r="B1274" s="52" t="inlineStr">
        <is>
          <t>22493</t>
        </is>
      </c>
      <c r="C1274" s="52">
        <f>LEFT(Tableau1[[#This Row],[Formacode]],3)</f>
        <v/>
      </c>
      <c r="D1274" s="53" t="n">
        <v>35809</v>
      </c>
      <c r="E1274" s="54">
        <f>"RNCP"&amp;D1274</f>
        <v/>
      </c>
      <c r="F1274" s="54" t="inlineStr">
        <is>
          <t>BTS - Finition, aménagement des bâtiments : conception et réalisation</t>
        </is>
      </c>
      <c r="G1274" s="55">
        <f>E1274&amp;" - "&amp;F1274</f>
        <v/>
      </c>
      <c r="H1274" s="37" t="inlineStr">
        <is>
          <t>À vérifier</t>
        </is>
      </c>
      <c r="I1274" s="51" t="inlineStr">
        <is>
          <t>Successeur déjà publié : RNCP41827 (Finitions, aménagement des bâtiments : conception et réalisation) — préparer la bascule de l'offre CPF | Échéance le 31/08/2026 (dans 44 j)</t>
        </is>
      </c>
      <c r="J1274" s="51" t="inlineStr">
        <is>
          <t>RNCP41827</t>
        </is>
      </c>
      <c r="K1274" s="51" t="inlineStr">
        <is>
          <t>Finitions, aménagement des bâtiments : conception et réalisation</t>
        </is>
      </c>
      <c r="L1274" s="51" t="inlineStr">
        <is>
          <t>31/08/2026</t>
        </is>
      </c>
      <c r="M1274" s="51" t="inlineStr">
        <is>
          <t>22274 (Chantier BTP) ; 22248 (Gestion entreprise BTP)</t>
        </is>
      </c>
      <c r="N1274" s="62" t="inlineStr">
        <is>
          <t>NON</t>
        </is>
      </c>
      <c r="O1274" s="51" t="inlineStr"/>
    </row>
    <row r="1275" customFormat="1" s="3">
      <c r="A1275" s="45" t="n"/>
      <c r="B1275" s="46" t="inlineStr">
        <is>
          <t>22493</t>
        </is>
      </c>
      <c r="C1275" s="46">
        <f>LEFT(Tableau1[[#This Row],[Formacode]],3)</f>
        <v/>
      </c>
      <c r="D1275" s="47" t="n">
        <v>38383</v>
      </c>
      <c r="E1275" s="48">
        <f>"RNCP"&amp;D1275</f>
        <v/>
      </c>
      <c r="F1275" s="48" t="inlineStr">
        <is>
          <t>BTS - Etude et réalisation d'agencement</t>
        </is>
      </c>
      <c r="G1275" s="49">
        <f>E1275&amp;" - "&amp;F1275</f>
        <v/>
      </c>
      <c r="H1275" s="36" t="inlineStr">
        <is>
          <t>RAS</t>
        </is>
      </c>
      <c r="I1275" s="45" t="inlineStr"/>
      <c r="J1275" s="45" t="inlineStr">
        <is>
          <t>RNCP38383</t>
        </is>
      </c>
      <c r="K1275" s="45" t="inlineStr">
        <is>
          <t>Etude et réalisation d'agencement</t>
        </is>
      </c>
      <c r="L1275" s="45" t="inlineStr">
        <is>
          <t>31/12/2028</t>
        </is>
      </c>
      <c r="M1275" s="45" t="inlineStr">
        <is>
          <t>45015 (Architecture intérieure) ; 22454 (Bâtiment second oeuvre)</t>
        </is>
      </c>
      <c r="N1275" s="50" t="inlineStr">
        <is>
          <t>NON</t>
        </is>
      </c>
      <c r="O1275" s="45" t="inlineStr"/>
    </row>
    <row r="1276" customFormat="1" s="3">
      <c r="A1276" s="45" t="n"/>
      <c r="B1276" s="46" t="inlineStr">
        <is>
          <t>22493</t>
        </is>
      </c>
      <c r="C1276" s="46">
        <f>LEFT(Tableau1[[#This Row],[Formacode]],3)</f>
        <v/>
      </c>
      <c r="D1276" s="47" t="n">
        <v>38747</v>
      </c>
      <c r="E1276" s="48">
        <f>"RNCP"&amp;D1276</f>
        <v/>
      </c>
      <c r="F1276" s="48" t="inlineStr">
        <is>
          <t>TP - Chef de chantier aménagement finitions</t>
        </is>
      </c>
      <c r="G1276" s="49">
        <f>E1276&amp;" - "&amp;F1276</f>
        <v/>
      </c>
      <c r="H1276" s="36" t="inlineStr">
        <is>
          <t>RAS</t>
        </is>
      </c>
      <c r="I1276" s="45" t="inlineStr"/>
      <c r="J1276" s="45" t="inlineStr">
        <is>
          <t>RNCP38747</t>
        </is>
      </c>
      <c r="K1276" s="45" t="inlineStr">
        <is>
          <t>Chef de chantier aménagement finitions</t>
        </is>
      </c>
      <c r="L1276" s="45" t="inlineStr">
        <is>
          <t>18/08/2029</t>
        </is>
      </c>
      <c r="M1276" s="45" t="inlineStr">
        <is>
          <t>22294 (Conduite chantier BTP) ; 22454 (Bâtiment second oeuvre)</t>
        </is>
      </c>
      <c r="N1276" s="50" t="inlineStr">
        <is>
          <t>NON</t>
        </is>
      </c>
      <c r="O1276" s="45" t="inlineStr"/>
    </row>
    <row r="1277" customFormat="1" s="3">
      <c r="A1277" s="51" t="n"/>
      <c r="B1277" s="52" t="inlineStr">
        <is>
          <t>22493</t>
        </is>
      </c>
      <c r="C1277" s="52">
        <f>LEFT(Tableau1[[#This Row],[Formacode]],3)</f>
        <v/>
      </c>
      <c r="D1277" s="53" t="n">
        <v>39192</v>
      </c>
      <c r="E1277" s="54">
        <f>"RNCP"&amp;D1277</f>
        <v/>
      </c>
      <c r="F1277" s="54" t="inlineStr">
        <is>
          <t>CS - Technicien ascensoriste (service et modernisation)</t>
        </is>
      </c>
      <c r="G1277" s="55">
        <f>E1277&amp;" - "&amp;F1277</f>
        <v/>
      </c>
      <c r="H1277" s="37" t="inlineStr">
        <is>
          <t>À vérifier</t>
        </is>
      </c>
      <c r="I1277" s="51" t="inlineStr">
        <is>
          <t>Échéance le 31/12/2026 (dans 166 j)</t>
        </is>
      </c>
      <c r="J1277" s="51" t="inlineStr">
        <is>
          <t>RNCP39192</t>
        </is>
      </c>
      <c r="K1277" s="51" t="inlineStr">
        <is>
          <t>Technicien ascensoriste (service et modernisation)</t>
        </is>
      </c>
      <c r="L1277" s="51" t="inlineStr">
        <is>
          <t>31/12/2026</t>
        </is>
      </c>
      <c r="M1277" s="51" t="inlineStr">
        <is>
          <t>22493 (Ascenseur) ; 24054 (Électricité)</t>
        </is>
      </c>
      <c r="N1277" s="62" t="inlineStr">
        <is>
          <t>NON</t>
        </is>
      </c>
      <c r="O1277" s="51" t="inlineStr"/>
    </row>
    <row r="1278" customFormat="1" s="3">
      <c r="A1278" s="45" t="n"/>
      <c r="B1278" s="46" t="inlineStr">
        <is>
          <t>22493</t>
        </is>
      </c>
      <c r="C1278" s="46">
        <f>LEFT(Tableau1[[#This Row],[Formacode]],3)</f>
        <v/>
      </c>
      <c r="D1278" s="47" t="n">
        <v>39357</v>
      </c>
      <c r="E1278" s="48">
        <f>"RNCP"&amp;D1278</f>
        <v/>
      </c>
      <c r="F1278" s="48" t="inlineStr">
        <is>
          <t>CQP Installateur mainteneur de système de pompe à chaleur</t>
        </is>
      </c>
      <c r="G1278" s="49">
        <f>E1278&amp;" - "&amp;F1278</f>
        <v/>
      </c>
      <c r="H1278" s="36" t="inlineStr">
        <is>
          <t>RAS</t>
        </is>
      </c>
      <c r="I1278" s="45" t="inlineStr"/>
      <c r="J1278" s="45" t="inlineStr">
        <is>
          <t>RNCP39357</t>
        </is>
      </c>
      <c r="K1278" s="45" t="inlineStr">
        <is>
          <t>CQP Installateur mainteneur de système de pompe à chaleur</t>
        </is>
      </c>
      <c r="L1278" s="45" t="inlineStr">
        <is>
          <t>19/07/2027</t>
        </is>
      </c>
      <c r="M1278" s="45" t="inlineStr">
        <is>
          <t>22675 (Pompe à chaleur) ; 22454 (Bâtiment second oeuvre) ; 22685 (Installation thermique sanitaire)</t>
        </is>
      </c>
      <c r="N1278" s="50" t="inlineStr">
        <is>
          <t>NON</t>
        </is>
      </c>
      <c r="O1278" s="45" t="inlineStr"/>
    </row>
    <row r="1279" ht="28.8" customFormat="1" customHeight="1" s="3">
      <c r="A1279" s="45" t="n"/>
      <c r="B1279" s="46" t="inlineStr">
        <is>
          <t>22493</t>
        </is>
      </c>
      <c r="C1279" s="46">
        <f>LEFT(Tableau1[[#This Row],[Formacode]],3)</f>
        <v/>
      </c>
      <c r="D1279" s="47" t="n">
        <v>39358</v>
      </c>
      <c r="E1279" s="48">
        <f>"RNCP"&amp;D1279</f>
        <v/>
      </c>
      <c r="F1279" s="48" t="inlineStr">
        <is>
          <t>CQP Installateur mainteneur de systèmes de ventilation et gestion de la qualité d'air intérieur</t>
        </is>
      </c>
      <c r="G1279" s="49">
        <f>E1279&amp;" - "&amp;F1279</f>
        <v/>
      </c>
      <c r="H1279" s="36" t="inlineStr">
        <is>
          <t>RAS</t>
        </is>
      </c>
      <c r="I1279" s="45" t="inlineStr"/>
      <c r="J1279" s="45" t="inlineStr">
        <is>
          <t>RNCP39358</t>
        </is>
      </c>
      <c r="K1279" s="45" t="inlineStr">
        <is>
          <t>CQP Installateur mainteneur de systèmes de ventilation et gestion de la qualité d'air intérieur</t>
        </is>
      </c>
      <c r="L1279" s="45" t="inlineStr">
        <is>
          <t>19/07/2027</t>
        </is>
      </c>
      <c r="M1279" s="45" t="inlineStr">
        <is>
          <t>22635 (Climatisation) ; 22454 (Bâtiment second oeuvre)</t>
        </is>
      </c>
      <c r="N1279" s="50" t="inlineStr">
        <is>
          <t>NON</t>
        </is>
      </c>
      <c r="O1279" s="45" t="inlineStr"/>
    </row>
    <row r="1280" customFormat="1" s="3">
      <c r="A1280" s="51" t="n"/>
      <c r="B1280" s="52" t="inlineStr">
        <is>
          <t>22494</t>
        </is>
      </c>
      <c r="C1280" s="52">
        <f>LEFT(Tableau1[[#This Row],[Formacode]],3)</f>
        <v/>
      </c>
      <c r="D1280" s="53" t="n">
        <v>35809</v>
      </c>
      <c r="E1280" s="54">
        <f>"RNCP"&amp;D1280</f>
        <v/>
      </c>
      <c r="F1280" s="54" t="inlineStr">
        <is>
          <t>BTS - Finition, aménagement des bâtiments : conception et réalisation</t>
        </is>
      </c>
      <c r="G1280" s="55">
        <f>E1280&amp;" - "&amp;F1280</f>
        <v/>
      </c>
      <c r="H1280" s="37" t="inlineStr">
        <is>
          <t>À vérifier</t>
        </is>
      </c>
      <c r="I1280" s="51" t="inlineStr">
        <is>
          <t>Successeur déjà publié : RNCP41827 (Finitions, aménagement des bâtiments : conception et réalisation) — préparer la bascule de l'offre CPF | Échéance le 31/08/2026 (dans 44 j)</t>
        </is>
      </c>
      <c r="J1280" s="51" t="inlineStr">
        <is>
          <t>RNCP41827</t>
        </is>
      </c>
      <c r="K1280" s="51" t="inlineStr">
        <is>
          <t>Finitions, aménagement des bâtiments : conception et réalisation</t>
        </is>
      </c>
      <c r="L1280" s="51" t="inlineStr">
        <is>
          <t>31/08/2026</t>
        </is>
      </c>
      <c r="M1280" s="51" t="inlineStr">
        <is>
          <t>22274 (Chantier BTP) ; 22248 (Gestion entreprise BTP)</t>
        </is>
      </c>
      <c r="N1280" s="62" t="inlineStr">
        <is>
          <t>NON</t>
        </is>
      </c>
      <c r="O1280" s="51" t="inlineStr"/>
    </row>
    <row r="1281" customFormat="1" s="3">
      <c r="A1281" s="45" t="n"/>
      <c r="B1281" s="46" t="inlineStr">
        <is>
          <t>22494</t>
        </is>
      </c>
      <c r="C1281" s="46">
        <f>LEFT(Tableau1[[#This Row],[Formacode]],3)</f>
        <v/>
      </c>
      <c r="D1281" s="47" t="n">
        <v>38383</v>
      </c>
      <c r="E1281" s="48">
        <f>"RNCP"&amp;D1281</f>
        <v/>
      </c>
      <c r="F1281" s="48" t="inlineStr">
        <is>
          <t>BTS - Etude et réalisation d'agencement</t>
        </is>
      </c>
      <c r="G1281" s="49">
        <f>E1281&amp;" - "&amp;F1281</f>
        <v/>
      </c>
      <c r="H1281" s="36" t="inlineStr">
        <is>
          <t>RAS</t>
        </is>
      </c>
      <c r="I1281" s="45" t="inlineStr"/>
      <c r="J1281" s="45" t="inlineStr">
        <is>
          <t>RNCP38383</t>
        </is>
      </c>
      <c r="K1281" s="45" t="inlineStr">
        <is>
          <t>Etude et réalisation d'agencement</t>
        </is>
      </c>
      <c r="L1281" s="45" t="inlineStr">
        <is>
          <t>31/12/2028</t>
        </is>
      </c>
      <c r="M1281" s="45" t="inlineStr">
        <is>
          <t>45015 (Architecture intérieure) ; 22454 (Bâtiment second oeuvre)</t>
        </is>
      </c>
      <c r="N1281" s="50" t="inlineStr">
        <is>
          <t>NON</t>
        </is>
      </c>
      <c r="O1281" s="45" t="inlineStr"/>
    </row>
    <row r="1282" customFormat="1" s="3">
      <c r="A1282" s="45" t="n"/>
      <c r="B1282" s="46" t="inlineStr">
        <is>
          <t>22494</t>
        </is>
      </c>
      <c r="C1282" s="46">
        <f>LEFT(Tableau1[[#This Row],[Formacode]],3)</f>
        <v/>
      </c>
      <c r="D1282" s="47" t="n">
        <v>38747</v>
      </c>
      <c r="E1282" s="48">
        <f>"RNCP"&amp;D1282</f>
        <v/>
      </c>
      <c r="F1282" s="48" t="inlineStr">
        <is>
          <t>TP - Chef de chantier aménagement finitions</t>
        </is>
      </c>
      <c r="G1282" s="49">
        <f>E1282&amp;" - "&amp;F1282</f>
        <v/>
      </c>
      <c r="H1282" s="36" t="inlineStr">
        <is>
          <t>RAS</t>
        </is>
      </c>
      <c r="I1282" s="45" t="inlineStr"/>
      <c r="J1282" s="45" t="inlineStr">
        <is>
          <t>RNCP38747</t>
        </is>
      </c>
      <c r="K1282" s="45" t="inlineStr">
        <is>
          <t>Chef de chantier aménagement finitions</t>
        </is>
      </c>
      <c r="L1282" s="45" t="inlineStr">
        <is>
          <t>18/08/2029</t>
        </is>
      </c>
      <c r="M1282" s="45" t="inlineStr">
        <is>
          <t>22294 (Conduite chantier BTP) ; 22454 (Bâtiment second oeuvre)</t>
        </is>
      </c>
      <c r="N1282" s="50" t="inlineStr">
        <is>
          <t>NON</t>
        </is>
      </c>
      <c r="O1282" s="45" t="inlineStr"/>
    </row>
    <row r="1283" customFormat="1" s="3">
      <c r="A1283" s="45" t="n"/>
      <c r="B1283" s="46" t="inlineStr">
        <is>
          <t>22494</t>
        </is>
      </c>
      <c r="C1283" s="46">
        <f>LEFT(Tableau1[[#This Row],[Formacode]],3)</f>
        <v/>
      </c>
      <c r="D1283" s="47" t="n">
        <v>39357</v>
      </c>
      <c r="E1283" s="48">
        <f>"RNCP"&amp;D1283</f>
        <v/>
      </c>
      <c r="F1283" s="48" t="inlineStr">
        <is>
          <t>CQP Installateur mainteneur de système de pompe à chaleur</t>
        </is>
      </c>
      <c r="G1283" s="49">
        <f>E1283&amp;" - "&amp;F1283</f>
        <v/>
      </c>
      <c r="H1283" s="36" t="inlineStr">
        <is>
          <t>RAS</t>
        </is>
      </c>
      <c r="I1283" s="45" t="inlineStr"/>
      <c r="J1283" s="45" t="inlineStr">
        <is>
          <t>RNCP39357</t>
        </is>
      </c>
      <c r="K1283" s="45" t="inlineStr">
        <is>
          <t>CQP Installateur mainteneur de système de pompe à chaleur</t>
        </is>
      </c>
      <c r="L1283" s="45" t="inlineStr">
        <is>
          <t>19/07/2027</t>
        </is>
      </c>
      <c r="M1283" s="45" t="inlineStr">
        <is>
          <t>22675 (Pompe à chaleur) ; 22454 (Bâtiment second oeuvre) ; 22685 (Installation thermique sanitaire)</t>
        </is>
      </c>
      <c r="N1283" s="50" t="inlineStr">
        <is>
          <t>NON</t>
        </is>
      </c>
      <c r="O1283" s="45" t="inlineStr"/>
    </row>
    <row r="1284" ht="28.8" customFormat="1" customHeight="1" s="3">
      <c r="A1284" s="45" t="n"/>
      <c r="B1284" s="46" t="inlineStr">
        <is>
          <t>22494</t>
        </is>
      </c>
      <c r="C1284" s="46">
        <f>LEFT(Tableau1[[#This Row],[Formacode]],3)</f>
        <v/>
      </c>
      <c r="D1284" s="47" t="n">
        <v>39358</v>
      </c>
      <c r="E1284" s="48">
        <f>"RNCP"&amp;D1284</f>
        <v/>
      </c>
      <c r="F1284" s="48" t="inlineStr">
        <is>
          <t>CQP Installateur mainteneur de systèmes de ventilation et gestion de la qualité d'air intérieur</t>
        </is>
      </c>
      <c r="G1284" s="49">
        <f>E1284&amp;" - "&amp;F1284</f>
        <v/>
      </c>
      <c r="H1284" s="36" t="inlineStr">
        <is>
          <t>RAS</t>
        </is>
      </c>
      <c r="I1284" s="45" t="inlineStr"/>
      <c r="J1284" s="45" t="inlineStr">
        <is>
          <t>RNCP39358</t>
        </is>
      </c>
      <c r="K1284" s="45" t="inlineStr">
        <is>
          <t>CQP Installateur mainteneur de systèmes de ventilation et gestion de la qualité d'air intérieur</t>
        </is>
      </c>
      <c r="L1284" s="45" t="inlineStr">
        <is>
          <t>19/07/2027</t>
        </is>
      </c>
      <c r="M1284" s="45" t="inlineStr">
        <is>
          <t>22635 (Climatisation) ; 22454 (Bâtiment second oeuvre)</t>
        </is>
      </c>
      <c r="N1284" s="50" t="inlineStr">
        <is>
          <t>NON</t>
        </is>
      </c>
      <c r="O1284" s="45" t="inlineStr"/>
    </row>
    <row r="1285" customFormat="1" s="3">
      <c r="A1285" s="51" t="n"/>
      <c r="B1285" s="52" t="inlineStr">
        <is>
          <t>22498</t>
        </is>
      </c>
      <c r="C1285" s="52">
        <f>LEFT(Tableau1[[#This Row],[Formacode]],3)</f>
        <v/>
      </c>
      <c r="D1285" s="53" t="n">
        <v>35809</v>
      </c>
      <c r="E1285" s="54">
        <f>"RNCP"&amp;D1285</f>
        <v/>
      </c>
      <c r="F1285" s="54" t="inlineStr">
        <is>
          <t>BTS - Finition, aménagement des bâtiments : conception et réalisation</t>
        </is>
      </c>
      <c r="G1285" s="55">
        <f>E1285&amp;" - "&amp;F1285</f>
        <v/>
      </c>
      <c r="H1285" s="37" t="inlineStr">
        <is>
          <t>À vérifier</t>
        </is>
      </c>
      <c r="I1285" s="51" t="inlineStr">
        <is>
          <t>Successeur déjà publié : RNCP41827 (Finitions, aménagement des bâtiments : conception et réalisation) — préparer la bascule de l'offre CPF | Échéance le 31/08/2026 (dans 44 j)</t>
        </is>
      </c>
      <c r="J1285" s="51" t="inlineStr">
        <is>
          <t>RNCP41827</t>
        </is>
      </c>
      <c r="K1285" s="51" t="inlineStr">
        <is>
          <t>Finitions, aménagement des bâtiments : conception et réalisation</t>
        </is>
      </c>
      <c r="L1285" s="51" t="inlineStr">
        <is>
          <t>31/08/2026</t>
        </is>
      </c>
      <c r="M1285" s="51" t="inlineStr">
        <is>
          <t>22274 (Chantier BTP) ; 22248 (Gestion entreprise BTP)</t>
        </is>
      </c>
      <c r="N1285" s="62" t="inlineStr">
        <is>
          <t>NON</t>
        </is>
      </c>
      <c r="O1285" s="51" t="inlineStr"/>
    </row>
    <row r="1286" customFormat="1" s="3">
      <c r="A1286" s="45" t="n"/>
      <c r="B1286" s="46" t="inlineStr">
        <is>
          <t>22498</t>
        </is>
      </c>
      <c r="C1286" s="46">
        <f>LEFT(Tableau1[[#This Row],[Formacode]],3)</f>
        <v/>
      </c>
      <c r="D1286" s="47" t="n">
        <v>38383</v>
      </c>
      <c r="E1286" s="48">
        <f>"RNCP"&amp;D1286</f>
        <v/>
      </c>
      <c r="F1286" s="48" t="inlineStr">
        <is>
          <t>BTS - Etude et réalisation d'agencement</t>
        </is>
      </c>
      <c r="G1286" s="49">
        <f>E1286&amp;" - "&amp;F1286</f>
        <v/>
      </c>
      <c r="H1286" s="36" t="inlineStr">
        <is>
          <t>RAS</t>
        </is>
      </c>
      <c r="I1286" s="45" t="inlineStr"/>
      <c r="J1286" s="45" t="inlineStr">
        <is>
          <t>RNCP38383</t>
        </is>
      </c>
      <c r="K1286" s="45" t="inlineStr">
        <is>
          <t>Etude et réalisation d'agencement</t>
        </is>
      </c>
      <c r="L1286" s="45" t="inlineStr">
        <is>
          <t>31/12/2028</t>
        </is>
      </c>
      <c r="M1286" s="45" t="inlineStr">
        <is>
          <t>45015 (Architecture intérieure) ; 22454 (Bâtiment second oeuvre)</t>
        </is>
      </c>
      <c r="N1286" s="50" t="inlineStr">
        <is>
          <t>NON</t>
        </is>
      </c>
      <c r="O1286" s="45" t="inlineStr"/>
    </row>
    <row r="1287" customFormat="1" s="3">
      <c r="A1287" s="45" t="n"/>
      <c r="B1287" s="46" t="inlineStr">
        <is>
          <t>22498</t>
        </is>
      </c>
      <c r="C1287" s="46">
        <f>LEFT(Tableau1[[#This Row],[Formacode]],3)</f>
        <v/>
      </c>
      <c r="D1287" s="47" t="n">
        <v>38747</v>
      </c>
      <c r="E1287" s="48">
        <f>"RNCP"&amp;D1287</f>
        <v/>
      </c>
      <c r="F1287" s="48" t="inlineStr">
        <is>
          <t>TP - Chef de chantier aménagement finitions</t>
        </is>
      </c>
      <c r="G1287" s="49">
        <f>E1287&amp;" - "&amp;F1287</f>
        <v/>
      </c>
      <c r="H1287" s="36" t="inlineStr">
        <is>
          <t>RAS</t>
        </is>
      </c>
      <c r="I1287" s="45" t="inlineStr"/>
      <c r="J1287" s="45" t="inlineStr">
        <is>
          <t>RNCP38747</t>
        </is>
      </c>
      <c r="K1287" s="45" t="inlineStr">
        <is>
          <t>Chef de chantier aménagement finitions</t>
        </is>
      </c>
      <c r="L1287" s="45" t="inlineStr">
        <is>
          <t>18/08/2029</t>
        </is>
      </c>
      <c r="M1287" s="45" t="inlineStr">
        <is>
          <t>22294 (Conduite chantier BTP) ; 22454 (Bâtiment second oeuvre)</t>
        </is>
      </c>
      <c r="N1287" s="50" t="inlineStr">
        <is>
          <t>NON</t>
        </is>
      </c>
      <c r="O1287" s="45" t="inlineStr"/>
    </row>
    <row r="1288" customFormat="1" s="3">
      <c r="A1288" s="45" t="n"/>
      <c r="B1288" s="46" t="inlineStr">
        <is>
          <t>22498</t>
        </is>
      </c>
      <c r="C1288" s="46">
        <f>LEFT(Tableau1[[#This Row],[Formacode]],3)</f>
        <v/>
      </c>
      <c r="D1288" s="47" t="n">
        <v>39357</v>
      </c>
      <c r="E1288" s="48">
        <f>"RNCP"&amp;D1288</f>
        <v/>
      </c>
      <c r="F1288" s="48" t="inlineStr">
        <is>
          <t>CQP Installateur mainteneur de système de pompe à chaleur</t>
        </is>
      </c>
      <c r="G1288" s="49">
        <f>E1288&amp;" - "&amp;F1288</f>
        <v/>
      </c>
      <c r="H1288" s="36" t="inlineStr">
        <is>
          <t>RAS</t>
        </is>
      </c>
      <c r="I1288" s="45" t="inlineStr"/>
      <c r="J1288" s="45" t="inlineStr">
        <is>
          <t>RNCP39357</t>
        </is>
      </c>
      <c r="K1288" s="45" t="inlineStr">
        <is>
          <t>CQP Installateur mainteneur de système de pompe à chaleur</t>
        </is>
      </c>
      <c r="L1288" s="45" t="inlineStr">
        <is>
          <t>19/07/2027</t>
        </is>
      </c>
      <c r="M1288" s="45" t="inlineStr">
        <is>
          <t>22675 (Pompe à chaleur) ; 22454 (Bâtiment second oeuvre) ; 22685 (Installation thermique sanitaire)</t>
        </is>
      </c>
      <c r="N1288" s="50" t="inlineStr">
        <is>
          <t>NON</t>
        </is>
      </c>
      <c r="O1288" s="45" t="inlineStr"/>
    </row>
    <row r="1289" ht="28.8" customFormat="1" customHeight="1" s="3">
      <c r="A1289" s="45" t="n"/>
      <c r="B1289" s="46" t="inlineStr">
        <is>
          <t>22498</t>
        </is>
      </c>
      <c r="C1289" s="46">
        <f>LEFT(Tableau1[[#This Row],[Formacode]],3)</f>
        <v/>
      </c>
      <c r="D1289" s="47" t="n">
        <v>39358</v>
      </c>
      <c r="E1289" s="48">
        <f>"RNCP"&amp;D1289</f>
        <v/>
      </c>
      <c r="F1289" s="48" t="inlineStr">
        <is>
          <t>CQP Installateur mainteneur de systèmes de ventilation et gestion de la qualité d'air intérieur</t>
        </is>
      </c>
      <c r="G1289" s="49">
        <f>E1289&amp;" - "&amp;F1289</f>
        <v/>
      </c>
      <c r="H1289" s="36" t="inlineStr">
        <is>
          <t>RAS</t>
        </is>
      </c>
      <c r="I1289" s="45" t="inlineStr"/>
      <c r="J1289" s="45" t="inlineStr">
        <is>
          <t>RNCP39358</t>
        </is>
      </c>
      <c r="K1289" s="45" t="inlineStr">
        <is>
          <t>CQP Installateur mainteneur de systèmes de ventilation et gestion de la qualité d'air intérieur</t>
        </is>
      </c>
      <c r="L1289" s="45" t="inlineStr">
        <is>
          <t>19/07/2027</t>
        </is>
      </c>
      <c r="M1289" s="45" t="inlineStr">
        <is>
          <t>22635 (Climatisation) ; 22454 (Bâtiment second oeuvre)</t>
        </is>
      </c>
      <c r="N1289" s="50" t="inlineStr">
        <is>
          <t>NON</t>
        </is>
      </c>
      <c r="O1289" s="45" t="inlineStr"/>
    </row>
    <row r="1290" customFormat="1" s="3">
      <c r="A1290" s="51" t="n"/>
      <c r="B1290" s="52" t="inlineStr">
        <is>
          <t>22499</t>
        </is>
      </c>
      <c r="C1290" s="52">
        <f>LEFT(Tableau1[[#This Row],[Formacode]],3)</f>
        <v/>
      </c>
      <c r="D1290" s="53" t="n">
        <v>35809</v>
      </c>
      <c r="E1290" s="54">
        <f>"RNCP"&amp;D1290</f>
        <v/>
      </c>
      <c r="F1290" s="54" t="inlineStr">
        <is>
          <t>BTS - Finition, aménagement des bâtiments : conception et réalisation</t>
        </is>
      </c>
      <c r="G1290" s="55">
        <f>E1290&amp;" - "&amp;F1290</f>
        <v/>
      </c>
      <c r="H1290" s="37" t="inlineStr">
        <is>
          <t>À vérifier</t>
        </is>
      </c>
      <c r="I1290" s="51" t="inlineStr">
        <is>
          <t>Successeur déjà publié : RNCP41827 (Finitions, aménagement des bâtiments : conception et réalisation) — préparer la bascule de l'offre CPF | Échéance le 31/08/2026 (dans 44 j)</t>
        </is>
      </c>
      <c r="J1290" s="51" t="inlineStr">
        <is>
          <t>RNCP41827</t>
        </is>
      </c>
      <c r="K1290" s="51" t="inlineStr">
        <is>
          <t>Finitions, aménagement des bâtiments : conception et réalisation</t>
        </is>
      </c>
      <c r="L1290" s="51" t="inlineStr">
        <is>
          <t>31/08/2026</t>
        </is>
      </c>
      <c r="M1290" s="51" t="inlineStr">
        <is>
          <t>22274 (Chantier BTP) ; 22248 (Gestion entreprise BTP)</t>
        </is>
      </c>
      <c r="N1290" s="62" t="inlineStr">
        <is>
          <t>NON</t>
        </is>
      </c>
      <c r="O1290" s="51" t="inlineStr"/>
    </row>
    <row r="1291" ht="28.8" customFormat="1" customHeight="1" s="3">
      <c r="A1291" s="45" t="n"/>
      <c r="B1291" s="46" t="inlineStr">
        <is>
          <t>22499</t>
        </is>
      </c>
      <c r="C1291" s="46">
        <f>LEFT(Tableau1[[#This Row],[Formacode]],3)</f>
        <v/>
      </c>
      <c r="D1291" s="47" t="n">
        <v>38361</v>
      </c>
      <c r="E1291" s="48">
        <f>"RNCP"&amp;D1291</f>
        <v/>
      </c>
      <c r="F1291" s="48" t="inlineStr">
        <is>
          <t>BTS - Fluides-énergies-domotique (option A « génie climatique et fluidique », option B « froid et conditionnement d'air », option C « domotique et bâtiments communicants »)</t>
        </is>
      </c>
      <c r="G1291" s="49">
        <f>E1291&amp;" - "&amp;F1291</f>
        <v/>
      </c>
      <c r="H1291" s="36" t="inlineStr">
        <is>
          <t>RAS</t>
        </is>
      </c>
      <c r="I1291" s="45" t="inlineStr"/>
      <c r="J1291" s="45" t="inlineStr">
        <is>
          <t>RNCP38361</t>
        </is>
      </c>
      <c r="K1291" s="45" t="inlineStr">
        <is>
          <t>Fluides-énergies-domotique (option A « génie climatique et fluidique », option B « froid et conditionnement d'air », option C « domotique et bâtiments communicants »)</t>
        </is>
      </c>
      <c r="L1291" s="45" t="inlineStr">
        <is>
          <t>31/12/2028</t>
        </is>
      </c>
      <c r="M1291" s="45" t="inlineStr">
        <is>
          <t>22654 (Génie climatique) ; 22499 (Immotique)</t>
        </is>
      </c>
      <c r="N1291" s="50" t="inlineStr">
        <is>
          <t>NON</t>
        </is>
      </c>
      <c r="O1291" s="45" t="inlineStr"/>
    </row>
    <row r="1292" customFormat="1" s="3">
      <c r="A1292" s="45" t="n"/>
      <c r="B1292" s="46" t="inlineStr">
        <is>
          <t>22499</t>
        </is>
      </c>
      <c r="C1292" s="46">
        <f>LEFT(Tableau1[[#This Row],[Formacode]],3)</f>
        <v/>
      </c>
      <c r="D1292" s="47" t="n">
        <v>38383</v>
      </c>
      <c r="E1292" s="48">
        <f>"RNCP"&amp;D1292</f>
        <v/>
      </c>
      <c r="F1292" s="48" t="inlineStr">
        <is>
          <t>BTS - Etude et réalisation d'agencement</t>
        </is>
      </c>
      <c r="G1292" s="49">
        <f>E1292&amp;" - "&amp;F1292</f>
        <v/>
      </c>
      <c r="H1292" s="36" t="inlineStr">
        <is>
          <t>RAS</t>
        </is>
      </c>
      <c r="I1292" s="45" t="inlineStr"/>
      <c r="J1292" s="45" t="inlineStr">
        <is>
          <t>RNCP38383</t>
        </is>
      </c>
      <c r="K1292" s="45" t="inlineStr">
        <is>
          <t>Etude et réalisation d'agencement</t>
        </is>
      </c>
      <c r="L1292" s="45" t="inlineStr">
        <is>
          <t>31/12/2028</t>
        </is>
      </c>
      <c r="M1292" s="45" t="inlineStr">
        <is>
          <t>45015 (Architecture intérieure) ; 22454 (Bâtiment second oeuvre)</t>
        </is>
      </c>
      <c r="N1292" s="50" t="inlineStr">
        <is>
          <t>NON</t>
        </is>
      </c>
      <c r="O1292" s="45" t="inlineStr"/>
    </row>
    <row r="1293" customFormat="1" s="3">
      <c r="A1293" s="45" t="n"/>
      <c r="B1293" s="46" t="inlineStr">
        <is>
          <t>22499</t>
        </is>
      </c>
      <c r="C1293" s="46">
        <f>LEFT(Tableau1[[#This Row],[Formacode]],3)</f>
        <v/>
      </c>
      <c r="D1293" s="47" t="n">
        <v>38747</v>
      </c>
      <c r="E1293" s="48">
        <f>"RNCP"&amp;D1293</f>
        <v/>
      </c>
      <c r="F1293" s="48" t="inlineStr">
        <is>
          <t>TP - Chef de chantier aménagement finitions</t>
        </is>
      </c>
      <c r="G1293" s="49">
        <f>E1293&amp;" - "&amp;F1293</f>
        <v/>
      </c>
      <c r="H1293" s="36" t="inlineStr">
        <is>
          <t>RAS</t>
        </is>
      </c>
      <c r="I1293" s="45" t="inlineStr"/>
      <c r="J1293" s="45" t="inlineStr">
        <is>
          <t>RNCP38747</t>
        </is>
      </c>
      <c r="K1293" s="45" t="inlineStr">
        <is>
          <t>Chef de chantier aménagement finitions</t>
        </is>
      </c>
      <c r="L1293" s="45" t="inlineStr">
        <is>
          <t>18/08/2029</t>
        </is>
      </c>
      <c r="M1293" s="45" t="inlineStr">
        <is>
          <t>22294 (Conduite chantier BTP) ; 22454 (Bâtiment second oeuvre)</t>
        </is>
      </c>
      <c r="N1293" s="50" t="inlineStr">
        <is>
          <t>NON</t>
        </is>
      </c>
      <c r="O1293" s="45" t="inlineStr"/>
    </row>
    <row r="1294" customFormat="1" s="3">
      <c r="A1294" s="45" t="n"/>
      <c r="B1294" s="46" t="inlineStr">
        <is>
          <t>22499</t>
        </is>
      </c>
      <c r="C1294" s="46">
        <f>LEFT(Tableau1[[#This Row],[Formacode]],3)</f>
        <v/>
      </c>
      <c r="D1294" s="47" t="n">
        <v>38878</v>
      </c>
      <c r="E1294" s="48">
        <f>"RNCP"&amp;D1294</f>
        <v/>
      </c>
      <c r="F1294" s="48" t="inlineStr">
        <is>
          <t>BAC PRO - Métiers de l'électricité et de ses environnements connectés</t>
        </is>
      </c>
      <c r="G1294" s="49">
        <f>E1294&amp;" - "&amp;F1294</f>
        <v/>
      </c>
      <c r="H1294" s="36" t="inlineStr">
        <is>
          <t>RAS</t>
        </is>
      </c>
      <c r="I1294" s="45" t="inlineStr"/>
      <c r="J1294" s="45" t="inlineStr">
        <is>
          <t>RNCP38878</t>
        </is>
      </c>
      <c r="K1294" s="45" t="inlineStr">
        <is>
          <t>Métiers de l'électricité et de ses environnements connectés</t>
        </is>
      </c>
      <c r="L1294" s="45" t="inlineStr">
        <is>
          <t>31/08/2029</t>
        </is>
      </c>
      <c r="M1294" s="45" t="inlineStr">
        <is>
          <t>24054 (Électricité) ; 22499 (Immotique) ; 24396 (Matériel électronique sécurité)</t>
        </is>
      </c>
      <c r="N1294" s="50" t="inlineStr">
        <is>
          <t>NON</t>
        </is>
      </c>
      <c r="O1294" s="45" t="inlineStr"/>
    </row>
    <row r="1295" customFormat="1" s="3">
      <c r="A1295" s="45" t="n"/>
      <c r="B1295" s="46" t="inlineStr">
        <is>
          <t>22499</t>
        </is>
      </c>
      <c r="C1295" s="46">
        <f>LEFT(Tableau1[[#This Row],[Formacode]],3)</f>
        <v/>
      </c>
      <c r="D1295" s="47" t="n">
        <v>39357</v>
      </c>
      <c r="E1295" s="48">
        <f>"RNCP"&amp;D1295</f>
        <v/>
      </c>
      <c r="F1295" s="48" t="inlineStr">
        <is>
          <t>CQP Installateur mainteneur de système de pompe à chaleur</t>
        </is>
      </c>
      <c r="G1295" s="49">
        <f>E1295&amp;" - "&amp;F1295</f>
        <v/>
      </c>
      <c r="H1295" s="36" t="inlineStr">
        <is>
          <t>RAS</t>
        </is>
      </c>
      <c r="I1295" s="45" t="inlineStr"/>
      <c r="J1295" s="45" t="inlineStr">
        <is>
          <t>RNCP39357</t>
        </is>
      </c>
      <c r="K1295" s="45" t="inlineStr">
        <is>
          <t>CQP Installateur mainteneur de système de pompe à chaleur</t>
        </is>
      </c>
      <c r="L1295" s="45" t="inlineStr">
        <is>
          <t>19/07/2027</t>
        </is>
      </c>
      <c r="M1295" s="45" t="inlineStr">
        <is>
          <t>22675 (Pompe à chaleur) ; 22454 (Bâtiment second oeuvre) ; 22685 (Installation thermique sanitaire)</t>
        </is>
      </c>
      <c r="N1295" s="50" t="inlineStr">
        <is>
          <t>NON</t>
        </is>
      </c>
      <c r="O1295" s="45" t="inlineStr"/>
    </row>
    <row r="1296" ht="28.8" customFormat="1" customHeight="1" s="3">
      <c r="A1296" s="45" t="n"/>
      <c r="B1296" s="46" t="inlineStr">
        <is>
          <t>22499</t>
        </is>
      </c>
      <c r="C1296" s="46">
        <f>LEFT(Tableau1[[#This Row],[Formacode]],3)</f>
        <v/>
      </c>
      <c r="D1296" s="47" t="n">
        <v>39358</v>
      </c>
      <c r="E1296" s="48">
        <f>"RNCP"&amp;D1296</f>
        <v/>
      </c>
      <c r="F1296" s="48" t="inlineStr">
        <is>
          <t>CQP Installateur mainteneur de systèmes de ventilation et gestion de la qualité d'air intérieur</t>
        </is>
      </c>
      <c r="G1296" s="49">
        <f>E1296&amp;" - "&amp;F1296</f>
        <v/>
      </c>
      <c r="H1296" s="36" t="inlineStr">
        <is>
          <t>RAS</t>
        </is>
      </c>
      <c r="I1296" s="45" t="inlineStr"/>
      <c r="J1296" s="45" t="inlineStr">
        <is>
          <t>RNCP39358</t>
        </is>
      </c>
      <c r="K1296" s="45" t="inlineStr">
        <is>
          <t>CQP Installateur mainteneur de systèmes de ventilation et gestion de la qualité d'air intérieur</t>
        </is>
      </c>
      <c r="L1296" s="45" t="inlineStr">
        <is>
          <t>19/07/2027</t>
        </is>
      </c>
      <c r="M1296" s="45" t="inlineStr">
        <is>
          <t>22635 (Climatisation) ; 22454 (Bâtiment second oeuvre)</t>
        </is>
      </c>
      <c r="N1296" s="50" t="inlineStr">
        <is>
          <t>NON</t>
        </is>
      </c>
      <c r="O1296" s="45" t="inlineStr"/>
    </row>
    <row r="1297" customFormat="1" s="3">
      <c r="A1297" s="45" t="n"/>
      <c r="B1297" s="46" t="inlineStr">
        <is>
          <t>22499</t>
        </is>
      </c>
      <c r="C1297" s="46">
        <f>LEFT(Tableau1[[#This Row],[Formacode]],3)</f>
        <v/>
      </c>
      <c r="D1297" s="47" t="n">
        <v>40381</v>
      </c>
      <c r="E1297" s="48">
        <f>"RNCP"&amp;D1297</f>
        <v/>
      </c>
      <c r="F1297" s="48" t="inlineStr">
        <is>
          <t>Chargé de gestion technique des bâtiments tertiaires et industriels</t>
        </is>
      </c>
      <c r="G1297" s="49">
        <f>E1297&amp;" - "&amp;F1297</f>
        <v/>
      </c>
      <c r="H1297" s="36" t="inlineStr">
        <is>
          <t>RAS</t>
        </is>
      </c>
      <c r="I1297" s="45" t="inlineStr"/>
      <c r="J1297" s="45" t="inlineStr">
        <is>
          <t>RNCP40381</t>
        </is>
      </c>
      <c r="K1297" s="45" t="inlineStr">
        <is>
          <t>Chargé de gestion technique des bâtiments tertiaires et industriels</t>
        </is>
      </c>
      <c r="L1297" s="45" t="inlineStr">
        <is>
          <t>28/03/2030</t>
        </is>
      </c>
      <c r="M1297" s="45" t="inlineStr">
        <is>
          <t>22499 (Immotique) ; 22636 (Régulation génie climatique) ; 22485 (Rénovation bâtiment) ; 22486 (Maintenance bâtiment)</t>
        </is>
      </c>
      <c r="N1297" s="50" t="inlineStr">
        <is>
          <t>NON</t>
        </is>
      </c>
      <c r="O1297" s="45" t="inlineStr"/>
    </row>
    <row r="1298" customFormat="1" s="3">
      <c r="A1298" s="45" t="n"/>
      <c r="B1298" s="46" t="inlineStr">
        <is>
          <t>22601</t>
        </is>
      </c>
      <c r="C1298" s="46">
        <f>LEFT(Tableau1[[#This Row],[Formacode]],3)</f>
        <v/>
      </c>
      <c r="D1298" s="47" t="n">
        <v>37292</v>
      </c>
      <c r="E1298" s="48">
        <f>"RNCP"&amp;D1298</f>
        <v/>
      </c>
      <c r="F1298" s="48" t="inlineStr">
        <is>
          <t>TP - Technicien d'études en chauffage, ventilation et climatisation</t>
        </is>
      </c>
      <c r="G1298" s="49">
        <f>E1298&amp;" - "&amp;F1298</f>
        <v/>
      </c>
      <c r="H1298" s="36" t="inlineStr">
        <is>
          <t>RAS</t>
        </is>
      </c>
      <c r="I1298" s="45" t="inlineStr"/>
      <c r="J1298" s="45" t="inlineStr">
        <is>
          <t>RNCP37292</t>
        </is>
      </c>
      <c r="K1298" s="45" t="inlineStr">
        <is>
          <t>Technicien d'études en chauffage, ventilation et climatisation</t>
        </is>
      </c>
      <c r="L1298" s="45" t="inlineStr">
        <is>
          <t>10/05/2028</t>
        </is>
      </c>
      <c r="M1298" s="45" t="inlineStr">
        <is>
          <t>22654 (Génie climatique) ; 22252 (Dessin BTP) ; 22279 (Maîtrise d'oeuvre BTP)</t>
        </is>
      </c>
      <c r="N1298" s="50" t="inlineStr">
        <is>
          <t>NON</t>
        </is>
      </c>
      <c r="O1298" s="45" t="inlineStr"/>
    </row>
    <row r="1299" ht="28.8" customFormat="1" customHeight="1" s="3">
      <c r="A1299" s="45" t="n"/>
      <c r="B1299" s="46" t="inlineStr">
        <is>
          <t>22601</t>
        </is>
      </c>
      <c r="C1299" s="46">
        <f>LEFT(Tableau1[[#This Row],[Formacode]],3)</f>
        <v/>
      </c>
      <c r="D1299" s="47" t="n">
        <v>38361</v>
      </c>
      <c r="E1299" s="48">
        <f>"RNCP"&amp;D1299</f>
        <v/>
      </c>
      <c r="F1299" s="48" t="inlineStr">
        <is>
          <t>BTS - Fluides-énergies-domotique (option A « génie climatique et fluidique », option B « froid et conditionnement d'air », option C « domotique et bâtiments communicants »)</t>
        </is>
      </c>
      <c r="G1299" s="49">
        <f>E1299&amp;" - "&amp;F1299</f>
        <v/>
      </c>
      <c r="H1299" s="36" t="inlineStr">
        <is>
          <t>RAS</t>
        </is>
      </c>
      <c r="I1299" s="45" t="inlineStr"/>
      <c r="J1299" s="45" t="inlineStr">
        <is>
          <t>RNCP38361</t>
        </is>
      </c>
      <c r="K1299" s="45" t="inlineStr">
        <is>
          <t>Fluides-énergies-domotique (option A « génie climatique et fluidique », option B « froid et conditionnement d'air », option C « domotique et bâtiments communicants »)</t>
        </is>
      </c>
      <c r="L1299" s="45" t="inlineStr">
        <is>
          <t>31/12/2028</t>
        </is>
      </c>
      <c r="M1299" s="45" t="inlineStr">
        <is>
          <t>22654 (Génie climatique) ; 22499 (Immotique)</t>
        </is>
      </c>
      <c r="N1299" s="50" t="inlineStr">
        <is>
          <t>NON</t>
        </is>
      </c>
      <c r="O1299" s="45" t="inlineStr"/>
    </row>
    <row r="1300" customFormat="1" s="3">
      <c r="A1300" s="63" t="n"/>
      <c r="B1300" s="64" t="inlineStr">
        <is>
          <t>22624</t>
        </is>
      </c>
      <c r="C1300" s="64">
        <f>LEFT(Tableau1[[#This Row],[Formacode]],3)</f>
        <v/>
      </c>
      <c r="D1300" s="65" t="n">
        <v>35525</v>
      </c>
      <c r="E1300" s="66">
        <f>"RNCP"&amp;D1300</f>
        <v/>
      </c>
      <c r="F1300" s="66" t="inlineStr">
        <is>
          <t>TP - Technicien d'intervention en froid et équipements de cuisines professionnelles</t>
        </is>
      </c>
      <c r="G1300" s="67">
        <f>E1300&amp;" - "&amp;F1300</f>
        <v/>
      </c>
      <c r="H1300" s="38" t="inlineStr">
        <is>
          <t>Expiré / remplacé</t>
        </is>
      </c>
      <c r="I1300" s="63" t="inlineStr">
        <is>
          <t>Fiche inactive — remplacée par RNCP42086 (Technicien d'intervention en froid et équipements de cuisines professionnelles)</t>
        </is>
      </c>
      <c r="J1300" s="63" t="inlineStr">
        <is>
          <t>RNCP42086</t>
        </is>
      </c>
      <c r="K1300" s="63" t="inlineStr">
        <is>
          <t>Technicien d'intervention en froid et équipements de cuisines professionnelles</t>
        </is>
      </c>
      <c r="L1300" s="63" t="inlineStr">
        <is>
          <t>26/02/2026</t>
        </is>
      </c>
      <c r="M1300" s="63" t="inlineStr">
        <is>
          <t>22624 (Installation frigorifique)</t>
        </is>
      </c>
      <c r="N1300" s="68" t="inlineStr">
        <is>
          <t>NON</t>
        </is>
      </c>
      <c r="O1300" s="63" t="inlineStr"/>
    </row>
    <row r="1301" customFormat="1" s="3">
      <c r="A1301" s="51" t="n"/>
      <c r="B1301" s="52" t="inlineStr">
        <is>
          <t>22624</t>
        </is>
      </c>
      <c r="C1301" s="52">
        <f>LEFT(Tableau1[[#This Row],[Formacode]],3)</f>
        <v/>
      </c>
      <c r="D1301" s="53" t="n">
        <v>35844</v>
      </c>
      <c r="E1301" s="54">
        <f>"RNCP"&amp;D1301</f>
        <v/>
      </c>
      <c r="F1301" s="54" t="inlineStr">
        <is>
          <t>BAC PRO - Maintenance et Efficacité Energétique</t>
        </is>
      </c>
      <c r="G1301" s="55">
        <f>E1301&amp;" - "&amp;F1301</f>
        <v/>
      </c>
      <c r="H1301" s="37" t="inlineStr">
        <is>
          <t>À vérifier</t>
        </is>
      </c>
      <c r="I1301" s="51" t="inlineStr">
        <is>
          <t>Échéance le 31/08/2026 (dans 44 j)</t>
        </is>
      </c>
      <c r="J1301" s="51" t="inlineStr">
        <is>
          <t>RNCP35844</t>
        </is>
      </c>
      <c r="K1301" s="51" t="inlineStr">
        <is>
          <t>Maintenance et Efficacité Energétique</t>
        </is>
      </c>
      <c r="L1301" s="51" t="inlineStr">
        <is>
          <t>31/08/2026</t>
        </is>
      </c>
      <c r="M1301" s="51" t="inlineStr">
        <is>
          <t>24162 (Gestion énergie) ; 22635 (Climatisation) ; 22624 (Installation frigorifique)</t>
        </is>
      </c>
      <c r="N1301" s="62" t="inlineStr">
        <is>
          <t>NON</t>
        </is>
      </c>
      <c r="O1301" s="51" t="inlineStr"/>
    </row>
    <row r="1302" customFormat="1" s="3">
      <c r="A1302" s="51" t="n"/>
      <c r="B1302" s="52" t="inlineStr">
        <is>
          <t>22624</t>
        </is>
      </c>
      <c r="C1302" s="52">
        <f>LEFT(Tableau1[[#This Row],[Formacode]],3)</f>
        <v/>
      </c>
      <c r="D1302" s="53" t="n">
        <v>35846</v>
      </c>
      <c r="E1302" s="54">
        <f>"RNCP"&amp;D1302</f>
        <v/>
      </c>
      <c r="F1302" s="54" t="inlineStr">
        <is>
          <t>BAC PRO - Métiers du Froid et des Energies Renouvelables</t>
        </is>
      </c>
      <c r="G1302" s="55">
        <f>E1302&amp;" - "&amp;F1302</f>
        <v/>
      </c>
      <c r="H1302" s="37" t="inlineStr">
        <is>
          <t>À vérifier</t>
        </is>
      </c>
      <c r="I1302" s="51" t="inlineStr">
        <is>
          <t>Successeur déjà publié : RNCP42119 (Métiers du Froid et des Energies Renouvelables) — préparer la bascule de l'offre CPF | Échéance le 31/08/2026 (dans 44 j)</t>
        </is>
      </c>
      <c r="J1302" s="51" t="inlineStr">
        <is>
          <t>RNCP42119</t>
        </is>
      </c>
      <c r="K1302" s="51" t="inlineStr">
        <is>
          <t>Métiers du Froid et des Energies Renouvelables</t>
        </is>
      </c>
      <c r="L1302" s="51" t="inlineStr">
        <is>
          <t>31/08/2026</t>
        </is>
      </c>
      <c r="M1302" s="51" t="inlineStr">
        <is>
          <t>22604 (Froid commercial) ; 22605 (Froid industriel) ; 24147 (Énergie renouvelable)</t>
        </is>
      </c>
      <c r="N1302" s="62" t="inlineStr">
        <is>
          <t>NON</t>
        </is>
      </c>
      <c r="O1302" s="51" t="inlineStr"/>
    </row>
    <row r="1303" customFormat="1" s="3">
      <c r="A1303" s="45" t="n"/>
      <c r="B1303" s="46" t="inlineStr">
        <is>
          <t>22624</t>
        </is>
      </c>
      <c r="C1303" s="46">
        <f>LEFT(Tableau1[[#This Row],[Formacode]],3)</f>
        <v/>
      </c>
      <c r="D1303" s="47" t="n">
        <v>36242</v>
      </c>
      <c r="E1303" s="48">
        <f>"RNCP"&amp;D1303</f>
        <v/>
      </c>
      <c r="F1303" s="48" t="inlineStr">
        <is>
          <t>TP - Technicien froid embarqué routier</t>
        </is>
      </c>
      <c r="G1303" s="49">
        <f>E1303&amp;" - "&amp;F1303</f>
        <v/>
      </c>
      <c r="H1303" s="36" t="inlineStr">
        <is>
          <t>RAS</t>
        </is>
      </c>
      <c r="I1303" s="45" t="inlineStr"/>
      <c r="J1303" s="45" t="inlineStr">
        <is>
          <t>RNCP36242</t>
        </is>
      </c>
      <c r="K1303" s="45" t="inlineStr">
        <is>
          <t>Technicien froid embarqué routier</t>
        </is>
      </c>
      <c r="L1303" s="45" t="inlineStr">
        <is>
          <t>22/04/2027</t>
        </is>
      </c>
      <c r="M1303" s="45" t="inlineStr">
        <is>
          <t>22604 (Froid commercial) ; 23658 (Climatisation véhicule) ; 23615 (Réparation véhicule industriel)</t>
        </is>
      </c>
      <c r="N1303" s="50" t="inlineStr">
        <is>
          <t>NON</t>
        </is>
      </c>
      <c r="O1303" s="45" t="inlineStr"/>
    </row>
    <row r="1304" customFormat="1" s="3">
      <c r="A1304" s="45" t="n"/>
      <c r="B1304" s="46" t="inlineStr">
        <is>
          <t>22624</t>
        </is>
      </c>
      <c r="C1304" s="46">
        <f>LEFT(Tableau1[[#This Row],[Formacode]],3)</f>
        <v/>
      </c>
      <c r="D1304" s="47" t="n">
        <v>37292</v>
      </c>
      <c r="E1304" s="48">
        <f>"RNCP"&amp;D1304</f>
        <v/>
      </c>
      <c r="F1304" s="48" t="inlineStr">
        <is>
          <t>TP - Technicien d'études en chauffage, ventilation et climatisation</t>
        </is>
      </c>
      <c r="G1304" s="49">
        <f>E1304&amp;" - "&amp;F1304</f>
        <v/>
      </c>
      <c r="H1304" s="36" t="inlineStr">
        <is>
          <t>RAS</t>
        </is>
      </c>
      <c r="I1304" s="45" t="inlineStr"/>
      <c r="J1304" s="45" t="inlineStr">
        <is>
          <t>RNCP37292</t>
        </is>
      </c>
      <c r="K1304" s="45" t="inlineStr">
        <is>
          <t>Technicien d'études en chauffage, ventilation et climatisation</t>
        </is>
      </c>
      <c r="L1304" s="45" t="inlineStr">
        <is>
          <t>10/05/2028</t>
        </is>
      </c>
      <c r="M1304" s="45" t="inlineStr">
        <is>
          <t>22654 (Génie climatique) ; 22252 (Dessin BTP) ; 22279 (Maîtrise d'oeuvre BTP)</t>
        </is>
      </c>
      <c r="N1304" s="50" t="inlineStr">
        <is>
          <t>NON</t>
        </is>
      </c>
      <c r="O1304" s="45" t="inlineStr"/>
    </row>
    <row r="1305" customFormat="1" s="3">
      <c r="A1305" s="45" t="n"/>
      <c r="B1305" s="46" t="inlineStr">
        <is>
          <t>22624</t>
        </is>
      </c>
      <c r="C1305" s="46">
        <f>LEFT(Tableau1[[#This Row],[Formacode]],3)</f>
        <v/>
      </c>
      <c r="D1305" s="47" t="n">
        <v>37876</v>
      </c>
      <c r="E1305" s="48">
        <f>"RNCP"&amp;D1305</f>
        <v/>
      </c>
      <c r="F1305" s="48" t="inlineStr">
        <is>
          <t>TP - Monteur dépanneur frigoriste</t>
        </is>
      </c>
      <c r="G1305" s="49">
        <f>E1305&amp;" - "&amp;F1305</f>
        <v/>
      </c>
      <c r="H1305" s="36" t="inlineStr">
        <is>
          <t>RAS</t>
        </is>
      </c>
      <c r="I1305" s="45" t="inlineStr"/>
      <c r="J1305" s="45" t="inlineStr">
        <is>
          <t>RNCP37876</t>
        </is>
      </c>
      <c r="K1305" s="45" t="inlineStr">
        <is>
          <t>Monteur dépanneur frigoriste</t>
        </is>
      </c>
      <c r="L1305" s="45" t="inlineStr">
        <is>
          <t>01/08/2028</t>
        </is>
      </c>
      <c r="M1305" s="45" t="inlineStr">
        <is>
          <t>22604 (Froid commercial)</t>
        </is>
      </c>
      <c r="N1305" s="50" t="inlineStr">
        <is>
          <t>NON</t>
        </is>
      </c>
      <c r="O1305" s="45" t="inlineStr"/>
    </row>
    <row r="1306" ht="28.8" customFormat="1" customHeight="1" s="3">
      <c r="A1306" s="45" t="n"/>
      <c r="B1306" s="46" t="inlineStr">
        <is>
          <t>22624</t>
        </is>
      </c>
      <c r="C1306" s="46">
        <f>LEFT(Tableau1[[#This Row],[Formacode]],3)</f>
        <v/>
      </c>
      <c r="D1306" s="47" t="n">
        <v>38361</v>
      </c>
      <c r="E1306" s="48">
        <f>"RNCP"&amp;D1306</f>
        <v/>
      </c>
      <c r="F1306" s="48" t="inlineStr">
        <is>
          <t>BTS - Fluides-énergies-domotique (option A « génie climatique et fluidique », option B « froid et conditionnement d'air », option C « domotique et bâtiments communicants »)</t>
        </is>
      </c>
      <c r="G1306" s="49">
        <f>E1306&amp;" - "&amp;F1306</f>
        <v/>
      </c>
      <c r="H1306" s="36" t="inlineStr">
        <is>
          <t>RAS</t>
        </is>
      </c>
      <c r="I1306" s="45" t="inlineStr"/>
      <c r="J1306" s="45" t="inlineStr">
        <is>
          <t>RNCP38361</t>
        </is>
      </c>
      <c r="K1306" s="45" t="inlineStr">
        <is>
          <t>Fluides-énergies-domotique (option A « génie climatique et fluidique », option B « froid et conditionnement d'air », option C « domotique et bâtiments communicants »)</t>
        </is>
      </c>
      <c r="L1306" s="45" t="inlineStr">
        <is>
          <t>31/12/2028</t>
        </is>
      </c>
      <c r="M1306" s="45" t="inlineStr">
        <is>
          <t>22654 (Génie climatique) ; 22499 (Immotique)</t>
        </is>
      </c>
      <c r="N1306" s="50" t="inlineStr">
        <is>
          <t>NON</t>
        </is>
      </c>
      <c r="O1306" s="45" t="inlineStr"/>
    </row>
    <row r="1307" customFormat="1" s="3">
      <c r="A1307" s="45" t="n"/>
      <c r="B1307" s="46" t="inlineStr">
        <is>
          <t>22624</t>
        </is>
      </c>
      <c r="C1307" s="46">
        <f>LEFT(Tableau1[[#This Row],[Formacode]],3)</f>
        <v/>
      </c>
      <c r="D1307" s="47" t="n">
        <v>38560</v>
      </c>
      <c r="E1307" s="48">
        <f>"RNCP"&amp;D1307</f>
        <v/>
      </c>
      <c r="F1307" s="48" t="inlineStr">
        <is>
          <t>CAP - Installateur en froid et conditionnement d'air</t>
        </is>
      </c>
      <c r="G1307" s="49">
        <f>E1307&amp;" - "&amp;F1307</f>
        <v/>
      </c>
      <c r="H1307" s="36" t="inlineStr">
        <is>
          <t>RAS</t>
        </is>
      </c>
      <c r="I1307" s="45" t="inlineStr"/>
      <c r="J1307" s="45" t="inlineStr">
        <is>
          <t>RNCP38560</t>
        </is>
      </c>
      <c r="K1307" s="45" t="inlineStr">
        <is>
          <t>Installateur en froid et conditionnement d'air</t>
        </is>
      </c>
      <c r="L1307" s="45" t="inlineStr">
        <is>
          <t>31/12/2028</t>
        </is>
      </c>
      <c r="M1307" s="45" t="inlineStr">
        <is>
          <t>22635 (Climatisation) ; 22624 (Installation frigorifique)</t>
        </is>
      </c>
      <c r="N1307" s="50" t="inlineStr">
        <is>
          <t>NON</t>
        </is>
      </c>
      <c r="O1307" s="45" t="inlineStr"/>
    </row>
    <row r="1308" customFormat="1" s="3">
      <c r="A1308" s="45" t="n"/>
      <c r="B1308" s="46" t="inlineStr">
        <is>
          <t>22624</t>
        </is>
      </c>
      <c r="C1308" s="46">
        <f>LEFT(Tableau1[[#This Row],[Formacode]],3)</f>
        <v/>
      </c>
      <c r="D1308" s="47" t="n">
        <v>38635</v>
      </c>
      <c r="E1308" s="48">
        <f>"RNCP"&amp;D1308</f>
        <v/>
      </c>
      <c r="F1308" s="48" t="inlineStr">
        <is>
          <t>BP - Installateur dépanneur en froid et conditionnement d'air</t>
        </is>
      </c>
      <c r="G1308" s="49">
        <f>E1308&amp;" - "&amp;F1308</f>
        <v/>
      </c>
      <c r="H1308" s="36" t="inlineStr">
        <is>
          <t>RAS</t>
        </is>
      </c>
      <c r="I1308" s="45" t="inlineStr"/>
      <c r="J1308" s="45" t="inlineStr">
        <is>
          <t>RNCP38635</t>
        </is>
      </c>
      <c r="K1308" s="45" t="inlineStr">
        <is>
          <t>Installateur dépanneur en froid et conditionnement d'air</t>
        </is>
      </c>
      <c r="L1308" s="45" t="inlineStr">
        <is>
          <t>31/12/2028</t>
        </is>
      </c>
      <c r="M1308" s="45" t="inlineStr">
        <is>
          <t>22624 (Installation frigorifique) ; 22635 (Climatisation)</t>
        </is>
      </c>
      <c r="N1308" s="50" t="inlineStr">
        <is>
          <t>NON</t>
        </is>
      </c>
      <c r="O1308" s="45" t="inlineStr"/>
    </row>
    <row r="1309" customFormat="1" s="3">
      <c r="A1309" s="45" t="n"/>
      <c r="B1309" s="46" t="inlineStr">
        <is>
          <t>22624</t>
        </is>
      </c>
      <c r="C1309" s="46">
        <f>LEFT(Tableau1[[#This Row],[Formacode]],3)</f>
        <v/>
      </c>
      <c r="D1309" s="47" t="n">
        <v>38869</v>
      </c>
      <c r="E1309" s="48">
        <f>"RNCP"&amp;D1309</f>
        <v/>
      </c>
      <c r="F1309" s="48" t="inlineStr">
        <is>
          <t>TP - Technicien d'intervention en froid industriel</t>
        </is>
      </c>
      <c r="G1309" s="49">
        <f>E1309&amp;" - "&amp;F1309</f>
        <v/>
      </c>
      <c r="H1309" s="36" t="inlineStr">
        <is>
          <t>RAS</t>
        </is>
      </c>
      <c r="I1309" s="45" t="inlineStr"/>
      <c r="J1309" s="45" t="inlineStr">
        <is>
          <t>RNCP38869</t>
        </is>
      </c>
      <c r="K1309" s="45" t="inlineStr">
        <is>
          <t>Technicien d'intervention en froid industriel</t>
        </is>
      </c>
      <c r="L1309" s="45" t="inlineStr">
        <is>
          <t>05/04/2029</t>
        </is>
      </c>
      <c r="M1309" s="45" t="inlineStr">
        <is>
          <t>22605 (Froid industriel)</t>
        </is>
      </c>
      <c r="N1309" s="50" t="inlineStr">
        <is>
          <t>NON</t>
        </is>
      </c>
      <c r="O1309" s="45" t="inlineStr"/>
    </row>
    <row r="1310" customFormat="1" s="3">
      <c r="A1310" s="45" t="n"/>
      <c r="B1310" s="46" t="inlineStr">
        <is>
          <t>22624</t>
        </is>
      </c>
      <c r="C1310" s="46">
        <f>LEFT(Tableau1[[#This Row],[Formacode]],3)</f>
        <v/>
      </c>
      <c r="D1310" s="47" t="n">
        <v>39437</v>
      </c>
      <c r="E1310" s="48">
        <f>"RNCP"&amp;D1310</f>
        <v/>
      </c>
      <c r="F1310" s="48" t="inlineStr">
        <is>
          <t>TP - Technicien d'intervention en froid commercial et climatisation</t>
        </is>
      </c>
      <c r="G1310" s="49">
        <f>E1310&amp;" - "&amp;F1310</f>
        <v/>
      </c>
      <c r="H1310" s="36" t="inlineStr">
        <is>
          <t>RAS</t>
        </is>
      </c>
      <c r="I1310" s="45" t="inlineStr"/>
      <c r="J1310" s="45" t="inlineStr">
        <is>
          <t>RNCP39437</t>
        </is>
      </c>
      <c r="K1310" s="45" t="inlineStr">
        <is>
          <t>Technicien d'intervention en froid commercial et climatisation</t>
        </is>
      </c>
      <c r="L1310" s="45" t="inlineStr">
        <is>
          <t>31/07/2029</t>
        </is>
      </c>
      <c r="M1310" s="45" t="inlineStr">
        <is>
          <t>22604 (Froid commercial) ; 22635 (Climatisation)</t>
        </is>
      </c>
      <c r="N1310" s="50" t="inlineStr">
        <is>
          <t>NON</t>
        </is>
      </c>
      <c r="O1310" s="45" t="inlineStr"/>
    </row>
    <row r="1311" customFormat="1" s="3">
      <c r="A1311" s="45" t="n"/>
      <c r="B1311" s="46" t="inlineStr">
        <is>
          <t>22633</t>
        </is>
      </c>
      <c r="C1311" s="46">
        <f>LEFT(Tableau1[[#This Row],[Formacode]],3)</f>
        <v/>
      </c>
      <c r="D1311" s="47" t="n">
        <v>37292</v>
      </c>
      <c r="E1311" s="48">
        <f>"RNCP"&amp;D1311</f>
        <v/>
      </c>
      <c r="F1311" s="48" t="inlineStr">
        <is>
          <t>TP - Technicien d'études en chauffage, ventilation et climatisation</t>
        </is>
      </c>
      <c r="G1311" s="49">
        <f>E1311&amp;" - "&amp;F1311</f>
        <v/>
      </c>
      <c r="H1311" s="36" t="inlineStr">
        <is>
          <t>RAS</t>
        </is>
      </c>
      <c r="I1311" s="45" t="inlineStr"/>
      <c r="J1311" s="45" t="inlineStr">
        <is>
          <t>RNCP37292</t>
        </is>
      </c>
      <c r="K1311" s="45" t="inlineStr">
        <is>
          <t>Technicien d'études en chauffage, ventilation et climatisation</t>
        </is>
      </c>
      <c r="L1311" s="45" t="inlineStr">
        <is>
          <t>10/05/2028</t>
        </is>
      </c>
      <c r="M1311" s="45" t="inlineStr">
        <is>
          <t>22654 (Génie climatique) ; 22252 (Dessin BTP) ; 22279 (Maîtrise d'oeuvre BTP)</t>
        </is>
      </c>
      <c r="N1311" s="50" t="inlineStr">
        <is>
          <t>NON</t>
        </is>
      </c>
      <c r="O1311" s="45" t="inlineStr"/>
    </row>
    <row r="1312" ht="28.8" customFormat="1" customHeight="1" s="3">
      <c r="A1312" s="45" t="n"/>
      <c r="B1312" s="46" t="inlineStr">
        <is>
          <t>22633</t>
        </is>
      </c>
      <c r="C1312" s="46">
        <f>LEFT(Tableau1[[#This Row],[Formacode]],3)</f>
        <v/>
      </c>
      <c r="D1312" s="47" t="n">
        <v>38361</v>
      </c>
      <c r="E1312" s="48">
        <f>"RNCP"&amp;D1312</f>
        <v/>
      </c>
      <c r="F1312" s="48" t="inlineStr">
        <is>
          <t>BTS - Fluides-énergies-domotique (option A « génie climatique et fluidique », option B « froid et conditionnement d'air », option C « domotique et bâtiments communicants »)</t>
        </is>
      </c>
      <c r="G1312" s="49">
        <f>E1312&amp;" - "&amp;F1312</f>
        <v/>
      </c>
      <c r="H1312" s="36" t="inlineStr">
        <is>
          <t>RAS</t>
        </is>
      </c>
      <c r="I1312" s="45" t="inlineStr"/>
      <c r="J1312" s="45" t="inlineStr">
        <is>
          <t>RNCP38361</t>
        </is>
      </c>
      <c r="K1312" s="45" t="inlineStr">
        <is>
          <t>Fluides-énergies-domotique (option A « génie climatique et fluidique », option B « froid et conditionnement d'air », option C « domotique et bâtiments communicants »)</t>
        </is>
      </c>
      <c r="L1312" s="45" t="inlineStr">
        <is>
          <t>31/12/2028</t>
        </is>
      </c>
      <c r="M1312" s="45" t="inlineStr">
        <is>
          <t>22654 (Génie climatique) ; 22499 (Immotique)</t>
        </is>
      </c>
      <c r="N1312" s="50" t="inlineStr">
        <is>
          <t>NON</t>
        </is>
      </c>
      <c r="O1312" s="45" t="inlineStr"/>
    </row>
    <row r="1313" customFormat="1" s="3">
      <c r="A1313" s="63" t="n"/>
      <c r="B1313" s="64" t="inlineStr">
        <is>
          <t>22635</t>
        </is>
      </c>
      <c r="C1313" s="64">
        <f>LEFT(Tableau1[[#This Row],[Formacode]],3)</f>
        <v/>
      </c>
      <c r="D1313" s="65" t="n">
        <v>35231</v>
      </c>
      <c r="E1313" s="66">
        <f>"RNCP"&amp;D1313</f>
        <v/>
      </c>
      <c r="F1313" s="66" t="inlineStr">
        <is>
          <t>TP - Technicien d'installation en équipements de confort climatique</t>
        </is>
      </c>
      <c r="G1313" s="67">
        <f>E1313&amp;" - "&amp;F1313</f>
        <v/>
      </c>
      <c r="H1313" s="38" t="inlineStr">
        <is>
          <t>Expiré / remplacé</t>
        </is>
      </c>
      <c r="I1313" s="63" t="inlineStr">
        <is>
          <t>Fiche inactive — remplacée par RNCP41911 (Technicien d’intervention en chauffage, climatisation, sanitaire et énergies renouvelables)</t>
        </is>
      </c>
      <c r="J1313" s="63" t="inlineStr">
        <is>
          <t>RNCP41911</t>
        </is>
      </c>
      <c r="K1313" s="63" t="inlineStr">
        <is>
          <t>Technicien d’intervention en chauffage, climatisation, sanitaire et énergies renouvelables</t>
        </is>
      </c>
      <c r="L1313" s="63" t="inlineStr">
        <is>
          <t>03/03/2026</t>
        </is>
      </c>
      <c r="M1313" s="63" t="inlineStr">
        <is>
          <t>22685 (Installation thermique sanitaire) ; 22635 (Climatisation) ; 24147 (Énergie renouvelable) ; 22211 (Performance énergétique bâtiment) ; 22485 (Rénovation bâtiment)</t>
        </is>
      </c>
      <c r="N1313" s="68" t="inlineStr">
        <is>
          <t>NON</t>
        </is>
      </c>
      <c r="O1313" s="63" t="inlineStr"/>
    </row>
    <row r="1314" customFormat="1" s="3">
      <c r="A1314" s="51" t="n"/>
      <c r="B1314" s="52" t="inlineStr">
        <is>
          <t>22635</t>
        </is>
      </c>
      <c r="C1314" s="52">
        <f>LEFT(Tableau1[[#This Row],[Formacode]],3)</f>
        <v/>
      </c>
      <c r="D1314" s="53" t="n">
        <v>35844</v>
      </c>
      <c r="E1314" s="54">
        <f>"RNCP"&amp;D1314</f>
        <v/>
      </c>
      <c r="F1314" s="54" t="inlineStr">
        <is>
          <t>BAC PRO - Maintenance et Efficacité Energétique</t>
        </is>
      </c>
      <c r="G1314" s="55">
        <f>E1314&amp;" - "&amp;F1314</f>
        <v/>
      </c>
      <c r="H1314" s="37" t="inlineStr">
        <is>
          <t>À vérifier</t>
        </is>
      </c>
      <c r="I1314" s="51" t="inlineStr">
        <is>
          <t>Échéance le 31/08/2026 (dans 44 j)</t>
        </is>
      </c>
      <c r="J1314" s="51" t="inlineStr">
        <is>
          <t>RNCP35844</t>
        </is>
      </c>
      <c r="K1314" s="51" t="inlineStr">
        <is>
          <t>Maintenance et Efficacité Energétique</t>
        </is>
      </c>
      <c r="L1314" s="51" t="inlineStr">
        <is>
          <t>31/08/2026</t>
        </is>
      </c>
      <c r="M1314" s="51" t="inlineStr">
        <is>
          <t>24162 (Gestion énergie) ; 22635 (Climatisation) ; 22624 (Installation frigorifique)</t>
        </is>
      </c>
      <c r="N1314" s="62" t="inlineStr">
        <is>
          <t>NON</t>
        </is>
      </c>
      <c r="O1314" s="51" t="inlineStr"/>
    </row>
    <row r="1315" customFormat="1" s="3">
      <c r="A1315" s="51" t="n"/>
      <c r="B1315" s="52" t="inlineStr">
        <is>
          <t>22635</t>
        </is>
      </c>
      <c r="C1315" s="52">
        <f>LEFT(Tableau1[[#This Row],[Formacode]],3)</f>
        <v/>
      </c>
      <c r="D1315" s="53" t="n">
        <v>35845</v>
      </c>
      <c r="E1315" s="54">
        <f>"RNCP"&amp;D1315</f>
        <v/>
      </c>
      <c r="F1315" s="54" t="inlineStr">
        <is>
          <t>BAC PRO - Installateur en Chauffage, Climatisation et Énergies Renouvelables</t>
        </is>
      </c>
      <c r="G1315" s="55">
        <f>E1315&amp;" - "&amp;F1315</f>
        <v/>
      </c>
      <c r="H1315" s="37" t="inlineStr">
        <is>
          <t>À vérifier</t>
        </is>
      </c>
      <c r="I1315" s="51" t="inlineStr">
        <is>
          <t>Successeur déjà publié : RNCP42117 (Installateur en chauffage, climatisation et énergies renouvelables) — préparer la bascule de l'offre CPF | Échéance le 31/08/2026 (dans 44 j)</t>
        </is>
      </c>
      <c r="J1315" s="51" t="inlineStr">
        <is>
          <t>RNCP42117</t>
        </is>
      </c>
      <c r="K1315" s="51" t="inlineStr">
        <is>
          <t>Installateur en chauffage, climatisation et énergies renouvelables</t>
        </is>
      </c>
      <c r="L1315" s="51" t="inlineStr">
        <is>
          <t>31/08/2026</t>
        </is>
      </c>
      <c r="M1315" s="51" t="inlineStr">
        <is>
          <t>22635 (Climatisation) ; 22671 (Chauffage) ; 22685 (Installation thermique sanitaire)</t>
        </is>
      </c>
      <c r="N1315" s="62" t="inlineStr">
        <is>
          <t>NON</t>
        </is>
      </c>
      <c r="O1315" s="51" t="inlineStr"/>
    </row>
    <row r="1316" customFormat="1" s="3">
      <c r="A1316" s="45" t="n"/>
      <c r="B1316" s="46" t="inlineStr">
        <is>
          <t>22635</t>
        </is>
      </c>
      <c r="C1316" s="46">
        <f>LEFT(Tableau1[[#This Row],[Formacode]],3)</f>
        <v/>
      </c>
      <c r="D1316" s="47" t="n">
        <v>37292</v>
      </c>
      <c r="E1316" s="48">
        <f>"RNCP"&amp;D1316</f>
        <v/>
      </c>
      <c r="F1316" s="48" t="inlineStr">
        <is>
          <t>TP - Technicien d'études en chauffage, ventilation et climatisation</t>
        </is>
      </c>
      <c r="G1316" s="49">
        <f>E1316&amp;" - "&amp;F1316</f>
        <v/>
      </c>
      <c r="H1316" s="36" t="inlineStr">
        <is>
          <t>RAS</t>
        </is>
      </c>
      <c r="I1316" s="45" t="inlineStr"/>
      <c r="J1316" s="45" t="inlineStr">
        <is>
          <t>RNCP37292</t>
        </is>
      </c>
      <c r="K1316" s="45" t="inlineStr">
        <is>
          <t>Technicien d'études en chauffage, ventilation et climatisation</t>
        </is>
      </c>
      <c r="L1316" s="45" t="inlineStr">
        <is>
          <t>10/05/2028</t>
        </is>
      </c>
      <c r="M1316" s="45" t="inlineStr">
        <is>
          <t>22654 (Génie climatique) ; 22252 (Dessin BTP) ; 22279 (Maîtrise d'oeuvre BTP)</t>
        </is>
      </c>
      <c r="N1316" s="50" t="inlineStr">
        <is>
          <t>NON</t>
        </is>
      </c>
      <c r="O1316" s="45" t="inlineStr"/>
    </row>
    <row r="1317" customFormat="1" s="3">
      <c r="A1317" s="63" t="n"/>
      <c r="B1317" s="64" t="inlineStr">
        <is>
          <t>22635</t>
        </is>
      </c>
      <c r="C1317" s="64">
        <f>LEFT(Tableau1[[#This Row],[Formacode]],3)</f>
        <v/>
      </c>
      <c r="D1317" s="65" t="n">
        <v>37940</v>
      </c>
      <c r="E1317" s="66">
        <f>"RNCP"&amp;D1317</f>
        <v/>
      </c>
      <c r="F1317" s="66" t="inlineStr">
        <is>
          <t>TP - Monteur-dépanneur en climatisation</t>
        </is>
      </c>
      <c r="G1317" s="67">
        <f>E1317&amp;" - "&amp;F1317</f>
        <v/>
      </c>
      <c r="H1317" s="38" t="inlineStr">
        <is>
          <t>Expiré / remplacé</t>
        </is>
      </c>
      <c r="I1317" s="63" t="inlineStr">
        <is>
          <t>Fiche inactive — remplacée par RNCP41871 (Installateur en pompe à chaleur et climatisation)</t>
        </is>
      </c>
      <c r="J1317" s="63" t="inlineStr">
        <is>
          <t>RNCP41871</t>
        </is>
      </c>
      <c r="K1317" s="63" t="inlineStr">
        <is>
          <t>Installateur en pompe à chaleur et climatisation</t>
        </is>
      </c>
      <c r="L1317" s="63" t="inlineStr">
        <is>
          <t>26/02/2026</t>
        </is>
      </c>
      <c r="M1317" s="63" t="inlineStr">
        <is>
          <t>22675 (Pompe à chaleur) ; 22635 (Climatisation)</t>
        </is>
      </c>
      <c r="N1317" s="68" t="inlineStr">
        <is>
          <t>NON</t>
        </is>
      </c>
      <c r="O1317" s="63" t="inlineStr"/>
    </row>
    <row r="1318" customFormat="1" s="3">
      <c r="A1318" s="45" t="n"/>
      <c r="B1318" s="46" t="inlineStr">
        <is>
          <t>22635</t>
        </is>
      </c>
      <c r="C1318" s="46">
        <f>LEFT(Tableau1[[#This Row],[Formacode]],3)</f>
        <v/>
      </c>
      <c r="D1318" s="47" t="n">
        <v>38081</v>
      </c>
      <c r="E1318" s="48">
        <f>"RNCP"&amp;D1318</f>
        <v/>
      </c>
      <c r="F1318" s="48" t="inlineStr">
        <is>
          <t>TP - Technicien de maintenance d'équipements de confort climatique</t>
        </is>
      </c>
      <c r="G1318" s="49">
        <f>E1318&amp;" - "&amp;F1318</f>
        <v/>
      </c>
      <c r="H1318" s="36" t="inlineStr">
        <is>
          <t>RAS</t>
        </is>
      </c>
      <c r="I1318" s="45" t="inlineStr"/>
      <c r="J1318" s="45" t="inlineStr">
        <is>
          <t>RNCP38081</t>
        </is>
      </c>
      <c r="K1318" s="45" t="inlineStr">
        <is>
          <t>Technicien de maintenance d'équipements de confort climatique</t>
        </is>
      </c>
      <c r="L1318" s="45" t="inlineStr">
        <is>
          <t>21/10/2028</t>
        </is>
      </c>
      <c r="M1318" s="45" t="inlineStr">
        <is>
          <t>22671 (Chauffage) ; 22635 (Climatisation) ; 22685 (Installation thermique sanitaire)</t>
        </is>
      </c>
      <c r="N1318" s="50" t="inlineStr">
        <is>
          <t>NON</t>
        </is>
      </c>
      <c r="O1318" s="45" t="inlineStr"/>
    </row>
    <row r="1319" ht="28.8" customFormat="1" customHeight="1" s="3">
      <c r="A1319" s="45" t="n"/>
      <c r="B1319" s="46" t="inlineStr">
        <is>
          <t>22635</t>
        </is>
      </c>
      <c r="C1319" s="46">
        <f>LEFT(Tableau1[[#This Row],[Formacode]],3)</f>
        <v/>
      </c>
      <c r="D1319" s="47" t="n">
        <v>38361</v>
      </c>
      <c r="E1319" s="48">
        <f>"RNCP"&amp;D1319</f>
        <v/>
      </c>
      <c r="F1319" s="48" t="inlineStr">
        <is>
          <t>BTS - Fluides-énergies-domotique (option A « génie climatique et fluidique », option B « froid et conditionnement d'air », option C « domotique et bâtiments communicants »)</t>
        </is>
      </c>
      <c r="G1319" s="49">
        <f>E1319&amp;" - "&amp;F1319</f>
        <v/>
      </c>
      <c r="H1319" s="36" t="inlineStr">
        <is>
          <t>RAS</t>
        </is>
      </c>
      <c r="I1319" s="45" t="inlineStr"/>
      <c r="J1319" s="45" t="inlineStr">
        <is>
          <t>RNCP38361</t>
        </is>
      </c>
      <c r="K1319" s="45" t="inlineStr">
        <is>
          <t>Fluides-énergies-domotique (option A « génie climatique et fluidique », option B « froid et conditionnement d'air », option C « domotique et bâtiments communicants »)</t>
        </is>
      </c>
      <c r="L1319" s="45" t="inlineStr">
        <is>
          <t>31/12/2028</t>
        </is>
      </c>
      <c r="M1319" s="45" t="inlineStr">
        <is>
          <t>22654 (Génie climatique) ; 22499 (Immotique)</t>
        </is>
      </c>
      <c r="N1319" s="50" t="inlineStr">
        <is>
          <t>NON</t>
        </is>
      </c>
      <c r="O1319" s="45" t="inlineStr"/>
    </row>
    <row r="1320" customFormat="1" s="3">
      <c r="A1320" s="45" t="n"/>
      <c r="B1320" s="46" t="inlineStr">
        <is>
          <t>22635</t>
        </is>
      </c>
      <c r="C1320" s="46">
        <f>LEFT(Tableau1[[#This Row],[Formacode]],3)</f>
        <v/>
      </c>
      <c r="D1320" s="47" t="n">
        <v>38560</v>
      </c>
      <c r="E1320" s="48">
        <f>"RNCP"&amp;D1320</f>
        <v/>
      </c>
      <c r="F1320" s="48" t="inlineStr">
        <is>
          <t>CAP - Installateur en froid et conditionnement d'air</t>
        </is>
      </c>
      <c r="G1320" s="49">
        <f>E1320&amp;" - "&amp;F1320</f>
        <v/>
      </c>
      <c r="H1320" s="36" t="inlineStr">
        <is>
          <t>RAS</t>
        </is>
      </c>
      <c r="I1320" s="45" t="inlineStr"/>
      <c r="J1320" s="45" t="inlineStr">
        <is>
          <t>RNCP38560</t>
        </is>
      </c>
      <c r="K1320" s="45" t="inlineStr">
        <is>
          <t>Installateur en froid et conditionnement d'air</t>
        </is>
      </c>
      <c r="L1320" s="45" t="inlineStr">
        <is>
          <t>31/12/2028</t>
        </is>
      </c>
      <c r="M1320" s="45" t="inlineStr">
        <is>
          <t>22635 (Climatisation) ; 22624 (Installation frigorifique)</t>
        </is>
      </c>
      <c r="N1320" s="50" t="inlineStr">
        <is>
          <t>NON</t>
        </is>
      </c>
      <c r="O1320" s="45" t="inlineStr"/>
    </row>
    <row r="1321" customFormat="1" s="3">
      <c r="A1321" s="45" t="n"/>
      <c r="B1321" s="46" t="inlineStr">
        <is>
          <t>22635</t>
        </is>
      </c>
      <c r="C1321" s="46">
        <f>LEFT(Tableau1[[#This Row],[Formacode]],3)</f>
        <v/>
      </c>
      <c r="D1321" s="47" t="n">
        <v>38635</v>
      </c>
      <c r="E1321" s="48">
        <f>"RNCP"&amp;D1321</f>
        <v/>
      </c>
      <c r="F1321" s="48" t="inlineStr">
        <is>
          <t>BP - Installateur dépanneur en froid et conditionnement d'air</t>
        </is>
      </c>
      <c r="G1321" s="49">
        <f>E1321&amp;" - "&amp;F1321</f>
        <v/>
      </c>
      <c r="H1321" s="36" t="inlineStr">
        <is>
          <t>RAS</t>
        </is>
      </c>
      <c r="I1321" s="45" t="inlineStr"/>
      <c r="J1321" s="45" t="inlineStr">
        <is>
          <t>RNCP38635</t>
        </is>
      </c>
      <c r="K1321" s="45" t="inlineStr">
        <is>
          <t>Installateur dépanneur en froid et conditionnement d'air</t>
        </is>
      </c>
      <c r="L1321" s="45" t="inlineStr">
        <is>
          <t>31/12/2028</t>
        </is>
      </c>
      <c r="M1321" s="45" t="inlineStr">
        <is>
          <t>22624 (Installation frigorifique) ; 22635 (Climatisation)</t>
        </is>
      </c>
      <c r="N1321" s="50" t="inlineStr">
        <is>
          <t>NON</t>
        </is>
      </c>
      <c r="O1321" s="45" t="inlineStr"/>
    </row>
    <row r="1322" customFormat="1" s="3">
      <c r="A1322" s="45" t="n"/>
      <c r="B1322" s="46" t="inlineStr">
        <is>
          <t>22635</t>
        </is>
      </c>
      <c r="C1322" s="46">
        <f>LEFT(Tableau1[[#This Row],[Formacode]],3)</f>
        <v/>
      </c>
      <c r="D1322" s="47" t="n">
        <v>38744</v>
      </c>
      <c r="E1322" s="48">
        <f>"RNCP"&amp;D1322</f>
        <v/>
      </c>
      <c r="F1322" s="48" t="inlineStr">
        <is>
          <t>TP - Agent de maintenance CVC</t>
        </is>
      </c>
      <c r="G1322" s="49">
        <f>E1322&amp;" - "&amp;F1322</f>
        <v/>
      </c>
      <c r="H1322" s="36" t="inlineStr">
        <is>
          <t>RAS</t>
        </is>
      </c>
      <c r="I1322" s="45" t="inlineStr"/>
      <c r="J1322" s="45" t="inlineStr">
        <is>
          <t>RNCP38744</t>
        </is>
      </c>
      <c r="K1322" s="45" t="inlineStr">
        <is>
          <t>Agent de maintenance CVC</t>
        </is>
      </c>
      <c r="L1322" s="45" t="inlineStr">
        <is>
          <t>31/07/2029</t>
        </is>
      </c>
      <c r="M1322" s="45" t="inlineStr">
        <is>
          <t>22630 (Chaufferie chaudière) ; 22671 (Chauffage) ; 22635 (Climatisation) ; 22607 (Régulation climatisation)</t>
        </is>
      </c>
      <c r="N1322" s="50" t="inlineStr">
        <is>
          <t>NON</t>
        </is>
      </c>
      <c r="O1322" s="45" t="inlineStr"/>
    </row>
    <row r="1323" customFormat="1" s="3">
      <c r="A1323" s="45" t="n"/>
      <c r="B1323" s="46" t="inlineStr">
        <is>
          <t>22635</t>
        </is>
      </c>
      <c r="C1323" s="46">
        <f>LEFT(Tableau1[[#This Row],[Formacode]],3)</f>
        <v/>
      </c>
      <c r="D1323" s="47" t="n">
        <v>38748</v>
      </c>
      <c r="E1323" s="48">
        <f>"RNCP"&amp;D1323</f>
        <v/>
      </c>
      <c r="F1323" s="48" t="inlineStr">
        <is>
          <t>TP - Technicien de maintenance CVC</t>
        </is>
      </c>
      <c r="G1323" s="49">
        <f>E1323&amp;" - "&amp;F1323</f>
        <v/>
      </c>
      <c r="H1323" s="36" t="inlineStr">
        <is>
          <t>RAS</t>
        </is>
      </c>
      <c r="I1323" s="45" t="inlineStr"/>
      <c r="J1323" s="45" t="inlineStr">
        <is>
          <t>RNCP38748</t>
        </is>
      </c>
      <c r="K1323" s="45" t="inlineStr">
        <is>
          <t>Technicien de maintenance CVC</t>
        </is>
      </c>
      <c r="L1323" s="45" t="inlineStr">
        <is>
          <t>05/08/2029</t>
        </is>
      </c>
      <c r="M1323" s="45" t="inlineStr">
        <is>
          <t>22642 (Génie thermique) ; 22636 (Régulation génie climatique) ; 22635 (Climatisation) ; 24162 (Gestion énergie)</t>
        </is>
      </c>
      <c r="N1323" s="50" t="inlineStr">
        <is>
          <t>NON</t>
        </is>
      </c>
      <c r="O1323" s="45" t="inlineStr"/>
    </row>
    <row r="1324" ht="28.8" customFormat="1" customHeight="1" s="3">
      <c r="A1324" s="45" t="n"/>
      <c r="B1324" s="46" t="inlineStr">
        <is>
          <t>22635</t>
        </is>
      </c>
      <c r="C1324" s="46">
        <f>LEFT(Tableau1[[#This Row],[Formacode]],3)</f>
        <v/>
      </c>
      <c r="D1324" s="47" t="n">
        <v>39358</v>
      </c>
      <c r="E1324" s="48">
        <f>"RNCP"&amp;D1324</f>
        <v/>
      </c>
      <c r="F1324" s="48" t="inlineStr">
        <is>
          <t>CQP Installateur mainteneur de systèmes de ventilation et gestion de la qualité d'air intérieur</t>
        </is>
      </c>
      <c r="G1324" s="49">
        <f>E1324&amp;" - "&amp;F1324</f>
        <v/>
      </c>
      <c r="H1324" s="36" t="inlineStr">
        <is>
          <t>RAS</t>
        </is>
      </c>
      <c r="I1324" s="45" t="inlineStr"/>
      <c r="J1324" s="45" t="inlineStr">
        <is>
          <t>RNCP39358</t>
        </is>
      </c>
      <c r="K1324" s="45" t="inlineStr">
        <is>
          <t>CQP Installateur mainteneur de systèmes de ventilation et gestion de la qualité d'air intérieur</t>
        </is>
      </c>
      <c r="L1324" s="45" t="inlineStr">
        <is>
          <t>19/07/2027</t>
        </is>
      </c>
      <c r="M1324" s="45" t="inlineStr">
        <is>
          <t>22635 (Climatisation) ; 22454 (Bâtiment second oeuvre)</t>
        </is>
      </c>
      <c r="N1324" s="50" t="inlineStr">
        <is>
          <t>NON</t>
        </is>
      </c>
      <c r="O1324" s="45" t="inlineStr"/>
    </row>
    <row r="1325" customFormat="1" s="3">
      <c r="A1325" s="45" t="n"/>
      <c r="B1325" s="46" t="inlineStr">
        <is>
          <t>22635</t>
        </is>
      </c>
      <c r="C1325" s="46">
        <f>LEFT(Tableau1[[#This Row],[Formacode]],3)</f>
        <v/>
      </c>
      <c r="D1325" s="47" t="n">
        <v>39437</v>
      </c>
      <c r="E1325" s="48">
        <f>"RNCP"&amp;D1325</f>
        <v/>
      </c>
      <c r="F1325" s="48" t="inlineStr">
        <is>
          <t>TP - Technicien d'intervention en froid commercial et climatisation</t>
        </is>
      </c>
      <c r="G1325" s="49">
        <f>E1325&amp;" - "&amp;F1325</f>
        <v/>
      </c>
      <c r="H1325" s="36" t="inlineStr">
        <is>
          <t>RAS</t>
        </is>
      </c>
      <c r="I1325" s="45" t="inlineStr"/>
      <c r="J1325" s="45" t="inlineStr">
        <is>
          <t>RNCP39437</t>
        </is>
      </c>
      <c r="K1325" s="45" t="inlineStr">
        <is>
          <t>Technicien d'intervention en froid commercial et climatisation</t>
        </is>
      </c>
      <c r="L1325" s="45" t="inlineStr">
        <is>
          <t>31/07/2029</t>
        </is>
      </c>
      <c r="M1325" s="45" t="inlineStr">
        <is>
          <t>22604 (Froid commercial) ; 22635 (Climatisation)</t>
        </is>
      </c>
      <c r="N1325" s="50" t="inlineStr">
        <is>
          <t>NON</t>
        </is>
      </c>
      <c r="O1325" s="45" t="inlineStr"/>
    </row>
    <row r="1326" customFormat="1" s="3">
      <c r="A1326" s="45" t="n"/>
      <c r="B1326" s="46" t="inlineStr">
        <is>
          <t>22635</t>
        </is>
      </c>
      <c r="C1326" s="46">
        <f>LEFT(Tableau1[[#This Row],[Formacode]],3)</f>
        <v/>
      </c>
      <c r="D1326" s="47" t="n">
        <v>39873</v>
      </c>
      <c r="E1326" s="48">
        <f>"RNCP"&amp;D1326</f>
        <v/>
      </c>
      <c r="F1326" s="48" t="inlineStr">
        <is>
          <t>CQP Technicien de maintenance et d’installation de pompe à chaleur et de climatiseur</t>
        </is>
      </c>
      <c r="G1326" s="49">
        <f>E1326&amp;" - "&amp;F1326</f>
        <v/>
      </c>
      <c r="H1326" s="36" t="inlineStr">
        <is>
          <t>RAS</t>
        </is>
      </c>
      <c r="I1326" s="45" t="inlineStr"/>
      <c r="J1326" s="45" t="inlineStr">
        <is>
          <t>RNCP39873</t>
        </is>
      </c>
      <c r="K1326" s="45" t="inlineStr">
        <is>
          <t>CQP Technicien de maintenance et d’installation de pompe à chaleur et de climatiseur</t>
        </is>
      </c>
      <c r="L1326" s="45" t="inlineStr">
        <is>
          <t>28/11/2029</t>
        </is>
      </c>
      <c r="M1326" s="45" t="inlineStr">
        <is>
          <t>22675 (Pompe à chaleur) ; 22635 (Climatisation)</t>
        </is>
      </c>
      <c r="N1326" s="50" t="inlineStr">
        <is>
          <t>NON</t>
        </is>
      </c>
      <c r="O1326" s="45" t="inlineStr"/>
    </row>
    <row r="1327" ht="28.8" customFormat="1" customHeight="1" s="3">
      <c r="A1327" s="45" t="n"/>
      <c r="B1327" s="46" t="inlineStr">
        <is>
          <t>22635</t>
        </is>
      </c>
      <c r="C1327" s="46">
        <f>LEFT(Tableau1[[#This Row],[Formacode]],3)</f>
        <v/>
      </c>
      <c r="D1327" s="47" t="n">
        <v>40673</v>
      </c>
      <c r="E1327" s="48">
        <f>"RNCP"&amp;D1327</f>
        <v/>
      </c>
      <c r="F1327" s="48" t="inlineStr">
        <is>
          <t>Technicien d'installation et de maintenance de systèmes énergétiques, option solaire ou photovoltaïque, option bois</t>
        </is>
      </c>
      <c r="G1327" s="49">
        <f>E1327&amp;" - "&amp;F1327</f>
        <v/>
      </c>
      <c r="H1327" s="36" t="inlineStr">
        <is>
          <t>RAS</t>
        </is>
      </c>
      <c r="I1327" s="45" t="inlineStr"/>
      <c r="J1327" s="45" t="inlineStr">
        <is>
          <t>RNCP40673</t>
        </is>
      </c>
      <c r="K1327" s="45" t="inlineStr">
        <is>
          <t>Technicien d'installation et de maintenance de systèmes énergétiques, option solaire ou photovoltaïque, option bois</t>
        </is>
      </c>
      <c r="L1327" s="45" t="inlineStr">
        <is>
          <t>23/05/2028</t>
        </is>
      </c>
      <c r="M1327" s="45" t="inlineStr">
        <is>
          <t>22685 (Installation thermique sanitaire) ; 24146 (Énergie solaire photovoltaïque) ; 22672 (Chauffage bois) ; 22635 (Climatisation)</t>
        </is>
      </c>
      <c r="N1327" s="50" t="inlineStr">
        <is>
          <t>NON</t>
        </is>
      </c>
      <c r="O1327" s="45" t="inlineStr"/>
    </row>
    <row r="1328" customFormat="1" s="3">
      <c r="A1328" s="45" t="n"/>
      <c r="B1328" s="46" t="inlineStr">
        <is>
          <t>22636</t>
        </is>
      </c>
      <c r="C1328" s="46">
        <f>LEFT(Tableau1[[#This Row],[Formacode]],3)</f>
        <v/>
      </c>
      <c r="D1328" s="47" t="n">
        <v>37292</v>
      </c>
      <c r="E1328" s="48">
        <f>"RNCP"&amp;D1328</f>
        <v/>
      </c>
      <c r="F1328" s="48" t="inlineStr">
        <is>
          <t>TP - Technicien d'études en chauffage, ventilation et climatisation</t>
        </is>
      </c>
      <c r="G1328" s="49">
        <f>E1328&amp;" - "&amp;F1328</f>
        <v/>
      </c>
      <c r="H1328" s="36" t="inlineStr">
        <is>
          <t>RAS</t>
        </is>
      </c>
      <c r="I1328" s="45" t="inlineStr"/>
      <c r="J1328" s="45" t="inlineStr">
        <is>
          <t>RNCP37292</t>
        </is>
      </c>
      <c r="K1328" s="45" t="inlineStr">
        <is>
          <t>Technicien d'études en chauffage, ventilation et climatisation</t>
        </is>
      </c>
      <c r="L1328" s="45" t="inlineStr">
        <is>
          <t>10/05/2028</t>
        </is>
      </c>
      <c r="M1328" s="45" t="inlineStr">
        <is>
          <t>22654 (Génie climatique) ; 22252 (Dessin BTP) ; 22279 (Maîtrise d'oeuvre BTP)</t>
        </is>
      </c>
      <c r="N1328" s="50" t="inlineStr">
        <is>
          <t>NON</t>
        </is>
      </c>
      <c r="O1328" s="45" t="inlineStr"/>
    </row>
    <row r="1329" ht="28.8" customFormat="1" customHeight="1" s="3">
      <c r="A1329" s="45" t="n"/>
      <c r="B1329" s="46" t="inlineStr">
        <is>
          <t>22636</t>
        </is>
      </c>
      <c r="C1329" s="46">
        <f>LEFT(Tableau1[[#This Row],[Formacode]],3)</f>
        <v/>
      </c>
      <c r="D1329" s="47" t="n">
        <v>38361</v>
      </c>
      <c r="E1329" s="48">
        <f>"RNCP"&amp;D1329</f>
        <v/>
      </c>
      <c r="F1329" s="48" t="inlineStr">
        <is>
          <t>BTS - Fluides-énergies-domotique (option A « génie climatique et fluidique », option B « froid et conditionnement d'air », option C « domotique et bâtiments communicants »)</t>
        </is>
      </c>
      <c r="G1329" s="49">
        <f>E1329&amp;" - "&amp;F1329</f>
        <v/>
      </c>
      <c r="H1329" s="36" t="inlineStr">
        <is>
          <t>RAS</t>
        </is>
      </c>
      <c r="I1329" s="45" t="inlineStr"/>
      <c r="J1329" s="45" t="inlineStr">
        <is>
          <t>RNCP38361</t>
        </is>
      </c>
      <c r="K1329" s="45" t="inlineStr">
        <is>
          <t>Fluides-énergies-domotique (option A « génie climatique et fluidique », option B « froid et conditionnement d'air », option C « domotique et bâtiments communicants »)</t>
        </is>
      </c>
      <c r="L1329" s="45" t="inlineStr">
        <is>
          <t>31/12/2028</t>
        </is>
      </c>
      <c r="M1329" s="45" t="inlineStr">
        <is>
          <t>22654 (Génie climatique) ; 22499 (Immotique)</t>
        </is>
      </c>
      <c r="N1329" s="50" t="inlineStr">
        <is>
          <t>NON</t>
        </is>
      </c>
      <c r="O1329" s="45" t="inlineStr"/>
    </row>
    <row r="1330" customFormat="1" s="3">
      <c r="A1330" s="45" t="n"/>
      <c r="B1330" s="46" t="inlineStr">
        <is>
          <t>22636</t>
        </is>
      </c>
      <c r="C1330" s="46">
        <f>LEFT(Tableau1[[#This Row],[Formacode]],3)</f>
        <v/>
      </c>
      <c r="D1330" s="47" t="n">
        <v>38744</v>
      </c>
      <c r="E1330" s="48">
        <f>"RNCP"&amp;D1330</f>
        <v/>
      </c>
      <c r="F1330" s="48" t="inlineStr">
        <is>
          <t>TP - Agent de maintenance CVC</t>
        </is>
      </c>
      <c r="G1330" s="49">
        <f>E1330&amp;" - "&amp;F1330</f>
        <v/>
      </c>
      <c r="H1330" s="36" t="inlineStr">
        <is>
          <t>RAS</t>
        </is>
      </c>
      <c r="I1330" s="45" t="inlineStr"/>
      <c r="J1330" s="45" t="inlineStr">
        <is>
          <t>RNCP38744</t>
        </is>
      </c>
      <c r="K1330" s="45" t="inlineStr">
        <is>
          <t>Agent de maintenance CVC</t>
        </is>
      </c>
      <c r="L1330" s="45" t="inlineStr">
        <is>
          <t>31/07/2029</t>
        </is>
      </c>
      <c r="M1330" s="45" t="inlineStr">
        <is>
          <t>22630 (Chaufferie chaudière) ; 22671 (Chauffage) ; 22635 (Climatisation) ; 22607 (Régulation climatisation)</t>
        </is>
      </c>
      <c r="N1330" s="50" t="inlineStr">
        <is>
          <t>NON</t>
        </is>
      </c>
      <c r="O1330" s="45" t="inlineStr"/>
    </row>
    <row r="1331" customFormat="1" s="3">
      <c r="A1331" s="45" t="n"/>
      <c r="B1331" s="46" t="inlineStr">
        <is>
          <t>22636</t>
        </is>
      </c>
      <c r="C1331" s="46">
        <f>LEFT(Tableau1[[#This Row],[Formacode]],3)</f>
        <v/>
      </c>
      <c r="D1331" s="47" t="n">
        <v>38748</v>
      </c>
      <c r="E1331" s="48">
        <f>"RNCP"&amp;D1331</f>
        <v/>
      </c>
      <c r="F1331" s="48" t="inlineStr">
        <is>
          <t>TP - Technicien de maintenance CVC</t>
        </is>
      </c>
      <c r="G1331" s="49">
        <f>E1331&amp;" - "&amp;F1331</f>
        <v/>
      </c>
      <c r="H1331" s="36" t="inlineStr">
        <is>
          <t>RAS</t>
        </is>
      </c>
      <c r="I1331" s="45" t="inlineStr"/>
      <c r="J1331" s="45" t="inlineStr">
        <is>
          <t>RNCP38748</t>
        </is>
      </c>
      <c r="K1331" s="45" t="inlineStr">
        <is>
          <t>Technicien de maintenance CVC</t>
        </is>
      </c>
      <c r="L1331" s="45" t="inlineStr">
        <is>
          <t>05/08/2029</t>
        </is>
      </c>
      <c r="M1331" s="45" t="inlineStr">
        <is>
          <t>22642 (Génie thermique) ; 22636 (Régulation génie climatique) ; 22635 (Climatisation) ; 24162 (Gestion énergie)</t>
        </is>
      </c>
      <c r="N1331" s="50" t="inlineStr">
        <is>
          <t>NON</t>
        </is>
      </c>
      <c r="O1331" s="45" t="inlineStr"/>
    </row>
    <row r="1332" customFormat="1" s="3">
      <c r="A1332" s="45" t="n"/>
      <c r="B1332" s="46" t="inlineStr">
        <is>
          <t>22636</t>
        </is>
      </c>
      <c r="C1332" s="46">
        <f>LEFT(Tableau1[[#This Row],[Formacode]],3)</f>
        <v/>
      </c>
      <c r="D1332" s="47" t="n">
        <v>40381</v>
      </c>
      <c r="E1332" s="48">
        <f>"RNCP"&amp;D1332</f>
        <v/>
      </c>
      <c r="F1332" s="48" t="inlineStr">
        <is>
          <t>Chargé de gestion technique des bâtiments tertiaires et industriels</t>
        </is>
      </c>
      <c r="G1332" s="49">
        <f>E1332&amp;" - "&amp;F1332</f>
        <v/>
      </c>
      <c r="H1332" s="36" t="inlineStr">
        <is>
          <t>RAS</t>
        </is>
      </c>
      <c r="I1332" s="45" t="inlineStr"/>
      <c r="J1332" s="45" t="inlineStr">
        <is>
          <t>RNCP40381</t>
        </is>
      </c>
      <c r="K1332" s="45" t="inlineStr">
        <is>
          <t>Chargé de gestion technique des bâtiments tertiaires et industriels</t>
        </is>
      </c>
      <c r="L1332" s="45" t="inlineStr">
        <is>
          <t>28/03/2030</t>
        </is>
      </c>
      <c r="M1332" s="45" t="inlineStr">
        <is>
          <t>22499 (Immotique) ; 22636 (Régulation génie climatique) ; 22485 (Rénovation bâtiment) ; 22486 (Maintenance bâtiment)</t>
        </is>
      </c>
      <c r="N1332" s="50" t="inlineStr">
        <is>
          <t>NON</t>
        </is>
      </c>
      <c r="O1332" s="45" t="inlineStr"/>
    </row>
    <row r="1333" customFormat="1" s="3">
      <c r="A1333" s="45" t="n"/>
      <c r="B1333" s="46" t="inlineStr">
        <is>
          <t>22638</t>
        </is>
      </c>
      <c r="C1333" s="46">
        <f>LEFT(Tableau1[[#This Row],[Formacode]],3)</f>
        <v/>
      </c>
      <c r="D1333" s="47" t="n">
        <v>37292</v>
      </c>
      <c r="E1333" s="48">
        <f>"RNCP"&amp;D1333</f>
        <v/>
      </c>
      <c r="F1333" s="48" t="inlineStr">
        <is>
          <t>TP - Technicien d'études en chauffage, ventilation et climatisation</t>
        </is>
      </c>
      <c r="G1333" s="49">
        <f>E1333&amp;" - "&amp;F1333</f>
        <v/>
      </c>
      <c r="H1333" s="36" t="inlineStr">
        <is>
          <t>RAS</t>
        </is>
      </c>
      <c r="I1333" s="45" t="inlineStr"/>
      <c r="J1333" s="45" t="inlineStr">
        <is>
          <t>RNCP37292</t>
        </is>
      </c>
      <c r="K1333" s="45" t="inlineStr">
        <is>
          <t>Technicien d'études en chauffage, ventilation et climatisation</t>
        </is>
      </c>
      <c r="L1333" s="45" t="inlineStr">
        <is>
          <t>10/05/2028</t>
        </is>
      </c>
      <c r="M1333" s="45" t="inlineStr">
        <is>
          <t>22654 (Génie climatique) ; 22252 (Dessin BTP) ; 22279 (Maîtrise d'oeuvre BTP)</t>
        </is>
      </c>
      <c r="N1333" s="50" t="inlineStr">
        <is>
          <t>NON</t>
        </is>
      </c>
      <c r="O1333" s="45" t="inlineStr"/>
    </row>
    <row r="1334" ht="28.8" customFormat="1" customHeight="1" s="3">
      <c r="A1334" s="45" t="n"/>
      <c r="B1334" s="46" t="inlineStr">
        <is>
          <t>22638</t>
        </is>
      </c>
      <c r="C1334" s="46">
        <f>LEFT(Tableau1[[#This Row],[Formacode]],3)</f>
        <v/>
      </c>
      <c r="D1334" s="47" t="n">
        <v>38361</v>
      </c>
      <c r="E1334" s="48">
        <f>"RNCP"&amp;D1334</f>
        <v/>
      </c>
      <c r="F1334" s="48" t="inlineStr">
        <is>
          <t>BTS - Fluides-énergies-domotique (option A « génie climatique et fluidique », option B « froid et conditionnement d'air », option C « domotique et bâtiments communicants »)</t>
        </is>
      </c>
      <c r="G1334" s="49">
        <f>E1334&amp;" - "&amp;F1334</f>
        <v/>
      </c>
      <c r="H1334" s="36" t="inlineStr">
        <is>
          <t>RAS</t>
        </is>
      </c>
      <c r="I1334" s="45" t="inlineStr"/>
      <c r="J1334" s="45" t="inlineStr">
        <is>
          <t>RNCP38361</t>
        </is>
      </c>
      <c r="K1334" s="45" t="inlineStr">
        <is>
          <t>Fluides-énergies-domotique (option A « génie climatique et fluidique », option B « froid et conditionnement d'air », option C « domotique et bâtiments communicants »)</t>
        </is>
      </c>
      <c r="L1334" s="45" t="inlineStr">
        <is>
          <t>31/12/2028</t>
        </is>
      </c>
      <c r="M1334" s="45" t="inlineStr">
        <is>
          <t>22654 (Génie climatique) ; 22499 (Immotique)</t>
        </is>
      </c>
      <c r="N1334" s="50" t="inlineStr">
        <is>
          <t>NON</t>
        </is>
      </c>
      <c r="O1334" s="45" t="inlineStr"/>
    </row>
    <row r="1335" customFormat="1" s="3">
      <c r="A1335" s="63" t="n"/>
      <c r="B1335" s="64" t="inlineStr">
        <is>
          <t>22642</t>
        </is>
      </c>
      <c r="C1335" s="64">
        <f>LEFT(Tableau1[[#This Row],[Formacode]],3)</f>
        <v/>
      </c>
      <c r="D1335" s="65" t="n">
        <v>35189</v>
      </c>
      <c r="E1335" s="66">
        <f>"RNCP"&amp;D1335</f>
        <v/>
      </c>
      <c r="F1335" s="66" t="inlineStr">
        <is>
          <t>TP - Installateur thermique et sanitaire</t>
        </is>
      </c>
      <c r="G1335" s="67">
        <f>E1335&amp;" - "&amp;F1335</f>
        <v/>
      </c>
      <c r="H1335" s="38" t="inlineStr">
        <is>
          <t>Expiré / remplacé</t>
        </is>
      </c>
      <c r="I1335" s="63" t="inlineStr">
        <is>
          <t>Fiche inactive — remplacée par RNCP41909 (Plombier chauffagiste)</t>
        </is>
      </c>
      <c r="J1335" s="63" t="inlineStr">
        <is>
          <t>RNCP41909</t>
        </is>
      </c>
      <c r="K1335" s="63" t="inlineStr">
        <is>
          <t>Plombier chauffagiste</t>
        </is>
      </c>
      <c r="L1335" s="63" t="inlineStr">
        <is>
          <t>03/03/2026</t>
        </is>
      </c>
      <c r="M1335" s="63" t="inlineStr">
        <is>
          <t>22685 (Installation thermique sanitaire) ; 22671 (Chauffage) ; 22211 (Performance énergétique bâtiment) ; 22485 (Rénovation bâtiment)</t>
        </is>
      </c>
      <c r="N1335" s="68" t="inlineStr">
        <is>
          <t>NON</t>
        </is>
      </c>
      <c r="O1335" s="63" t="inlineStr"/>
    </row>
    <row r="1336" customFormat="1" s="3">
      <c r="A1336" s="51" t="n"/>
      <c r="B1336" s="52" t="inlineStr">
        <is>
          <t>22642</t>
        </is>
      </c>
      <c r="C1336" s="52">
        <f>LEFT(Tableau1[[#This Row],[Formacode]],3)</f>
        <v/>
      </c>
      <c r="D1336" s="53" t="n">
        <v>35845</v>
      </c>
      <c r="E1336" s="54">
        <f>"RNCP"&amp;D1336</f>
        <v/>
      </c>
      <c r="F1336" s="54" t="inlineStr">
        <is>
          <t>BAC PRO - Installateur en Chauffage, Climatisation et Énergies Renouvelables</t>
        </is>
      </c>
      <c r="G1336" s="55">
        <f>E1336&amp;" - "&amp;F1336</f>
        <v/>
      </c>
      <c r="H1336" s="37" t="inlineStr">
        <is>
          <t>À vérifier</t>
        </is>
      </c>
      <c r="I1336" s="51" t="inlineStr">
        <is>
          <t>Successeur déjà publié : RNCP42117 (Installateur en chauffage, climatisation et énergies renouvelables) — préparer la bascule de l'offre CPF | Échéance le 31/08/2026 (dans 44 j)</t>
        </is>
      </c>
      <c r="J1336" s="51" t="inlineStr">
        <is>
          <t>RNCP42117</t>
        </is>
      </c>
      <c r="K1336" s="51" t="inlineStr">
        <is>
          <t>Installateur en chauffage, climatisation et énergies renouvelables</t>
        </is>
      </c>
      <c r="L1336" s="51" t="inlineStr">
        <is>
          <t>31/08/2026</t>
        </is>
      </c>
      <c r="M1336" s="51" t="inlineStr">
        <is>
          <t>22635 (Climatisation) ; 22671 (Chauffage) ; 22685 (Installation thermique sanitaire)</t>
        </is>
      </c>
      <c r="N1336" s="62" t="inlineStr">
        <is>
          <t>NON</t>
        </is>
      </c>
      <c r="O1336" s="51" t="inlineStr"/>
    </row>
    <row r="1337" customFormat="1" s="3">
      <c r="A1337" s="45" t="n"/>
      <c r="B1337" s="46" t="inlineStr">
        <is>
          <t>22642</t>
        </is>
      </c>
      <c r="C1337" s="46">
        <f>LEFT(Tableau1[[#This Row],[Formacode]],3)</f>
        <v/>
      </c>
      <c r="D1337" s="47" t="n">
        <v>37292</v>
      </c>
      <c r="E1337" s="48">
        <f>"RNCP"&amp;D1337</f>
        <v/>
      </c>
      <c r="F1337" s="48" t="inlineStr">
        <is>
          <t>TP - Technicien d'études en chauffage, ventilation et climatisation</t>
        </is>
      </c>
      <c r="G1337" s="49">
        <f>E1337&amp;" - "&amp;F1337</f>
        <v/>
      </c>
      <c r="H1337" s="36" t="inlineStr">
        <is>
          <t>RAS</t>
        </is>
      </c>
      <c r="I1337" s="45" t="inlineStr"/>
      <c r="J1337" s="45" t="inlineStr">
        <is>
          <t>RNCP37292</t>
        </is>
      </c>
      <c r="K1337" s="45" t="inlineStr">
        <is>
          <t>Technicien d'études en chauffage, ventilation et climatisation</t>
        </is>
      </c>
      <c r="L1337" s="45" t="inlineStr">
        <is>
          <t>10/05/2028</t>
        </is>
      </c>
      <c r="M1337" s="45" t="inlineStr">
        <is>
          <t>22654 (Génie climatique) ; 22252 (Dessin BTP) ; 22279 (Maîtrise d'oeuvre BTP)</t>
        </is>
      </c>
      <c r="N1337" s="50" t="inlineStr">
        <is>
          <t>NON</t>
        </is>
      </c>
      <c r="O1337" s="45" t="inlineStr"/>
    </row>
    <row r="1338" customFormat="1" s="3">
      <c r="A1338" s="51" t="n"/>
      <c r="B1338" s="52" t="inlineStr">
        <is>
          <t>22642</t>
        </is>
      </c>
      <c r="C1338" s="52">
        <f>LEFT(Tableau1[[#This Row],[Formacode]],3)</f>
        <v/>
      </c>
      <c r="D1338" s="53" t="n">
        <v>37919</v>
      </c>
      <c r="E1338" s="54">
        <f>"RNCP"&amp;D1338</f>
        <v/>
      </c>
      <c r="F1338" s="54" t="inlineStr">
        <is>
          <t>CS - Maintenance des équipements thermiques individuels</t>
        </is>
      </c>
      <c r="G1338" s="55">
        <f>E1338&amp;" - "&amp;F1338</f>
        <v/>
      </c>
      <c r="H1338" s="37" t="inlineStr">
        <is>
          <t>À vérifier</t>
        </is>
      </c>
      <c r="I1338" s="51" t="inlineStr">
        <is>
          <t>Successeur déjà publié : RNCP41756 (Maintenance des équipements thermiques individuels) — préparer la bascule de l'offre CPF</t>
        </is>
      </c>
      <c r="J1338" s="51" t="inlineStr">
        <is>
          <t>RNCP41756</t>
        </is>
      </c>
      <c r="K1338" s="51" t="inlineStr">
        <is>
          <t>Maintenance des équipements thermiques individuels</t>
        </is>
      </c>
      <c r="L1338" s="51" t="inlineStr">
        <is>
          <t>31/08/2028</t>
        </is>
      </c>
      <c r="M1338" s="51" t="inlineStr">
        <is>
          <t>22671 (Chauffage) ; 22689 (Chauffe eau)</t>
        </is>
      </c>
      <c r="N1338" s="62" t="inlineStr">
        <is>
          <t>NON</t>
        </is>
      </c>
      <c r="O1338" s="51" t="inlineStr"/>
    </row>
    <row r="1339" customFormat="1" s="3">
      <c r="A1339" s="45" t="n"/>
      <c r="B1339" s="46" t="inlineStr">
        <is>
          <t>22642</t>
        </is>
      </c>
      <c r="C1339" s="46">
        <f>LEFT(Tableau1[[#This Row],[Formacode]],3)</f>
        <v/>
      </c>
      <c r="D1339" s="47" t="n">
        <v>38079</v>
      </c>
      <c r="E1339" s="48">
        <f>"RNCP"&amp;D1339</f>
        <v/>
      </c>
      <c r="F1339" s="48" t="inlineStr">
        <is>
          <t>TP - Agent de maintenance d'équipements de confort climatique</t>
        </is>
      </c>
      <c r="G1339" s="49">
        <f>E1339&amp;" - "&amp;F1339</f>
        <v/>
      </c>
      <c r="H1339" s="36" t="inlineStr">
        <is>
          <t>RAS</t>
        </is>
      </c>
      <c r="I1339" s="45" t="inlineStr"/>
      <c r="J1339" s="45" t="inlineStr">
        <is>
          <t>RNCP38079</t>
        </is>
      </c>
      <c r="K1339" s="45" t="inlineStr">
        <is>
          <t>Agent de maintenance d'équipements de confort climatique</t>
        </is>
      </c>
      <c r="L1339" s="45" t="inlineStr">
        <is>
          <t>19/12/2028</t>
        </is>
      </c>
      <c r="M1339" s="45" t="inlineStr">
        <is>
          <t>22671 (Chauffage)</t>
        </is>
      </c>
      <c r="N1339" s="50" t="inlineStr">
        <is>
          <t>NON</t>
        </is>
      </c>
      <c r="O1339" s="45" t="inlineStr"/>
    </row>
    <row r="1340" customFormat="1" s="3">
      <c r="A1340" s="45" t="n"/>
      <c r="B1340" s="46" t="inlineStr">
        <is>
          <t>22642</t>
        </is>
      </c>
      <c r="C1340" s="46">
        <f>LEFT(Tableau1[[#This Row],[Formacode]],3)</f>
        <v/>
      </c>
      <c r="D1340" s="47" t="n">
        <v>38081</v>
      </c>
      <c r="E1340" s="48">
        <f>"RNCP"&amp;D1340</f>
        <v/>
      </c>
      <c r="F1340" s="48" t="inlineStr">
        <is>
          <t>TP - Technicien de maintenance d'équipements de confort climatique</t>
        </is>
      </c>
      <c r="G1340" s="49">
        <f>E1340&amp;" - "&amp;F1340</f>
        <v/>
      </c>
      <c r="H1340" s="36" t="inlineStr">
        <is>
          <t>RAS</t>
        </is>
      </c>
      <c r="I1340" s="45" t="inlineStr"/>
      <c r="J1340" s="45" t="inlineStr">
        <is>
          <t>RNCP38081</t>
        </is>
      </c>
      <c r="K1340" s="45" t="inlineStr">
        <is>
          <t>Technicien de maintenance d'équipements de confort climatique</t>
        </is>
      </c>
      <c r="L1340" s="45" t="inlineStr">
        <is>
          <t>21/10/2028</t>
        </is>
      </c>
      <c r="M1340" s="45" t="inlineStr">
        <is>
          <t>22671 (Chauffage) ; 22635 (Climatisation) ; 22685 (Installation thermique sanitaire)</t>
        </is>
      </c>
      <c r="N1340" s="50" t="inlineStr">
        <is>
          <t>NON</t>
        </is>
      </c>
      <c r="O1340" s="45" t="inlineStr"/>
    </row>
    <row r="1341" customFormat="1" s="3">
      <c r="A1341" s="45" t="n"/>
      <c r="B1341" s="46" t="inlineStr">
        <is>
          <t>22642</t>
        </is>
      </c>
      <c r="C1341" s="46">
        <f>LEFT(Tableau1[[#This Row],[Formacode]],3)</f>
        <v/>
      </c>
      <c r="D1341" s="47" t="n">
        <v>38305</v>
      </c>
      <c r="E1341" s="48">
        <f>"RNCP"&amp;D1341</f>
        <v/>
      </c>
      <c r="F1341" s="48" t="inlineStr">
        <is>
          <t>CAP - Monteur en installations sanitaires</t>
        </is>
      </c>
      <c r="G1341" s="49">
        <f>E1341&amp;" - "&amp;F1341</f>
        <v/>
      </c>
      <c r="H1341" s="36" t="inlineStr">
        <is>
          <t>RAS</t>
        </is>
      </c>
      <c r="I1341" s="45" t="inlineStr"/>
      <c r="J1341" s="45" t="inlineStr">
        <is>
          <t>RNCP38305</t>
        </is>
      </c>
      <c r="K1341" s="45" t="inlineStr">
        <is>
          <t>Monteur en installations sanitaires</t>
        </is>
      </c>
      <c r="L1341" s="45" t="inlineStr">
        <is>
          <t>31/12/2028</t>
        </is>
      </c>
      <c r="M1341" s="45" t="inlineStr">
        <is>
          <t>22671 (Chauffage) ; 22697 (Installation sanitaire)</t>
        </is>
      </c>
      <c r="N1341" s="50" t="inlineStr">
        <is>
          <t>NON</t>
        </is>
      </c>
      <c r="O1341" s="45" t="inlineStr"/>
    </row>
    <row r="1342" ht="28.8" customFormat="1" customHeight="1" s="3">
      <c r="A1342" s="45" t="n"/>
      <c r="B1342" s="46" t="inlineStr">
        <is>
          <t>22642</t>
        </is>
      </c>
      <c r="C1342" s="46">
        <f>LEFT(Tableau1[[#This Row],[Formacode]],3)</f>
        <v/>
      </c>
      <c r="D1342" s="47" t="n">
        <v>38361</v>
      </c>
      <c r="E1342" s="48">
        <f>"RNCP"&amp;D1342</f>
        <v/>
      </c>
      <c r="F1342" s="48" t="inlineStr">
        <is>
          <t>BTS - Fluides-énergies-domotique (option A « génie climatique et fluidique », option B « froid et conditionnement d'air », option C « domotique et bâtiments communicants »)</t>
        </is>
      </c>
      <c r="G1342" s="49">
        <f>E1342&amp;" - "&amp;F1342</f>
        <v/>
      </c>
      <c r="H1342" s="36" t="inlineStr">
        <is>
          <t>RAS</t>
        </is>
      </c>
      <c r="I1342" s="45" t="inlineStr"/>
      <c r="J1342" s="45" t="inlineStr">
        <is>
          <t>RNCP38361</t>
        </is>
      </c>
      <c r="K1342" s="45" t="inlineStr">
        <is>
          <t>Fluides-énergies-domotique (option A « génie climatique et fluidique », option B « froid et conditionnement d'air », option C « domotique et bâtiments communicants »)</t>
        </is>
      </c>
      <c r="L1342" s="45" t="inlineStr">
        <is>
          <t>31/12/2028</t>
        </is>
      </c>
      <c r="M1342" s="45" t="inlineStr">
        <is>
          <t>22654 (Génie climatique) ; 22499 (Immotique)</t>
        </is>
      </c>
      <c r="N1342" s="50" t="inlineStr">
        <is>
          <t>NON</t>
        </is>
      </c>
      <c r="O1342" s="45" t="inlineStr"/>
    </row>
    <row r="1343" customFormat="1" s="3">
      <c r="A1343" s="45" t="n"/>
      <c r="B1343" s="46" t="inlineStr">
        <is>
          <t>22642</t>
        </is>
      </c>
      <c r="C1343" s="46">
        <f>LEFT(Tableau1[[#This Row],[Formacode]],3)</f>
        <v/>
      </c>
      <c r="D1343" s="47" t="n">
        <v>38744</v>
      </c>
      <c r="E1343" s="48">
        <f>"RNCP"&amp;D1343</f>
        <v/>
      </c>
      <c r="F1343" s="48" t="inlineStr">
        <is>
          <t>TP - Agent de maintenance CVC</t>
        </is>
      </c>
      <c r="G1343" s="49">
        <f>E1343&amp;" - "&amp;F1343</f>
        <v/>
      </c>
      <c r="H1343" s="36" t="inlineStr">
        <is>
          <t>RAS</t>
        </is>
      </c>
      <c r="I1343" s="45" t="inlineStr"/>
      <c r="J1343" s="45" t="inlineStr">
        <is>
          <t>RNCP38744</t>
        </is>
      </c>
      <c r="K1343" s="45" t="inlineStr">
        <is>
          <t>Agent de maintenance CVC</t>
        </is>
      </c>
      <c r="L1343" s="45" t="inlineStr">
        <is>
          <t>31/07/2029</t>
        </is>
      </c>
      <c r="M1343" s="45" t="inlineStr">
        <is>
          <t>22630 (Chaufferie chaudière) ; 22671 (Chauffage) ; 22635 (Climatisation) ; 22607 (Régulation climatisation)</t>
        </is>
      </c>
      <c r="N1343" s="50" t="inlineStr">
        <is>
          <t>NON</t>
        </is>
      </c>
      <c r="O1343" s="45" t="inlineStr"/>
    </row>
    <row r="1344" customFormat="1" s="3">
      <c r="A1344" s="45" t="n"/>
      <c r="B1344" s="46" t="inlineStr">
        <is>
          <t>22642</t>
        </is>
      </c>
      <c r="C1344" s="46">
        <f>LEFT(Tableau1[[#This Row],[Formacode]],3)</f>
        <v/>
      </c>
      <c r="D1344" s="47" t="n">
        <v>38748</v>
      </c>
      <c r="E1344" s="48">
        <f>"RNCP"&amp;D1344</f>
        <v/>
      </c>
      <c r="F1344" s="48" t="inlineStr">
        <is>
          <t>TP - Technicien de maintenance CVC</t>
        </is>
      </c>
      <c r="G1344" s="49">
        <f>E1344&amp;" - "&amp;F1344</f>
        <v/>
      </c>
      <c r="H1344" s="36" t="inlineStr">
        <is>
          <t>RAS</t>
        </is>
      </c>
      <c r="I1344" s="45" t="inlineStr"/>
      <c r="J1344" s="45" t="inlineStr">
        <is>
          <t>RNCP38748</t>
        </is>
      </c>
      <c r="K1344" s="45" t="inlineStr">
        <is>
          <t>Technicien de maintenance CVC</t>
        </is>
      </c>
      <c r="L1344" s="45" t="inlineStr">
        <is>
          <t>05/08/2029</t>
        </is>
      </c>
      <c r="M1344" s="45" t="inlineStr">
        <is>
          <t>22642 (Génie thermique) ; 22636 (Régulation génie climatique) ; 22635 (Climatisation) ; 24162 (Gestion énergie)</t>
        </is>
      </c>
      <c r="N1344" s="50" t="inlineStr">
        <is>
          <t>NON</t>
        </is>
      </c>
      <c r="O1344" s="45" t="inlineStr"/>
    </row>
    <row r="1345" customFormat="1" s="3">
      <c r="A1345" s="45" t="n"/>
      <c r="B1345" s="46" t="inlineStr">
        <is>
          <t>22642</t>
        </is>
      </c>
      <c r="C1345" s="46">
        <f>LEFT(Tableau1[[#This Row],[Formacode]],3)</f>
        <v/>
      </c>
      <c r="D1345" s="47" t="n">
        <v>39102</v>
      </c>
      <c r="E1345" s="48">
        <f>"RNCP"&amp;D1345</f>
        <v/>
      </c>
      <c r="F1345" s="48" t="inlineStr">
        <is>
          <t>CQP Poêlier - constructeur mainteneur de poêle maçonné artisanal</t>
        </is>
      </c>
      <c r="G1345" s="49">
        <f>E1345&amp;" - "&amp;F1345</f>
        <v/>
      </c>
      <c r="H1345" s="36" t="inlineStr">
        <is>
          <t>RAS</t>
        </is>
      </c>
      <c r="I1345" s="45" t="inlineStr"/>
      <c r="J1345" s="45" t="inlineStr">
        <is>
          <t>RNCP39102</t>
        </is>
      </c>
      <c r="K1345" s="45" t="inlineStr">
        <is>
          <t>CQP Poêlier - constructeur mainteneur de poêle maçonné artisanal</t>
        </is>
      </c>
      <c r="L1345" s="45" t="inlineStr">
        <is>
          <t>31/05/2027</t>
        </is>
      </c>
      <c r="M1345" s="45" t="inlineStr">
        <is>
          <t>22657 (Fumisterie) ; 22672 (Chauffage bois)</t>
        </is>
      </c>
      <c r="N1345" s="50" t="inlineStr">
        <is>
          <t>NON</t>
        </is>
      </c>
      <c r="O1345" s="45" t="inlineStr"/>
    </row>
    <row r="1346" customFormat="1" s="3">
      <c r="A1346" s="45" t="n"/>
      <c r="B1346" s="46" t="inlineStr">
        <is>
          <t>22642</t>
        </is>
      </c>
      <c r="C1346" s="46">
        <f>LEFT(Tableau1[[#This Row],[Formacode]],3)</f>
        <v/>
      </c>
      <c r="D1346" s="47" t="n">
        <v>39357</v>
      </c>
      <c r="E1346" s="48">
        <f>"RNCP"&amp;D1346</f>
        <v/>
      </c>
      <c r="F1346" s="48" t="inlineStr">
        <is>
          <t>CQP Installateur mainteneur de système de pompe à chaleur</t>
        </is>
      </c>
      <c r="G1346" s="49">
        <f>E1346&amp;" - "&amp;F1346</f>
        <v/>
      </c>
      <c r="H1346" s="36" t="inlineStr">
        <is>
          <t>RAS</t>
        </is>
      </c>
      <c r="I1346" s="45" t="inlineStr"/>
      <c r="J1346" s="45" t="inlineStr">
        <is>
          <t>RNCP39357</t>
        </is>
      </c>
      <c r="K1346" s="45" t="inlineStr">
        <is>
          <t>CQP Installateur mainteneur de système de pompe à chaleur</t>
        </is>
      </c>
      <c r="L1346" s="45" t="inlineStr">
        <is>
          <t>19/07/2027</t>
        </is>
      </c>
      <c r="M1346" s="45" t="inlineStr">
        <is>
          <t>22675 (Pompe à chaleur) ; 22454 (Bâtiment second oeuvre) ; 22685 (Installation thermique sanitaire)</t>
        </is>
      </c>
      <c r="N1346" s="50" t="inlineStr">
        <is>
          <t>NON</t>
        </is>
      </c>
      <c r="O1346" s="45" t="inlineStr"/>
    </row>
    <row r="1347" customFormat="1" s="3">
      <c r="A1347" s="45" t="n"/>
      <c r="B1347" s="46" t="inlineStr">
        <is>
          <t>22642</t>
        </is>
      </c>
      <c r="C1347" s="46">
        <f>LEFT(Tableau1[[#This Row],[Formacode]],3)</f>
        <v/>
      </c>
      <c r="D1347" s="47" t="n">
        <v>39873</v>
      </c>
      <c r="E1347" s="48">
        <f>"RNCP"&amp;D1347</f>
        <v/>
      </c>
      <c r="F1347" s="48" t="inlineStr">
        <is>
          <t>CQP Technicien de maintenance et d’installation de pompe à chaleur et de climatiseur</t>
        </is>
      </c>
      <c r="G1347" s="49">
        <f>E1347&amp;" - "&amp;F1347</f>
        <v/>
      </c>
      <c r="H1347" s="36" t="inlineStr">
        <is>
          <t>RAS</t>
        </is>
      </c>
      <c r="I1347" s="45" t="inlineStr"/>
      <c r="J1347" s="45" t="inlineStr">
        <is>
          <t>RNCP39873</t>
        </is>
      </c>
      <c r="K1347" s="45" t="inlineStr">
        <is>
          <t>CQP Technicien de maintenance et d’installation de pompe à chaleur et de climatiseur</t>
        </is>
      </c>
      <c r="L1347" s="45" t="inlineStr">
        <is>
          <t>28/11/2029</t>
        </is>
      </c>
      <c r="M1347" s="45" t="inlineStr">
        <is>
          <t>22675 (Pompe à chaleur) ; 22635 (Climatisation)</t>
        </is>
      </c>
      <c r="N1347" s="50" t="inlineStr">
        <is>
          <t>NON</t>
        </is>
      </c>
      <c r="O1347" s="45" t="inlineStr"/>
    </row>
    <row r="1348" customFormat="1" s="3">
      <c r="A1348" s="45" t="n"/>
      <c r="B1348" s="46" t="inlineStr">
        <is>
          <t>22642</t>
        </is>
      </c>
      <c r="C1348" s="46">
        <f>LEFT(Tableau1[[#This Row],[Formacode]],3)</f>
        <v/>
      </c>
      <c r="D1348" s="47" t="n">
        <v>39874</v>
      </c>
      <c r="E1348" s="48">
        <f>"RNCP"&amp;D1348</f>
        <v/>
      </c>
      <c r="F1348" s="48" t="inlineStr">
        <is>
          <t>CQP Technicien de maintenance d’appareils de chauffage au gaz</t>
        </is>
      </c>
      <c r="G1348" s="49">
        <f>E1348&amp;" - "&amp;F1348</f>
        <v/>
      </c>
      <c r="H1348" s="36" t="inlineStr">
        <is>
          <t>RAS</t>
        </is>
      </c>
      <c r="I1348" s="45" t="inlineStr"/>
      <c r="J1348" s="45" t="inlineStr">
        <is>
          <t>RNCP39874</t>
        </is>
      </c>
      <c r="K1348" s="45" t="inlineStr">
        <is>
          <t>CQP Technicien de maintenance d’appareils de chauffage au gaz</t>
        </is>
      </c>
      <c r="L1348" s="45" t="inlineStr">
        <is>
          <t>28/11/2029</t>
        </is>
      </c>
      <c r="M1348" s="45" t="inlineStr">
        <is>
          <t>22650 (Chauffage gaz)</t>
        </is>
      </c>
      <c r="N1348" s="50" t="inlineStr">
        <is>
          <t>NON</t>
        </is>
      </c>
      <c r="O1348" s="45" t="inlineStr"/>
    </row>
    <row r="1349" customFormat="1" s="3">
      <c r="A1349" s="45" t="n"/>
      <c r="B1349" s="46" t="inlineStr">
        <is>
          <t>22642</t>
        </is>
      </c>
      <c r="C1349" s="46">
        <f>LEFT(Tableau1[[#This Row],[Formacode]],3)</f>
        <v/>
      </c>
      <c r="D1349" s="47" t="n">
        <v>40437</v>
      </c>
      <c r="E1349" s="48">
        <f>"RNCP"&amp;D1349</f>
        <v/>
      </c>
      <c r="F1349" s="48" t="inlineStr">
        <is>
          <t>BAC PRO - Technicien en transport et distribution des gaz</t>
        </is>
      </c>
      <c r="G1349" s="49">
        <f>E1349&amp;" - "&amp;F1349</f>
        <v/>
      </c>
      <c r="H1349" s="36" t="inlineStr">
        <is>
          <t>RAS</t>
        </is>
      </c>
      <c r="I1349" s="45" t="inlineStr"/>
      <c r="J1349" s="45" t="inlineStr">
        <is>
          <t>RNCP40437</t>
        </is>
      </c>
      <c r="K1349" s="45" t="inlineStr">
        <is>
          <t>Technicien en transport et distribution des gaz</t>
        </is>
      </c>
      <c r="L1349" s="45" t="inlineStr">
        <is>
          <t>31/08/2030</t>
        </is>
      </c>
      <c r="M1349" s="45" t="inlineStr">
        <is>
          <t>22694 (Installation gaz) ; 24189 (Gaz) ; 31624 (Maintenance industrielle) ; 22650 (Chauffage gaz)</t>
        </is>
      </c>
      <c r="N1349" s="50" t="inlineStr">
        <is>
          <t>NON</t>
        </is>
      </c>
      <c r="O1349" s="45" t="inlineStr"/>
    </row>
    <row r="1350" ht="28.8" customFormat="1" customHeight="1" s="3">
      <c r="A1350" s="45" t="n"/>
      <c r="B1350" s="46" t="inlineStr">
        <is>
          <t>22642</t>
        </is>
      </c>
      <c r="C1350" s="46">
        <f>LEFT(Tableau1[[#This Row],[Formacode]],3)</f>
        <v/>
      </c>
      <c r="D1350" s="47" t="n">
        <v>40673</v>
      </c>
      <c r="E1350" s="48">
        <f>"RNCP"&amp;D1350</f>
        <v/>
      </c>
      <c r="F1350" s="48" t="inlineStr">
        <is>
          <t>Technicien d'installation et de maintenance de systèmes énergétiques, option solaire ou photovoltaïque, option bois</t>
        </is>
      </c>
      <c r="G1350" s="49">
        <f>E1350&amp;" - "&amp;F1350</f>
        <v/>
      </c>
      <c r="H1350" s="36" t="inlineStr">
        <is>
          <t>RAS</t>
        </is>
      </c>
      <c r="I1350" s="45" t="inlineStr"/>
      <c r="J1350" s="45" t="inlineStr">
        <is>
          <t>RNCP40673</t>
        </is>
      </c>
      <c r="K1350" s="45" t="inlineStr">
        <is>
          <t>Technicien d'installation et de maintenance de systèmes énergétiques, option solaire ou photovoltaïque, option bois</t>
        </is>
      </c>
      <c r="L1350" s="45" t="inlineStr">
        <is>
          <t>23/05/2028</t>
        </is>
      </c>
      <c r="M1350" s="45" t="inlineStr">
        <is>
          <t>22685 (Installation thermique sanitaire) ; 24146 (Énergie solaire photovoltaïque) ; 22672 (Chauffage bois) ; 22635 (Climatisation)</t>
        </is>
      </c>
      <c r="N1350" s="50" t="inlineStr">
        <is>
          <t>NON</t>
        </is>
      </c>
      <c r="O1350" s="45" t="inlineStr"/>
    </row>
    <row r="1351" customFormat="1" s="3">
      <c r="A1351" s="45" t="n"/>
      <c r="B1351" s="46" t="inlineStr">
        <is>
          <t>22657</t>
        </is>
      </c>
      <c r="C1351" s="46">
        <f>LEFT(Tableau1[[#This Row],[Formacode]],3)</f>
        <v/>
      </c>
      <c r="D1351" s="47" t="n">
        <v>37292</v>
      </c>
      <c r="E1351" s="48">
        <f>"RNCP"&amp;D1351</f>
        <v/>
      </c>
      <c r="F1351" s="48" t="inlineStr">
        <is>
          <t>TP - Technicien d'études en chauffage, ventilation et climatisation</t>
        </is>
      </c>
      <c r="G1351" s="49">
        <f>E1351&amp;" - "&amp;F1351</f>
        <v/>
      </c>
      <c r="H1351" s="36" t="inlineStr">
        <is>
          <t>RAS</t>
        </is>
      </c>
      <c r="I1351" s="45" t="inlineStr"/>
      <c r="J1351" s="45" t="inlineStr">
        <is>
          <t>RNCP37292</t>
        </is>
      </c>
      <c r="K1351" s="45" t="inlineStr">
        <is>
          <t>Technicien d'études en chauffage, ventilation et climatisation</t>
        </is>
      </c>
      <c r="L1351" s="45" t="inlineStr">
        <is>
          <t>10/05/2028</t>
        </is>
      </c>
      <c r="M1351" s="45" t="inlineStr">
        <is>
          <t>22654 (Génie climatique) ; 22252 (Dessin BTP) ; 22279 (Maîtrise d'oeuvre BTP)</t>
        </is>
      </c>
      <c r="N1351" s="50" t="inlineStr">
        <is>
          <t>NON</t>
        </is>
      </c>
      <c r="O1351" s="45" t="inlineStr"/>
    </row>
    <row r="1352" customFormat="1" s="3">
      <c r="A1352" s="63" t="n"/>
      <c r="B1352" s="64" t="inlineStr">
        <is>
          <t>22657</t>
        </is>
      </c>
      <c r="C1352" s="64">
        <f>LEFT(Tableau1[[#This Row],[Formacode]],3)</f>
        <v/>
      </c>
      <c r="D1352" s="65" t="n">
        <v>37659</v>
      </c>
      <c r="E1352" s="66">
        <f>"RNCP"&amp;D1352</f>
        <v/>
      </c>
      <c r="F1352" s="66" t="inlineStr">
        <is>
          <t>Fumiste, option ramoneur, option poêlier-âtrier (CTM)</t>
        </is>
      </c>
      <c r="G1352" s="67">
        <f>E1352&amp;" - "&amp;F1352</f>
        <v/>
      </c>
      <c r="H1352" s="38" t="inlineStr">
        <is>
          <t>Expiré / remplacé</t>
        </is>
      </c>
      <c r="I1352" s="63" t="inlineStr">
        <is>
          <t>Fiche inactive — remplacée par RNCP42343 (Fumiste, option ramoneur, option poêlier-âtrier (CTM))</t>
        </is>
      </c>
      <c r="J1352" s="63" t="inlineStr">
        <is>
          <t>RNCP42343</t>
        </is>
      </c>
      <c r="K1352" s="63" t="inlineStr">
        <is>
          <t>Fumiste, option ramoneur, option poêlier-âtrier (CTM)</t>
        </is>
      </c>
      <c r="L1352" s="63" t="inlineStr">
        <is>
          <t>31/05/2026</t>
        </is>
      </c>
      <c r="M1352" s="63" t="inlineStr">
        <is>
          <t>22657 (Fumisterie)</t>
        </is>
      </c>
      <c r="N1352" s="68" t="inlineStr">
        <is>
          <t>NON</t>
        </is>
      </c>
      <c r="O1352" s="63" t="inlineStr"/>
    </row>
    <row r="1353" ht="28.8" customFormat="1" customHeight="1" s="3">
      <c r="A1353" s="45" t="n"/>
      <c r="B1353" s="46" t="inlineStr">
        <is>
          <t>22657</t>
        </is>
      </c>
      <c r="C1353" s="46">
        <f>LEFT(Tableau1[[#This Row],[Formacode]],3)</f>
        <v/>
      </c>
      <c r="D1353" s="47" t="n">
        <v>38361</v>
      </c>
      <c r="E1353" s="48">
        <f>"RNCP"&amp;D1353</f>
        <v/>
      </c>
      <c r="F1353" s="48" t="inlineStr">
        <is>
          <t>BTS - Fluides-énergies-domotique (option A « génie climatique et fluidique », option B « froid et conditionnement d'air », option C « domotique et bâtiments communicants »)</t>
        </is>
      </c>
      <c r="G1353" s="49">
        <f>E1353&amp;" - "&amp;F1353</f>
        <v/>
      </c>
      <c r="H1353" s="36" t="inlineStr">
        <is>
          <t>RAS</t>
        </is>
      </c>
      <c r="I1353" s="45" t="inlineStr"/>
      <c r="J1353" s="45" t="inlineStr">
        <is>
          <t>RNCP38361</t>
        </is>
      </c>
      <c r="K1353" s="45" t="inlineStr">
        <is>
          <t>Fluides-énergies-domotique (option A « génie climatique et fluidique », option B « froid et conditionnement d'air », option C « domotique et bâtiments communicants »)</t>
        </is>
      </c>
      <c r="L1353" s="45" t="inlineStr">
        <is>
          <t>31/12/2028</t>
        </is>
      </c>
      <c r="M1353" s="45" t="inlineStr">
        <is>
          <t>22654 (Génie climatique) ; 22499 (Immotique)</t>
        </is>
      </c>
      <c r="N1353" s="50" t="inlineStr">
        <is>
          <t>NON</t>
        </is>
      </c>
      <c r="O1353" s="45" t="inlineStr"/>
    </row>
    <row r="1354" customFormat="1" s="3">
      <c r="A1354" s="45" t="n"/>
      <c r="B1354" s="46" t="inlineStr">
        <is>
          <t>22657</t>
        </is>
      </c>
      <c r="C1354" s="46">
        <f>LEFT(Tableau1[[#This Row],[Formacode]],3)</f>
        <v/>
      </c>
      <c r="D1354" s="47" t="n">
        <v>39102</v>
      </c>
      <c r="E1354" s="48">
        <f>"RNCP"&amp;D1354</f>
        <v/>
      </c>
      <c r="F1354" s="48" t="inlineStr">
        <is>
          <t>CQP Poêlier - constructeur mainteneur de poêle maçonné artisanal</t>
        </is>
      </c>
      <c r="G1354" s="49">
        <f>E1354&amp;" - "&amp;F1354</f>
        <v/>
      </c>
      <c r="H1354" s="36" t="inlineStr">
        <is>
          <t>RAS</t>
        </is>
      </c>
      <c r="I1354" s="45" t="inlineStr"/>
      <c r="J1354" s="45" t="inlineStr">
        <is>
          <t>RNCP39102</t>
        </is>
      </c>
      <c r="K1354" s="45" t="inlineStr">
        <is>
          <t>CQP Poêlier - constructeur mainteneur de poêle maçonné artisanal</t>
        </is>
      </c>
      <c r="L1354" s="45" t="inlineStr">
        <is>
          <t>31/05/2027</t>
        </is>
      </c>
      <c r="M1354" s="45" t="inlineStr">
        <is>
          <t>22657 (Fumisterie) ; 22672 (Chauffage bois)</t>
        </is>
      </c>
      <c r="N1354" s="50" t="inlineStr">
        <is>
          <t>NON</t>
        </is>
      </c>
      <c r="O1354" s="45" t="inlineStr"/>
    </row>
    <row r="1355" customFormat="1" s="3">
      <c r="A1355" s="45" t="n"/>
      <c r="B1355" s="46" t="inlineStr">
        <is>
          <t>22657</t>
        </is>
      </c>
      <c r="C1355" s="46">
        <f>LEFT(Tableau1[[#This Row],[Formacode]],3)</f>
        <v/>
      </c>
      <c r="D1355" s="47" t="n">
        <v>41734</v>
      </c>
      <c r="E1355" s="48">
        <f>"RNCP"&amp;D1355</f>
        <v/>
      </c>
      <c r="F1355" s="48" t="inlineStr">
        <is>
          <t>Ramoneur fumiste</t>
        </is>
      </c>
      <c r="G1355" s="49">
        <f>E1355&amp;" - "&amp;F1355</f>
        <v/>
      </c>
      <c r="H1355" s="36" t="inlineStr">
        <is>
          <t>RAS</t>
        </is>
      </c>
      <c r="I1355" s="45" t="inlineStr"/>
      <c r="J1355" s="45" t="inlineStr">
        <is>
          <t>RNCP41734</t>
        </is>
      </c>
      <c r="K1355" s="45" t="inlineStr">
        <is>
          <t>Ramoneur fumiste</t>
        </is>
      </c>
      <c r="L1355" s="45" t="inlineStr">
        <is>
          <t>27/11/2030</t>
        </is>
      </c>
      <c r="M1355" s="45" t="inlineStr">
        <is>
          <t>22657 (Fumisterie)</t>
        </is>
      </c>
      <c r="N1355" s="50" t="inlineStr">
        <is>
          <t>NON</t>
        </is>
      </c>
      <c r="O1355" s="45" t="inlineStr"/>
    </row>
    <row r="1356" customFormat="1" s="3">
      <c r="A1356" s="45" t="n"/>
      <c r="B1356" s="46" t="inlineStr">
        <is>
          <t>22677</t>
        </is>
      </c>
      <c r="C1356" s="46">
        <f>LEFT(Tableau1[[#This Row],[Formacode]],3)</f>
        <v/>
      </c>
      <c r="D1356" s="47" t="n">
        <v>37165</v>
      </c>
      <c r="E1356" s="48">
        <f>"RNCP"&amp;D1356</f>
        <v/>
      </c>
      <c r="F1356" s="48" t="inlineStr">
        <is>
          <t>CQP Mécanicien de maintenance en robinetterie industrielle</t>
        </is>
      </c>
      <c r="G1356" s="49">
        <f>E1356&amp;" - "&amp;F1356</f>
        <v/>
      </c>
      <c r="H1356" s="36" t="inlineStr">
        <is>
          <t>RAS</t>
        </is>
      </c>
      <c r="I1356" s="45" t="inlineStr"/>
      <c r="J1356" s="45" t="inlineStr">
        <is>
          <t>RNCP37165</t>
        </is>
      </c>
      <c r="K1356" s="45" t="inlineStr">
        <is>
          <t>CQP Mécanicien de maintenance en robinetterie industrielle</t>
        </is>
      </c>
      <c r="L1356" s="45" t="inlineStr">
        <is>
          <t>14/12/2027</t>
        </is>
      </c>
      <c r="M1356" s="45" t="inlineStr">
        <is>
          <t>22699 (Robinetterie) ; 31624 (Maintenance industrielle)</t>
        </is>
      </c>
      <c r="N1356" s="50" t="inlineStr">
        <is>
          <t>NON</t>
        </is>
      </c>
      <c r="O1356" s="45" t="inlineStr"/>
    </row>
    <row r="1357" customFormat="1" s="3">
      <c r="A1357" s="45" t="n"/>
      <c r="B1357" s="46" t="inlineStr">
        <is>
          <t>22677</t>
        </is>
      </c>
      <c r="C1357" s="46">
        <f>LEFT(Tableau1[[#This Row],[Formacode]],3)</f>
        <v/>
      </c>
      <c r="D1357" s="47" t="n">
        <v>37292</v>
      </c>
      <c r="E1357" s="48">
        <f>"RNCP"&amp;D1357</f>
        <v/>
      </c>
      <c r="F1357" s="48" t="inlineStr">
        <is>
          <t>TP - Technicien d'études en chauffage, ventilation et climatisation</t>
        </is>
      </c>
      <c r="G1357" s="49">
        <f>E1357&amp;" - "&amp;F1357</f>
        <v/>
      </c>
      <c r="H1357" s="36" t="inlineStr">
        <is>
          <t>RAS</t>
        </is>
      </c>
      <c r="I1357" s="45" t="inlineStr"/>
      <c r="J1357" s="45" t="inlineStr">
        <is>
          <t>RNCP37292</t>
        </is>
      </c>
      <c r="K1357" s="45" t="inlineStr">
        <is>
          <t>Technicien d'études en chauffage, ventilation et climatisation</t>
        </is>
      </c>
      <c r="L1357" s="45" t="inlineStr">
        <is>
          <t>10/05/2028</t>
        </is>
      </c>
      <c r="M1357" s="45" t="inlineStr">
        <is>
          <t>22654 (Génie climatique) ; 22252 (Dessin BTP) ; 22279 (Maîtrise d'oeuvre BTP)</t>
        </is>
      </c>
      <c r="N1357" s="50" t="inlineStr">
        <is>
          <t>NON</t>
        </is>
      </c>
      <c r="O1357" s="45" t="inlineStr"/>
    </row>
    <row r="1358" customFormat="1" s="3">
      <c r="A1358" s="51" t="n"/>
      <c r="B1358" s="52" t="inlineStr">
        <is>
          <t>22677</t>
        </is>
      </c>
      <c r="C1358" s="52">
        <f>LEFT(Tableau1[[#This Row],[Formacode]],3)</f>
        <v/>
      </c>
      <c r="D1358" s="53" t="n">
        <v>37919</v>
      </c>
      <c r="E1358" s="54">
        <f>"RNCP"&amp;D1358</f>
        <v/>
      </c>
      <c r="F1358" s="54" t="inlineStr">
        <is>
          <t>CS - Maintenance des équipements thermiques individuels</t>
        </is>
      </c>
      <c r="G1358" s="55">
        <f>E1358&amp;" - "&amp;F1358</f>
        <v/>
      </c>
      <c r="H1358" s="37" t="inlineStr">
        <is>
          <t>À vérifier</t>
        </is>
      </c>
      <c r="I1358" s="51" t="inlineStr">
        <is>
          <t>Successeur déjà publié : RNCP41756 (Maintenance des équipements thermiques individuels) — préparer la bascule de l'offre CPF</t>
        </is>
      </c>
      <c r="J1358" s="51" t="inlineStr">
        <is>
          <t>RNCP41756</t>
        </is>
      </c>
      <c r="K1358" s="51" t="inlineStr">
        <is>
          <t>Maintenance des équipements thermiques individuels</t>
        </is>
      </c>
      <c r="L1358" s="51" t="inlineStr">
        <is>
          <t>31/08/2028</t>
        </is>
      </c>
      <c r="M1358" s="51" t="inlineStr">
        <is>
          <t>22671 (Chauffage) ; 22689 (Chauffe eau)</t>
        </is>
      </c>
      <c r="N1358" s="62" t="inlineStr">
        <is>
          <t>NON</t>
        </is>
      </c>
      <c r="O1358" s="51" t="inlineStr"/>
    </row>
    <row r="1359" customFormat="1" s="3">
      <c r="A1359" s="45" t="n"/>
      <c r="B1359" s="46" t="inlineStr">
        <is>
          <t>22677</t>
        </is>
      </c>
      <c r="C1359" s="46">
        <f>LEFT(Tableau1[[#This Row],[Formacode]],3)</f>
        <v/>
      </c>
      <c r="D1359" s="47" t="n">
        <v>38305</v>
      </c>
      <c r="E1359" s="48">
        <f>"RNCP"&amp;D1359</f>
        <v/>
      </c>
      <c r="F1359" s="48" t="inlineStr">
        <is>
          <t>CAP - Monteur en installations sanitaires</t>
        </is>
      </c>
      <c r="G1359" s="49">
        <f>E1359&amp;" - "&amp;F1359</f>
        <v/>
      </c>
      <c r="H1359" s="36" t="inlineStr">
        <is>
          <t>RAS</t>
        </is>
      </c>
      <c r="I1359" s="45" t="inlineStr"/>
      <c r="J1359" s="45" t="inlineStr">
        <is>
          <t>RNCP38305</t>
        </is>
      </c>
      <c r="K1359" s="45" t="inlineStr">
        <is>
          <t>Monteur en installations sanitaires</t>
        </is>
      </c>
      <c r="L1359" s="45" t="inlineStr">
        <is>
          <t>31/12/2028</t>
        </is>
      </c>
      <c r="M1359" s="45" t="inlineStr">
        <is>
          <t>22671 (Chauffage) ; 22697 (Installation sanitaire)</t>
        </is>
      </c>
      <c r="N1359" s="50" t="inlineStr">
        <is>
          <t>NON</t>
        </is>
      </c>
      <c r="O1359" s="45" t="inlineStr"/>
    </row>
    <row r="1360" ht="28.8" customFormat="1" customHeight="1" s="3">
      <c r="A1360" s="45" t="n"/>
      <c r="B1360" s="46" t="inlineStr">
        <is>
          <t>22677</t>
        </is>
      </c>
      <c r="C1360" s="46">
        <f>LEFT(Tableau1[[#This Row],[Formacode]],3)</f>
        <v/>
      </c>
      <c r="D1360" s="47" t="n">
        <v>38361</v>
      </c>
      <c r="E1360" s="48">
        <f>"RNCP"&amp;D1360</f>
        <v/>
      </c>
      <c r="F1360" s="48" t="inlineStr">
        <is>
          <t>BTS - Fluides-énergies-domotique (option A « génie climatique et fluidique », option B « froid et conditionnement d'air », option C « domotique et bâtiments communicants »)</t>
        </is>
      </c>
      <c r="G1360" s="49">
        <f>E1360&amp;" - "&amp;F1360</f>
        <v/>
      </c>
      <c r="H1360" s="36" t="inlineStr">
        <is>
          <t>RAS</t>
        </is>
      </c>
      <c r="I1360" s="45" t="inlineStr"/>
      <c r="J1360" s="45" t="inlineStr">
        <is>
          <t>RNCP38361</t>
        </is>
      </c>
      <c r="K1360" s="45" t="inlineStr">
        <is>
          <t>Fluides-énergies-domotique (option A « génie climatique et fluidique », option B « froid et conditionnement d'air », option C « domotique et bâtiments communicants »)</t>
        </is>
      </c>
      <c r="L1360" s="45" t="inlineStr">
        <is>
          <t>31/12/2028</t>
        </is>
      </c>
      <c r="M1360" s="45" t="inlineStr">
        <is>
          <t>22654 (Génie climatique) ; 22499 (Immotique)</t>
        </is>
      </c>
      <c r="N1360" s="50" t="inlineStr">
        <is>
          <t>NON</t>
        </is>
      </c>
      <c r="O1360" s="45" t="inlineStr"/>
    </row>
    <row r="1361" customFormat="1" s="3">
      <c r="A1361" s="45" t="n"/>
      <c r="B1361" s="46" t="inlineStr">
        <is>
          <t>22677</t>
        </is>
      </c>
      <c r="C1361" s="46">
        <f>LEFT(Tableau1[[#This Row],[Formacode]],3)</f>
        <v/>
      </c>
      <c r="D1361" s="47" t="n">
        <v>38726</v>
      </c>
      <c r="E1361" s="48">
        <f>"RNCP"&amp;D1361</f>
        <v/>
      </c>
      <c r="F1361" s="48" t="inlineStr">
        <is>
          <t>BP - Monteur en installations de génie climatique et sanitaire</t>
        </is>
      </c>
      <c r="G1361" s="49">
        <f>E1361&amp;" - "&amp;F1361</f>
        <v/>
      </c>
      <c r="H1361" s="36" t="inlineStr">
        <is>
          <t>RAS</t>
        </is>
      </c>
      <c r="I1361" s="45" t="inlineStr"/>
      <c r="J1361" s="45" t="inlineStr">
        <is>
          <t>RNCP38726</t>
        </is>
      </c>
      <c r="K1361" s="45" t="inlineStr">
        <is>
          <t>Monteur en installations de génie climatique et sanitaire</t>
        </is>
      </c>
      <c r="L1361" s="45" t="inlineStr">
        <is>
          <t>31/12/2028</t>
        </is>
      </c>
      <c r="M1361" s="45" t="inlineStr">
        <is>
          <t>22697 (Installation sanitaire)</t>
        </is>
      </c>
      <c r="N1361" s="50" t="inlineStr">
        <is>
          <t>NON</t>
        </is>
      </c>
      <c r="O1361" s="45" t="inlineStr"/>
    </row>
    <row r="1362" customFormat="1" s="3">
      <c r="A1362" s="45" t="n"/>
      <c r="B1362" s="46" t="inlineStr">
        <is>
          <t>22677</t>
        </is>
      </c>
      <c r="C1362" s="46">
        <f>LEFT(Tableau1[[#This Row],[Formacode]],3)</f>
        <v/>
      </c>
      <c r="D1362" s="47" t="n">
        <v>40484</v>
      </c>
      <c r="E1362" s="48">
        <f>"RNCP"&amp;D1362</f>
        <v/>
      </c>
      <c r="F1362" s="48" t="inlineStr">
        <is>
          <t>CAP - Constructeur de réseaux de canalisations de travaux publics</t>
        </is>
      </c>
      <c r="G1362" s="49">
        <f>E1362&amp;" - "&amp;F1362</f>
        <v/>
      </c>
      <c r="H1362" s="36" t="inlineStr">
        <is>
          <t>RAS</t>
        </is>
      </c>
      <c r="I1362" s="45" t="inlineStr"/>
      <c r="J1362" s="45" t="inlineStr">
        <is>
          <t>RNCP40484</t>
        </is>
      </c>
      <c r="K1362" s="45" t="inlineStr">
        <is>
          <t>Constructeur de réseaux de canalisations de travaux publics</t>
        </is>
      </c>
      <c r="L1362" s="45" t="inlineStr">
        <is>
          <t>31/08/2030</t>
        </is>
      </c>
      <c r="M1362" s="45" t="inlineStr">
        <is>
          <t>22070 (Canalisation réseau extérieur) ; 22679 (Canalisation)</t>
        </is>
      </c>
      <c r="N1362" s="50" t="inlineStr">
        <is>
          <t>NON</t>
        </is>
      </c>
      <c r="O1362" s="45" t="inlineStr"/>
    </row>
    <row r="1363" customFormat="1" s="3">
      <c r="A1363" s="63" t="n"/>
      <c r="B1363" s="64" t="inlineStr">
        <is>
          <t>22685</t>
        </is>
      </c>
      <c r="C1363" s="64">
        <f>LEFT(Tableau1[[#This Row],[Formacode]],3)</f>
        <v/>
      </c>
      <c r="D1363" s="65" t="n">
        <v>35189</v>
      </c>
      <c r="E1363" s="66">
        <f>"RNCP"&amp;D1363</f>
        <v/>
      </c>
      <c r="F1363" s="66" t="inlineStr">
        <is>
          <t>TP - Installateur thermique et sanitaire</t>
        </is>
      </c>
      <c r="G1363" s="67">
        <f>E1363&amp;" - "&amp;F1363</f>
        <v/>
      </c>
      <c r="H1363" s="38" t="inlineStr">
        <is>
          <t>Expiré / remplacé</t>
        </is>
      </c>
      <c r="I1363" s="63" t="inlineStr">
        <is>
          <t>Fiche inactive — remplacée par RNCP41909 (Plombier chauffagiste)</t>
        </is>
      </c>
      <c r="J1363" s="63" t="inlineStr">
        <is>
          <t>RNCP41909</t>
        </is>
      </c>
      <c r="K1363" s="63" t="inlineStr">
        <is>
          <t>Plombier chauffagiste</t>
        </is>
      </c>
      <c r="L1363" s="63" t="inlineStr">
        <is>
          <t>03/03/2026</t>
        </is>
      </c>
      <c r="M1363" s="63" t="inlineStr">
        <is>
          <t>22685 (Installation thermique sanitaire) ; 22671 (Chauffage) ; 22211 (Performance énergétique bâtiment) ; 22485 (Rénovation bâtiment)</t>
        </is>
      </c>
      <c r="N1363" s="68" t="inlineStr">
        <is>
          <t>NON</t>
        </is>
      </c>
      <c r="O1363" s="63" t="inlineStr"/>
    </row>
    <row r="1364" customFormat="1" s="3">
      <c r="A1364" s="63" t="n"/>
      <c r="B1364" s="64" t="inlineStr">
        <is>
          <t>22685</t>
        </is>
      </c>
      <c r="C1364" s="64">
        <f>LEFT(Tableau1[[#This Row],[Formacode]],3)</f>
        <v/>
      </c>
      <c r="D1364" s="65" t="n">
        <v>35231</v>
      </c>
      <c r="E1364" s="66">
        <f>"RNCP"&amp;D1364</f>
        <v/>
      </c>
      <c r="F1364" s="66" t="inlineStr">
        <is>
          <t>TP - Technicien d'installation en équipements de confort climatique</t>
        </is>
      </c>
      <c r="G1364" s="67">
        <f>E1364&amp;" - "&amp;F1364</f>
        <v/>
      </c>
      <c r="H1364" s="38" t="inlineStr">
        <is>
          <t>Expiré / remplacé</t>
        </is>
      </c>
      <c r="I1364" s="63" t="inlineStr">
        <is>
          <t>Fiche inactive — remplacée par RNCP41911 (Technicien d’intervention en chauffage, climatisation, sanitaire et énergies renouvelables)</t>
        </is>
      </c>
      <c r="J1364" s="63" t="inlineStr">
        <is>
          <t>RNCP41911</t>
        </is>
      </c>
      <c r="K1364" s="63" t="inlineStr">
        <is>
          <t>Technicien d’intervention en chauffage, climatisation, sanitaire et énergies renouvelables</t>
        </is>
      </c>
      <c r="L1364" s="63" t="inlineStr">
        <is>
          <t>03/03/2026</t>
        </is>
      </c>
      <c r="M1364" s="63" t="inlineStr">
        <is>
          <t>22685 (Installation thermique sanitaire) ; 22635 (Climatisation) ; 24147 (Énergie renouvelable) ; 22211 (Performance énergétique bâtiment) ; 22485 (Rénovation bâtiment)</t>
        </is>
      </c>
      <c r="N1364" s="68" t="inlineStr">
        <is>
          <t>NON</t>
        </is>
      </c>
      <c r="O1364" s="63" t="inlineStr"/>
    </row>
    <row r="1365" customFormat="1" s="3">
      <c r="A1365" s="51" t="n"/>
      <c r="B1365" s="52" t="inlineStr">
        <is>
          <t>22685</t>
        </is>
      </c>
      <c r="C1365" s="52">
        <f>LEFT(Tableau1[[#This Row],[Formacode]],3)</f>
        <v/>
      </c>
      <c r="D1365" s="53" t="n">
        <v>35845</v>
      </c>
      <c r="E1365" s="54">
        <f>"RNCP"&amp;D1365</f>
        <v/>
      </c>
      <c r="F1365" s="54" t="inlineStr">
        <is>
          <t>BAC PRO - Installateur en Chauffage, Climatisation et Énergies Renouvelables</t>
        </is>
      </c>
      <c r="G1365" s="55">
        <f>E1365&amp;" - "&amp;F1365</f>
        <v/>
      </c>
      <c r="H1365" s="37" t="inlineStr">
        <is>
          <t>À vérifier</t>
        </is>
      </c>
      <c r="I1365" s="51" t="inlineStr">
        <is>
          <t>Successeur déjà publié : RNCP42117 (Installateur en chauffage, climatisation et énergies renouvelables) — préparer la bascule de l'offre CPF | Échéance le 31/08/2026 (dans 44 j)</t>
        </is>
      </c>
      <c r="J1365" s="51" t="inlineStr">
        <is>
          <t>RNCP42117</t>
        </is>
      </c>
      <c r="K1365" s="51" t="inlineStr">
        <is>
          <t>Installateur en chauffage, climatisation et énergies renouvelables</t>
        </is>
      </c>
      <c r="L1365" s="51" t="inlineStr">
        <is>
          <t>31/08/2026</t>
        </is>
      </c>
      <c r="M1365" s="51" t="inlineStr">
        <is>
          <t>22635 (Climatisation) ; 22671 (Chauffage) ; 22685 (Installation thermique sanitaire)</t>
        </is>
      </c>
      <c r="N1365" s="62" t="inlineStr">
        <is>
          <t>NON</t>
        </is>
      </c>
      <c r="O1365" s="51" t="inlineStr"/>
    </row>
    <row r="1366" customFormat="1" s="3">
      <c r="A1366" s="45" t="n"/>
      <c r="B1366" s="46" t="inlineStr">
        <is>
          <t>22685</t>
        </is>
      </c>
      <c r="C1366" s="46">
        <f>LEFT(Tableau1[[#This Row],[Formacode]],3)</f>
        <v/>
      </c>
      <c r="D1366" s="47" t="n">
        <v>37292</v>
      </c>
      <c r="E1366" s="48">
        <f>"RNCP"&amp;D1366</f>
        <v/>
      </c>
      <c r="F1366" s="48" t="inlineStr">
        <is>
          <t>TP - Technicien d'études en chauffage, ventilation et climatisation</t>
        </is>
      </c>
      <c r="G1366" s="49">
        <f>E1366&amp;" - "&amp;F1366</f>
        <v/>
      </c>
      <c r="H1366" s="36" t="inlineStr">
        <is>
          <t>RAS</t>
        </is>
      </c>
      <c r="I1366" s="45" t="inlineStr"/>
      <c r="J1366" s="45" t="inlineStr">
        <is>
          <t>RNCP37292</t>
        </is>
      </c>
      <c r="K1366" s="45" t="inlineStr">
        <is>
          <t>Technicien d'études en chauffage, ventilation et climatisation</t>
        </is>
      </c>
      <c r="L1366" s="45" t="inlineStr">
        <is>
          <t>10/05/2028</t>
        </is>
      </c>
      <c r="M1366" s="45" t="inlineStr">
        <is>
          <t>22654 (Génie climatique) ; 22252 (Dessin BTP) ; 22279 (Maîtrise d'oeuvre BTP)</t>
        </is>
      </c>
      <c r="N1366" s="50" t="inlineStr">
        <is>
          <t>NON</t>
        </is>
      </c>
      <c r="O1366" s="45" t="inlineStr"/>
    </row>
    <row r="1367" customFormat="1" s="3">
      <c r="A1367" s="45" t="n"/>
      <c r="B1367" s="46" t="inlineStr">
        <is>
          <t>22685</t>
        </is>
      </c>
      <c r="C1367" s="46">
        <f>LEFT(Tableau1[[#This Row],[Formacode]],3)</f>
        <v/>
      </c>
      <c r="D1367" s="47" t="n">
        <v>38081</v>
      </c>
      <c r="E1367" s="48">
        <f>"RNCP"&amp;D1367</f>
        <v/>
      </c>
      <c r="F1367" s="48" t="inlineStr">
        <is>
          <t>TP - Technicien de maintenance d'équipements de confort climatique</t>
        </is>
      </c>
      <c r="G1367" s="49">
        <f>E1367&amp;" - "&amp;F1367</f>
        <v/>
      </c>
      <c r="H1367" s="36" t="inlineStr">
        <is>
          <t>RAS</t>
        </is>
      </c>
      <c r="I1367" s="45" t="inlineStr"/>
      <c r="J1367" s="45" t="inlineStr">
        <is>
          <t>RNCP38081</t>
        </is>
      </c>
      <c r="K1367" s="45" t="inlineStr">
        <is>
          <t>Technicien de maintenance d'équipements de confort climatique</t>
        </is>
      </c>
      <c r="L1367" s="45" t="inlineStr">
        <is>
          <t>21/10/2028</t>
        </is>
      </c>
      <c r="M1367" s="45" t="inlineStr">
        <is>
          <t>22671 (Chauffage) ; 22635 (Climatisation) ; 22685 (Installation thermique sanitaire)</t>
        </is>
      </c>
      <c r="N1367" s="50" t="inlineStr">
        <is>
          <t>NON</t>
        </is>
      </c>
      <c r="O1367" s="45" t="inlineStr"/>
    </row>
    <row r="1368" customFormat="1" s="3">
      <c r="A1368" s="45" t="n"/>
      <c r="B1368" s="46" t="inlineStr">
        <is>
          <t>22685</t>
        </is>
      </c>
      <c r="C1368" s="46">
        <f>LEFT(Tableau1[[#This Row],[Formacode]],3)</f>
        <v/>
      </c>
      <c r="D1368" s="47" t="n">
        <v>38306</v>
      </c>
      <c r="E1368" s="48">
        <f>"RNCP"&amp;D1368</f>
        <v/>
      </c>
      <c r="F1368" s="48" t="inlineStr">
        <is>
          <t>CAP - Monteur en installations thermiques</t>
        </is>
      </c>
      <c r="G1368" s="49">
        <f>E1368&amp;" - "&amp;F1368</f>
        <v/>
      </c>
      <c r="H1368" s="36" t="inlineStr">
        <is>
          <t>RAS</t>
        </is>
      </c>
      <c r="I1368" s="45" t="inlineStr"/>
      <c r="J1368" s="45" t="inlineStr">
        <is>
          <t>RNCP38306</t>
        </is>
      </c>
      <c r="K1368" s="45" t="inlineStr">
        <is>
          <t>Monteur en installations thermiques</t>
        </is>
      </c>
      <c r="L1368" s="45" t="inlineStr">
        <is>
          <t>31/12/2028</t>
        </is>
      </c>
      <c r="M1368" s="45" t="inlineStr">
        <is>
          <t>22685 (Installation thermique sanitaire)</t>
        </is>
      </c>
      <c r="N1368" s="50" t="inlineStr">
        <is>
          <t>NON</t>
        </is>
      </c>
      <c r="O1368" s="45" t="inlineStr"/>
    </row>
    <row r="1369" ht="28.8" customFormat="1" customHeight="1" s="3">
      <c r="A1369" s="45" t="n"/>
      <c r="B1369" s="46" t="inlineStr">
        <is>
          <t>22685</t>
        </is>
      </c>
      <c r="C1369" s="46">
        <f>LEFT(Tableau1[[#This Row],[Formacode]],3)</f>
        <v/>
      </c>
      <c r="D1369" s="47" t="n">
        <v>38361</v>
      </c>
      <c r="E1369" s="48">
        <f>"RNCP"&amp;D1369</f>
        <v/>
      </c>
      <c r="F1369" s="48" t="inlineStr">
        <is>
          <t>BTS - Fluides-énergies-domotique (option A « génie climatique et fluidique », option B « froid et conditionnement d'air », option C « domotique et bâtiments communicants »)</t>
        </is>
      </c>
      <c r="G1369" s="49">
        <f>E1369&amp;" - "&amp;F1369</f>
        <v/>
      </c>
      <c r="H1369" s="36" t="inlineStr">
        <is>
          <t>RAS</t>
        </is>
      </c>
      <c r="I1369" s="45" t="inlineStr"/>
      <c r="J1369" s="45" t="inlineStr">
        <is>
          <t>RNCP38361</t>
        </is>
      </c>
      <c r="K1369" s="45" t="inlineStr">
        <is>
          <t>Fluides-énergies-domotique (option A « génie climatique et fluidique », option B « froid et conditionnement d'air », option C « domotique et bâtiments communicants »)</t>
        </is>
      </c>
      <c r="L1369" s="45" t="inlineStr">
        <is>
          <t>31/12/2028</t>
        </is>
      </c>
      <c r="M1369" s="45" t="inlineStr">
        <is>
          <t>22654 (Génie climatique) ; 22499 (Immotique)</t>
        </is>
      </c>
      <c r="N1369" s="50" t="inlineStr">
        <is>
          <t>NON</t>
        </is>
      </c>
      <c r="O1369" s="45" t="inlineStr"/>
    </row>
    <row r="1370" customFormat="1" s="3">
      <c r="A1370" s="45" t="n"/>
      <c r="B1370" s="46" t="inlineStr">
        <is>
          <t>22685</t>
        </is>
      </c>
      <c r="C1370" s="46">
        <f>LEFT(Tableau1[[#This Row],[Formacode]],3)</f>
        <v/>
      </c>
      <c r="D1370" s="47" t="n">
        <v>39357</v>
      </c>
      <c r="E1370" s="48">
        <f>"RNCP"&amp;D1370</f>
        <v/>
      </c>
      <c r="F1370" s="48" t="inlineStr">
        <is>
          <t>CQP Installateur mainteneur de système de pompe à chaleur</t>
        </is>
      </c>
      <c r="G1370" s="49">
        <f>E1370&amp;" - "&amp;F1370</f>
        <v/>
      </c>
      <c r="H1370" s="36" t="inlineStr">
        <is>
          <t>RAS</t>
        </is>
      </c>
      <c r="I1370" s="45" t="inlineStr"/>
      <c r="J1370" s="45" t="inlineStr">
        <is>
          <t>RNCP39357</t>
        </is>
      </c>
      <c r="K1370" s="45" t="inlineStr">
        <is>
          <t>CQP Installateur mainteneur de système de pompe à chaleur</t>
        </is>
      </c>
      <c r="L1370" s="45" t="inlineStr">
        <is>
          <t>19/07/2027</t>
        </is>
      </c>
      <c r="M1370" s="45" t="inlineStr">
        <is>
          <t>22675 (Pompe à chaleur) ; 22454 (Bâtiment second oeuvre) ; 22685 (Installation thermique sanitaire)</t>
        </is>
      </c>
      <c r="N1370" s="50" t="inlineStr">
        <is>
          <t>NON</t>
        </is>
      </c>
      <c r="O1370" s="45" t="inlineStr"/>
    </row>
    <row r="1371" ht="28.8" customFormat="1" customHeight="1" s="3">
      <c r="A1371" s="45" t="n"/>
      <c r="B1371" s="46" t="inlineStr">
        <is>
          <t>22685</t>
        </is>
      </c>
      <c r="C1371" s="46">
        <f>LEFT(Tableau1[[#This Row],[Formacode]],3)</f>
        <v/>
      </c>
      <c r="D1371" s="47" t="n">
        <v>40673</v>
      </c>
      <c r="E1371" s="48">
        <f>"RNCP"&amp;D1371</f>
        <v/>
      </c>
      <c r="F1371" s="48" t="inlineStr">
        <is>
          <t>Technicien d'installation et de maintenance de systèmes énergétiques, option solaire ou photovoltaïque, option bois</t>
        </is>
      </c>
      <c r="G1371" s="49">
        <f>E1371&amp;" - "&amp;F1371</f>
        <v/>
      </c>
      <c r="H1371" s="36" t="inlineStr">
        <is>
          <t>RAS</t>
        </is>
      </c>
      <c r="I1371" s="45" t="inlineStr"/>
      <c r="J1371" s="45" t="inlineStr">
        <is>
          <t>RNCP40673</t>
        </is>
      </c>
      <c r="K1371" s="45" t="inlineStr">
        <is>
          <t>Technicien d'installation et de maintenance de systèmes énergétiques, option solaire ou photovoltaïque, option bois</t>
        </is>
      </c>
      <c r="L1371" s="45" t="inlineStr">
        <is>
          <t>23/05/2028</t>
        </is>
      </c>
      <c r="M1371" s="45" t="inlineStr">
        <is>
          <t>22685 (Installation thermique sanitaire) ; 24146 (Énergie solaire photovoltaïque) ; 22672 (Chauffage bois) ; 22635 (Climatisation)</t>
        </is>
      </c>
      <c r="N1371" s="50" t="inlineStr">
        <is>
          <t>NON</t>
        </is>
      </c>
      <c r="O1371" s="45" t="inlineStr"/>
    </row>
    <row r="1372" customFormat="1" s="3">
      <c r="A1372" s="45" t="n"/>
      <c r="B1372" s="46" t="inlineStr">
        <is>
          <t>22694</t>
        </is>
      </c>
      <c r="C1372" s="46">
        <f>LEFT(Tableau1[[#This Row],[Formacode]],3)</f>
        <v/>
      </c>
      <c r="D1372" s="47" t="n">
        <v>37292</v>
      </c>
      <c r="E1372" s="48">
        <f>"RNCP"&amp;D1372</f>
        <v/>
      </c>
      <c r="F1372" s="48" t="inlineStr">
        <is>
          <t>TP - Technicien d'études en chauffage, ventilation et climatisation</t>
        </is>
      </c>
      <c r="G1372" s="49">
        <f>E1372&amp;" - "&amp;F1372</f>
        <v/>
      </c>
      <c r="H1372" s="36" t="inlineStr">
        <is>
          <t>RAS</t>
        </is>
      </c>
      <c r="I1372" s="45" t="inlineStr"/>
      <c r="J1372" s="45" t="inlineStr">
        <is>
          <t>RNCP37292</t>
        </is>
      </c>
      <c r="K1372" s="45" t="inlineStr">
        <is>
          <t>Technicien d'études en chauffage, ventilation et climatisation</t>
        </is>
      </c>
      <c r="L1372" s="45" t="inlineStr">
        <is>
          <t>10/05/2028</t>
        </is>
      </c>
      <c r="M1372" s="45" t="inlineStr">
        <is>
          <t>22654 (Génie climatique) ; 22252 (Dessin BTP) ; 22279 (Maîtrise d'oeuvre BTP)</t>
        </is>
      </c>
      <c r="N1372" s="50" t="inlineStr">
        <is>
          <t>NON</t>
        </is>
      </c>
      <c r="O1372" s="45" t="inlineStr"/>
    </row>
    <row r="1373" ht="28.8" customFormat="1" customHeight="1" s="3">
      <c r="A1373" s="45" t="n"/>
      <c r="B1373" s="46" t="inlineStr">
        <is>
          <t>22694</t>
        </is>
      </c>
      <c r="C1373" s="46">
        <f>LEFT(Tableau1[[#This Row],[Formacode]],3)</f>
        <v/>
      </c>
      <c r="D1373" s="47" t="n">
        <v>38361</v>
      </c>
      <c r="E1373" s="48">
        <f>"RNCP"&amp;D1373</f>
        <v/>
      </c>
      <c r="F1373" s="48" t="inlineStr">
        <is>
          <t>BTS - Fluides-énergies-domotique (option A « génie climatique et fluidique », option B « froid et conditionnement d'air », option C « domotique et bâtiments communicants »)</t>
        </is>
      </c>
      <c r="G1373" s="49">
        <f>E1373&amp;" - "&amp;F1373</f>
        <v/>
      </c>
      <c r="H1373" s="36" t="inlineStr">
        <is>
          <t>RAS</t>
        </is>
      </c>
      <c r="I1373" s="45" t="inlineStr"/>
      <c r="J1373" s="45" t="inlineStr">
        <is>
          <t>RNCP38361</t>
        </is>
      </c>
      <c r="K1373" s="45" t="inlineStr">
        <is>
          <t>Fluides-énergies-domotique (option A « génie climatique et fluidique », option B « froid et conditionnement d'air », option C « domotique et bâtiments communicants »)</t>
        </is>
      </c>
      <c r="L1373" s="45" t="inlineStr">
        <is>
          <t>31/12/2028</t>
        </is>
      </c>
      <c r="M1373" s="45" t="inlineStr">
        <is>
          <t>22654 (Génie climatique) ; 22499 (Immotique)</t>
        </is>
      </c>
      <c r="N1373" s="50" t="inlineStr">
        <is>
          <t>NON</t>
        </is>
      </c>
      <c r="O1373" s="45" t="inlineStr"/>
    </row>
    <row r="1374" customFormat="1" s="3">
      <c r="A1374" s="45" t="n"/>
      <c r="B1374" s="46" t="inlineStr">
        <is>
          <t>22694</t>
        </is>
      </c>
      <c r="C1374" s="46">
        <f>LEFT(Tableau1[[#This Row],[Formacode]],3)</f>
        <v/>
      </c>
      <c r="D1374" s="47" t="n">
        <v>40437</v>
      </c>
      <c r="E1374" s="48">
        <f>"RNCP"&amp;D1374</f>
        <v/>
      </c>
      <c r="F1374" s="48" t="inlineStr">
        <is>
          <t>BAC PRO - Technicien en transport et distribution des gaz</t>
        </is>
      </c>
      <c r="G1374" s="49">
        <f>E1374&amp;" - "&amp;F1374</f>
        <v/>
      </c>
      <c r="H1374" s="36" t="inlineStr">
        <is>
          <t>RAS</t>
        </is>
      </c>
      <c r="I1374" s="45" t="inlineStr"/>
      <c r="J1374" s="45" t="inlineStr">
        <is>
          <t>RNCP40437</t>
        </is>
      </c>
      <c r="K1374" s="45" t="inlineStr">
        <is>
          <t>Technicien en transport et distribution des gaz</t>
        </is>
      </c>
      <c r="L1374" s="45" t="inlineStr">
        <is>
          <t>31/08/2030</t>
        </is>
      </c>
      <c r="M1374" s="45" t="inlineStr">
        <is>
          <t>22694 (Installation gaz) ; 24189 (Gaz) ; 31624 (Maintenance industrielle) ; 22650 (Chauffage gaz)</t>
        </is>
      </c>
      <c r="N1374" s="50" t="inlineStr">
        <is>
          <t>NON</t>
        </is>
      </c>
      <c r="O1374" s="45" t="inlineStr"/>
    </row>
    <row r="1375" customFormat="1" s="3">
      <c r="A1375" s="51" t="n"/>
      <c r="B1375" s="52" t="inlineStr">
        <is>
          <t>22820</t>
        </is>
      </c>
      <c r="C1375" s="52">
        <f>LEFT(Tableau1[[#This Row],[Formacode]],3)</f>
        <v/>
      </c>
      <c r="D1375" s="53" t="n">
        <v>39191</v>
      </c>
      <c r="E1375" s="54">
        <f>"RNCP"&amp;D1375</f>
        <v/>
      </c>
      <c r="F1375" s="54" t="inlineStr">
        <is>
          <t>CS - Conducteur de machines de verrerie</t>
        </is>
      </c>
      <c r="G1375" s="55">
        <f>E1375&amp;" - "&amp;F1375</f>
        <v/>
      </c>
      <c r="H1375" s="37" t="inlineStr">
        <is>
          <t>À vérifier</t>
        </is>
      </c>
      <c r="I1375" s="51" t="inlineStr">
        <is>
          <t>Successeur déjà publié : RNCP42255 (Conduite d'équipements verriers) — préparer la bascule de l'offre CPF | Échéance le 31/12/2026 (dans 166 j)</t>
        </is>
      </c>
      <c r="J1375" s="51" t="inlineStr">
        <is>
          <t>RNCP42255</t>
        </is>
      </c>
      <c r="K1375" s="51" t="inlineStr">
        <is>
          <t>Conduite d'équipements verriers</t>
        </is>
      </c>
      <c r="L1375" s="51" t="inlineStr">
        <is>
          <t>31/12/2026</t>
        </is>
      </c>
      <c r="M1375" s="51" t="inlineStr">
        <is>
          <t>31620 (Conduite installation industrielle) ; 22820 (Verre)</t>
        </is>
      </c>
      <c r="N1375" s="62" t="inlineStr">
        <is>
          <t>NON</t>
        </is>
      </c>
      <c r="O1375" s="51" t="inlineStr"/>
    </row>
    <row r="1376" customFormat="1" s="3">
      <c r="A1376" s="45" t="n"/>
      <c r="B1376" s="46" t="inlineStr">
        <is>
          <t>22820</t>
        </is>
      </c>
      <c r="C1376" s="46">
        <f>LEFT(Tableau1[[#This Row],[Formacode]],3)</f>
        <v/>
      </c>
      <c r="D1376" s="47" t="n">
        <v>39940</v>
      </c>
      <c r="E1376" s="48">
        <f>"RNCP"&amp;D1376</f>
        <v/>
      </c>
      <c r="F1376" s="48" t="inlineStr">
        <is>
          <t>CAP - Souffleur de verre options Enseigne lumineuse et Verrerie scientifique</t>
        </is>
      </c>
      <c r="G1376" s="49">
        <f>E1376&amp;" - "&amp;F1376</f>
        <v/>
      </c>
      <c r="H1376" s="36" t="inlineStr">
        <is>
          <t>RAS</t>
        </is>
      </c>
      <c r="I1376" s="45" t="inlineStr"/>
      <c r="J1376" s="45" t="inlineStr">
        <is>
          <t>RNCP39940</t>
        </is>
      </c>
      <c r="K1376" s="45" t="inlineStr">
        <is>
          <t>Souffleur de verre options Enseigne lumineuse et Verrerie scientifique</t>
        </is>
      </c>
      <c r="L1376" s="45" t="inlineStr">
        <is>
          <t>31/08/2027</t>
        </is>
      </c>
      <c r="M1376" s="45" t="inlineStr">
        <is>
          <t>45567 (Verrerie art) ; 22820 (Verre) ; 22441 (Signalétique enseigne)</t>
        </is>
      </c>
      <c r="N1376" s="50" t="inlineStr">
        <is>
          <t>NON</t>
        </is>
      </c>
      <c r="O1376" s="45" t="inlineStr"/>
    </row>
    <row r="1377" customFormat="1" s="3">
      <c r="A1377" s="45" t="n"/>
      <c r="B1377" s="46" t="inlineStr">
        <is>
          <t>22821</t>
        </is>
      </c>
      <c r="C1377" s="46">
        <f>LEFT(Tableau1[[#This Row],[Formacode]],3)</f>
        <v/>
      </c>
      <c r="D1377" s="47" t="n">
        <v>37197</v>
      </c>
      <c r="E1377" s="48">
        <f>"RNCP"&amp;D1377</f>
        <v/>
      </c>
      <c r="F1377" s="48" t="inlineStr">
        <is>
          <t>BTS - Industries céramiques</t>
        </is>
      </c>
      <c r="G1377" s="49">
        <f>E1377&amp;" - "&amp;F1377</f>
        <v/>
      </c>
      <c r="H1377" s="36" t="inlineStr">
        <is>
          <t>RAS</t>
        </is>
      </c>
      <c r="I1377" s="45" t="inlineStr"/>
      <c r="J1377" s="45" t="inlineStr">
        <is>
          <t>RNCP37197</t>
        </is>
      </c>
      <c r="K1377" s="45" t="inlineStr">
        <is>
          <t>Industries céramiques</t>
        </is>
      </c>
      <c r="L1377" s="45" t="inlineStr">
        <is>
          <t>31/08/2028</t>
        </is>
      </c>
      <c r="M1377" s="45" t="inlineStr">
        <is>
          <t>22821 (Céramique industrielle)</t>
        </is>
      </c>
      <c r="N1377" s="50" t="inlineStr">
        <is>
          <t>NON</t>
        </is>
      </c>
      <c r="O1377" s="45" t="inlineStr"/>
    </row>
    <row r="1378" customFormat="1" s="3">
      <c r="A1378" s="45" t="n"/>
      <c r="B1378" s="46" t="inlineStr">
        <is>
          <t>22821</t>
        </is>
      </c>
      <c r="C1378" s="46">
        <f>LEFT(Tableau1[[#This Row],[Formacode]],3)</f>
        <v/>
      </c>
      <c r="D1378" s="47" t="n">
        <v>39647</v>
      </c>
      <c r="E1378" s="48">
        <f>"RNCP"&amp;D1378</f>
        <v/>
      </c>
      <c r="F1378" s="48" t="inlineStr">
        <is>
          <t>CAP - Modèles et moules céramiques</t>
        </is>
      </c>
      <c r="G1378" s="49">
        <f>E1378&amp;" - "&amp;F1378</f>
        <v/>
      </c>
      <c r="H1378" s="36" t="inlineStr">
        <is>
          <t>RAS</t>
        </is>
      </c>
      <c r="I1378" s="45" t="inlineStr"/>
      <c r="J1378" s="45" t="inlineStr">
        <is>
          <t>RNCP39647</t>
        </is>
      </c>
      <c r="K1378" s="45" t="inlineStr">
        <is>
          <t>Modèles et moules céramiques</t>
        </is>
      </c>
      <c r="L1378" s="45" t="inlineStr">
        <is>
          <t>31/08/2029</t>
        </is>
      </c>
      <c r="M1378" s="45" t="inlineStr">
        <is>
          <t>22821 (Céramique industrielle) ; 45597 (Céramique poterie) ; 23090 (Fonderie)</t>
        </is>
      </c>
      <c r="N1378" s="50" t="inlineStr">
        <is>
          <t>NON</t>
        </is>
      </c>
      <c r="O1378" s="45" t="inlineStr"/>
    </row>
    <row r="1379" customFormat="1" s="3">
      <c r="A1379" s="45" t="n"/>
      <c r="B1379" s="46" t="inlineStr">
        <is>
          <t>22834</t>
        </is>
      </c>
      <c r="C1379" s="46">
        <f>LEFT(Tableau1[[#This Row],[Formacode]],3)</f>
        <v/>
      </c>
      <c r="D1379" s="47" t="n">
        <v>38337</v>
      </c>
      <c r="E1379" s="48">
        <f>"RNCP"&amp;D1379</f>
        <v/>
      </c>
      <c r="F1379" s="48" t="inlineStr">
        <is>
          <t>BAC PRO - Technicien en chaudronnerie industrielle</t>
        </is>
      </c>
      <c r="G1379" s="49">
        <f>E1379&amp;" - "&amp;F1379</f>
        <v/>
      </c>
      <c r="H1379" s="36" t="inlineStr">
        <is>
          <t>RAS</t>
        </is>
      </c>
      <c r="I1379" s="45" t="inlineStr"/>
      <c r="J1379" s="45" t="inlineStr">
        <is>
          <t>RNCP38337</t>
        </is>
      </c>
      <c r="K1379" s="45" t="inlineStr">
        <is>
          <t>Technicien en chaudronnerie industrielle</t>
        </is>
      </c>
      <c r="L1379" s="45" t="inlineStr">
        <is>
          <t>31/08/2028</t>
        </is>
      </c>
      <c r="M1379" s="45" t="inlineStr">
        <is>
          <t>23083 (Chaudronnerie) ; 22387 (Construction métallique) ; 22834 (Matériau métallique)</t>
        </is>
      </c>
      <c r="N1379" s="50" t="inlineStr">
        <is>
          <t>NON</t>
        </is>
      </c>
      <c r="O1379" s="45" t="inlineStr"/>
    </row>
    <row r="1380" customFormat="1" s="3">
      <c r="A1380" s="45" t="n"/>
      <c r="B1380" s="46" t="inlineStr">
        <is>
          <t>22834</t>
        </is>
      </c>
      <c r="C1380" s="46">
        <f>LEFT(Tableau1[[#This Row],[Formacode]],3)</f>
        <v/>
      </c>
      <c r="D1380" s="47" t="n">
        <v>40550</v>
      </c>
      <c r="E1380" s="48">
        <f>"RNCP"&amp;D1380</f>
        <v/>
      </c>
      <c r="F1380" s="48" t="inlineStr">
        <is>
          <t>CQP Assembleur au plan industriel</t>
        </is>
      </c>
      <c r="G1380" s="49">
        <f>E1380&amp;" - "&amp;F1380</f>
        <v/>
      </c>
      <c r="H1380" s="36" t="inlineStr">
        <is>
          <t>RAS</t>
        </is>
      </c>
      <c r="I1380" s="45" t="inlineStr"/>
      <c r="J1380" s="45" t="inlineStr">
        <is>
          <t>RNCP40550</t>
        </is>
      </c>
      <c r="K1380" s="45" t="inlineStr">
        <is>
          <t>CQP Assembleur au plan industriel</t>
        </is>
      </c>
      <c r="L1380" s="45" t="inlineStr">
        <is>
          <t>30/04/2030</t>
        </is>
      </c>
      <c r="M1380" s="45" t="inlineStr">
        <is>
          <t>23035 (Montage assemblage) ; 22834 (Matériau métallique)</t>
        </is>
      </c>
      <c r="N1380" s="50" t="inlineStr">
        <is>
          <t>NON</t>
        </is>
      </c>
      <c r="O1380" s="45" t="inlineStr"/>
    </row>
    <row r="1381" customFormat="1" s="3">
      <c r="A1381" s="45" t="n"/>
      <c r="B1381" s="46" t="inlineStr">
        <is>
          <t>22852</t>
        </is>
      </c>
      <c r="C1381" s="46">
        <f>LEFT(Tableau1[[#This Row],[Formacode]],3)</f>
        <v/>
      </c>
      <c r="D1381" s="47" t="n">
        <v>37281</v>
      </c>
      <c r="E1381" s="48">
        <f>"RNCP"&amp;D1381</f>
        <v/>
      </c>
      <c r="F1381" s="48" t="inlineStr">
        <is>
          <t>CQP Vendeur - conseil en négoce des matériaux de construction</t>
        </is>
      </c>
      <c r="G1381" s="49">
        <f>E1381&amp;" - "&amp;F1381</f>
        <v/>
      </c>
      <c r="H1381" s="36" t="inlineStr">
        <is>
          <t>RAS</t>
        </is>
      </c>
      <c r="I1381" s="45" t="inlineStr"/>
      <c r="J1381" s="45" t="inlineStr">
        <is>
          <t>RNCP37281</t>
        </is>
      </c>
      <c r="K1381" s="45" t="inlineStr">
        <is>
          <t>CQP Vendeur - conseil en négoce des matériaux de construction</t>
        </is>
      </c>
      <c r="L1381" s="45" t="inlineStr">
        <is>
          <t>25/01/2028</t>
        </is>
      </c>
      <c r="M1381" s="45" t="inlineStr">
        <is>
          <t>34502 (Vente spécialisée) ; 22852 (Matériau construction)</t>
        </is>
      </c>
      <c r="N1381" s="50" t="inlineStr">
        <is>
          <t>NON</t>
        </is>
      </c>
      <c r="O1381" s="45" t="inlineStr"/>
    </row>
    <row r="1382" customFormat="1" s="3">
      <c r="A1382" s="45" t="n"/>
      <c r="B1382" s="46" t="inlineStr">
        <is>
          <t>22852</t>
        </is>
      </c>
      <c r="C1382" s="46">
        <f>LEFT(Tableau1[[#This Row],[Formacode]],3)</f>
        <v/>
      </c>
      <c r="D1382" s="47" t="n">
        <v>37282</v>
      </c>
      <c r="E1382" s="48">
        <f>"RNCP"&amp;D1382</f>
        <v/>
      </c>
      <c r="F1382" s="48" t="inlineStr">
        <is>
          <t>CQP Manager d’équipe en négoce des matériaux de construction</t>
        </is>
      </c>
      <c r="G1382" s="49">
        <f>E1382&amp;" - "&amp;F1382</f>
        <v/>
      </c>
      <c r="H1382" s="36" t="inlineStr">
        <is>
          <t>RAS</t>
        </is>
      </c>
      <c r="I1382" s="45" t="inlineStr"/>
      <c r="J1382" s="45" t="inlineStr">
        <is>
          <t>RNCP37282</t>
        </is>
      </c>
      <c r="K1382" s="45" t="inlineStr">
        <is>
          <t>CQP Manager d’équipe en négoce des matériaux de construction</t>
        </is>
      </c>
      <c r="L1382" s="45" t="inlineStr">
        <is>
          <t>25/01/2028</t>
        </is>
      </c>
      <c r="M1382" s="45" t="inlineStr">
        <is>
          <t>22852 (Matériau construction) ; 31663 (Gestion stock) ; 34085 (Stratégie commerciale) ; 32154 (Encadrement management)</t>
        </is>
      </c>
      <c r="N1382" s="50" t="inlineStr">
        <is>
          <t>NON</t>
        </is>
      </c>
      <c r="O1382" s="45" t="inlineStr"/>
    </row>
    <row r="1383" customFormat="1" s="3">
      <c r="A1383" s="45" t="n"/>
      <c r="B1383" s="46" t="inlineStr">
        <is>
          <t>22852</t>
        </is>
      </c>
      <c r="C1383" s="46">
        <f>LEFT(Tableau1[[#This Row],[Formacode]],3)</f>
        <v/>
      </c>
      <c r="D1383" s="47" t="n">
        <v>37283</v>
      </c>
      <c r="E1383" s="48">
        <f>"RNCP"&amp;D1383</f>
        <v/>
      </c>
      <c r="F1383" s="48" t="inlineStr">
        <is>
          <t>CQP Attaché technico-commercial en négoce des matériaux de construction</t>
        </is>
      </c>
      <c r="G1383" s="49">
        <f>E1383&amp;" - "&amp;F1383</f>
        <v/>
      </c>
      <c r="H1383" s="36" t="inlineStr">
        <is>
          <t>RAS</t>
        </is>
      </c>
      <c r="I1383" s="45" t="inlineStr"/>
      <c r="J1383" s="45" t="inlineStr">
        <is>
          <t>RNCP37283</t>
        </is>
      </c>
      <c r="K1383" s="45" t="inlineStr">
        <is>
          <t>CQP Attaché technico-commercial en négoce des matériaux de construction</t>
        </is>
      </c>
      <c r="L1383" s="45" t="inlineStr">
        <is>
          <t>25/01/2028</t>
        </is>
      </c>
      <c r="M1383" s="45" t="inlineStr">
        <is>
          <t>34581 (Technico-commercial) ; 22852 (Matériau construction)</t>
        </is>
      </c>
      <c r="N1383" s="50" t="inlineStr">
        <is>
          <t>NON</t>
        </is>
      </c>
      <c r="O1383" s="45" t="inlineStr"/>
    </row>
    <row r="1384" customFormat="1" s="3">
      <c r="A1384" s="45" t="n"/>
      <c r="B1384" s="46" t="inlineStr">
        <is>
          <t>22852</t>
        </is>
      </c>
      <c r="C1384" s="46">
        <f>LEFT(Tableau1[[#This Row],[Formacode]],3)</f>
        <v/>
      </c>
      <c r="D1384" s="47" t="n">
        <v>37284</v>
      </c>
      <c r="E1384" s="48">
        <f>"RNCP"&amp;D1384</f>
        <v/>
      </c>
      <c r="F1384" s="48" t="inlineStr">
        <is>
          <t>CQP Magasinier en négoce des matériaux de construction</t>
        </is>
      </c>
      <c r="G1384" s="49">
        <f>E1384&amp;" - "&amp;F1384</f>
        <v/>
      </c>
      <c r="H1384" s="36" t="inlineStr">
        <is>
          <t>RAS</t>
        </is>
      </c>
      <c r="I1384" s="45" t="inlineStr"/>
      <c r="J1384" s="45" t="inlineStr">
        <is>
          <t>RNCP37284</t>
        </is>
      </c>
      <c r="K1384" s="45" t="inlineStr">
        <is>
          <t>CQP Magasinier en négoce des matériaux de construction</t>
        </is>
      </c>
      <c r="L1384" s="45" t="inlineStr">
        <is>
          <t>25/01/2028</t>
        </is>
      </c>
      <c r="M1384" s="45" t="inlineStr">
        <is>
          <t>31734 (Magasinage) ; 22852 (Matériau construction) ; 34037 (Satisfaction client)</t>
        </is>
      </c>
      <c r="N1384" s="50" t="inlineStr">
        <is>
          <t>NON</t>
        </is>
      </c>
      <c r="O1384" s="45" t="inlineStr"/>
    </row>
    <row r="1385" customFormat="1" s="3">
      <c r="A1385" s="45" t="n"/>
      <c r="B1385" s="46" t="inlineStr">
        <is>
          <t>22852</t>
        </is>
      </c>
      <c r="C1385" s="46">
        <f>LEFT(Tableau1[[#This Row],[Formacode]],3)</f>
        <v/>
      </c>
      <c r="D1385" s="47" t="n">
        <v>37285</v>
      </c>
      <c r="E1385" s="48">
        <f>"RNCP"&amp;D1385</f>
        <v/>
      </c>
      <c r="F1385" s="48" t="inlineStr">
        <is>
          <t>CQP Chef d’agence en négoce des matériaux de construction</t>
        </is>
      </c>
      <c r="G1385" s="49">
        <f>E1385&amp;" - "&amp;F1385</f>
        <v/>
      </c>
      <c r="H1385" s="36" t="inlineStr">
        <is>
          <t>RAS</t>
        </is>
      </c>
      <c r="I1385" s="45" t="inlineStr"/>
      <c r="J1385" s="45" t="inlineStr">
        <is>
          <t>RNCP37285</t>
        </is>
      </c>
      <c r="K1385" s="45" t="inlineStr">
        <is>
          <t>CQP Chef d’agence en négoce des matériaux de construction</t>
        </is>
      </c>
      <c r="L1385" s="45" t="inlineStr">
        <is>
          <t>25/01/2028</t>
        </is>
      </c>
      <c r="M1385" s="45" t="inlineStr">
        <is>
          <t>22852 (Matériau construction) ; 32650 (Gestion budgétaire) ; 31663 (Gestion stock) ; 34085 (Stratégie commerciale) ; 32154 (Encadrement management)</t>
        </is>
      </c>
      <c r="N1385" s="50" t="inlineStr">
        <is>
          <t>NON</t>
        </is>
      </c>
      <c r="O1385" s="45" t="inlineStr"/>
    </row>
    <row r="1386" customFormat="1" s="3">
      <c r="A1386" s="45" t="n"/>
      <c r="B1386" s="46" t="inlineStr">
        <is>
          <t>22852</t>
        </is>
      </c>
      <c r="C1386" s="46">
        <f>LEFT(Tableau1[[#This Row],[Formacode]],3)</f>
        <v/>
      </c>
      <c r="D1386" s="47" t="n">
        <v>39642</v>
      </c>
      <c r="E1386" s="48">
        <f>"RNCP"&amp;D1386</f>
        <v/>
      </c>
      <c r="F1386" s="48" t="inlineStr">
        <is>
          <t>CQP Scieur carotteur de béton</t>
        </is>
      </c>
      <c r="G1386" s="49">
        <f>E1386&amp;" - "&amp;F1386</f>
        <v/>
      </c>
      <c r="H1386" s="36" t="inlineStr">
        <is>
          <t>RAS</t>
        </is>
      </c>
      <c r="I1386" s="45" t="inlineStr"/>
      <c r="J1386" s="45" t="inlineStr">
        <is>
          <t>RNCP39642</t>
        </is>
      </c>
      <c r="K1386" s="45" t="inlineStr">
        <is>
          <t>CQP Scieur carotteur de béton</t>
        </is>
      </c>
      <c r="L1386" s="45" t="inlineStr">
        <is>
          <t>01/10/2029</t>
        </is>
      </c>
      <c r="M1386" s="45" t="inlineStr">
        <is>
          <t>22861 (Béton) ; 22378 (Réhabilitation bâtiment) ; 22485 (Rénovation bâtiment) ; 22395 (Construction béton)</t>
        </is>
      </c>
      <c r="N1386" s="50" t="inlineStr">
        <is>
          <t>NON</t>
        </is>
      </c>
      <c r="O1386" s="45" t="inlineStr"/>
    </row>
    <row r="1387" customFormat="1" s="3">
      <c r="A1387" s="45" t="n"/>
      <c r="B1387" s="46" t="inlineStr">
        <is>
          <t>22852</t>
        </is>
      </c>
      <c r="C1387" s="46">
        <f>LEFT(Tableau1[[#This Row],[Formacode]],3)</f>
        <v/>
      </c>
      <c r="D1387" s="47" t="n">
        <v>40335</v>
      </c>
      <c r="E1387" s="48">
        <f>"RNCP"&amp;D1387</f>
        <v/>
      </c>
      <c r="F1387" s="48" t="inlineStr">
        <is>
          <t>CAP - Constructeur d'ouvrages en béton armé</t>
        </is>
      </c>
      <c r="G1387" s="49">
        <f>E1387&amp;" - "&amp;F1387</f>
        <v/>
      </c>
      <c r="H1387" s="36" t="inlineStr">
        <is>
          <t>RAS</t>
        </is>
      </c>
      <c r="I1387" s="45" t="inlineStr"/>
      <c r="J1387" s="45" t="inlineStr">
        <is>
          <t>RNCP40335</t>
        </is>
      </c>
      <c r="K1387" s="45" t="inlineStr">
        <is>
          <t>Constructeur d'ouvrages en béton armé</t>
        </is>
      </c>
      <c r="L1387" s="45" t="inlineStr">
        <is>
          <t>31/08/2030</t>
        </is>
      </c>
      <c r="M1387" s="45" t="inlineStr">
        <is>
          <t>22395 (Construction béton) ; 22860 (Béton armé)</t>
        </is>
      </c>
      <c r="N1387" s="50" t="inlineStr">
        <is>
          <t>NON</t>
        </is>
      </c>
      <c r="O1387" s="45" t="inlineStr"/>
    </row>
    <row r="1388" customFormat="1" s="3">
      <c r="A1388" s="45" t="n"/>
      <c r="B1388" s="46" t="inlineStr">
        <is>
          <t>22852</t>
        </is>
      </c>
      <c r="C1388" s="46">
        <f>LEFT(Tableau1[[#This Row],[Formacode]],3)</f>
        <v/>
      </c>
      <c r="D1388" s="47" t="n">
        <v>41345</v>
      </c>
      <c r="E1388" s="48">
        <f>"RNCP"&amp;D1388</f>
        <v/>
      </c>
      <c r="F1388" s="48" t="inlineStr">
        <is>
          <t>CQP Couvreur lauzier calcaire</t>
        </is>
      </c>
      <c r="G1388" s="49">
        <f>E1388&amp;" - "&amp;F1388</f>
        <v/>
      </c>
      <c r="H1388" s="36" t="inlineStr">
        <is>
          <t>RAS</t>
        </is>
      </c>
      <c r="I1388" s="45" t="inlineStr"/>
      <c r="J1388" s="45" t="inlineStr">
        <is>
          <t>RNCP41345</t>
        </is>
      </c>
      <c r="K1388" s="45" t="inlineStr">
        <is>
          <t>CQP Couvreur lauzier calcaire</t>
        </is>
      </c>
      <c r="L1388" s="45" t="inlineStr">
        <is>
          <t>24/09/2030</t>
        </is>
      </c>
      <c r="M1388" s="45" t="inlineStr">
        <is>
          <t>22437 (Couverture) ; 22842 (Pierre naturelle) ; 22357 (Restauration réhabilitation) ; 22274 (Chantier BTP)</t>
        </is>
      </c>
      <c r="N1388" s="50" t="inlineStr">
        <is>
          <t>NON</t>
        </is>
      </c>
      <c r="O1388" s="45" t="inlineStr"/>
    </row>
    <row r="1389" customFormat="1" s="3">
      <c r="A1389" s="45" t="n"/>
      <c r="B1389" s="46" t="inlineStr">
        <is>
          <t>22852</t>
        </is>
      </c>
      <c r="C1389" s="46">
        <f>LEFT(Tableau1[[#This Row],[Formacode]],3)</f>
        <v/>
      </c>
      <c r="D1389" s="47" t="n">
        <v>41346</v>
      </c>
      <c r="E1389" s="48">
        <f>"RNCP"&amp;D1389</f>
        <v/>
      </c>
      <c r="F1389" s="48" t="inlineStr">
        <is>
          <t>CQP Couvreur lauzier schiste</t>
        </is>
      </c>
      <c r="G1389" s="49">
        <f>E1389&amp;" - "&amp;F1389</f>
        <v/>
      </c>
      <c r="H1389" s="36" t="inlineStr">
        <is>
          <t>RAS</t>
        </is>
      </c>
      <c r="I1389" s="45" t="inlineStr"/>
      <c r="J1389" s="45" t="inlineStr">
        <is>
          <t>RNCP41346</t>
        </is>
      </c>
      <c r="K1389" s="45" t="inlineStr">
        <is>
          <t>CQP Couvreur lauzier schiste</t>
        </is>
      </c>
      <c r="L1389" s="45" t="inlineStr">
        <is>
          <t>24/09/2030</t>
        </is>
      </c>
      <c r="M1389" s="45" t="inlineStr">
        <is>
          <t>22437 (Couverture) ; 22842 (Pierre naturelle) ; 22357 (Restauration réhabilitation) ; 22274 (Chantier BTP)</t>
        </is>
      </c>
      <c r="N1389" s="50" t="inlineStr">
        <is>
          <t>NON</t>
        </is>
      </c>
      <c r="O1389" s="45" t="inlineStr"/>
    </row>
    <row r="1390" customFormat="1" s="3">
      <c r="A1390" s="63" t="n"/>
      <c r="B1390" s="64" t="inlineStr">
        <is>
          <t>22867</t>
        </is>
      </c>
      <c r="C1390" s="64">
        <f>LEFT(Tableau1[[#This Row],[Formacode]],3)</f>
        <v/>
      </c>
      <c r="D1390" s="65" t="n">
        <v>35229</v>
      </c>
      <c r="E1390" s="66">
        <f>"RNCP"&amp;D1390</f>
        <v/>
      </c>
      <c r="F1390" s="66" t="inlineStr">
        <is>
          <t>TP - Stratifieur multiprocédés en matériaux composites</t>
        </is>
      </c>
      <c r="G1390" s="67">
        <f>E1390&amp;" - "&amp;F1390</f>
        <v/>
      </c>
      <c r="H1390" s="38" t="inlineStr">
        <is>
          <t>Expiré / remplacé</t>
        </is>
      </c>
      <c r="I1390" s="63" t="inlineStr">
        <is>
          <t>Fiche inactive — remplacée par RNCP41906 (Stratifieur multiprocédés en matériaux composites)</t>
        </is>
      </c>
      <c r="J1390" s="63" t="inlineStr">
        <is>
          <t>RNCP41906</t>
        </is>
      </c>
      <c r="K1390" s="63" t="inlineStr">
        <is>
          <t>Stratifieur multiprocédés en matériaux composites</t>
        </is>
      </c>
      <c r="L1390" s="63" t="inlineStr">
        <is>
          <t>23/02/2026</t>
        </is>
      </c>
      <c r="M1390" s="63" t="inlineStr">
        <is>
          <t>22871 (Matériau composite) ; 23002 (Stratification) ; 22818 (Plastique renforcé)</t>
        </is>
      </c>
      <c r="N1390" s="68" t="inlineStr">
        <is>
          <t>NON</t>
        </is>
      </c>
      <c r="O1390" s="63" t="inlineStr"/>
    </row>
    <row r="1391" ht="28.8" customFormat="1" customHeight="1" s="3">
      <c r="A1391" s="45" t="n"/>
      <c r="B1391" s="46" t="inlineStr">
        <is>
          <t>22867</t>
        </is>
      </c>
      <c r="C1391" s="46">
        <f>LEFT(Tableau1[[#This Row],[Formacode]],3)</f>
        <v/>
      </c>
      <c r="D1391" s="47" t="n">
        <v>37375</v>
      </c>
      <c r="E1391" s="48">
        <f>"RNCP"&amp;D1391</f>
        <v/>
      </c>
      <c r="F1391" s="48" t="inlineStr">
        <is>
          <t>Brevet de technicien supérieur - Métiers de l’esthétique, de la cosmétique et de la parfumerie</t>
        </is>
      </c>
      <c r="G1391" s="49">
        <f>E1391&amp;" - "&amp;F1391</f>
        <v/>
      </c>
      <c r="H1391" s="36" t="inlineStr">
        <is>
          <t>RAS</t>
        </is>
      </c>
      <c r="I1391" s="45" t="inlineStr"/>
      <c r="J1391" s="45" t="inlineStr">
        <is>
          <t>RNCP37375</t>
        </is>
      </c>
      <c r="K1391" s="45" t="inlineStr">
        <is>
          <t>Métiers de l’esthétique, de la cosmétique et de la parfumerie</t>
        </is>
      </c>
      <c r="L1391" s="45" t="inlineStr">
        <is>
          <t>31/08/2028</t>
        </is>
      </c>
      <c r="M1391" s="45" t="inlineStr">
        <is>
          <t>42032 (Esthétique soin corporel) ; 32154 (Encadrement management) ; 22885 (Cosmétique) ; 34059 (Gestion marque) ; 44517 (Conception action formation)</t>
        </is>
      </c>
      <c r="N1391" s="50" t="inlineStr">
        <is>
          <t>NON</t>
        </is>
      </c>
      <c r="O1391" s="45" t="inlineStr"/>
    </row>
    <row r="1392" customFormat="1" s="3">
      <c r="A1392" s="45" t="n"/>
      <c r="B1392" s="46" t="inlineStr">
        <is>
          <t>22867</t>
        </is>
      </c>
      <c r="C1392" s="46">
        <f>LEFT(Tableau1[[#This Row],[Formacode]],3)</f>
        <v/>
      </c>
      <c r="D1392" s="47" t="n">
        <v>38382</v>
      </c>
      <c r="E1392" s="48">
        <f>"RNCP"&amp;D1392</f>
        <v/>
      </c>
      <c r="F1392" s="48" t="inlineStr">
        <is>
          <t>BTS - Métiers de la chimie</t>
        </is>
      </c>
      <c r="G1392" s="49">
        <f>E1392&amp;" - "&amp;F1392</f>
        <v/>
      </c>
      <c r="H1392" s="36" t="inlineStr">
        <is>
          <t>RAS</t>
        </is>
      </c>
      <c r="I1392" s="45" t="inlineStr"/>
      <c r="J1392" s="45" t="inlineStr">
        <is>
          <t>RNCP38382</t>
        </is>
      </c>
      <c r="K1392" s="45" t="inlineStr">
        <is>
          <t>Métiers de la chimie</t>
        </is>
      </c>
      <c r="L1392" s="45" t="inlineStr">
        <is>
          <t>31/12/2028</t>
        </is>
      </c>
      <c r="M1392" s="45" t="inlineStr">
        <is>
          <t>11523 (Analyse chimique) ; 11547 (Qualité chimie) ; 22867 (Produit chimique)</t>
        </is>
      </c>
      <c r="N1392" s="50" t="inlineStr">
        <is>
          <t>NON</t>
        </is>
      </c>
      <c r="O1392" s="45" t="inlineStr"/>
    </row>
    <row r="1393" customFormat="1" s="3">
      <c r="A1393" s="45" t="n"/>
      <c r="B1393" s="46" t="inlineStr">
        <is>
          <t>22867</t>
        </is>
      </c>
      <c r="C1393" s="46">
        <f>LEFT(Tableau1[[#This Row],[Formacode]],3)</f>
        <v/>
      </c>
      <c r="D1393" s="47" t="n">
        <v>38507</v>
      </c>
      <c r="E1393" s="48">
        <f>"RNCP"&amp;D1393</f>
        <v/>
      </c>
      <c r="F1393" s="48" t="inlineStr">
        <is>
          <t>Maquilleur artistique et évènementiel</t>
        </is>
      </c>
      <c r="G1393" s="49">
        <f>E1393&amp;" - "&amp;F1393</f>
        <v/>
      </c>
      <c r="H1393" s="36" t="inlineStr">
        <is>
          <t>RAS</t>
        </is>
      </c>
      <c r="I1393" s="45" t="inlineStr"/>
      <c r="J1393" s="45" t="inlineStr">
        <is>
          <t>RNCP38507</t>
        </is>
      </c>
      <c r="K1393" s="45" t="inlineStr">
        <is>
          <t>Maquilleur artistique et évènementiel</t>
        </is>
      </c>
      <c r="L1393" s="45" t="inlineStr">
        <is>
          <t>21/12/2028</t>
        </is>
      </c>
      <c r="M1393" s="45" t="inlineStr">
        <is>
          <t>42062 (Maquillage spectacle) ; 22885 (Cosmétique)</t>
        </is>
      </c>
      <c r="N1393" s="50" t="inlineStr">
        <is>
          <t>NON</t>
        </is>
      </c>
      <c r="O1393" s="45" t="inlineStr"/>
    </row>
    <row r="1394" customFormat="1" s="3">
      <c r="A1394" s="45" t="n"/>
      <c r="B1394" s="46" t="inlineStr">
        <is>
          <t>22867</t>
        </is>
      </c>
      <c r="C1394" s="46">
        <f>LEFT(Tableau1[[#This Row],[Formacode]],3)</f>
        <v/>
      </c>
      <c r="D1394" s="47" t="n">
        <v>38669</v>
      </c>
      <c r="E1394" s="48">
        <f>"RNCP"&amp;D1394</f>
        <v/>
      </c>
      <c r="F1394" s="48" t="inlineStr">
        <is>
          <t>TP - Technicien des matériaux composites</t>
        </is>
      </c>
      <c r="G1394" s="49">
        <f>E1394&amp;" - "&amp;F1394</f>
        <v/>
      </c>
      <c r="H1394" s="36" t="inlineStr">
        <is>
          <t>RAS</t>
        </is>
      </c>
      <c r="I1394" s="45" t="inlineStr"/>
      <c r="J1394" s="45" t="inlineStr">
        <is>
          <t>RNCP38669</t>
        </is>
      </c>
      <c r="K1394" s="45" t="inlineStr">
        <is>
          <t>Technicien des matériaux composites</t>
        </is>
      </c>
      <c r="L1394" s="45" t="inlineStr">
        <is>
          <t>31/01/2029</t>
        </is>
      </c>
      <c r="M1394" s="45" t="inlineStr">
        <is>
          <t>22871 (Matériau composite) ; 22819 (Polymère) ; 23002 (Stratification)</t>
        </is>
      </c>
      <c r="N1394" s="50" t="inlineStr">
        <is>
          <t>NON</t>
        </is>
      </c>
      <c r="O1394" s="45" t="inlineStr"/>
    </row>
    <row r="1395" customFormat="1" s="3">
      <c r="A1395" s="51" t="n"/>
      <c r="B1395" s="52" t="inlineStr">
        <is>
          <t>22867</t>
        </is>
      </c>
      <c r="C1395" s="52">
        <f>LEFT(Tableau1[[#This Row],[Formacode]],3)</f>
        <v/>
      </c>
      <c r="D1395" s="53" t="n">
        <v>39995</v>
      </c>
      <c r="E1395" s="54">
        <f>"RNCP"&amp;D1395</f>
        <v/>
      </c>
      <c r="F1395" s="54" t="inlineStr">
        <is>
          <t>CQP Conducteur d'équipement industriel caoutchouc</t>
        </is>
      </c>
      <c r="G1395" s="55">
        <f>E1395&amp;" - "&amp;F1395</f>
        <v/>
      </c>
      <c r="H1395" s="37" t="inlineStr">
        <is>
          <t>À vérifier</t>
        </is>
      </c>
      <c r="I1395" s="51" t="inlineStr">
        <is>
          <t>Échéance le 18/12/2026 (dans 153 j)</t>
        </is>
      </c>
      <c r="J1395" s="51" t="inlineStr">
        <is>
          <t>RNCP39995</t>
        </is>
      </c>
      <c r="K1395" s="51" t="inlineStr">
        <is>
          <t>CQP Conducteur d'équipement industriel caoutchouc</t>
        </is>
      </c>
      <c r="L1395" s="51" t="inlineStr">
        <is>
          <t>18/12/2026</t>
        </is>
      </c>
      <c r="M1395" s="51" t="inlineStr">
        <is>
          <t>22839 (Caoutchouc) ; 31620 (Conduite installation industrielle)</t>
        </is>
      </c>
      <c r="N1395" s="62" t="inlineStr">
        <is>
          <t>NON</t>
        </is>
      </c>
      <c r="O1395" s="51" t="inlineStr"/>
    </row>
    <row r="1396" customFormat="1" s="3">
      <c r="A1396" s="45" t="n"/>
      <c r="B1396" s="46" t="inlineStr">
        <is>
          <t>22867</t>
        </is>
      </c>
      <c r="C1396" s="46">
        <f>LEFT(Tableau1[[#This Row],[Formacode]],3)</f>
        <v/>
      </c>
      <c r="D1396" s="47" t="n">
        <v>40382</v>
      </c>
      <c r="E1396" s="48">
        <f>"RNCP"&amp;D1396</f>
        <v/>
      </c>
      <c r="F1396" s="48" t="inlineStr">
        <is>
          <t>CQP Opérateur de fabrication Caoutchouc</t>
        </is>
      </c>
      <c r="G1396" s="49">
        <f>E1396&amp;" - "&amp;F1396</f>
        <v/>
      </c>
      <c r="H1396" s="36" t="inlineStr">
        <is>
          <t>RAS</t>
        </is>
      </c>
      <c r="I1396" s="45" t="inlineStr"/>
      <c r="J1396" s="45" t="inlineStr">
        <is>
          <t>RNCP40382</t>
        </is>
      </c>
      <c r="K1396" s="45" t="inlineStr">
        <is>
          <t>CQP Opérateur de fabrication Caoutchouc</t>
        </is>
      </c>
      <c r="L1396" s="45" t="inlineStr">
        <is>
          <t>28/03/2027</t>
        </is>
      </c>
      <c r="M1396" s="45" t="inlineStr">
        <is>
          <t>22839 (Caoutchouc)</t>
        </is>
      </c>
      <c r="N1396" s="50" t="inlineStr">
        <is>
          <t>NON</t>
        </is>
      </c>
      <c r="O1396" s="45" t="inlineStr"/>
    </row>
    <row r="1397" customFormat="1" s="3">
      <c r="A1397" s="63" t="n"/>
      <c r="B1397" s="64" t="inlineStr">
        <is>
          <t>22871</t>
        </is>
      </c>
      <c r="C1397" s="64">
        <f>LEFT(Tableau1[[#This Row],[Formacode]],3)</f>
        <v/>
      </c>
      <c r="D1397" s="65" t="n">
        <v>35229</v>
      </c>
      <c r="E1397" s="66">
        <f>"RNCP"&amp;D1397</f>
        <v/>
      </c>
      <c r="F1397" s="66" t="inlineStr">
        <is>
          <t>TP - Stratifieur multiprocédés en matériaux composites</t>
        </is>
      </c>
      <c r="G1397" s="67">
        <f>E1397&amp;" - "&amp;F1397</f>
        <v/>
      </c>
      <c r="H1397" s="38" t="inlineStr">
        <is>
          <t>Expiré / remplacé</t>
        </is>
      </c>
      <c r="I1397" s="63" t="inlineStr">
        <is>
          <t>Fiche inactive — remplacée par RNCP41906 (Stratifieur multiprocédés en matériaux composites)</t>
        </is>
      </c>
      <c r="J1397" s="63" t="inlineStr">
        <is>
          <t>RNCP41906</t>
        </is>
      </c>
      <c r="K1397" s="63" t="inlineStr">
        <is>
          <t>Stratifieur multiprocédés en matériaux composites</t>
        </is>
      </c>
      <c r="L1397" s="63" t="inlineStr">
        <is>
          <t>23/02/2026</t>
        </is>
      </c>
      <c r="M1397" s="63" t="inlineStr">
        <is>
          <t>22871 (Matériau composite) ; 23002 (Stratification) ; 22818 (Plastique renforcé)</t>
        </is>
      </c>
      <c r="N1397" s="68" t="inlineStr">
        <is>
          <t>NON</t>
        </is>
      </c>
      <c r="O1397" s="63" t="inlineStr"/>
    </row>
    <row r="1398" customFormat="1" s="3">
      <c r="A1398" s="45" t="n"/>
      <c r="B1398" s="46" t="inlineStr">
        <is>
          <t>22871</t>
        </is>
      </c>
      <c r="C1398" s="46">
        <f>LEFT(Tableau1[[#This Row],[Formacode]],3)</f>
        <v/>
      </c>
      <c r="D1398" s="47" t="n">
        <v>38432</v>
      </c>
      <c r="E1398" s="48">
        <f>"RNCP"&amp;D1398</f>
        <v/>
      </c>
      <c r="F1398" s="48" t="inlineStr">
        <is>
          <t>CAP - composites, plastiques chaudronnés</t>
        </is>
      </c>
      <c r="G1398" s="49">
        <f>E1398&amp;" - "&amp;F1398</f>
        <v/>
      </c>
      <c r="H1398" s="36" t="inlineStr">
        <is>
          <t>RAS</t>
        </is>
      </c>
      <c r="I1398" s="45" t="inlineStr"/>
      <c r="J1398" s="45" t="inlineStr">
        <is>
          <t>RNCP38432</t>
        </is>
      </c>
      <c r="K1398" s="45" t="inlineStr">
        <is>
          <t>composites, plastiques chaudronnés</t>
        </is>
      </c>
      <c r="L1398" s="45" t="inlineStr">
        <is>
          <t>31/12/2028</t>
        </is>
      </c>
      <c r="M1398" s="45" t="inlineStr">
        <is>
          <t>23092 (Chaudronnerie plastique) ; 22871 (Matériau composite)</t>
        </is>
      </c>
      <c r="N1398" s="50" t="inlineStr">
        <is>
          <t>NON</t>
        </is>
      </c>
      <c r="O1398" s="45" t="inlineStr"/>
    </row>
    <row r="1399" customFormat="1" s="3">
      <c r="A1399" s="45" t="n"/>
      <c r="B1399" s="46" t="inlineStr">
        <is>
          <t>22871</t>
        </is>
      </c>
      <c r="C1399" s="46">
        <f>LEFT(Tableau1[[#This Row],[Formacode]],3)</f>
        <v/>
      </c>
      <c r="D1399" s="47" t="n">
        <v>38566</v>
      </c>
      <c r="E1399" s="48">
        <f>"RNCP"&amp;D1399</f>
        <v/>
      </c>
      <c r="F1399" s="48" t="inlineStr">
        <is>
          <t>BAC PRO - Plastiques et composites</t>
        </is>
      </c>
      <c r="G1399" s="49">
        <f>E1399&amp;" - "&amp;F1399</f>
        <v/>
      </c>
      <c r="H1399" s="36" t="inlineStr">
        <is>
          <t>RAS</t>
        </is>
      </c>
      <c r="I1399" s="45" t="inlineStr"/>
      <c r="J1399" s="45" t="inlineStr">
        <is>
          <t>RNCP38566</t>
        </is>
      </c>
      <c r="K1399" s="45" t="inlineStr">
        <is>
          <t>Plastiques et composites</t>
        </is>
      </c>
      <c r="L1399" s="45" t="inlineStr">
        <is>
          <t>31/12/2028</t>
        </is>
      </c>
      <c r="M1399" s="45" t="inlineStr">
        <is>
          <t>23021 (Plasturgie) ; 31620 (Conduite installation industrielle) ; 22871 (Matériau composite)</t>
        </is>
      </c>
      <c r="N1399" s="50" t="inlineStr">
        <is>
          <t>NON</t>
        </is>
      </c>
      <c r="O1399" s="45" t="inlineStr"/>
    </row>
    <row r="1400" customFormat="1" s="3">
      <c r="A1400" s="45" t="n"/>
      <c r="B1400" s="46" t="inlineStr">
        <is>
          <t>22871</t>
        </is>
      </c>
      <c r="C1400" s="46">
        <f>LEFT(Tableau1[[#This Row],[Formacode]],3)</f>
        <v/>
      </c>
      <c r="D1400" s="47" t="n">
        <v>38669</v>
      </c>
      <c r="E1400" s="48">
        <f>"RNCP"&amp;D1400</f>
        <v/>
      </c>
      <c r="F1400" s="48" t="inlineStr">
        <is>
          <t>TP - Technicien des matériaux composites</t>
        </is>
      </c>
      <c r="G1400" s="49">
        <f>E1400&amp;" - "&amp;F1400</f>
        <v/>
      </c>
      <c r="H1400" s="36" t="inlineStr">
        <is>
          <t>RAS</t>
        </is>
      </c>
      <c r="I1400" s="45" t="inlineStr"/>
      <c r="J1400" s="45" t="inlineStr">
        <is>
          <t>RNCP38669</t>
        </is>
      </c>
      <c r="K1400" s="45" t="inlineStr">
        <is>
          <t>Technicien des matériaux composites</t>
        </is>
      </c>
      <c r="L1400" s="45" t="inlineStr">
        <is>
          <t>31/01/2029</t>
        </is>
      </c>
      <c r="M1400" s="45" t="inlineStr">
        <is>
          <t>22871 (Matériau composite) ; 22819 (Polymère) ; 23002 (Stratification)</t>
        </is>
      </c>
      <c r="N1400" s="50" t="inlineStr">
        <is>
          <t>NON</t>
        </is>
      </c>
      <c r="O1400" s="45" t="inlineStr"/>
    </row>
    <row r="1401" customFormat="1" s="3">
      <c r="A1401" s="45" t="n"/>
      <c r="B1401" s="46" t="inlineStr">
        <is>
          <t>22871</t>
        </is>
      </c>
      <c r="C1401" s="46">
        <f>LEFT(Tableau1[[#This Row],[Formacode]],3)</f>
        <v/>
      </c>
      <c r="D1401" s="47" t="n">
        <v>39282</v>
      </c>
      <c r="E1401" s="48">
        <f>"RNCP"&amp;D1401</f>
        <v/>
      </c>
      <c r="F1401" s="48" t="inlineStr">
        <is>
          <t>TP - Constructeur aménageur nautique bois et composites</t>
        </is>
      </c>
      <c r="G1401" s="49">
        <f>E1401&amp;" - "&amp;F1401</f>
        <v/>
      </c>
      <c r="H1401" s="36" t="inlineStr">
        <is>
          <t>RAS</t>
        </is>
      </c>
      <c r="I1401" s="45" t="inlineStr"/>
      <c r="J1401" s="45" t="inlineStr">
        <is>
          <t>RNCP39282</t>
        </is>
      </c>
      <c r="K1401" s="45" t="inlineStr">
        <is>
          <t>Constructeur aménageur nautique bois et composites</t>
        </is>
      </c>
      <c r="L1401" s="45" t="inlineStr">
        <is>
          <t>08/10/2029</t>
        </is>
      </c>
      <c r="M1401" s="45" t="inlineStr">
        <is>
          <t>23622 (Construction maintenance navale) ; 22881 (Bois) ; 22871 (Matériau composite)</t>
        </is>
      </c>
      <c r="N1401" s="50" t="inlineStr">
        <is>
          <t>NON</t>
        </is>
      </c>
      <c r="O1401" s="45" t="inlineStr"/>
    </row>
    <row r="1402" customFormat="1" s="3">
      <c r="A1402" s="45" t="n"/>
      <c r="B1402" s="46" t="inlineStr">
        <is>
          <t>22871</t>
        </is>
      </c>
      <c r="C1402" s="46">
        <f>LEFT(Tableau1[[#This Row],[Formacode]],3)</f>
        <v/>
      </c>
      <c r="D1402" s="47" t="n">
        <v>39881</v>
      </c>
      <c r="E1402" s="48">
        <f>"RNCP"&amp;D1402</f>
        <v/>
      </c>
      <c r="F1402" s="48" t="inlineStr">
        <is>
          <t>CQP Opérateur matériaux composites hautes performances</t>
        </is>
      </c>
      <c r="G1402" s="49">
        <f>E1402&amp;" - "&amp;F1402</f>
        <v/>
      </c>
      <c r="H1402" s="36" t="inlineStr">
        <is>
          <t>RAS</t>
        </is>
      </c>
      <c r="I1402" s="45" t="inlineStr"/>
      <c r="J1402" s="45" t="inlineStr">
        <is>
          <t>RNCP39881</t>
        </is>
      </c>
      <c r="K1402" s="45" t="inlineStr">
        <is>
          <t>CQP Opérateur matériaux composites hautes performances</t>
        </is>
      </c>
      <c r="L1402" s="45" t="inlineStr">
        <is>
          <t>28/11/2029</t>
        </is>
      </c>
      <c r="M1402" s="45" t="inlineStr">
        <is>
          <t>22871 (Matériau composite)</t>
        </is>
      </c>
      <c r="N1402" s="50" t="inlineStr">
        <is>
          <t>NON</t>
        </is>
      </c>
      <c r="O1402" s="45" t="inlineStr"/>
    </row>
    <row r="1403" customFormat="1" s="3">
      <c r="A1403" s="45" t="n"/>
      <c r="B1403" s="46" t="inlineStr">
        <is>
          <t>22871</t>
        </is>
      </c>
      <c r="C1403" s="46">
        <f>LEFT(Tableau1[[#This Row],[Formacode]],3)</f>
        <v/>
      </c>
      <c r="D1403" s="47" t="n">
        <v>41064</v>
      </c>
      <c r="E1403" s="48">
        <f>"RNCP"&amp;D1403</f>
        <v/>
      </c>
      <c r="F1403" s="48" t="inlineStr">
        <is>
          <t>TP - Opérateur composites hautes performances</t>
        </is>
      </c>
      <c r="G1403" s="49">
        <f>E1403&amp;" - "&amp;F1403</f>
        <v/>
      </c>
      <c r="H1403" s="36" t="inlineStr">
        <is>
          <t>RAS</t>
        </is>
      </c>
      <c r="I1403" s="45" t="inlineStr"/>
      <c r="J1403" s="45" t="inlineStr">
        <is>
          <t>RNCP41064</t>
        </is>
      </c>
      <c r="K1403" s="45" t="inlineStr">
        <is>
          <t>Opérateur composites hautes performances</t>
        </is>
      </c>
      <c r="L1403" s="45" t="inlineStr">
        <is>
          <t>18/07/2030</t>
        </is>
      </c>
      <c r="M1403" s="45" t="inlineStr">
        <is>
          <t>22871 (Matériau composite)</t>
        </is>
      </c>
      <c r="N1403" s="50" t="inlineStr">
        <is>
          <t>NON</t>
        </is>
      </c>
      <c r="O1403" s="45" t="inlineStr"/>
    </row>
    <row r="1404" customFormat="1" s="3">
      <c r="A1404" s="45" t="n"/>
      <c r="B1404" s="46" t="inlineStr">
        <is>
          <t>22881</t>
        </is>
      </c>
      <c r="C1404" s="46">
        <f>LEFT(Tableau1[[#This Row],[Formacode]],3)</f>
        <v/>
      </c>
      <c r="D1404" s="47" t="n">
        <v>37307</v>
      </c>
      <c r="E1404" s="48">
        <f>"RNCP"&amp;D1404</f>
        <v/>
      </c>
      <c r="F1404" s="48" t="inlineStr">
        <is>
          <t>BAC PRO - Technicien de scierie</t>
        </is>
      </c>
      <c r="G1404" s="49">
        <f>E1404&amp;" - "&amp;F1404</f>
        <v/>
      </c>
      <c r="H1404" s="36" t="inlineStr">
        <is>
          <t>RAS</t>
        </is>
      </c>
      <c r="I1404" s="45" t="inlineStr"/>
      <c r="J1404" s="45" t="inlineStr">
        <is>
          <t>RNCP37307</t>
        </is>
      </c>
      <c r="K1404" s="45" t="inlineStr">
        <is>
          <t>Technicien de scierie</t>
        </is>
      </c>
      <c r="L1404" s="45" t="inlineStr">
        <is>
          <t>31/08/2028</t>
        </is>
      </c>
      <c r="M1404" s="45" t="inlineStr">
        <is>
          <t>21045 (Scierie) ; 22881 (Bois)</t>
        </is>
      </c>
      <c r="N1404" s="50" t="inlineStr">
        <is>
          <t>NON</t>
        </is>
      </c>
      <c r="O1404" s="45" t="inlineStr"/>
    </row>
    <row r="1405" customFormat="1" s="3">
      <c r="A1405" s="45" t="n"/>
      <c r="B1405" s="46" t="inlineStr">
        <is>
          <t>22881</t>
        </is>
      </c>
      <c r="C1405" s="46">
        <f>LEFT(Tableau1[[#This Row],[Formacode]],3)</f>
        <v/>
      </c>
      <c r="D1405" s="47" t="n">
        <v>38409</v>
      </c>
      <c r="E1405" s="48">
        <f>"RNCP"&amp;D1405</f>
        <v/>
      </c>
      <c r="F1405" s="48" t="inlineStr">
        <is>
          <t>CAP - Charpentier de marine</t>
        </is>
      </c>
      <c r="G1405" s="49">
        <f>E1405&amp;" - "&amp;F1405</f>
        <v/>
      </c>
      <c r="H1405" s="36" t="inlineStr">
        <is>
          <t>RAS</t>
        </is>
      </c>
      <c r="I1405" s="45" t="inlineStr"/>
      <c r="J1405" s="45" t="inlineStr">
        <is>
          <t>RNCP38409</t>
        </is>
      </c>
      <c r="K1405" s="45" t="inlineStr">
        <is>
          <t>Charpentier de marine</t>
        </is>
      </c>
      <c r="L1405" s="45" t="inlineStr">
        <is>
          <t>31/12/2028</t>
        </is>
      </c>
      <c r="M1405" s="45" t="inlineStr">
        <is>
          <t>23601 (Charpente marine) ; 22881 (Bois)</t>
        </is>
      </c>
      <c r="N1405" s="50" t="inlineStr">
        <is>
          <t>NON</t>
        </is>
      </c>
      <c r="O1405" s="45" t="inlineStr"/>
    </row>
    <row r="1406" customFormat="1" s="3">
      <c r="A1406" s="51" t="n"/>
      <c r="B1406" s="52" t="inlineStr">
        <is>
          <t>22881</t>
        </is>
      </c>
      <c r="C1406" s="52">
        <f>LEFT(Tableau1[[#This Row],[Formacode]],3)</f>
        <v/>
      </c>
      <c r="D1406" s="53" t="n">
        <v>38410</v>
      </c>
      <c r="E1406" s="54">
        <f>"RNCP"&amp;D1406</f>
        <v/>
      </c>
      <c r="F1406" s="54" t="inlineStr">
        <is>
          <t>BP - Charpentier de marine</t>
        </is>
      </c>
      <c r="G1406" s="55">
        <f>E1406&amp;" - "&amp;F1406</f>
        <v/>
      </c>
      <c r="H1406" s="37" t="inlineStr">
        <is>
          <t>À vérifier</t>
        </is>
      </c>
      <c r="I1406" s="51" t="inlineStr">
        <is>
          <t>Échéance le 31/12/2026 (dans 166 j)</t>
        </is>
      </c>
      <c r="J1406" s="51" t="inlineStr">
        <is>
          <t>RNCP38410</t>
        </is>
      </c>
      <c r="K1406" s="51" t="inlineStr">
        <is>
          <t>Charpentier de marine</t>
        </is>
      </c>
      <c r="L1406" s="51" t="inlineStr">
        <is>
          <t>31/12/2026</t>
        </is>
      </c>
      <c r="M1406" s="51" t="inlineStr">
        <is>
          <t>22881 (Bois) ; 23601 (Charpente marine)</t>
        </is>
      </c>
      <c r="N1406" s="62" t="inlineStr">
        <is>
          <t>NON</t>
        </is>
      </c>
      <c r="O1406" s="51" t="inlineStr"/>
    </row>
    <row r="1407" customFormat="1" s="3">
      <c r="A1407" s="45" t="n"/>
      <c r="B1407" s="46" t="inlineStr">
        <is>
          <t>22881</t>
        </is>
      </c>
      <c r="C1407" s="46">
        <f>LEFT(Tableau1[[#This Row],[Formacode]],3)</f>
        <v/>
      </c>
      <c r="D1407" s="47" t="n">
        <v>39282</v>
      </c>
      <c r="E1407" s="48">
        <f>"RNCP"&amp;D1407</f>
        <v/>
      </c>
      <c r="F1407" s="48" t="inlineStr">
        <is>
          <t>TP - Constructeur aménageur nautique bois et composites</t>
        </is>
      </c>
      <c r="G1407" s="49">
        <f>E1407&amp;" - "&amp;F1407</f>
        <v/>
      </c>
      <c r="H1407" s="36" t="inlineStr">
        <is>
          <t>RAS</t>
        </is>
      </c>
      <c r="I1407" s="45" t="inlineStr"/>
      <c r="J1407" s="45" t="inlineStr">
        <is>
          <t>RNCP39282</t>
        </is>
      </c>
      <c r="K1407" s="45" t="inlineStr">
        <is>
          <t>Constructeur aménageur nautique bois et composites</t>
        </is>
      </c>
      <c r="L1407" s="45" t="inlineStr">
        <is>
          <t>08/10/2029</t>
        </is>
      </c>
      <c r="M1407" s="45" t="inlineStr">
        <is>
          <t>23622 (Construction maintenance navale) ; 22881 (Bois) ; 22871 (Matériau composite)</t>
        </is>
      </c>
      <c r="N1407" s="50" t="inlineStr">
        <is>
          <t>NON</t>
        </is>
      </c>
      <c r="O1407" s="45" t="inlineStr"/>
    </row>
    <row r="1408" customFormat="1" s="3">
      <c r="A1408" s="45" t="n"/>
      <c r="B1408" s="46" t="inlineStr">
        <is>
          <t>22881</t>
        </is>
      </c>
      <c r="C1408" s="46">
        <f>LEFT(Tableau1[[#This Row],[Formacode]],3)</f>
        <v/>
      </c>
      <c r="D1408" s="47" t="n">
        <v>39648</v>
      </c>
      <c r="E1408" s="48">
        <f>"RNCP"&amp;D1408</f>
        <v/>
      </c>
      <c r="F1408" s="48" t="inlineStr">
        <is>
          <t>CAP - Menuisier en sièges</t>
        </is>
      </c>
      <c r="G1408" s="49">
        <f>E1408&amp;" - "&amp;F1408</f>
        <v/>
      </c>
      <c r="H1408" s="36" t="inlineStr">
        <is>
          <t>RAS</t>
        </is>
      </c>
      <c r="I1408" s="45" t="inlineStr"/>
      <c r="J1408" s="45" t="inlineStr">
        <is>
          <t>RNCP39648</t>
        </is>
      </c>
      <c r="K1408" s="45" t="inlineStr">
        <is>
          <t>Menuisier en sièges</t>
        </is>
      </c>
      <c r="L1408" s="45" t="inlineStr">
        <is>
          <t>31/08/2027</t>
        </is>
      </c>
      <c r="M1408" s="45" t="inlineStr">
        <is>
          <t>45554 (Artisanat art) ; 45019 (Ameublement) ; 22881 (Bois) ; 22416 (Menuiserie bois)</t>
        </is>
      </c>
      <c r="N1408" s="50" t="inlineStr">
        <is>
          <t>NON</t>
        </is>
      </c>
      <c r="O1408" s="45" t="inlineStr"/>
    </row>
    <row r="1409" customFormat="1" s="3">
      <c r="A1409" s="45" t="n"/>
      <c r="B1409" s="46" t="inlineStr">
        <is>
          <t>22884</t>
        </is>
      </c>
      <c r="C1409" s="46">
        <f>LEFT(Tableau1[[#This Row],[Formacode]],3)</f>
        <v/>
      </c>
      <c r="D1409" s="47" t="n">
        <v>38499</v>
      </c>
      <c r="E1409" s="48">
        <f>"RNCP"&amp;D1409</f>
        <v/>
      </c>
      <c r="F1409" s="48" t="inlineStr">
        <is>
          <t>BAC PRO - Procédés de la chimie, de l'eau et des papiers cartons</t>
        </is>
      </c>
      <c r="G1409" s="49">
        <f>E1409&amp;" - "&amp;F1409</f>
        <v/>
      </c>
      <c r="H1409" s="36" t="inlineStr">
        <is>
          <t>RAS</t>
        </is>
      </c>
      <c r="I1409" s="45" t="inlineStr"/>
      <c r="J1409" s="45" t="inlineStr">
        <is>
          <t>RNCP38499</t>
        </is>
      </c>
      <c r="K1409" s="45" t="inlineStr">
        <is>
          <t>Procédés de la chimie, de l'eau et des papiers cartons</t>
        </is>
      </c>
      <c r="L1409" s="45" t="inlineStr">
        <is>
          <t>31/12/2028</t>
        </is>
      </c>
      <c r="M1409" s="45" t="inlineStr">
        <is>
          <t>11534 (Génie chimique) ; 22884 (Papier carton)</t>
        </is>
      </c>
      <c r="N1409" s="50" t="inlineStr">
        <is>
          <t>NON</t>
        </is>
      </c>
      <c r="O1409" s="45" t="inlineStr"/>
    </row>
    <row r="1410" customFormat="1" s="3">
      <c r="A1410" s="45" t="n"/>
      <c r="B1410" s="46" t="inlineStr">
        <is>
          <t>22884</t>
        </is>
      </c>
      <c r="C1410" s="46">
        <f>LEFT(Tableau1[[#This Row],[Formacode]],3)</f>
        <v/>
      </c>
      <c r="D1410" s="47" t="n">
        <v>38619</v>
      </c>
      <c r="E1410" s="48">
        <f>"RNCP"&amp;D1410</f>
        <v/>
      </c>
      <c r="F1410" s="48" t="inlineStr">
        <is>
          <t>CQP Conducteur référent de machine à papier</t>
        </is>
      </c>
      <c r="G1410" s="49">
        <f>E1410&amp;" - "&amp;F1410</f>
        <v/>
      </c>
      <c r="H1410" s="36" t="inlineStr">
        <is>
          <t>RAS</t>
        </is>
      </c>
      <c r="I1410" s="45" t="inlineStr"/>
      <c r="J1410" s="45" t="inlineStr">
        <is>
          <t>RNCP38619</t>
        </is>
      </c>
      <c r="K1410" s="45" t="inlineStr">
        <is>
          <t>CQP Conducteur référent de machine à papier</t>
        </is>
      </c>
      <c r="L1410" s="45" t="inlineStr">
        <is>
          <t>09/02/2027</t>
        </is>
      </c>
      <c r="M1410" s="45" t="inlineStr">
        <is>
          <t>31620 (Conduite installation industrielle) ; 22884 (Papier carton)</t>
        </is>
      </c>
      <c r="N1410" s="50" t="inlineStr">
        <is>
          <t>NON</t>
        </is>
      </c>
      <c r="O1410" s="45" t="inlineStr"/>
    </row>
    <row r="1411" customFormat="1" s="3">
      <c r="A1411" s="45" t="n"/>
      <c r="B1411" s="46" t="inlineStr">
        <is>
          <t>22884</t>
        </is>
      </c>
      <c r="C1411" s="46">
        <f>LEFT(Tableau1[[#This Row],[Formacode]],3)</f>
        <v/>
      </c>
      <c r="D1411" s="47" t="n">
        <v>38621</v>
      </c>
      <c r="E1411" s="48">
        <f>"RNCP"&amp;D1411</f>
        <v/>
      </c>
      <c r="F1411" s="48" t="inlineStr">
        <is>
          <t>CQP Conducteur en transformation</t>
        </is>
      </c>
      <c r="G1411" s="49">
        <f>E1411&amp;" - "&amp;F1411</f>
        <v/>
      </c>
      <c r="H1411" s="36" t="inlineStr">
        <is>
          <t>RAS</t>
        </is>
      </c>
      <c r="I1411" s="45" t="inlineStr"/>
      <c r="J1411" s="45" t="inlineStr">
        <is>
          <t>RNCP38621</t>
        </is>
      </c>
      <c r="K1411" s="45" t="inlineStr">
        <is>
          <t>CQP Conducteur en transformation</t>
        </is>
      </c>
      <c r="L1411" s="45" t="inlineStr">
        <is>
          <t>09/02/2027</t>
        </is>
      </c>
      <c r="M1411" s="45" t="inlineStr">
        <is>
          <t>31620 (Conduite installation industrielle) ; 22884 (Papier carton)</t>
        </is>
      </c>
      <c r="N1411" s="50" t="inlineStr">
        <is>
          <t>NON</t>
        </is>
      </c>
      <c r="O1411" s="45" t="inlineStr"/>
    </row>
    <row r="1412" customFormat="1" s="3">
      <c r="A1412" s="45" t="n"/>
      <c r="B1412" s="46" t="inlineStr">
        <is>
          <t>22884</t>
        </is>
      </c>
      <c r="C1412" s="46">
        <f>LEFT(Tableau1[[#This Row],[Formacode]],3)</f>
        <v/>
      </c>
      <c r="D1412" s="47" t="n">
        <v>38626</v>
      </c>
      <c r="E1412" s="48">
        <f>"RNCP"&amp;D1412</f>
        <v/>
      </c>
      <c r="F1412" s="48" t="inlineStr">
        <is>
          <t>CQP Aide-conducteur de machine à papier</t>
        </is>
      </c>
      <c r="G1412" s="49">
        <f>E1412&amp;" - "&amp;F1412</f>
        <v/>
      </c>
      <c r="H1412" s="36" t="inlineStr">
        <is>
          <t>RAS</t>
        </is>
      </c>
      <c r="I1412" s="45" t="inlineStr"/>
      <c r="J1412" s="45" t="inlineStr">
        <is>
          <t>RNCP38626</t>
        </is>
      </c>
      <c r="K1412" s="45" t="inlineStr">
        <is>
          <t>CQP Aide-conducteur de machine à papier</t>
        </is>
      </c>
      <c r="L1412" s="45" t="inlineStr">
        <is>
          <t>09/02/2027</t>
        </is>
      </c>
      <c r="M1412" s="45" t="inlineStr">
        <is>
          <t>31620 (Conduite installation industrielle) ; 22884 (Papier carton)</t>
        </is>
      </c>
      <c r="N1412" s="50" t="inlineStr">
        <is>
          <t>NON</t>
        </is>
      </c>
      <c r="O1412" s="45" t="inlineStr"/>
    </row>
    <row r="1413" customFormat="1" s="3">
      <c r="A1413" s="45" t="n"/>
      <c r="B1413" s="46" t="inlineStr">
        <is>
          <t>22884</t>
        </is>
      </c>
      <c r="C1413" s="46">
        <f>LEFT(Tableau1[[#This Row],[Formacode]],3)</f>
        <v/>
      </c>
      <c r="D1413" s="47" t="n">
        <v>38627</v>
      </c>
      <c r="E1413" s="48">
        <f>"RNCP"&amp;D1413</f>
        <v/>
      </c>
      <c r="F1413" s="48" t="inlineStr">
        <is>
          <t>CQP Aide-conducteur en transformation</t>
        </is>
      </c>
      <c r="G1413" s="49">
        <f>E1413&amp;" - "&amp;F1413</f>
        <v/>
      </c>
      <c r="H1413" s="36" t="inlineStr">
        <is>
          <t>RAS</t>
        </is>
      </c>
      <c r="I1413" s="45" t="inlineStr"/>
      <c r="J1413" s="45" t="inlineStr">
        <is>
          <t>RNCP38627</t>
        </is>
      </c>
      <c r="K1413" s="45" t="inlineStr">
        <is>
          <t>CQP Aide-conducteur en transformation</t>
        </is>
      </c>
      <c r="L1413" s="45" t="inlineStr">
        <is>
          <t>09/02/2027</t>
        </is>
      </c>
      <c r="M1413" s="45" t="inlineStr">
        <is>
          <t>31620 (Conduite installation industrielle) ; 22884 (Papier carton)</t>
        </is>
      </c>
      <c r="N1413" s="50" t="inlineStr">
        <is>
          <t>NON</t>
        </is>
      </c>
      <c r="O1413" s="45" t="inlineStr"/>
    </row>
    <row r="1414" customFormat="1" s="3">
      <c r="A1414" s="45" t="n"/>
      <c r="B1414" s="46" t="inlineStr">
        <is>
          <t>22892</t>
        </is>
      </c>
      <c r="C1414" s="46">
        <f>LEFT(Tableau1[[#This Row],[Formacode]],3)</f>
        <v/>
      </c>
      <c r="D1414" s="47" t="n">
        <v>38509</v>
      </c>
      <c r="E1414" s="48">
        <f>"RNCP"&amp;D1414</f>
        <v/>
      </c>
      <c r="F1414" s="48" t="inlineStr">
        <is>
          <t>Technicien des réseaux spécialisé</t>
        </is>
      </c>
      <c r="G1414" s="49">
        <f>E1414&amp;" - "&amp;F1414</f>
        <v/>
      </c>
      <c r="H1414" s="36" t="inlineStr">
        <is>
          <t>RAS</t>
        </is>
      </c>
      <c r="I1414" s="45" t="inlineStr"/>
      <c r="J1414" s="45" t="inlineStr">
        <is>
          <t>RNCP38509</t>
        </is>
      </c>
      <c r="K1414" s="45" t="inlineStr">
        <is>
          <t>Technicien des réseaux spécialisé</t>
        </is>
      </c>
      <c r="L1414" s="45" t="inlineStr">
        <is>
          <t>21/12/2028</t>
        </is>
      </c>
      <c r="M1414" s="45" t="inlineStr">
        <is>
          <t>24270 (Équipement télécom) ; 22892 (Fibre optique)</t>
        </is>
      </c>
      <c r="N1414" s="50" t="inlineStr">
        <is>
          <t>NON</t>
        </is>
      </c>
      <c r="O1414" s="45" t="inlineStr"/>
    </row>
    <row r="1415" customFormat="1" s="3">
      <c r="A1415" s="45" t="n"/>
      <c r="B1415" s="46" t="inlineStr">
        <is>
          <t>23021</t>
        </is>
      </c>
      <c r="C1415" s="46">
        <f>LEFT(Tableau1[[#This Row],[Formacode]],3)</f>
        <v/>
      </c>
      <c r="D1415" s="47" t="n">
        <v>37877</v>
      </c>
      <c r="E1415" s="48">
        <f>"RNCP"&amp;D1415</f>
        <v/>
      </c>
      <c r="F1415" s="48" t="inlineStr">
        <is>
          <t>TP - Conducteur de machines de plasturgie</t>
        </is>
      </c>
      <c r="G1415" s="49">
        <f>E1415&amp;" - "&amp;F1415</f>
        <v/>
      </c>
      <c r="H1415" s="36" t="inlineStr">
        <is>
          <t>RAS</t>
        </is>
      </c>
      <c r="I1415" s="45" t="inlineStr"/>
      <c r="J1415" s="45" t="inlineStr">
        <is>
          <t>RNCP37877</t>
        </is>
      </c>
      <c r="K1415" s="45" t="inlineStr">
        <is>
          <t>Conducteur de machines de plasturgie</t>
        </is>
      </c>
      <c r="L1415" s="45" t="inlineStr">
        <is>
          <t>19/10/2028</t>
        </is>
      </c>
      <c r="M1415" s="45" t="inlineStr">
        <is>
          <t>23001 (Thermoformage)</t>
        </is>
      </c>
      <c r="N1415" s="50" t="inlineStr">
        <is>
          <t>NON</t>
        </is>
      </c>
      <c r="O1415" s="45" t="inlineStr"/>
    </row>
    <row r="1416" ht="28.8" customFormat="1" customHeight="1" s="3">
      <c r="A1416" s="45" t="n"/>
      <c r="B1416" s="46" t="inlineStr">
        <is>
          <t>23021</t>
        </is>
      </c>
      <c r="C1416" s="46">
        <f>LEFT(Tableau1[[#This Row],[Formacode]],3)</f>
        <v/>
      </c>
      <c r="D1416" s="47" t="n">
        <v>38416</v>
      </c>
      <c r="E1416" s="48">
        <f>"RNCP"&amp;D1416</f>
        <v/>
      </c>
      <c r="F1416" s="48" t="inlineStr">
        <is>
          <t>BTS - EuroPlastics et Composites - Option CO: Conception Outillage - Option POP : Pilotage et Optimisation de la Production</t>
        </is>
      </c>
      <c r="G1416" s="49">
        <f>E1416&amp;" - "&amp;F1416</f>
        <v/>
      </c>
      <c r="H1416" s="36" t="inlineStr">
        <is>
          <t>RAS</t>
        </is>
      </c>
      <c r="I1416" s="45" t="inlineStr"/>
      <c r="J1416" s="45" t="inlineStr">
        <is>
          <t>RNCP38416</t>
        </is>
      </c>
      <c r="K1416" s="45" t="inlineStr">
        <is>
          <t>EuroPlastics et Composites - Option CO: Conception Outillage - Option POP : Pilotage et Optimisation de la Production</t>
        </is>
      </c>
      <c r="L1416" s="45" t="inlineStr">
        <is>
          <t>31/12/2028</t>
        </is>
      </c>
      <c r="M1416" s="45" t="inlineStr">
        <is>
          <t>23021 (Plasturgie) ; 31652 (Gestion production) ; 23064 (Qualité travail matériau) ; 31454 (Gestion qualité) ; 31606 (Conduite projet industriel)</t>
        </is>
      </c>
      <c r="N1416" s="50" t="inlineStr">
        <is>
          <t>NON</t>
        </is>
      </c>
      <c r="O1416" s="45" t="inlineStr"/>
    </row>
    <row r="1417" customFormat="1" s="3">
      <c r="A1417" s="45" t="n"/>
      <c r="B1417" s="46" t="inlineStr">
        <is>
          <t>23021</t>
        </is>
      </c>
      <c r="C1417" s="46">
        <f>LEFT(Tableau1[[#This Row],[Formacode]],3)</f>
        <v/>
      </c>
      <c r="D1417" s="47" t="n">
        <v>38432</v>
      </c>
      <c r="E1417" s="48">
        <f>"RNCP"&amp;D1417</f>
        <v/>
      </c>
      <c r="F1417" s="48" t="inlineStr">
        <is>
          <t>CAP - composites, plastiques chaudronnés</t>
        </is>
      </c>
      <c r="G1417" s="49">
        <f>E1417&amp;" - "&amp;F1417</f>
        <v/>
      </c>
      <c r="H1417" s="36" t="inlineStr">
        <is>
          <t>RAS</t>
        </is>
      </c>
      <c r="I1417" s="45" t="inlineStr"/>
      <c r="J1417" s="45" t="inlineStr">
        <is>
          <t>RNCP38432</t>
        </is>
      </c>
      <c r="K1417" s="45" t="inlineStr">
        <is>
          <t>composites, plastiques chaudronnés</t>
        </is>
      </c>
      <c r="L1417" s="45" t="inlineStr">
        <is>
          <t>31/12/2028</t>
        </is>
      </c>
      <c r="M1417" s="45" t="inlineStr">
        <is>
          <t>23092 (Chaudronnerie plastique) ; 22871 (Matériau composite)</t>
        </is>
      </c>
      <c r="N1417" s="50" t="inlineStr">
        <is>
          <t>NON</t>
        </is>
      </c>
      <c r="O1417" s="45" t="inlineStr"/>
    </row>
    <row r="1418" customFormat="1" s="3">
      <c r="A1418" s="51" t="n"/>
      <c r="B1418" s="52" t="inlineStr">
        <is>
          <t>23021</t>
        </is>
      </c>
      <c r="C1418" s="52">
        <f>LEFT(Tableau1[[#This Row],[Formacode]],3)</f>
        <v/>
      </c>
      <c r="D1418" s="53" t="n">
        <v>38471</v>
      </c>
      <c r="E1418" s="54">
        <f>"RNCP"&amp;D1418</f>
        <v/>
      </c>
      <c r="F1418" s="54" t="inlineStr">
        <is>
          <t>CQP Polisseur</t>
        </is>
      </c>
      <c r="G1418" s="55">
        <f>E1418&amp;" - "&amp;F1418</f>
        <v/>
      </c>
      <c r="H1418" s="37" t="inlineStr">
        <is>
          <t>À vérifier</t>
        </is>
      </c>
      <c r="I1418" s="51" t="inlineStr">
        <is>
          <t>Échéance le 21/12/2026 (dans 156 j)</t>
        </is>
      </c>
      <c r="J1418" s="51" t="inlineStr">
        <is>
          <t>RNCP38471</t>
        </is>
      </c>
      <c r="K1418" s="51" t="inlineStr">
        <is>
          <t>CQP Polisseur</t>
        </is>
      </c>
      <c r="L1418" s="51" t="inlineStr">
        <is>
          <t>21/12/2026</t>
        </is>
      </c>
      <c r="M1418" s="51" t="inlineStr">
        <is>
          <t>23583 (Mécanique surface) ; 23054 (Travail matériau)</t>
        </is>
      </c>
      <c r="N1418" s="62" t="inlineStr">
        <is>
          <t>NON</t>
        </is>
      </c>
      <c r="O1418" s="51" t="inlineStr"/>
    </row>
    <row r="1419" customFormat="1" s="3">
      <c r="A1419" s="45" t="n"/>
      <c r="B1419" s="46" t="inlineStr">
        <is>
          <t>23021</t>
        </is>
      </c>
      <c r="C1419" s="46">
        <f>LEFT(Tableau1[[#This Row],[Formacode]],3)</f>
        <v/>
      </c>
      <c r="D1419" s="47" t="n">
        <v>38566</v>
      </c>
      <c r="E1419" s="48">
        <f>"RNCP"&amp;D1419</f>
        <v/>
      </c>
      <c r="F1419" s="48" t="inlineStr">
        <is>
          <t>BAC PRO - Plastiques et composites</t>
        </is>
      </c>
      <c r="G1419" s="49">
        <f>E1419&amp;" - "&amp;F1419</f>
        <v/>
      </c>
      <c r="H1419" s="36" t="inlineStr">
        <is>
          <t>RAS</t>
        </is>
      </c>
      <c r="I1419" s="45" t="inlineStr"/>
      <c r="J1419" s="45" t="inlineStr">
        <is>
          <t>RNCP38566</t>
        </is>
      </c>
      <c r="K1419" s="45" t="inlineStr">
        <is>
          <t>Plastiques et composites</t>
        </is>
      </c>
      <c r="L1419" s="45" t="inlineStr">
        <is>
          <t>31/12/2028</t>
        </is>
      </c>
      <c r="M1419" s="45" t="inlineStr">
        <is>
          <t>23021 (Plasturgie) ; 31620 (Conduite installation industrielle) ; 22871 (Matériau composite)</t>
        </is>
      </c>
      <c r="N1419" s="50" t="inlineStr">
        <is>
          <t>NON</t>
        </is>
      </c>
      <c r="O1419" s="45" t="inlineStr"/>
    </row>
    <row r="1420" customFormat="1" s="3">
      <c r="A1420" s="63" t="n"/>
      <c r="B1420" s="64" t="inlineStr">
        <is>
          <t>23021</t>
        </is>
      </c>
      <c r="C1420" s="64">
        <f>LEFT(Tableau1[[#This Row],[Formacode]],3)</f>
        <v/>
      </c>
      <c r="D1420" s="65" t="n">
        <v>38784</v>
      </c>
      <c r="E1420" s="66">
        <f>"RNCP"&amp;D1420</f>
        <v/>
      </c>
      <c r="F1420" s="66" t="inlineStr">
        <is>
          <t>CQP Assembleur-monteur de menuiseries extérieures en plasturgie</t>
        </is>
      </c>
      <c r="G1420" s="67">
        <f>E1420&amp;" - "&amp;F1420</f>
        <v/>
      </c>
      <c r="H1420" s="38" t="inlineStr">
        <is>
          <t>Expiré / remplacé</t>
        </is>
      </c>
      <c r="I1420" s="63" t="inlineStr">
        <is>
          <t>Fiche inactive (échéance 27/03/2026) — aucun successeur publié</t>
        </is>
      </c>
      <c r="J1420" s="63" t="inlineStr">
        <is>
          <t>RNCP38784</t>
        </is>
      </c>
      <c r="K1420" s="63" t="inlineStr">
        <is>
          <t>CQP Assembleur-monteur de menuiseries extérieures en plasturgie</t>
        </is>
      </c>
      <c r="L1420" s="63" t="inlineStr">
        <is>
          <t>27/03/2026</t>
        </is>
      </c>
      <c r="M1420" s="63" t="inlineStr">
        <is>
          <t>22417 (Menuiserie plastique) ; 23021 (Plasturgie)</t>
        </is>
      </c>
      <c r="N1420" s="68" t="inlineStr">
        <is>
          <t>NON</t>
        </is>
      </c>
      <c r="O1420" s="63" t="inlineStr"/>
    </row>
    <row r="1421" customFormat="1" s="3">
      <c r="A1421" s="45" t="n"/>
      <c r="B1421" s="46" t="inlineStr">
        <is>
          <t>23021</t>
        </is>
      </c>
      <c r="C1421" s="46">
        <f>LEFT(Tableau1[[#This Row],[Formacode]],3)</f>
        <v/>
      </c>
      <c r="D1421" s="47" t="n">
        <v>38787</v>
      </c>
      <c r="E1421" s="48">
        <f>"RNCP"&amp;D1421</f>
        <v/>
      </c>
      <c r="F1421" s="48" t="inlineStr">
        <is>
          <t>CQP Technicien de maintenance et entretien des outillages en plasturgie</t>
        </is>
      </c>
      <c r="G1421" s="49">
        <f>E1421&amp;" - "&amp;F1421</f>
        <v/>
      </c>
      <c r="H1421" s="36" t="inlineStr">
        <is>
          <t>RAS</t>
        </is>
      </c>
      <c r="I1421" s="45" t="inlineStr"/>
      <c r="J1421" s="45" t="inlineStr">
        <is>
          <t>RNCP38787</t>
        </is>
      </c>
      <c r="K1421" s="45" t="inlineStr">
        <is>
          <t>CQP Technicien de maintenance et entretien des outillages en plasturgie</t>
        </is>
      </c>
      <c r="L1421" s="45" t="inlineStr">
        <is>
          <t>27/03/2027</t>
        </is>
      </c>
      <c r="M1421" s="45" t="inlineStr">
        <is>
          <t>31624 (Maintenance industrielle) ; 23021 (Plasturgie)</t>
        </is>
      </c>
      <c r="N1421" s="50" t="inlineStr">
        <is>
          <t>NON</t>
        </is>
      </c>
      <c r="O1421" s="45" t="inlineStr"/>
    </row>
    <row r="1422" customFormat="1" s="3">
      <c r="A1422" s="45" t="n"/>
      <c r="B1422" s="46" t="inlineStr">
        <is>
          <t>23021</t>
        </is>
      </c>
      <c r="C1422" s="46">
        <f>LEFT(Tableau1[[#This Row],[Formacode]],3)</f>
        <v/>
      </c>
      <c r="D1422" s="47" t="n">
        <v>38788</v>
      </c>
      <c r="E1422" s="48">
        <f>"RNCP"&amp;D1422</f>
        <v/>
      </c>
      <c r="F1422" s="48" t="inlineStr">
        <is>
          <t>CQP Technicien de production en plasturgie</t>
        </is>
      </c>
      <c r="G1422" s="49">
        <f>E1422&amp;" - "&amp;F1422</f>
        <v/>
      </c>
      <c r="H1422" s="36" t="inlineStr">
        <is>
          <t>RAS</t>
        </is>
      </c>
      <c r="I1422" s="45" t="inlineStr"/>
      <c r="J1422" s="45" t="inlineStr">
        <is>
          <t>RNCP38788</t>
        </is>
      </c>
      <c r="K1422" s="45" t="inlineStr">
        <is>
          <t>CQP Technicien de production en plasturgie</t>
        </is>
      </c>
      <c r="L1422" s="45" t="inlineStr">
        <is>
          <t>27/03/2027</t>
        </is>
      </c>
      <c r="M1422" s="45" t="inlineStr">
        <is>
          <t>23021 (Plasturgie) ; 31652 (Gestion production)</t>
        </is>
      </c>
      <c r="N1422" s="50" t="inlineStr">
        <is>
          <t>NON</t>
        </is>
      </c>
      <c r="O1422" s="45" t="inlineStr"/>
    </row>
    <row r="1423" ht="28.8" customFormat="1" customHeight="1" s="3">
      <c r="A1423" s="45" t="n"/>
      <c r="B1423" s="46" t="inlineStr">
        <is>
          <t>23021</t>
        </is>
      </c>
      <c r="C1423" s="46">
        <f>LEFT(Tableau1[[#This Row],[Formacode]],3)</f>
        <v/>
      </c>
      <c r="D1423" s="47" t="n">
        <v>38904</v>
      </c>
      <c r="E1423" s="48">
        <f>"RNCP"&amp;D1423</f>
        <v/>
      </c>
      <c r="F1423" s="48" t="inlineStr">
        <is>
          <t>CQP Conducteur régleur de presse à injecter les matériaux plastiques et métalliques sous pression</t>
        </is>
      </c>
      <c r="G1423" s="49">
        <f>E1423&amp;" - "&amp;F1423</f>
        <v/>
      </c>
      <c r="H1423" s="36" t="inlineStr">
        <is>
          <t>RAS</t>
        </is>
      </c>
      <c r="I1423" s="45" t="inlineStr"/>
      <c r="J1423" s="45" t="inlineStr">
        <is>
          <t>RNCP38904</t>
        </is>
      </c>
      <c r="K1423" s="45" t="inlineStr">
        <is>
          <t>CQP Conducteur régleur de presse à injecter les matériaux plastiques et métalliques sous pression</t>
        </is>
      </c>
      <c r="L1423" s="45" t="inlineStr">
        <is>
          <t>26/04/2027</t>
        </is>
      </c>
      <c r="M1423" s="45" t="inlineStr">
        <is>
          <t>31620 (Conduite installation industrielle) ; 23010 (Moulage plastique) ; 23081 (Moulage métal)</t>
        </is>
      </c>
      <c r="N1423" s="50" t="inlineStr">
        <is>
          <t>NON</t>
        </is>
      </c>
      <c r="O1423" s="45" t="inlineStr"/>
    </row>
    <row r="1424" customFormat="1" s="3">
      <c r="A1424" s="45" t="n"/>
      <c r="B1424" s="46" t="inlineStr">
        <is>
          <t>23021</t>
        </is>
      </c>
      <c r="C1424" s="46">
        <f>LEFT(Tableau1[[#This Row],[Formacode]],3)</f>
        <v/>
      </c>
      <c r="D1424" s="47" t="n">
        <v>39350</v>
      </c>
      <c r="E1424" s="48">
        <f>"RNCP"&amp;D1424</f>
        <v/>
      </c>
      <c r="F1424" s="48" t="inlineStr">
        <is>
          <t>CQP Opérateur en orthoprothèse</t>
        </is>
      </c>
      <c r="G1424" s="49">
        <f>E1424&amp;" - "&amp;F1424</f>
        <v/>
      </c>
      <c r="H1424" s="36" t="inlineStr">
        <is>
          <t>RAS</t>
        </is>
      </c>
      <c r="I1424" s="45" t="inlineStr"/>
      <c r="J1424" s="45" t="inlineStr">
        <is>
          <t>RNCP39350</t>
        </is>
      </c>
      <c r="K1424" s="45" t="inlineStr">
        <is>
          <t>CQP Opérateur en orthoprothèse</t>
        </is>
      </c>
      <c r="L1424" s="45" t="inlineStr">
        <is>
          <t>19/07/2029</t>
        </is>
      </c>
      <c r="M1424" s="45" t="inlineStr">
        <is>
          <t>43484 (Prothèse) ; 23001 (Thermoformage)</t>
        </is>
      </c>
      <c r="N1424" s="50" t="inlineStr">
        <is>
          <t>NON</t>
        </is>
      </c>
      <c r="O1424" s="45" t="inlineStr"/>
    </row>
    <row r="1425" customFormat="1" s="3">
      <c r="A1425" s="45" t="n"/>
      <c r="B1425" s="46" t="inlineStr">
        <is>
          <t>23021</t>
        </is>
      </c>
      <c r="C1425" s="46">
        <f>LEFT(Tableau1[[#This Row],[Formacode]],3)</f>
        <v/>
      </c>
      <c r="D1425" s="47" t="n">
        <v>41782</v>
      </c>
      <c r="E1425" s="48">
        <f>"RNCP"&amp;D1425</f>
        <v/>
      </c>
      <c r="F1425" s="48" t="inlineStr">
        <is>
          <t>CQP Monteur régleur d'équipement de fabrication</t>
        </is>
      </c>
      <c r="G1425" s="49">
        <f>E1425&amp;" - "&amp;F1425</f>
        <v/>
      </c>
      <c r="H1425" s="36" t="inlineStr">
        <is>
          <t>RAS</t>
        </is>
      </c>
      <c r="I1425" s="45" t="inlineStr"/>
      <c r="J1425" s="45" t="inlineStr">
        <is>
          <t>RNCP41782</t>
        </is>
      </c>
      <c r="K1425" s="45" t="inlineStr">
        <is>
          <t>CQP Monteur régleur d'équipement de fabrication</t>
        </is>
      </c>
      <c r="L1425" s="45" t="inlineStr">
        <is>
          <t>18/12/2030</t>
        </is>
      </c>
      <c r="M1425" s="45" t="inlineStr">
        <is>
          <t>23021 (Plasturgie) ; 31620 (Conduite installation industrielle)</t>
        </is>
      </c>
      <c r="N1425" s="50" t="inlineStr">
        <is>
          <t>NON</t>
        </is>
      </c>
      <c r="O1425" s="45" t="inlineStr"/>
    </row>
    <row r="1426" customFormat="1" s="3">
      <c r="A1426" s="45" t="n"/>
      <c r="B1426" s="46" t="inlineStr">
        <is>
          <t>23021</t>
        </is>
      </c>
      <c r="C1426" s="46">
        <f>LEFT(Tableau1[[#This Row],[Formacode]],3)</f>
        <v/>
      </c>
      <c r="D1426" s="47" t="n">
        <v>41783</v>
      </c>
      <c r="E1426" s="48">
        <f>"RNCP"&amp;D1426</f>
        <v/>
      </c>
      <c r="F1426" s="48" t="inlineStr">
        <is>
          <t>CQP Opérateur spécialisé en assemblage, parachèvement et finitions</t>
        </is>
      </c>
      <c r="G1426" s="49">
        <f>E1426&amp;" - "&amp;F1426</f>
        <v/>
      </c>
      <c r="H1426" s="36" t="inlineStr">
        <is>
          <t>RAS</t>
        </is>
      </c>
      <c r="I1426" s="45" t="inlineStr"/>
      <c r="J1426" s="45" t="inlineStr">
        <is>
          <t>RNCP41783</t>
        </is>
      </c>
      <c r="K1426" s="45" t="inlineStr">
        <is>
          <t>CQP Opérateur spécialisé en assemblage, parachèvement et finitions</t>
        </is>
      </c>
      <c r="L1426" s="45" t="inlineStr">
        <is>
          <t>18/12/2028</t>
        </is>
      </c>
      <c r="M1426" s="45" t="inlineStr">
        <is>
          <t>23021 (Plasturgie)</t>
        </is>
      </c>
      <c r="N1426" s="50" t="inlineStr">
        <is>
          <t>NON</t>
        </is>
      </c>
      <c r="O1426" s="45" t="inlineStr"/>
    </row>
    <row r="1427" customFormat="1" s="3">
      <c r="A1427" s="45" t="n"/>
      <c r="B1427" s="46" t="inlineStr">
        <is>
          <t>23021</t>
        </is>
      </c>
      <c r="C1427" s="46">
        <f>LEFT(Tableau1[[#This Row],[Formacode]],3)</f>
        <v/>
      </c>
      <c r="D1427" s="47" t="n">
        <v>41784</v>
      </c>
      <c r="E1427" s="48">
        <f>"RNCP"&amp;D1427</f>
        <v/>
      </c>
      <c r="F1427" s="48" t="inlineStr">
        <is>
          <t>CQP Coordinateur de ligne ou d'îlot</t>
        </is>
      </c>
      <c r="G1427" s="49">
        <f>E1427&amp;" - "&amp;F1427</f>
        <v/>
      </c>
      <c r="H1427" s="36" t="inlineStr">
        <is>
          <t>RAS</t>
        </is>
      </c>
      <c r="I1427" s="45" t="inlineStr"/>
      <c r="J1427" s="45" t="inlineStr">
        <is>
          <t>RNCP41784</t>
        </is>
      </c>
      <c r="K1427" s="45" t="inlineStr">
        <is>
          <t>CQP Coordinateur de ligne ou d'îlot</t>
        </is>
      </c>
      <c r="L1427" s="45" t="inlineStr">
        <is>
          <t>18/12/2030</t>
        </is>
      </c>
      <c r="M1427" s="45" t="inlineStr">
        <is>
          <t>23021 (Plasturgie) ; 31620 (Conduite installation industrielle)</t>
        </is>
      </c>
      <c r="N1427" s="50" t="inlineStr">
        <is>
          <t>NON</t>
        </is>
      </c>
      <c r="O1427" s="45" t="inlineStr"/>
    </row>
    <row r="1428" customFormat="1" s="3">
      <c r="A1428" s="45" t="n"/>
      <c r="B1428" s="46" t="inlineStr">
        <is>
          <t>23021</t>
        </is>
      </c>
      <c r="C1428" s="46">
        <f>LEFT(Tableau1[[#This Row],[Formacode]],3)</f>
        <v/>
      </c>
      <c r="D1428" s="47" t="n">
        <v>41785</v>
      </c>
      <c r="E1428" s="48">
        <f>"RNCP"&amp;D1428</f>
        <v/>
      </c>
      <c r="F1428" s="48" t="inlineStr">
        <is>
          <t>CQP Responsable d'équipe</t>
        </is>
      </c>
      <c r="G1428" s="49">
        <f>E1428&amp;" - "&amp;F1428</f>
        <v/>
      </c>
      <c r="H1428" s="36" t="inlineStr">
        <is>
          <t>RAS</t>
        </is>
      </c>
      <c r="I1428" s="45" t="inlineStr"/>
      <c r="J1428" s="45" t="inlineStr">
        <is>
          <t>RNCP41785</t>
        </is>
      </c>
      <c r="K1428" s="45" t="inlineStr">
        <is>
          <t>CQP Responsable d'équipe</t>
        </is>
      </c>
      <c r="L1428" s="45" t="inlineStr">
        <is>
          <t>18/12/2030</t>
        </is>
      </c>
      <c r="M1428" s="45" t="inlineStr">
        <is>
          <t>32110 (Management opérationnel) ; 23021 (Plasturgie)</t>
        </is>
      </c>
      <c r="N1428" s="50" t="inlineStr">
        <is>
          <t>NON</t>
        </is>
      </c>
      <c r="O1428" s="45" t="inlineStr"/>
    </row>
    <row r="1429" customFormat="1" s="3">
      <c r="A1429" s="63" t="n"/>
      <c r="B1429" s="64" t="inlineStr">
        <is>
          <t>23035</t>
        </is>
      </c>
      <c r="C1429" s="64">
        <f>LEFT(Tableau1[[#This Row],[Formacode]],3)</f>
        <v/>
      </c>
      <c r="D1429" s="65" t="n">
        <v>35229</v>
      </c>
      <c r="E1429" s="66">
        <f>"RNCP"&amp;D1429</f>
        <v/>
      </c>
      <c r="F1429" s="66" t="inlineStr">
        <is>
          <t>TP - Stratifieur multiprocédés en matériaux composites</t>
        </is>
      </c>
      <c r="G1429" s="67">
        <f>E1429&amp;" - "&amp;F1429</f>
        <v/>
      </c>
      <c r="H1429" s="38" t="inlineStr">
        <is>
          <t>Expiré / remplacé</t>
        </is>
      </c>
      <c r="I1429" s="63" t="inlineStr">
        <is>
          <t>Fiche inactive — remplacée par RNCP41906 (Stratifieur multiprocédés en matériaux composites)</t>
        </is>
      </c>
      <c r="J1429" s="63" t="inlineStr">
        <is>
          <t>RNCP41906</t>
        </is>
      </c>
      <c r="K1429" s="63" t="inlineStr">
        <is>
          <t>Stratifieur multiprocédés en matériaux composites</t>
        </is>
      </c>
      <c r="L1429" s="63" t="inlineStr">
        <is>
          <t>23/02/2026</t>
        </is>
      </c>
      <c r="M1429" s="63" t="inlineStr">
        <is>
          <t>22871 (Matériau composite) ; 23002 (Stratification) ; 22818 (Plastique renforcé)</t>
        </is>
      </c>
      <c r="N1429" s="68" t="inlineStr">
        <is>
          <t>NON</t>
        </is>
      </c>
      <c r="O1429" s="63" t="inlineStr"/>
    </row>
    <row r="1430" customFormat="1" s="3">
      <c r="A1430" s="51" t="n"/>
      <c r="B1430" s="52" t="inlineStr">
        <is>
          <t>23035</t>
        </is>
      </c>
      <c r="C1430" s="52">
        <f>LEFT(Tableau1[[#This Row],[Formacode]],3)</f>
        <v/>
      </c>
      <c r="D1430" s="53" t="n">
        <v>35937</v>
      </c>
      <c r="E1430" s="54">
        <f>"RNCP"&amp;D1430</f>
        <v/>
      </c>
      <c r="F1430" s="54" t="inlineStr">
        <is>
          <t>TP - Agent de fabrication et montage en chaudronnerie</t>
        </is>
      </c>
      <c r="G1430" s="55">
        <f>E1430&amp;" - "&amp;F1430</f>
        <v/>
      </c>
      <c r="H1430" s="37" t="inlineStr">
        <is>
          <t>À vérifier</t>
        </is>
      </c>
      <c r="I1430" s="51" t="inlineStr">
        <is>
          <t>Échéance le 08/10/2026 (dans 82 j)</t>
        </is>
      </c>
      <c r="J1430" s="51" t="inlineStr">
        <is>
          <t>RNCP35937</t>
        </is>
      </c>
      <c r="K1430" s="51" t="inlineStr">
        <is>
          <t>Agent de fabrication et montage en chaudronnerie</t>
        </is>
      </c>
      <c r="L1430" s="51" t="inlineStr">
        <is>
          <t>08/10/2026</t>
        </is>
      </c>
      <c r="M1430" s="51" t="inlineStr">
        <is>
          <t>23083 (Chaudronnerie) ; 22387 (Construction métallique) ; 23016 (Soudage MIG MAG)</t>
        </is>
      </c>
      <c r="N1430" s="62" t="inlineStr">
        <is>
          <t>NON</t>
        </is>
      </c>
      <c r="O1430" s="51" t="inlineStr"/>
    </row>
    <row r="1431" customFormat="1" s="3">
      <c r="A1431" s="51" t="n"/>
      <c r="B1431" s="52" t="inlineStr">
        <is>
          <t>23035</t>
        </is>
      </c>
      <c r="C1431" s="52">
        <f>LEFT(Tableau1[[#This Row],[Formacode]],3)</f>
        <v/>
      </c>
      <c r="D1431" s="53" t="n">
        <v>36086</v>
      </c>
      <c r="E1431" s="54">
        <f>"RNCP"&amp;D1431</f>
        <v/>
      </c>
      <c r="F1431" s="54" t="inlineStr">
        <is>
          <t>CQP Ajusteur assembleur de structures aéronefs</t>
        </is>
      </c>
      <c r="G1431" s="55">
        <f>E1431&amp;" - "&amp;F1431</f>
        <v/>
      </c>
      <c r="H1431" s="37" t="inlineStr">
        <is>
          <t>À vérifier</t>
        </is>
      </c>
      <c r="I1431" s="51" t="inlineStr">
        <is>
          <t>Successeur déjà publié : RNCP42657 (CQP Ajusteur assembleur de structures aéronefs) — préparer la bascule de l'offre CPF | Échéance le 15/12/2026 (dans 150 j)</t>
        </is>
      </c>
      <c r="J1431" s="51" t="inlineStr">
        <is>
          <t>RNCP42657</t>
        </is>
      </c>
      <c r="K1431" s="51" t="inlineStr">
        <is>
          <t>CQP Ajusteur assembleur de structures aéronefs</t>
        </is>
      </c>
      <c r="L1431" s="51" t="inlineStr">
        <is>
          <t>15/12/2026</t>
        </is>
      </c>
      <c r="M1431" s="51" t="inlineStr">
        <is>
          <t>23035 (Montage assemblage)</t>
        </is>
      </c>
      <c r="N1431" s="56" t="inlineStr">
        <is>
          <t>OUI</t>
        </is>
      </c>
      <c r="O1431" s="41" t="inlineStr">
        <is>
          <t>Successeur(s) modifié(s) : RNCP42657</t>
        </is>
      </c>
    </row>
    <row r="1432" customFormat="1" s="3">
      <c r="A1432" s="45" t="n"/>
      <c r="B1432" s="46" t="inlineStr">
        <is>
          <t>23035</t>
        </is>
      </c>
      <c r="C1432" s="46">
        <f>LEFT(Tableau1[[#This Row],[Formacode]],3)</f>
        <v/>
      </c>
      <c r="D1432" s="47" t="n">
        <v>36169</v>
      </c>
      <c r="E1432" s="48">
        <f>"RNCP"&amp;D1432</f>
        <v/>
      </c>
      <c r="F1432" s="48" t="inlineStr">
        <is>
          <t>TP - Soudeur programmeur de cellules robotisées</t>
        </is>
      </c>
      <c r="G1432" s="49">
        <f>E1432&amp;" - "&amp;F1432</f>
        <v/>
      </c>
      <c r="H1432" s="36" t="inlineStr">
        <is>
          <t>RAS</t>
        </is>
      </c>
      <c r="I1432" s="45" t="inlineStr"/>
      <c r="J1432" s="45" t="inlineStr">
        <is>
          <t>RNCP36169</t>
        </is>
      </c>
      <c r="K1432" s="45" t="inlineStr">
        <is>
          <t>Soudeur programmeur de cellules robotisées</t>
        </is>
      </c>
      <c r="L1432" s="45" t="inlineStr">
        <is>
          <t>31/01/2027</t>
        </is>
      </c>
      <c r="M1432" s="45" t="inlineStr">
        <is>
          <t>23026 (Soudage)</t>
        </is>
      </c>
      <c r="N1432" s="50" t="inlineStr">
        <is>
          <t>NON</t>
        </is>
      </c>
      <c r="O1432" s="45" t="inlineStr"/>
    </row>
    <row r="1433" customFormat="1" s="3">
      <c r="A1433" s="45" t="n"/>
      <c r="B1433" s="46" t="inlineStr">
        <is>
          <t>23035</t>
        </is>
      </c>
      <c r="C1433" s="46">
        <f>LEFT(Tableau1[[#This Row],[Formacode]],3)</f>
        <v/>
      </c>
      <c r="D1433" s="47" t="n">
        <v>37397</v>
      </c>
      <c r="E1433" s="48">
        <f>"RNCP"&amp;D1433</f>
        <v/>
      </c>
      <c r="F1433" s="48" t="inlineStr">
        <is>
          <t>TP - Agent de fabrication industrielle</t>
        </is>
      </c>
      <c r="G1433" s="49">
        <f>E1433&amp;" - "&amp;F1433</f>
        <v/>
      </c>
      <c r="H1433" s="36" t="inlineStr">
        <is>
          <t>RAS</t>
        </is>
      </c>
      <c r="I1433" s="45" t="inlineStr"/>
      <c r="J1433" s="45" t="inlineStr">
        <is>
          <t>RNCP37397</t>
        </is>
      </c>
      <c r="K1433" s="45" t="inlineStr">
        <is>
          <t>Agent de fabrication industrielle</t>
        </is>
      </c>
      <c r="L1433" s="45" t="inlineStr">
        <is>
          <t>12/04/2028</t>
        </is>
      </c>
      <c r="M1433" s="45" t="inlineStr">
        <is>
          <t>31620 (Conduite installation industrielle) ; 23035 (Montage assemblage)</t>
        </is>
      </c>
      <c r="N1433" s="50" t="inlineStr">
        <is>
          <t>NON</t>
        </is>
      </c>
      <c r="O1433" s="45" t="inlineStr"/>
    </row>
    <row r="1434" customFormat="1" s="3">
      <c r="A1434" s="45" t="n"/>
      <c r="B1434" s="46" t="inlineStr">
        <is>
          <t>23035</t>
        </is>
      </c>
      <c r="C1434" s="46">
        <f>LEFT(Tableau1[[#This Row],[Formacode]],3)</f>
        <v/>
      </c>
      <c r="D1434" s="47" t="n">
        <v>38311</v>
      </c>
      <c r="E1434" s="48">
        <f>"RNCP"&amp;D1434</f>
        <v/>
      </c>
      <c r="F1434" s="48" t="inlineStr">
        <is>
          <t>CS - Technicien en soudage</t>
        </is>
      </c>
      <c r="G1434" s="49">
        <f>E1434&amp;" - "&amp;F1434</f>
        <v/>
      </c>
      <c r="H1434" s="36" t="inlineStr">
        <is>
          <t>RAS</t>
        </is>
      </c>
      <c r="I1434" s="45" t="inlineStr"/>
      <c r="J1434" s="45" t="inlineStr">
        <is>
          <t>RNCP38311</t>
        </is>
      </c>
      <c r="K1434" s="45" t="inlineStr">
        <is>
          <t>Technicien en soudage</t>
        </is>
      </c>
      <c r="L1434" s="45" t="inlineStr">
        <is>
          <t>31/08/2028</t>
        </is>
      </c>
      <c r="M1434" s="45" t="inlineStr">
        <is>
          <t>23026 (Soudage)</t>
        </is>
      </c>
      <c r="N1434" s="50" t="inlineStr">
        <is>
          <t>NON</t>
        </is>
      </c>
      <c r="O1434" s="45" t="inlineStr"/>
    </row>
    <row r="1435" customFormat="1" s="3">
      <c r="A1435" s="51" t="n"/>
      <c r="B1435" s="52" t="inlineStr">
        <is>
          <t>23035</t>
        </is>
      </c>
      <c r="C1435" s="52">
        <f>LEFT(Tableau1[[#This Row],[Formacode]],3)</f>
        <v/>
      </c>
      <c r="D1435" s="53" t="n">
        <v>38471</v>
      </c>
      <c r="E1435" s="54">
        <f>"RNCP"&amp;D1435</f>
        <v/>
      </c>
      <c r="F1435" s="54" t="inlineStr">
        <is>
          <t>CQP Polisseur</t>
        </is>
      </c>
      <c r="G1435" s="55">
        <f>E1435&amp;" - "&amp;F1435</f>
        <v/>
      </c>
      <c r="H1435" s="37" t="inlineStr">
        <is>
          <t>À vérifier</t>
        </is>
      </c>
      <c r="I1435" s="51" t="inlineStr">
        <is>
          <t>Échéance le 21/12/2026 (dans 156 j)</t>
        </is>
      </c>
      <c r="J1435" s="51" t="inlineStr">
        <is>
          <t>RNCP38471</t>
        </is>
      </c>
      <c r="K1435" s="51" t="inlineStr">
        <is>
          <t>CQP Polisseur</t>
        </is>
      </c>
      <c r="L1435" s="51" t="inlineStr">
        <is>
          <t>21/12/2026</t>
        </is>
      </c>
      <c r="M1435" s="51" t="inlineStr">
        <is>
          <t>23583 (Mécanique surface) ; 23054 (Travail matériau)</t>
        </is>
      </c>
      <c r="N1435" s="62" t="inlineStr">
        <is>
          <t>NON</t>
        </is>
      </c>
      <c r="O1435" s="51" t="inlineStr"/>
    </row>
    <row r="1436" ht="28.8" customFormat="1" customHeight="1" s="3">
      <c r="A1436" s="45" t="n"/>
      <c r="B1436" s="46" t="inlineStr">
        <is>
          <t>23035</t>
        </is>
      </c>
      <c r="C1436" s="46">
        <f>LEFT(Tableau1[[#This Row],[Formacode]],3)</f>
        <v/>
      </c>
      <c r="D1436" s="47" t="n">
        <v>38568</v>
      </c>
      <c r="E1436" s="48">
        <f>"RNCP"&amp;D1436</f>
        <v/>
      </c>
      <c r="F1436" s="48" t="inlineStr">
        <is>
          <t>CAP - Réalisations industrielles en chaudronnerie ou soudage, option A : chaudronnerie, option B : soudage</t>
        </is>
      </c>
      <c r="G1436" s="49">
        <f>E1436&amp;" - "&amp;F1436</f>
        <v/>
      </c>
      <c r="H1436" s="36" t="inlineStr">
        <is>
          <t>RAS</t>
        </is>
      </c>
      <c r="I1436" s="45" t="inlineStr"/>
      <c r="J1436" s="45" t="inlineStr">
        <is>
          <t>RNCP38568</t>
        </is>
      </c>
      <c r="K1436" s="45" t="inlineStr">
        <is>
          <t>Réalisations industrielles en chaudronnerie ou soudage, option A : chaudronnerie, option B : soudage</t>
        </is>
      </c>
      <c r="L1436" s="45" t="inlineStr">
        <is>
          <t>31/08/2028</t>
        </is>
      </c>
      <c r="M1436" s="45" t="inlineStr">
        <is>
          <t>23083 (Chaudronnerie) ; 23026 (Soudage)</t>
        </is>
      </c>
      <c r="N1436" s="50" t="inlineStr">
        <is>
          <t>NON</t>
        </is>
      </c>
      <c r="O1436" s="45" t="inlineStr"/>
    </row>
    <row r="1437" customFormat="1" s="3">
      <c r="A1437" s="45" t="n"/>
      <c r="B1437" s="46" t="inlineStr">
        <is>
          <t>23035</t>
        </is>
      </c>
      <c r="C1437" s="46">
        <f>LEFT(Tableau1[[#This Row],[Formacode]],3)</f>
        <v/>
      </c>
      <c r="D1437" s="47" t="n">
        <v>38669</v>
      </c>
      <c r="E1437" s="48">
        <f>"RNCP"&amp;D1437</f>
        <v/>
      </c>
      <c r="F1437" s="48" t="inlineStr">
        <is>
          <t>TP - Technicien des matériaux composites</t>
        </is>
      </c>
      <c r="G1437" s="49">
        <f>E1437&amp;" - "&amp;F1437</f>
        <v/>
      </c>
      <c r="H1437" s="36" t="inlineStr">
        <is>
          <t>RAS</t>
        </is>
      </c>
      <c r="I1437" s="45" t="inlineStr"/>
      <c r="J1437" s="45" t="inlineStr">
        <is>
          <t>RNCP38669</t>
        </is>
      </c>
      <c r="K1437" s="45" t="inlineStr">
        <is>
          <t>Technicien des matériaux composites</t>
        </is>
      </c>
      <c r="L1437" s="45" t="inlineStr">
        <is>
          <t>31/01/2029</t>
        </is>
      </c>
      <c r="M1437" s="45" t="inlineStr">
        <is>
          <t>22871 (Matériau composite) ; 22819 (Polymère) ; 23002 (Stratification)</t>
        </is>
      </c>
      <c r="N1437" s="50" t="inlineStr">
        <is>
          <t>NON</t>
        </is>
      </c>
      <c r="O1437" s="45" t="inlineStr"/>
    </row>
    <row r="1438" customFormat="1" s="3">
      <c r="A1438" s="45" t="n"/>
      <c r="B1438" s="46" t="inlineStr">
        <is>
          <t>23035</t>
        </is>
      </c>
      <c r="C1438" s="46">
        <f>LEFT(Tableau1[[#This Row],[Formacode]],3)</f>
        <v/>
      </c>
      <c r="D1438" s="47" t="n">
        <v>38900</v>
      </c>
      <c r="E1438" s="48">
        <f>"RNCP"&amp;D1438</f>
        <v/>
      </c>
      <c r="F1438" s="48" t="inlineStr">
        <is>
          <t>CQP Ajusteur monteur d’outillages de production</t>
        </is>
      </c>
      <c r="G1438" s="49">
        <f>E1438&amp;" - "&amp;F1438</f>
        <v/>
      </c>
      <c r="H1438" s="36" t="inlineStr">
        <is>
          <t>RAS</t>
        </is>
      </c>
      <c r="I1438" s="45" t="inlineStr"/>
      <c r="J1438" s="45" t="inlineStr">
        <is>
          <t>RNCP38900</t>
        </is>
      </c>
      <c r="K1438" s="45" t="inlineStr">
        <is>
          <t>CQP Ajusteur monteur d’outillages de production</t>
        </is>
      </c>
      <c r="L1438" s="45" t="inlineStr">
        <is>
          <t>26/04/2029</t>
        </is>
      </c>
      <c r="M1438" s="45" t="inlineStr">
        <is>
          <t>31632 (Productique) ; 23681 (Outillage) ; 23035 (Montage assemblage) ; 23096 (Ajustage)</t>
        </is>
      </c>
      <c r="N1438" s="50" t="inlineStr">
        <is>
          <t>NON</t>
        </is>
      </c>
      <c r="O1438" s="45" t="inlineStr"/>
    </row>
    <row r="1439" customFormat="1" s="3">
      <c r="A1439" s="45" t="n"/>
      <c r="B1439" s="46" t="inlineStr">
        <is>
          <t>23035</t>
        </is>
      </c>
      <c r="C1439" s="46">
        <f>LEFT(Tableau1[[#This Row],[Formacode]],3)</f>
        <v/>
      </c>
      <c r="D1439" s="47" t="n">
        <v>39083</v>
      </c>
      <c r="E1439" s="48">
        <f>"RNCP"&amp;D1439</f>
        <v/>
      </c>
      <c r="F1439" s="48" t="inlineStr">
        <is>
          <t>TP - Monteur qualifié d'équipements industriels</t>
        </is>
      </c>
      <c r="G1439" s="49">
        <f>E1439&amp;" - "&amp;F1439</f>
        <v/>
      </c>
      <c r="H1439" s="36" t="inlineStr">
        <is>
          <t>RAS</t>
        </is>
      </c>
      <c r="I1439" s="45" t="inlineStr"/>
      <c r="J1439" s="45" t="inlineStr">
        <is>
          <t>RNCP39083</t>
        </is>
      </c>
      <c r="K1439" s="45" t="inlineStr">
        <is>
          <t>Monteur qualifié d'équipements industriels</t>
        </is>
      </c>
      <c r="L1439" s="45" t="inlineStr">
        <is>
          <t>09/06/2029</t>
        </is>
      </c>
      <c r="M1439" s="45" t="inlineStr">
        <is>
          <t>23662 (Construction mécanique) ; 23035 (Montage assemblage)</t>
        </is>
      </c>
      <c r="N1439" s="50" t="inlineStr">
        <is>
          <t>NON</t>
        </is>
      </c>
      <c r="O1439" s="45" t="inlineStr"/>
    </row>
    <row r="1440" customFormat="1" s="3">
      <c r="A1440" s="45" t="n"/>
      <c r="B1440" s="46" t="inlineStr">
        <is>
          <t>23035</t>
        </is>
      </c>
      <c r="C1440" s="46">
        <f>LEFT(Tableau1[[#This Row],[Formacode]],3)</f>
        <v/>
      </c>
      <c r="D1440" s="47" t="n">
        <v>39243</v>
      </c>
      <c r="E1440" s="48">
        <f>"RNCP"&amp;D1440</f>
        <v/>
      </c>
      <c r="F1440" s="48" t="inlineStr">
        <is>
          <t>Soudeur industriel</t>
        </is>
      </c>
      <c r="G1440" s="49">
        <f>E1440&amp;" - "&amp;F1440</f>
        <v/>
      </c>
      <c r="H1440" s="36" t="inlineStr">
        <is>
          <t>RAS</t>
        </is>
      </c>
      <c r="I1440" s="45" t="inlineStr"/>
      <c r="J1440" s="45" t="inlineStr">
        <is>
          <t>RNCP39243</t>
        </is>
      </c>
      <c r="K1440" s="45" t="inlineStr">
        <is>
          <t>Soudeur industriel</t>
        </is>
      </c>
      <c r="L1440" s="45" t="inlineStr">
        <is>
          <t>27/06/2029</t>
        </is>
      </c>
      <c r="M1440" s="45" t="inlineStr">
        <is>
          <t>23004 (Soudage électrode enrobée) ; 23016 (Soudage MIG MAG) ; 23015 (Soudage TIG)</t>
        </is>
      </c>
      <c r="N1440" s="50" t="inlineStr">
        <is>
          <t>NON</t>
        </is>
      </c>
      <c r="O1440" s="45" t="inlineStr"/>
    </row>
    <row r="1441" customFormat="1" s="3">
      <c r="A1441" s="45" t="n"/>
      <c r="B1441" s="46" t="inlineStr">
        <is>
          <t>23035</t>
        </is>
      </c>
      <c r="C1441" s="46">
        <f>LEFT(Tableau1[[#This Row],[Formacode]],3)</f>
        <v/>
      </c>
      <c r="D1441" s="47" t="n">
        <v>39838</v>
      </c>
      <c r="E1441" s="48">
        <f>"RNCP"&amp;D1441</f>
        <v/>
      </c>
      <c r="F1441" s="48" t="inlineStr">
        <is>
          <t>CQP Préparateur assembleur aéronautique</t>
        </is>
      </c>
      <c r="G1441" s="49">
        <f>E1441&amp;" - "&amp;F1441</f>
        <v/>
      </c>
      <c r="H1441" s="36" t="inlineStr">
        <is>
          <t>RAS</t>
        </is>
      </c>
      <c r="I1441" s="45" t="inlineStr"/>
      <c r="J1441" s="45" t="inlineStr">
        <is>
          <t>RNCP39838</t>
        </is>
      </c>
      <c r="K1441" s="45" t="inlineStr">
        <is>
          <t>CQP Préparateur assembleur aéronautique</t>
        </is>
      </c>
      <c r="L1441" s="45" t="inlineStr">
        <is>
          <t>28/11/2029</t>
        </is>
      </c>
      <c r="M1441" s="45" t="inlineStr">
        <is>
          <t>23613 (Construction aéronautique) ; 23035 (Montage assemblage)</t>
        </is>
      </c>
      <c r="N1441" s="50" t="inlineStr">
        <is>
          <t>NON</t>
        </is>
      </c>
      <c r="O1441" s="45" t="inlineStr"/>
    </row>
    <row r="1442" customFormat="1" s="3">
      <c r="A1442" s="45" t="n"/>
      <c r="B1442" s="46" t="inlineStr">
        <is>
          <t>23035</t>
        </is>
      </c>
      <c r="C1442" s="46">
        <f>LEFT(Tableau1[[#This Row],[Formacode]],3)</f>
        <v/>
      </c>
      <c r="D1442" s="47" t="n">
        <v>39854</v>
      </c>
      <c r="E1442" s="48">
        <f>"RNCP"&amp;D1442</f>
        <v/>
      </c>
      <c r="F1442" s="48" t="inlineStr">
        <is>
          <t>CQP Assembleur monteur pour l'aménagement de véhicules de transport</t>
        </is>
      </c>
      <c r="G1442" s="49">
        <f>E1442&amp;" - "&amp;F1442</f>
        <v/>
      </c>
      <c r="H1442" s="36" t="inlineStr">
        <is>
          <t>RAS</t>
        </is>
      </c>
      <c r="I1442" s="45" t="inlineStr"/>
      <c r="J1442" s="45" t="inlineStr">
        <is>
          <t>RNCP39854</t>
        </is>
      </c>
      <c r="K1442" s="45" t="inlineStr">
        <is>
          <t>CQP Assembleur monteur pour l'aménagement de véhicules de transport</t>
        </is>
      </c>
      <c r="L1442" s="45" t="inlineStr">
        <is>
          <t>28/11/2029</t>
        </is>
      </c>
      <c r="M1442" s="45" t="inlineStr">
        <is>
          <t>23035 (Montage assemblage)</t>
        </is>
      </c>
      <c r="N1442" s="50" t="inlineStr">
        <is>
          <t>NON</t>
        </is>
      </c>
      <c r="O1442" s="45" t="inlineStr"/>
    </row>
    <row r="1443" customFormat="1" s="3">
      <c r="A1443" s="45" t="n"/>
      <c r="B1443" s="46" t="inlineStr">
        <is>
          <t>23035</t>
        </is>
      </c>
      <c r="C1443" s="46">
        <f>LEFT(Tableau1[[#This Row],[Formacode]],3)</f>
        <v/>
      </c>
      <c r="D1443" s="47" t="n">
        <v>40037</v>
      </c>
      <c r="E1443" s="48">
        <f>"RNCP"&amp;D1443</f>
        <v/>
      </c>
      <c r="F1443" s="48" t="inlineStr">
        <is>
          <t>TP - Soudeur assembleur industriel</t>
        </is>
      </c>
      <c r="G1443" s="49">
        <f>E1443&amp;" - "&amp;F1443</f>
        <v/>
      </c>
      <c r="H1443" s="36" t="inlineStr">
        <is>
          <t>RAS</t>
        </is>
      </c>
      <c r="I1443" s="45" t="inlineStr"/>
      <c r="J1443" s="45" t="inlineStr">
        <is>
          <t>RNCP40037</t>
        </is>
      </c>
      <c r="K1443" s="45" t="inlineStr">
        <is>
          <t>Soudeur assembleur industriel</t>
        </is>
      </c>
      <c r="L1443" s="45" t="inlineStr">
        <is>
          <t>28/02/2030</t>
        </is>
      </c>
      <c r="M1443" s="45" t="inlineStr">
        <is>
          <t>23016 (Soudage MIG MAG) ; 23015 (Soudage TIG)</t>
        </is>
      </c>
      <c r="N1443" s="50" t="inlineStr">
        <is>
          <t>NON</t>
        </is>
      </c>
      <c r="O1443" s="45" t="inlineStr"/>
    </row>
    <row r="1444" customFormat="1" s="3">
      <c r="A1444" s="45" t="n"/>
      <c r="B1444" s="46" t="inlineStr">
        <is>
          <t>23035</t>
        </is>
      </c>
      <c r="C1444" s="46">
        <f>LEFT(Tableau1[[#This Row],[Formacode]],3)</f>
        <v/>
      </c>
      <c r="D1444" s="47" t="n">
        <v>40088</v>
      </c>
      <c r="E1444" s="48">
        <f>"RNCP"&amp;D1444</f>
        <v/>
      </c>
      <c r="F1444" s="48" t="inlineStr">
        <is>
          <t>TP - Ajusteur monteur aéronautique</t>
        </is>
      </c>
      <c r="G1444" s="49">
        <f>E1444&amp;" - "&amp;F1444</f>
        <v/>
      </c>
      <c r="H1444" s="36" t="inlineStr">
        <is>
          <t>RAS</t>
        </is>
      </c>
      <c r="I1444" s="45" t="inlineStr"/>
      <c r="J1444" s="45" t="inlineStr">
        <is>
          <t>RNCP40088</t>
        </is>
      </c>
      <c r="K1444" s="45" t="inlineStr">
        <is>
          <t>Ajusteur monteur aéronautique</t>
        </is>
      </c>
      <c r="L1444" s="45" t="inlineStr">
        <is>
          <t>06/03/2030</t>
        </is>
      </c>
      <c r="M1444" s="45" t="inlineStr">
        <is>
          <t>23613 (Construction aéronautique) ; 23035 (Montage assemblage)</t>
        </is>
      </c>
      <c r="N1444" s="50" t="inlineStr">
        <is>
          <t>NON</t>
        </is>
      </c>
      <c r="O1444" s="45" t="inlineStr"/>
    </row>
    <row r="1445" customFormat="1" s="3">
      <c r="A1445" s="45" t="n"/>
      <c r="B1445" s="46" t="inlineStr">
        <is>
          <t>23035</t>
        </is>
      </c>
      <c r="C1445" s="46">
        <f>LEFT(Tableau1[[#This Row],[Formacode]],3)</f>
        <v/>
      </c>
      <c r="D1445" s="47" t="n">
        <v>40477</v>
      </c>
      <c r="E1445" s="48">
        <f>"RNCP"&amp;D1445</f>
        <v/>
      </c>
      <c r="F1445" s="48" t="inlineStr">
        <is>
          <t>TP - Soudeur en tuyauterie industrielle</t>
        </is>
      </c>
      <c r="G1445" s="49">
        <f>E1445&amp;" - "&amp;F1445</f>
        <v/>
      </c>
      <c r="H1445" s="36" t="inlineStr">
        <is>
          <t>RAS</t>
        </is>
      </c>
      <c r="I1445" s="45" t="inlineStr"/>
      <c r="J1445" s="45" t="inlineStr">
        <is>
          <t>RNCP40477</t>
        </is>
      </c>
      <c r="K1445" s="45" t="inlineStr">
        <is>
          <t>Soudeur en tuyauterie industrielle</t>
        </is>
      </c>
      <c r="L1445" s="45" t="inlineStr">
        <is>
          <t>18/05/2030</t>
        </is>
      </c>
      <c r="M1445" s="45" t="inlineStr">
        <is>
          <t>23015 (Soudage TIG) ; 23004 (Soudage électrode enrobée)</t>
        </is>
      </c>
      <c r="N1445" s="50" t="inlineStr">
        <is>
          <t>NON</t>
        </is>
      </c>
      <c r="O1445" s="45" t="inlineStr"/>
    </row>
    <row r="1446" customFormat="1" s="3">
      <c r="A1446" s="45" t="n"/>
      <c r="B1446" s="46" t="inlineStr">
        <is>
          <t>23035</t>
        </is>
      </c>
      <c r="C1446" s="46">
        <f>LEFT(Tableau1[[#This Row],[Formacode]],3)</f>
        <v/>
      </c>
      <c r="D1446" s="47" t="n">
        <v>40550</v>
      </c>
      <c r="E1446" s="48">
        <f>"RNCP"&amp;D1446</f>
        <v/>
      </c>
      <c r="F1446" s="48" t="inlineStr">
        <is>
          <t>CQP Assembleur au plan industriel</t>
        </is>
      </c>
      <c r="G1446" s="49">
        <f>E1446&amp;" - "&amp;F1446</f>
        <v/>
      </c>
      <c r="H1446" s="36" t="inlineStr">
        <is>
          <t>RAS</t>
        </is>
      </c>
      <c r="I1446" s="45" t="inlineStr"/>
      <c r="J1446" s="45" t="inlineStr">
        <is>
          <t>RNCP40550</t>
        </is>
      </c>
      <c r="K1446" s="45" t="inlineStr">
        <is>
          <t>CQP Assembleur au plan industriel</t>
        </is>
      </c>
      <c r="L1446" s="45" t="inlineStr">
        <is>
          <t>30/04/2030</t>
        </is>
      </c>
      <c r="M1446" s="45" t="inlineStr">
        <is>
          <t>23035 (Montage assemblage) ; 22834 (Matériau métallique)</t>
        </is>
      </c>
      <c r="N1446" s="50" t="inlineStr">
        <is>
          <t>NON</t>
        </is>
      </c>
      <c r="O1446" s="45" t="inlineStr"/>
    </row>
    <row r="1447" customFormat="1" s="3">
      <c r="A1447" s="45" t="n"/>
      <c r="B1447" s="46" t="inlineStr">
        <is>
          <t>23035</t>
        </is>
      </c>
      <c r="C1447" s="46">
        <f>LEFT(Tableau1[[#This Row],[Formacode]],3)</f>
        <v/>
      </c>
      <c r="D1447" s="47" t="n">
        <v>40681</v>
      </c>
      <c r="E1447" s="48">
        <f>"RNCP"&amp;D1447</f>
        <v/>
      </c>
      <c r="F1447" s="48" t="inlineStr">
        <is>
          <t>Monteur assembleur de systèmes mécanisés</t>
        </is>
      </c>
      <c r="G1447" s="49">
        <f>E1447&amp;" - "&amp;F1447</f>
        <v/>
      </c>
      <c r="H1447" s="36" t="inlineStr">
        <is>
          <t>RAS</t>
        </is>
      </c>
      <c r="I1447" s="45" t="inlineStr"/>
      <c r="J1447" s="45" t="inlineStr">
        <is>
          <t>RNCP40681</t>
        </is>
      </c>
      <c r="K1447" s="45" t="inlineStr">
        <is>
          <t>Monteur assembleur de systèmes mécanisés</t>
        </is>
      </c>
      <c r="L1447" s="45" t="inlineStr">
        <is>
          <t>23/05/2030</t>
        </is>
      </c>
      <c r="M1447" s="45" t="inlineStr">
        <is>
          <t>23035 (Montage assemblage)</t>
        </is>
      </c>
      <c r="N1447" s="50" t="inlineStr">
        <is>
          <t>NON</t>
        </is>
      </c>
      <c r="O1447" s="45" t="inlineStr"/>
    </row>
    <row r="1448" customFormat="1" s="3">
      <c r="A1448" s="45" t="n"/>
      <c r="B1448" s="46" t="inlineStr">
        <is>
          <t>23035</t>
        </is>
      </c>
      <c r="C1448" s="46">
        <f>LEFT(Tableau1[[#This Row],[Formacode]],3)</f>
        <v/>
      </c>
      <c r="D1448" s="47" t="n">
        <v>41432</v>
      </c>
      <c r="E1448" s="48">
        <f>"RNCP"&amp;D1448</f>
        <v/>
      </c>
      <c r="F1448" s="48" t="inlineStr">
        <is>
          <t>CQP Chargé d'affaire en chaudronnerie, tuyauterie, soudure</t>
        </is>
      </c>
      <c r="G1448" s="49">
        <f>E1448&amp;" - "&amp;F1448</f>
        <v/>
      </c>
      <c r="H1448" s="36" t="inlineStr">
        <is>
          <t>RAS</t>
        </is>
      </c>
      <c r="I1448" s="45" t="inlineStr"/>
      <c r="J1448" s="45" t="inlineStr">
        <is>
          <t>RNCP41432</t>
        </is>
      </c>
      <c r="K1448" s="45" t="inlineStr">
        <is>
          <t>CQP Chargé d'affaire en chaudronnerie, tuyauterie, soudure</t>
        </is>
      </c>
      <c r="L1448" s="45" t="inlineStr">
        <is>
          <t>27/10/2030</t>
        </is>
      </c>
      <c r="M1448" s="45" t="inlineStr">
        <is>
          <t>23026 (Soudage) ; 22257 (Commercialisation BTP) ; 23083 (Chaudronnerie)</t>
        </is>
      </c>
      <c r="N1448" s="50" t="inlineStr">
        <is>
          <t>NON</t>
        </is>
      </c>
      <c r="O1448" s="45" t="inlineStr"/>
    </row>
    <row r="1449" customFormat="1" s="3">
      <c r="A1449" s="45" t="n"/>
      <c r="B1449" s="46" t="inlineStr">
        <is>
          <t>23042</t>
        </is>
      </c>
      <c r="C1449" s="46">
        <f>LEFT(Tableau1[[#This Row],[Formacode]],3)</f>
        <v/>
      </c>
      <c r="D1449" s="47" t="n">
        <v>36979</v>
      </c>
      <c r="E1449" s="48">
        <f>"RNCP"&amp;D1449</f>
        <v/>
      </c>
      <c r="F1449" s="48" t="inlineStr">
        <is>
          <t>CQP Peintre aéronautique et spatial</t>
        </is>
      </c>
      <c r="G1449" s="49">
        <f>E1449&amp;" - "&amp;F1449</f>
        <v/>
      </c>
      <c r="H1449" s="36" t="inlineStr">
        <is>
          <t>RAS</t>
        </is>
      </c>
      <c r="I1449" s="45" t="inlineStr"/>
      <c r="J1449" s="45" t="inlineStr">
        <is>
          <t>RNCP36979</t>
        </is>
      </c>
      <c r="K1449" s="45" t="inlineStr">
        <is>
          <t>CQP Peintre aéronautique et spatial</t>
        </is>
      </c>
      <c r="L1449" s="45" t="inlineStr">
        <is>
          <t>24/10/2027</t>
        </is>
      </c>
      <c r="M1449" s="45" t="inlineStr">
        <is>
          <t>23053 (Peinture industrielle)</t>
        </is>
      </c>
      <c r="N1449" s="50" t="inlineStr">
        <is>
          <t>NON</t>
        </is>
      </c>
      <c r="O1449" s="45" t="inlineStr"/>
    </row>
    <row r="1450" customFormat="1" s="3">
      <c r="A1450" s="45" t="n"/>
      <c r="B1450" s="46" t="inlineStr">
        <is>
          <t>23042</t>
        </is>
      </c>
      <c r="C1450" s="46">
        <f>LEFT(Tableau1[[#This Row],[Formacode]],3)</f>
        <v/>
      </c>
      <c r="D1450" s="47" t="n">
        <v>37136</v>
      </c>
      <c r="E1450" s="48">
        <f>"RNCP"&amp;D1450</f>
        <v/>
      </c>
      <c r="F1450" s="48" t="inlineStr">
        <is>
          <t>CQP Peintre industriel</t>
        </is>
      </c>
      <c r="G1450" s="49">
        <f>E1450&amp;" - "&amp;F1450</f>
        <v/>
      </c>
      <c r="H1450" s="36" t="inlineStr">
        <is>
          <t>RAS</t>
        </is>
      </c>
      <c r="I1450" s="45" t="inlineStr"/>
      <c r="J1450" s="45" t="inlineStr">
        <is>
          <t>RNCP37136</t>
        </is>
      </c>
      <c r="K1450" s="45" t="inlineStr">
        <is>
          <t>CQP Peintre industriel</t>
        </is>
      </c>
      <c r="L1450" s="45" t="inlineStr">
        <is>
          <t>14/12/2027</t>
        </is>
      </c>
      <c r="M1450" s="45" t="inlineStr">
        <is>
          <t>23053 (Peinture industrielle)</t>
        </is>
      </c>
      <c r="N1450" s="50" t="inlineStr">
        <is>
          <t>NON</t>
        </is>
      </c>
      <c r="O1450" s="45" t="inlineStr"/>
    </row>
    <row r="1451" customFormat="1" s="3">
      <c r="A1451" s="45" t="n"/>
      <c r="B1451" s="46" t="inlineStr">
        <is>
          <t>23042</t>
        </is>
      </c>
      <c r="C1451" s="46">
        <f>LEFT(Tableau1[[#This Row],[Formacode]],3)</f>
        <v/>
      </c>
      <c r="D1451" s="47" t="n">
        <v>37923</v>
      </c>
      <c r="E1451" s="48">
        <f>"RNCP"&amp;D1451</f>
        <v/>
      </c>
      <c r="F1451" s="48" t="inlineStr">
        <is>
          <t>CS - Technicien en peinture aéronautique</t>
        </is>
      </c>
      <c r="G1451" s="49">
        <f>E1451&amp;" - "&amp;F1451</f>
        <v/>
      </c>
      <c r="H1451" s="36" t="inlineStr">
        <is>
          <t>RAS</t>
        </is>
      </c>
      <c r="I1451" s="45" t="inlineStr"/>
      <c r="J1451" s="45" t="inlineStr">
        <is>
          <t>RNCP37923</t>
        </is>
      </c>
      <c r="K1451" s="45" t="inlineStr">
        <is>
          <t>Technicien en peinture aéronautique</t>
        </is>
      </c>
      <c r="L1451" s="45" t="inlineStr">
        <is>
          <t>31/08/2028</t>
        </is>
      </c>
      <c r="M1451" s="45" t="inlineStr">
        <is>
          <t>23053 (Peinture industrielle) ; 23613 (Construction aéronautique)</t>
        </is>
      </c>
      <c r="N1451" s="50" t="inlineStr">
        <is>
          <t>NON</t>
        </is>
      </c>
      <c r="O1451" s="45" t="inlineStr"/>
    </row>
    <row r="1452" customFormat="1" s="3">
      <c r="A1452" s="51" t="n"/>
      <c r="B1452" s="52" t="inlineStr">
        <is>
          <t>23042</t>
        </is>
      </c>
      <c r="C1452" s="52">
        <f>LEFT(Tableau1[[#This Row],[Formacode]],3)</f>
        <v/>
      </c>
      <c r="D1452" s="53" t="n">
        <v>38471</v>
      </c>
      <c r="E1452" s="54">
        <f>"RNCP"&amp;D1452</f>
        <v/>
      </c>
      <c r="F1452" s="54" t="inlineStr">
        <is>
          <t>CQP Polisseur</t>
        </is>
      </c>
      <c r="G1452" s="55">
        <f>E1452&amp;" - "&amp;F1452</f>
        <v/>
      </c>
      <c r="H1452" s="37" t="inlineStr">
        <is>
          <t>À vérifier</t>
        </is>
      </c>
      <c r="I1452" s="51" t="inlineStr">
        <is>
          <t>Échéance le 21/12/2026 (dans 156 j)</t>
        </is>
      </c>
      <c r="J1452" s="51" t="inlineStr">
        <is>
          <t>RNCP38471</t>
        </is>
      </c>
      <c r="K1452" s="51" t="inlineStr">
        <is>
          <t>CQP Polisseur</t>
        </is>
      </c>
      <c r="L1452" s="51" t="inlineStr">
        <is>
          <t>21/12/2026</t>
        </is>
      </c>
      <c r="M1452" s="51" t="inlineStr">
        <is>
          <t>23583 (Mécanique surface) ; 23054 (Travail matériau)</t>
        </is>
      </c>
      <c r="N1452" s="62" t="inlineStr">
        <is>
          <t>NON</t>
        </is>
      </c>
      <c r="O1452" s="51" t="inlineStr"/>
    </row>
    <row r="1453" customFormat="1" s="3">
      <c r="A1453" s="51" t="n"/>
      <c r="B1453" s="52" t="inlineStr">
        <is>
          <t>23042</t>
        </is>
      </c>
      <c r="C1453" s="52">
        <f>LEFT(Tableau1[[#This Row],[Formacode]],3)</f>
        <v/>
      </c>
      <c r="D1453" s="53" t="n">
        <v>39516</v>
      </c>
      <c r="E1453" s="54">
        <f>"RNCP"&amp;D1453</f>
        <v/>
      </c>
      <c r="F1453" s="54" t="inlineStr">
        <is>
          <t>BAC PRO - Traitements des matériaux</t>
        </is>
      </c>
      <c r="G1453" s="55">
        <f>E1453&amp;" - "&amp;F1453</f>
        <v/>
      </c>
      <c r="H1453" s="37" t="inlineStr">
        <is>
          <t>À vérifier</t>
        </is>
      </c>
      <c r="I1453" s="51" t="inlineStr">
        <is>
          <t>Échéance le 31/12/2026 (dans 166 j)</t>
        </is>
      </c>
      <c r="J1453" s="51" t="inlineStr">
        <is>
          <t>RNCP39516</t>
        </is>
      </c>
      <c r="K1453" s="51" t="inlineStr">
        <is>
          <t>Traitements des matériaux</t>
        </is>
      </c>
      <c r="L1453" s="51" t="inlineStr">
        <is>
          <t>31/12/2026</t>
        </is>
      </c>
      <c r="M1453" s="51" t="inlineStr">
        <is>
          <t>23042 (Traitement surface)</t>
        </is>
      </c>
      <c r="N1453" s="62" t="inlineStr">
        <is>
          <t>NON</t>
        </is>
      </c>
      <c r="O1453" s="51" t="inlineStr"/>
    </row>
    <row r="1454" ht="28.8" customFormat="1" customHeight="1" s="3">
      <c r="A1454" s="45" t="n"/>
      <c r="B1454" s="46" t="inlineStr">
        <is>
          <t>23042</t>
        </is>
      </c>
      <c r="C1454" s="46">
        <f>LEFT(Tableau1[[#This Row],[Formacode]],3)</f>
        <v/>
      </c>
      <c r="D1454" s="47" t="n">
        <v>39569</v>
      </c>
      <c r="E1454" s="48">
        <f>"RNCP"&amp;D1454</f>
        <v/>
      </c>
      <c r="F1454" s="48" t="inlineStr">
        <is>
          <t>BTS - Traitements des matériaux : Option A "Traitements thermiques", Option B "Traitements de surfaces"</t>
        </is>
      </c>
      <c r="G1454" s="49">
        <f>E1454&amp;" - "&amp;F1454</f>
        <v/>
      </c>
      <c r="H1454" s="36" t="inlineStr">
        <is>
          <t>RAS</t>
        </is>
      </c>
      <c r="I1454" s="45" t="inlineStr"/>
      <c r="J1454" s="45" t="inlineStr">
        <is>
          <t>RNCP39569</t>
        </is>
      </c>
      <c r="K1454" s="45" t="inlineStr">
        <is>
          <t>Traitements des matériaux : Option A "Traitements thermiques", Option B "Traitements de surfaces"</t>
        </is>
      </c>
      <c r="L1454" s="45" t="inlineStr">
        <is>
          <t>31/08/2028</t>
        </is>
      </c>
      <c r="M1454" s="45" t="inlineStr">
        <is>
          <t>23042 (Traitement surface) ; 23074 (Traitement thermique)</t>
        </is>
      </c>
      <c r="N1454" s="50" t="inlineStr">
        <is>
          <t>NON</t>
        </is>
      </c>
      <c r="O1454" s="45" t="inlineStr"/>
    </row>
    <row r="1455" customFormat="1" s="3">
      <c r="A1455" s="45" t="n"/>
      <c r="B1455" s="46" t="inlineStr">
        <is>
          <t>23042</t>
        </is>
      </c>
      <c r="C1455" s="46">
        <f>LEFT(Tableau1[[#This Row],[Formacode]],3)</f>
        <v/>
      </c>
      <c r="D1455" s="47" t="n">
        <v>39950</v>
      </c>
      <c r="E1455" s="48">
        <f>"RNCP"&amp;D1455</f>
        <v/>
      </c>
      <c r="F1455" s="48" t="inlineStr">
        <is>
          <t>CQP Opérateur galvanoplaste</t>
        </is>
      </c>
      <c r="G1455" s="49">
        <f>E1455&amp;" - "&amp;F1455</f>
        <v/>
      </c>
      <c r="H1455" s="36" t="inlineStr">
        <is>
          <t>RAS</t>
        </is>
      </c>
      <c r="I1455" s="45" t="inlineStr"/>
      <c r="J1455" s="45" t="inlineStr">
        <is>
          <t>RNCP39950</t>
        </is>
      </c>
      <c r="K1455" s="45" t="inlineStr">
        <is>
          <t>CQP Opérateur galvanoplaste</t>
        </is>
      </c>
      <c r="L1455" s="45" t="inlineStr">
        <is>
          <t>18/12/2029</t>
        </is>
      </c>
      <c r="M1455" s="45" t="inlineStr">
        <is>
          <t>23042 (Traitement surface)</t>
        </is>
      </c>
      <c r="N1455" s="50" t="inlineStr">
        <is>
          <t>NON</t>
        </is>
      </c>
      <c r="O1455" s="45" t="inlineStr"/>
    </row>
    <row r="1456" customFormat="1" s="3">
      <c r="A1456" s="63" t="n"/>
      <c r="B1456" s="64" t="inlineStr">
        <is>
          <t>23042</t>
        </is>
      </c>
      <c r="C1456" s="64">
        <f>LEFT(Tableau1[[#This Row],[Formacode]],3)</f>
        <v/>
      </c>
      <c r="D1456" s="65" t="n">
        <v>41106</v>
      </c>
      <c r="E1456" s="66">
        <f>"RNCP"&amp;D1456</f>
        <v/>
      </c>
      <c r="F1456" s="66" t="inlineStr">
        <is>
          <t>Peintre industriel option anticorrosion, option aéronautique</t>
        </is>
      </c>
      <c r="G1456" s="67">
        <f>E1456&amp;" - "&amp;F1456</f>
        <v/>
      </c>
      <c r="H1456" s="38" t="inlineStr">
        <is>
          <t>Expiré / remplacé</t>
        </is>
      </c>
      <c r="I1456" s="63" t="inlineStr">
        <is>
          <t>Fiche inactive — remplacée par RNCP41815 (Peintre industriel)</t>
        </is>
      </c>
      <c r="J1456" s="63" t="inlineStr">
        <is>
          <t>RNCP41815</t>
        </is>
      </c>
      <c r="K1456" s="63" t="inlineStr">
        <is>
          <t>Peintre industriel</t>
        </is>
      </c>
      <c r="L1456" s="63" t="inlineStr">
        <is>
          <t>18/12/2025</t>
        </is>
      </c>
      <c r="M1456" s="63" t="inlineStr">
        <is>
          <t>23053 (Peinture industrielle)</t>
        </is>
      </c>
      <c r="N1456" s="68" t="inlineStr">
        <is>
          <t>NON</t>
        </is>
      </c>
      <c r="O1456" s="63" t="inlineStr"/>
    </row>
    <row r="1457" customFormat="1" s="3">
      <c r="A1457" s="45" t="n"/>
      <c r="B1457" s="46" t="inlineStr">
        <is>
          <t>23042</t>
        </is>
      </c>
      <c r="C1457" s="46">
        <f>LEFT(Tableau1[[#This Row],[Formacode]],3)</f>
        <v/>
      </c>
      <c r="D1457" s="47" t="n">
        <v>41533</v>
      </c>
      <c r="E1457" s="48">
        <f>"RNCP"&amp;D1457</f>
        <v/>
      </c>
      <c r="F1457" s="48" t="inlineStr">
        <is>
          <t>TP - Peintre en carrosserie</t>
        </is>
      </c>
      <c r="G1457" s="49">
        <f>E1457&amp;" - "&amp;F1457</f>
        <v/>
      </c>
      <c r="H1457" s="36" t="inlineStr">
        <is>
          <t>RAS</t>
        </is>
      </c>
      <c r="I1457" s="45" t="inlineStr"/>
      <c r="J1457" s="45" t="inlineStr">
        <is>
          <t>RNCP41533</t>
        </is>
      </c>
      <c r="K1457" s="45" t="inlineStr">
        <is>
          <t>Peintre en carrosserie</t>
        </is>
      </c>
      <c r="L1457" s="45" t="inlineStr">
        <is>
          <t>07/10/2030</t>
        </is>
      </c>
      <c r="M1457" s="45" t="inlineStr">
        <is>
          <t>23607 (Peinture carrosserie) ; 23053 (Peinture industrielle)</t>
        </is>
      </c>
      <c r="N1457" s="50" t="inlineStr">
        <is>
          <t>NON</t>
        </is>
      </c>
      <c r="O1457" s="45" t="inlineStr"/>
    </row>
    <row r="1458" customFormat="1" s="3">
      <c r="A1458" s="45" t="n"/>
      <c r="B1458" s="46" t="inlineStr">
        <is>
          <t>23042</t>
        </is>
      </c>
      <c r="C1458" s="46">
        <f>LEFT(Tableau1[[#This Row],[Formacode]],3)</f>
        <v/>
      </c>
      <c r="D1458" s="47" t="n">
        <v>41815</v>
      </c>
      <c r="E1458" s="48">
        <f>"RNCP"&amp;D1458</f>
        <v/>
      </c>
      <c r="F1458" s="48" t="inlineStr">
        <is>
          <t>Peintre industriel</t>
        </is>
      </c>
      <c r="G1458" s="49">
        <f>E1458&amp;" - "&amp;F1458</f>
        <v/>
      </c>
      <c r="H1458" s="36" t="inlineStr">
        <is>
          <t>RAS</t>
        </is>
      </c>
      <c r="I1458" s="45" t="inlineStr"/>
      <c r="J1458" s="45" t="inlineStr">
        <is>
          <t>RNCP41815</t>
        </is>
      </c>
      <c r="K1458" s="45" t="inlineStr">
        <is>
          <t>Peintre industriel</t>
        </is>
      </c>
      <c r="L1458" s="45" t="inlineStr">
        <is>
          <t>18/12/2030</t>
        </is>
      </c>
      <c r="M1458" s="45" t="inlineStr">
        <is>
          <t>23053 (Peinture industrielle)</t>
        </is>
      </c>
      <c r="N1458" s="50" t="inlineStr">
        <is>
          <t>NON</t>
        </is>
      </c>
      <c r="O1458" s="45" t="inlineStr"/>
    </row>
    <row r="1459" customFormat="1" s="3">
      <c r="A1459" s="51" t="n"/>
      <c r="B1459" s="52" t="inlineStr">
        <is>
          <t>23044</t>
        </is>
      </c>
      <c r="C1459" s="52">
        <f>LEFT(Tableau1[[#This Row],[Formacode]],3)</f>
        <v/>
      </c>
      <c r="D1459" s="53" t="n">
        <v>38471</v>
      </c>
      <c r="E1459" s="54">
        <f>"RNCP"&amp;D1459</f>
        <v/>
      </c>
      <c r="F1459" s="54" t="inlineStr">
        <is>
          <t>CQP Polisseur</t>
        </is>
      </c>
      <c r="G1459" s="55">
        <f>E1459&amp;" - "&amp;F1459</f>
        <v/>
      </c>
      <c r="H1459" s="37" t="inlineStr">
        <is>
          <t>À vérifier</t>
        </is>
      </c>
      <c r="I1459" s="51" t="inlineStr">
        <is>
          <t>Échéance le 21/12/2026 (dans 156 j)</t>
        </is>
      </c>
      <c r="J1459" s="51" t="inlineStr">
        <is>
          <t>RNCP38471</t>
        </is>
      </c>
      <c r="K1459" s="51" t="inlineStr">
        <is>
          <t>CQP Polisseur</t>
        </is>
      </c>
      <c r="L1459" s="51" t="inlineStr">
        <is>
          <t>21/12/2026</t>
        </is>
      </c>
      <c r="M1459" s="51" t="inlineStr">
        <is>
          <t>23583 (Mécanique surface) ; 23054 (Travail matériau)</t>
        </is>
      </c>
      <c r="N1459" s="62" t="inlineStr">
        <is>
          <t>NON</t>
        </is>
      </c>
      <c r="O1459" s="51" t="inlineStr"/>
    </row>
    <row r="1460" customFormat="1" s="3">
      <c r="A1460" s="45" t="n"/>
      <c r="B1460" s="46" t="inlineStr">
        <is>
          <t>23048</t>
        </is>
      </c>
      <c r="C1460" s="46">
        <f>LEFT(Tableau1[[#This Row],[Formacode]],3)</f>
        <v/>
      </c>
      <c r="D1460" s="47" t="n">
        <v>37378</v>
      </c>
      <c r="E1460" s="48">
        <f>"RNCP"&amp;D1460</f>
        <v/>
      </c>
      <c r="F1460" s="48" t="inlineStr">
        <is>
          <t>BTS - Conception des processus de découpe et d’emboutissage</t>
        </is>
      </c>
      <c r="G1460" s="49">
        <f>E1460&amp;" - "&amp;F1460</f>
        <v/>
      </c>
      <c r="H1460" s="36" t="inlineStr">
        <is>
          <t>RAS</t>
        </is>
      </c>
      <c r="I1460" s="45" t="inlineStr"/>
      <c r="J1460" s="45" t="inlineStr">
        <is>
          <t>RNCP37378</t>
        </is>
      </c>
      <c r="K1460" s="45" t="inlineStr">
        <is>
          <t>Conception des processus de découpe et d’emboutissage</t>
        </is>
      </c>
      <c r="L1460" s="45" t="inlineStr">
        <is>
          <t>31/08/2027</t>
        </is>
      </c>
      <c r="M1460" s="45" t="inlineStr">
        <is>
          <t>23059 (Emboutissage)</t>
        </is>
      </c>
      <c r="N1460" s="50" t="inlineStr">
        <is>
          <t>NON</t>
        </is>
      </c>
      <c r="O1460" s="45" t="inlineStr"/>
    </row>
    <row r="1461" customFormat="1" s="3">
      <c r="A1461" s="45" t="n"/>
      <c r="B1461" s="46" t="inlineStr">
        <is>
          <t>23048</t>
        </is>
      </c>
      <c r="C1461" s="46">
        <f>LEFT(Tableau1[[#This Row],[Formacode]],3)</f>
        <v/>
      </c>
      <c r="D1461" s="47" t="n">
        <v>37465</v>
      </c>
      <c r="E1461" s="48">
        <f>"RNCP"&amp;D1461</f>
        <v/>
      </c>
      <c r="F1461" s="48" t="inlineStr">
        <is>
          <t>BTS - Forge</t>
        </is>
      </c>
      <c r="G1461" s="49">
        <f>E1461&amp;" - "&amp;F1461</f>
        <v/>
      </c>
      <c r="H1461" s="36" t="inlineStr">
        <is>
          <t>RAS</t>
        </is>
      </c>
      <c r="I1461" s="45" t="inlineStr"/>
      <c r="J1461" s="45" t="inlineStr">
        <is>
          <t>RNCP37465</t>
        </is>
      </c>
      <c r="K1461" s="45" t="inlineStr">
        <is>
          <t>Forge</t>
        </is>
      </c>
      <c r="L1461" s="45" t="inlineStr">
        <is>
          <t>31/08/2028</t>
        </is>
      </c>
      <c r="M1461" s="45" t="inlineStr">
        <is>
          <t>23049 (Forgeage) ; 23062 (Métallurgie) ; 23064 (Qualité travail matériau)</t>
        </is>
      </c>
      <c r="N1461" s="50" t="inlineStr">
        <is>
          <t>NON</t>
        </is>
      </c>
      <c r="O1461" s="45" t="inlineStr"/>
    </row>
    <row r="1462" customFormat="1" s="3">
      <c r="A1462" s="51" t="n"/>
      <c r="B1462" s="52" t="inlineStr">
        <is>
          <t>23048</t>
        </is>
      </c>
      <c r="C1462" s="52">
        <f>LEFT(Tableau1[[#This Row],[Formacode]],3)</f>
        <v/>
      </c>
      <c r="D1462" s="53" t="n">
        <v>38471</v>
      </c>
      <c r="E1462" s="54">
        <f>"RNCP"&amp;D1462</f>
        <v/>
      </c>
      <c r="F1462" s="54" t="inlineStr">
        <is>
          <t>CQP Polisseur</t>
        </is>
      </c>
      <c r="G1462" s="55">
        <f>E1462&amp;" - "&amp;F1462</f>
        <v/>
      </c>
      <c r="H1462" s="37" t="inlineStr">
        <is>
          <t>À vérifier</t>
        </is>
      </c>
      <c r="I1462" s="51" t="inlineStr">
        <is>
          <t>Échéance le 21/12/2026 (dans 156 j)</t>
        </is>
      </c>
      <c r="J1462" s="51" t="inlineStr">
        <is>
          <t>RNCP38471</t>
        </is>
      </c>
      <c r="K1462" s="51" t="inlineStr">
        <is>
          <t>CQP Polisseur</t>
        </is>
      </c>
      <c r="L1462" s="51" t="inlineStr">
        <is>
          <t>21/12/2026</t>
        </is>
      </c>
      <c r="M1462" s="51" t="inlineStr">
        <is>
          <t>23583 (Mécanique surface) ; 23054 (Travail matériau)</t>
        </is>
      </c>
      <c r="N1462" s="62" t="inlineStr">
        <is>
          <t>NON</t>
        </is>
      </c>
      <c r="O1462" s="51" t="inlineStr"/>
    </row>
    <row r="1463" customFormat="1" s="3">
      <c r="A1463" s="45" t="n"/>
      <c r="B1463" s="46" t="inlineStr">
        <is>
          <t>23048</t>
        </is>
      </c>
      <c r="C1463" s="46">
        <f>LEFT(Tableau1[[#This Row],[Formacode]],3)</f>
        <v/>
      </c>
      <c r="D1463" s="47" t="n">
        <v>38794</v>
      </c>
      <c r="E1463" s="48">
        <f>"RNCP"&amp;D1463</f>
        <v/>
      </c>
      <c r="F1463" s="48" t="inlineStr">
        <is>
          <t>CQP Metteur au point en emboutissage</t>
        </is>
      </c>
      <c r="G1463" s="49">
        <f>E1463&amp;" - "&amp;F1463</f>
        <v/>
      </c>
      <c r="H1463" s="36" t="inlineStr">
        <is>
          <t>RAS</t>
        </is>
      </c>
      <c r="I1463" s="45" t="inlineStr"/>
      <c r="J1463" s="45" t="inlineStr">
        <is>
          <t>RNCP38794</t>
        </is>
      </c>
      <c r="K1463" s="45" t="inlineStr">
        <is>
          <t>CQP Metteur au point en emboutissage</t>
        </is>
      </c>
      <c r="L1463" s="45" t="inlineStr">
        <is>
          <t>27/03/2029</t>
        </is>
      </c>
      <c r="M1463" s="45" t="inlineStr">
        <is>
          <t>23059 (Emboutissage)</t>
        </is>
      </c>
      <c r="N1463" s="50" t="inlineStr">
        <is>
          <t>NON</t>
        </is>
      </c>
      <c r="O1463" s="45" t="inlineStr"/>
    </row>
    <row r="1464" customFormat="1" s="3">
      <c r="A1464" s="45" t="n"/>
      <c r="B1464" s="46" t="inlineStr">
        <is>
          <t>23048</t>
        </is>
      </c>
      <c r="C1464" s="46">
        <f>LEFT(Tableau1[[#This Row],[Formacode]],3)</f>
        <v/>
      </c>
      <c r="D1464" s="47" t="n">
        <v>39104</v>
      </c>
      <c r="E1464" s="48">
        <f>"RNCP"&amp;D1464</f>
        <v/>
      </c>
      <c r="F1464" s="48" t="inlineStr">
        <is>
          <t>CQP Ajusteur outilleur en emboutissage</t>
        </is>
      </c>
      <c r="G1464" s="49">
        <f>E1464&amp;" - "&amp;F1464</f>
        <v/>
      </c>
      <c r="H1464" s="36" t="inlineStr">
        <is>
          <t>RAS</t>
        </is>
      </c>
      <c r="I1464" s="45" t="inlineStr"/>
      <c r="J1464" s="45" t="inlineStr">
        <is>
          <t>RNCP39104</t>
        </is>
      </c>
      <c r="K1464" s="45" t="inlineStr">
        <is>
          <t>CQP Ajusteur outilleur en emboutissage</t>
        </is>
      </c>
      <c r="L1464" s="45" t="inlineStr">
        <is>
          <t>31/05/2029</t>
        </is>
      </c>
      <c r="M1464" s="45" t="inlineStr">
        <is>
          <t>23059 (Emboutissage) ; 23096 (Ajustage)</t>
        </is>
      </c>
      <c r="N1464" s="50" t="inlineStr">
        <is>
          <t>NON</t>
        </is>
      </c>
      <c r="O1464" s="45" t="inlineStr"/>
    </row>
    <row r="1465" customFormat="1" s="3">
      <c r="A1465" s="45" t="n"/>
      <c r="B1465" s="46" t="inlineStr">
        <is>
          <t>23048</t>
        </is>
      </c>
      <c r="C1465" s="46">
        <f>LEFT(Tableau1[[#This Row],[Formacode]],3)</f>
        <v/>
      </c>
      <c r="D1465" s="47" t="n">
        <v>39182</v>
      </c>
      <c r="E1465" s="48">
        <f>"RNCP"&amp;D1465</f>
        <v/>
      </c>
      <c r="F1465" s="48" t="inlineStr">
        <is>
          <t>TP - Chaudronnier formeur aéronautique</t>
        </is>
      </c>
      <c r="G1465" s="49">
        <f>E1465&amp;" - "&amp;F1465</f>
        <v/>
      </c>
      <c r="H1465" s="36" t="inlineStr">
        <is>
          <t>RAS</t>
        </is>
      </c>
      <c r="I1465" s="45" t="inlineStr"/>
      <c r="J1465" s="45" t="inlineStr">
        <is>
          <t>RNCP39182</t>
        </is>
      </c>
      <c r="K1465" s="45" t="inlineStr">
        <is>
          <t>Chaudronnier formeur aéronautique</t>
        </is>
      </c>
      <c r="L1465" s="45" t="inlineStr">
        <is>
          <t>23/06/2029</t>
        </is>
      </c>
      <c r="M1465" s="45" t="inlineStr">
        <is>
          <t>23086 (Chaudronnerie aéronautique) ; 23048 (Formage)</t>
        </is>
      </c>
      <c r="N1465" s="50" t="inlineStr">
        <is>
          <t>NON</t>
        </is>
      </c>
      <c r="O1465" s="45" t="inlineStr"/>
    </row>
    <row r="1466" customFormat="1" s="3">
      <c r="A1466" s="51" t="n"/>
      <c r="B1466" s="52" t="inlineStr">
        <is>
          <t>23048</t>
        </is>
      </c>
      <c r="C1466" s="52">
        <f>LEFT(Tableau1[[#This Row],[Formacode]],3)</f>
        <v/>
      </c>
      <c r="D1466" s="53" t="n">
        <v>39491</v>
      </c>
      <c r="E1466" s="54">
        <f>"RNCP"&amp;D1466</f>
        <v/>
      </c>
      <c r="F1466" s="54" t="inlineStr">
        <is>
          <t>CAP - Outillages en outils à découper et à emboutir</t>
        </is>
      </c>
      <c r="G1466" s="55">
        <f>E1466&amp;" - "&amp;F1466</f>
        <v/>
      </c>
      <c r="H1466" s="37" t="inlineStr">
        <is>
          <t>À vérifier</t>
        </is>
      </c>
      <c r="I1466" s="51" t="inlineStr">
        <is>
          <t>Successeur déjà publié : RNCP42106 (Outillages en outils à découper et à emboutir) — préparer la bascule de l'offre CPF | Échéance le 31/08/2026 (dans 44 j)</t>
        </is>
      </c>
      <c r="J1466" s="51" t="inlineStr">
        <is>
          <t>RNCP42106</t>
        </is>
      </c>
      <c r="K1466" s="51" t="inlineStr">
        <is>
          <t>Outillages en outils à découper et à emboutir</t>
        </is>
      </c>
      <c r="L1466" s="51" t="inlineStr">
        <is>
          <t>31/08/2026</t>
        </is>
      </c>
      <c r="M1466" s="51" t="inlineStr">
        <is>
          <t>23078 (Découpage) ; 23059 (Emboutissage)</t>
        </is>
      </c>
      <c r="N1466" s="62" t="inlineStr">
        <is>
          <t>NON</t>
        </is>
      </c>
      <c r="O1466" s="51" t="inlineStr"/>
    </row>
    <row r="1467" customFormat="1" s="3">
      <c r="A1467" s="45" t="n"/>
      <c r="B1467" s="46" t="inlineStr">
        <is>
          <t>23062</t>
        </is>
      </c>
      <c r="C1467" s="46">
        <f>LEFT(Tableau1[[#This Row],[Formacode]],3)</f>
        <v/>
      </c>
      <c r="D1467" s="47" t="n">
        <v>37465</v>
      </c>
      <c r="E1467" s="48">
        <f>"RNCP"&amp;D1467</f>
        <v/>
      </c>
      <c r="F1467" s="48" t="inlineStr">
        <is>
          <t>BTS - Forge</t>
        </is>
      </c>
      <c r="G1467" s="49">
        <f>E1467&amp;" - "&amp;F1467</f>
        <v/>
      </c>
      <c r="H1467" s="36" t="inlineStr">
        <is>
          <t>RAS</t>
        </is>
      </c>
      <c r="I1467" s="45" t="inlineStr"/>
      <c r="J1467" s="45" t="inlineStr">
        <is>
          <t>RNCP37465</t>
        </is>
      </c>
      <c r="K1467" s="45" t="inlineStr">
        <is>
          <t>Forge</t>
        </is>
      </c>
      <c r="L1467" s="45" t="inlineStr">
        <is>
          <t>31/08/2028</t>
        </is>
      </c>
      <c r="M1467" s="45" t="inlineStr">
        <is>
          <t>23049 (Forgeage) ; 23062 (Métallurgie) ; 23064 (Qualité travail matériau)</t>
        </is>
      </c>
      <c r="N1467" s="50" t="inlineStr">
        <is>
          <t>NON</t>
        </is>
      </c>
      <c r="O1467" s="45" t="inlineStr"/>
    </row>
    <row r="1468" customFormat="1" s="3">
      <c r="A1468" s="45" t="n"/>
      <c r="B1468" s="46" t="inlineStr">
        <is>
          <t>23062</t>
        </is>
      </c>
      <c r="C1468" s="46">
        <f>LEFT(Tableau1[[#This Row],[Formacode]],3)</f>
        <v/>
      </c>
      <c r="D1468" s="47" t="n">
        <v>37898</v>
      </c>
      <c r="E1468" s="48">
        <f>"RNCP"&amp;D1468</f>
        <v/>
      </c>
      <c r="F1468" s="48" t="inlineStr">
        <is>
          <t>CAP - Métiers de la fonderie</t>
        </is>
      </c>
      <c r="G1468" s="49">
        <f>E1468&amp;" - "&amp;F1468</f>
        <v/>
      </c>
      <c r="H1468" s="36" t="inlineStr">
        <is>
          <t>RAS</t>
        </is>
      </c>
      <c r="I1468" s="45" t="inlineStr"/>
      <c r="J1468" s="45" t="inlineStr">
        <is>
          <t>RNCP37898</t>
        </is>
      </c>
      <c r="K1468" s="45" t="inlineStr">
        <is>
          <t>Métiers de la fonderie</t>
        </is>
      </c>
      <c r="L1468" s="45" t="inlineStr">
        <is>
          <t>31/07/2027</t>
        </is>
      </c>
      <c r="M1468" s="45" t="inlineStr">
        <is>
          <t>23090 (Fonderie)</t>
        </is>
      </c>
      <c r="N1468" s="50" t="inlineStr">
        <is>
          <t>NON</t>
        </is>
      </c>
      <c r="O1468" s="45" t="inlineStr"/>
    </row>
    <row r="1469" customFormat="1" s="3">
      <c r="A1469" s="45" t="n"/>
      <c r="B1469" s="46" t="inlineStr">
        <is>
          <t>23062</t>
        </is>
      </c>
      <c r="C1469" s="46">
        <f>LEFT(Tableau1[[#This Row],[Formacode]],3)</f>
        <v/>
      </c>
      <c r="D1469" s="47" t="n">
        <v>37956</v>
      </c>
      <c r="E1469" s="48">
        <f>"RNCP"&amp;D1469</f>
        <v/>
      </c>
      <c r="F1469" s="48" t="inlineStr">
        <is>
          <t>BTS - Fonderie</t>
        </is>
      </c>
      <c r="G1469" s="49">
        <f>E1469&amp;" - "&amp;F1469</f>
        <v/>
      </c>
      <c r="H1469" s="36" t="inlineStr">
        <is>
          <t>RAS</t>
        </is>
      </c>
      <c r="I1469" s="45" t="inlineStr"/>
      <c r="J1469" s="45" t="inlineStr">
        <is>
          <t>RNCP37956</t>
        </is>
      </c>
      <c r="K1469" s="45" t="inlineStr">
        <is>
          <t>Fonderie</t>
        </is>
      </c>
      <c r="L1469" s="45" t="inlineStr">
        <is>
          <t>31/08/2027</t>
        </is>
      </c>
      <c r="M1469" s="45" t="inlineStr">
        <is>
          <t>23090 (Fonderie)</t>
        </is>
      </c>
      <c r="N1469" s="50" t="inlineStr">
        <is>
          <t>NON</t>
        </is>
      </c>
      <c r="O1469" s="45" t="inlineStr"/>
    </row>
    <row r="1470" ht="28.8" customFormat="1" customHeight="1" s="3">
      <c r="A1470" s="45" t="n"/>
      <c r="B1470" s="46" t="inlineStr">
        <is>
          <t>23062</t>
        </is>
      </c>
      <c r="C1470" s="46">
        <f>LEFT(Tableau1[[#This Row],[Formacode]],3)</f>
        <v/>
      </c>
      <c r="D1470" s="47" t="n">
        <v>38098</v>
      </c>
      <c r="E1470" s="48">
        <f>"RNCP"&amp;D1470</f>
        <v/>
      </c>
      <c r="F1470" s="48" t="inlineStr">
        <is>
          <t>TP - Encadrant technique d'une opération de traitement de l'amiante ou d'autres polluants particulaires</t>
        </is>
      </c>
      <c r="G1470" s="49">
        <f>E1470&amp;" - "&amp;F1470</f>
        <v/>
      </c>
      <c r="H1470" s="36" t="inlineStr">
        <is>
          <t>RAS</t>
        </is>
      </c>
      <c r="I1470" s="45" t="inlineStr"/>
      <c r="J1470" s="45" t="inlineStr">
        <is>
          <t>RNCP38098</t>
        </is>
      </c>
      <c r="K1470" s="45" t="inlineStr">
        <is>
          <t>Encadrant technique d'une opération de traitement de l'amiante ou d'autres polluants particulaires</t>
        </is>
      </c>
      <c r="L1470" s="45" t="inlineStr">
        <is>
          <t>01/01/2029</t>
        </is>
      </c>
      <c r="M1470" s="45" t="inlineStr">
        <is>
          <t>22265 (Risque amiante) ; 12562 (Pollution) ; 23062 (Métallurgie)</t>
        </is>
      </c>
      <c r="N1470" s="50" t="inlineStr">
        <is>
          <t>NON</t>
        </is>
      </c>
      <c r="O1470" s="45" t="inlineStr"/>
    </row>
    <row r="1471" ht="28.8" customFormat="1" customHeight="1" s="3">
      <c r="A1471" s="45" t="n"/>
      <c r="B1471" s="46" t="inlineStr">
        <is>
          <t>23062</t>
        </is>
      </c>
      <c r="C1471" s="46">
        <f>LEFT(Tableau1[[#This Row],[Formacode]],3)</f>
        <v/>
      </c>
      <c r="D1471" s="47" t="n">
        <v>38099</v>
      </c>
      <c r="E1471" s="48">
        <f>"RNCP"&amp;D1471</f>
        <v/>
      </c>
      <c r="F1471" s="48" t="inlineStr">
        <is>
          <t>TP - Opérateur de chantier de traitement de l'amiante ou d'autres polluants particulaires</t>
        </is>
      </c>
      <c r="G1471" s="49">
        <f>E1471&amp;" - "&amp;F1471</f>
        <v/>
      </c>
      <c r="H1471" s="36" t="inlineStr">
        <is>
          <t>RAS</t>
        </is>
      </c>
      <c r="I1471" s="45" t="inlineStr"/>
      <c r="J1471" s="45" t="inlineStr">
        <is>
          <t>RNCP38099</t>
        </is>
      </c>
      <c r="K1471" s="45" t="inlineStr">
        <is>
          <t>Opérateur de chantier de traitement de l'amiante ou d'autres polluants particulaires</t>
        </is>
      </c>
      <c r="L1471" s="45" t="inlineStr">
        <is>
          <t>01/01/2029</t>
        </is>
      </c>
      <c r="M1471" s="45" t="inlineStr">
        <is>
          <t>22265 (Risque amiante) ; 12562 (Pollution) ; 23062 (Métallurgie)</t>
        </is>
      </c>
      <c r="N1471" s="50" t="inlineStr">
        <is>
          <t>NON</t>
        </is>
      </c>
      <c r="O1471" s="45" t="inlineStr"/>
    </row>
    <row r="1472" ht="28.8" customFormat="1" customHeight="1" s="3">
      <c r="A1472" s="45" t="n"/>
      <c r="B1472" s="46" t="inlineStr">
        <is>
          <t>23062</t>
        </is>
      </c>
      <c r="C1472" s="46">
        <f>LEFT(Tableau1[[#This Row],[Formacode]],3)</f>
        <v/>
      </c>
      <c r="D1472" s="47" t="n">
        <v>38100</v>
      </c>
      <c r="E1472" s="48">
        <f>"RNCP"&amp;D1472</f>
        <v/>
      </c>
      <c r="F1472" s="48" t="inlineStr">
        <is>
          <t>TP - Encadrant de chantier de traitement de l'amiante ou d'autres polluants particulaires</t>
        </is>
      </c>
      <c r="G1472" s="49">
        <f>E1472&amp;" - "&amp;F1472</f>
        <v/>
      </c>
      <c r="H1472" s="36" t="inlineStr">
        <is>
          <t>RAS</t>
        </is>
      </c>
      <c r="I1472" s="45" t="inlineStr"/>
      <c r="J1472" s="45" t="inlineStr">
        <is>
          <t>RNCP38100</t>
        </is>
      </c>
      <c r="K1472" s="45" t="inlineStr">
        <is>
          <t>Encadrant de chantier de traitement de l'amiante ou d'autres polluants particulaires</t>
        </is>
      </c>
      <c r="L1472" s="45" t="inlineStr">
        <is>
          <t>01/01/2029</t>
        </is>
      </c>
      <c r="M1472" s="45" t="inlineStr">
        <is>
          <t>22265 (Risque amiante) ; 12562 (Pollution) ; 23062 (Métallurgie)</t>
        </is>
      </c>
      <c r="N1472" s="50" t="inlineStr">
        <is>
          <t>NON</t>
        </is>
      </c>
      <c r="O1472" s="45" t="inlineStr"/>
    </row>
    <row r="1473" customFormat="1" s="3">
      <c r="A1473" s="51" t="n"/>
      <c r="B1473" s="52" t="inlineStr">
        <is>
          <t>23062</t>
        </is>
      </c>
      <c r="C1473" s="52">
        <f>LEFT(Tableau1[[#This Row],[Formacode]],3)</f>
        <v/>
      </c>
      <c r="D1473" s="53" t="n">
        <v>38471</v>
      </c>
      <c r="E1473" s="54">
        <f>"RNCP"&amp;D1473</f>
        <v/>
      </c>
      <c r="F1473" s="54" t="inlineStr">
        <is>
          <t>CQP Polisseur</t>
        </is>
      </c>
      <c r="G1473" s="55">
        <f>E1473&amp;" - "&amp;F1473</f>
        <v/>
      </c>
      <c r="H1473" s="37" t="inlineStr">
        <is>
          <t>À vérifier</t>
        </is>
      </c>
      <c r="I1473" s="51" t="inlineStr">
        <is>
          <t>Échéance le 21/12/2026 (dans 156 j)</t>
        </is>
      </c>
      <c r="J1473" s="51" t="inlineStr">
        <is>
          <t>RNCP38471</t>
        </is>
      </c>
      <c r="K1473" s="51" t="inlineStr">
        <is>
          <t>CQP Polisseur</t>
        </is>
      </c>
      <c r="L1473" s="51" t="inlineStr">
        <is>
          <t>21/12/2026</t>
        </is>
      </c>
      <c r="M1473" s="51" t="inlineStr">
        <is>
          <t>23583 (Mécanique surface) ; 23054 (Travail matériau)</t>
        </is>
      </c>
      <c r="N1473" s="62" t="inlineStr">
        <is>
          <t>NON</t>
        </is>
      </c>
      <c r="O1473" s="51" t="inlineStr"/>
    </row>
    <row r="1474" ht="28.8" customFormat="1" customHeight="1" s="3">
      <c r="A1474" s="45" t="n"/>
      <c r="B1474" s="46" t="inlineStr">
        <is>
          <t>23062</t>
        </is>
      </c>
      <c r="C1474" s="46">
        <f>LEFT(Tableau1[[#This Row],[Formacode]],3)</f>
        <v/>
      </c>
      <c r="D1474" s="47" t="n">
        <v>38904</v>
      </c>
      <c r="E1474" s="48">
        <f>"RNCP"&amp;D1474</f>
        <v/>
      </c>
      <c r="F1474" s="48" t="inlineStr">
        <is>
          <t>CQP Conducteur régleur de presse à injecter les matériaux plastiques et métalliques sous pression</t>
        </is>
      </c>
      <c r="G1474" s="49">
        <f>E1474&amp;" - "&amp;F1474</f>
        <v/>
      </c>
      <c r="H1474" s="36" t="inlineStr">
        <is>
          <t>RAS</t>
        </is>
      </c>
      <c r="I1474" s="45" t="inlineStr"/>
      <c r="J1474" s="45" t="inlineStr">
        <is>
          <t>RNCP38904</t>
        </is>
      </c>
      <c r="K1474" s="45" t="inlineStr">
        <is>
          <t>CQP Conducteur régleur de presse à injecter les matériaux plastiques et métalliques sous pression</t>
        </is>
      </c>
      <c r="L1474" s="45" t="inlineStr">
        <is>
          <t>26/04/2027</t>
        </is>
      </c>
      <c r="M1474" s="45" t="inlineStr">
        <is>
          <t>31620 (Conduite installation industrielle) ; 23010 (Moulage plastique) ; 23081 (Moulage métal)</t>
        </is>
      </c>
      <c r="N1474" s="50" t="inlineStr">
        <is>
          <t>NON</t>
        </is>
      </c>
      <c r="O1474" s="45" t="inlineStr"/>
    </row>
    <row r="1475" customFormat="1" s="3">
      <c r="A1475" s="51" t="n"/>
      <c r="B1475" s="52" t="inlineStr">
        <is>
          <t>23062</t>
        </is>
      </c>
      <c r="C1475" s="52">
        <f>LEFT(Tableau1[[#This Row],[Formacode]],3)</f>
        <v/>
      </c>
      <c r="D1475" s="53" t="n">
        <v>39296</v>
      </c>
      <c r="E1475" s="54">
        <f>"RNCP"&amp;D1475</f>
        <v/>
      </c>
      <c r="F1475" s="54" t="inlineStr">
        <is>
          <t>CAP - Mouleur noyauteur : cuivre et bronze</t>
        </is>
      </c>
      <c r="G1475" s="55">
        <f>E1475&amp;" - "&amp;F1475</f>
        <v/>
      </c>
      <c r="H1475" s="37" t="inlineStr">
        <is>
          <t>À vérifier</t>
        </is>
      </c>
      <c r="I1475" s="51" t="inlineStr">
        <is>
          <t>Successeur déjà publié : RNCP42114 (Mouleur noyauteur) — préparer la bascule de l'offre CPF | Échéance le 31/08/2026 (dans 44 j)</t>
        </is>
      </c>
      <c r="J1475" s="51" t="inlineStr">
        <is>
          <t>RNCP42114</t>
        </is>
      </c>
      <c r="K1475" s="51" t="inlineStr">
        <is>
          <t>Mouleur noyauteur</t>
        </is>
      </c>
      <c r="L1475" s="51" t="inlineStr">
        <is>
          <t>31/08/2026</t>
        </is>
      </c>
      <c r="M1475" s="51" t="inlineStr">
        <is>
          <t>23090 (Fonderie)</t>
        </is>
      </c>
      <c r="N1475" s="62" t="inlineStr">
        <is>
          <t>NON</t>
        </is>
      </c>
      <c r="O1475" s="51" t="inlineStr"/>
    </row>
    <row r="1476" ht="28.8" customFormat="1" customHeight="1" s="3">
      <c r="A1476" s="45" t="n"/>
      <c r="B1476" s="46" t="inlineStr">
        <is>
          <t>23062</t>
        </is>
      </c>
      <c r="C1476" s="46">
        <f>LEFT(Tableau1[[#This Row],[Formacode]],3)</f>
        <v/>
      </c>
      <c r="D1476" s="47" t="n">
        <v>39569</v>
      </c>
      <c r="E1476" s="48">
        <f>"RNCP"&amp;D1476</f>
        <v/>
      </c>
      <c r="F1476" s="48" t="inlineStr">
        <is>
          <t>BTS - Traitements des matériaux : Option A "Traitements thermiques", Option B "Traitements de surfaces"</t>
        </is>
      </c>
      <c r="G1476" s="49">
        <f>E1476&amp;" - "&amp;F1476</f>
        <v/>
      </c>
      <c r="H1476" s="36" t="inlineStr">
        <is>
          <t>RAS</t>
        </is>
      </c>
      <c r="I1476" s="45" t="inlineStr"/>
      <c r="J1476" s="45" t="inlineStr">
        <is>
          <t>RNCP39569</t>
        </is>
      </c>
      <c r="K1476" s="45" t="inlineStr">
        <is>
          <t>Traitements des matériaux : Option A "Traitements thermiques", Option B "Traitements de surfaces"</t>
        </is>
      </c>
      <c r="L1476" s="45" t="inlineStr">
        <is>
          <t>31/08/2028</t>
        </is>
      </c>
      <c r="M1476" s="45" t="inlineStr">
        <is>
          <t>23042 (Traitement surface) ; 23074 (Traitement thermique)</t>
        </is>
      </c>
      <c r="N1476" s="50" t="inlineStr">
        <is>
          <t>NON</t>
        </is>
      </c>
      <c r="O1476" s="45" t="inlineStr"/>
    </row>
    <row r="1477" customFormat="1" s="3">
      <c r="A1477" s="45" t="n"/>
      <c r="B1477" s="46" t="inlineStr">
        <is>
          <t>23062</t>
        </is>
      </c>
      <c r="C1477" s="46">
        <f>LEFT(Tableau1[[#This Row],[Formacode]],3)</f>
        <v/>
      </c>
      <c r="D1477" s="47" t="n">
        <v>39647</v>
      </c>
      <c r="E1477" s="48">
        <f>"RNCP"&amp;D1477</f>
        <v/>
      </c>
      <c r="F1477" s="48" t="inlineStr">
        <is>
          <t>CAP - Modèles et moules céramiques</t>
        </is>
      </c>
      <c r="G1477" s="49">
        <f>E1477&amp;" - "&amp;F1477</f>
        <v/>
      </c>
      <c r="H1477" s="36" t="inlineStr">
        <is>
          <t>RAS</t>
        </is>
      </c>
      <c r="I1477" s="45" t="inlineStr"/>
      <c r="J1477" s="45" t="inlineStr">
        <is>
          <t>RNCP39647</t>
        </is>
      </c>
      <c r="K1477" s="45" t="inlineStr">
        <is>
          <t>Modèles et moules céramiques</t>
        </is>
      </c>
      <c r="L1477" s="45" t="inlineStr">
        <is>
          <t>31/08/2029</t>
        </is>
      </c>
      <c r="M1477" s="45" t="inlineStr">
        <is>
          <t>22821 (Céramique industrielle) ; 45597 (Céramique poterie) ; 23090 (Fonderie)</t>
        </is>
      </c>
      <c r="N1477" s="50" t="inlineStr">
        <is>
          <t>NON</t>
        </is>
      </c>
      <c r="O1477" s="45" t="inlineStr"/>
    </row>
    <row r="1478" customFormat="1" s="3">
      <c r="A1478" s="45" t="n"/>
      <c r="B1478" s="46" t="inlineStr">
        <is>
          <t>23062</t>
        </is>
      </c>
      <c r="C1478" s="46">
        <f>LEFT(Tableau1[[#This Row],[Formacode]],3)</f>
        <v/>
      </c>
      <c r="D1478" s="47" t="n">
        <v>39784</v>
      </c>
      <c r="E1478" s="48">
        <f>"RNCP"&amp;D1478</f>
        <v/>
      </c>
      <c r="F1478" s="48" t="inlineStr">
        <is>
          <t>Equipier de production industrielle</t>
        </is>
      </c>
      <c r="G1478" s="49">
        <f>E1478&amp;" - "&amp;F1478</f>
        <v/>
      </c>
      <c r="H1478" s="36" t="inlineStr">
        <is>
          <t>RAS</t>
        </is>
      </c>
      <c r="I1478" s="45" t="inlineStr"/>
      <c r="J1478" s="45" t="inlineStr">
        <is>
          <t>RNCP39784</t>
        </is>
      </c>
      <c r="K1478" s="45" t="inlineStr">
        <is>
          <t>Equipier de production industrielle</t>
        </is>
      </c>
      <c r="L1478" s="45" t="inlineStr">
        <is>
          <t>31/10/2029</t>
        </is>
      </c>
      <c r="M1478" s="45" t="inlineStr">
        <is>
          <t>31652 (Gestion production) ; 23062 (Métallurgie)</t>
        </is>
      </c>
      <c r="N1478" s="50" t="inlineStr">
        <is>
          <t>NON</t>
        </is>
      </c>
      <c r="O1478" s="45" t="inlineStr"/>
    </row>
    <row r="1479" customFormat="1" s="3">
      <c r="A1479" s="45" t="n"/>
      <c r="B1479" s="46" t="inlineStr">
        <is>
          <t>23062</t>
        </is>
      </c>
      <c r="C1479" s="46">
        <f>LEFT(Tableau1[[#This Row],[Formacode]],3)</f>
        <v/>
      </c>
      <c r="D1479" s="47" t="n">
        <v>39939</v>
      </c>
      <c r="E1479" s="48">
        <f>"RNCP"&amp;D1479</f>
        <v/>
      </c>
      <c r="F1479" s="48" t="inlineStr">
        <is>
          <t>CAP - Instruments coupants et de chirurgie</t>
        </is>
      </c>
      <c r="G1479" s="49">
        <f>E1479&amp;" - "&amp;F1479</f>
        <v/>
      </c>
      <c r="H1479" s="36" t="inlineStr">
        <is>
          <t>RAS</t>
        </is>
      </c>
      <c r="I1479" s="45" t="inlineStr"/>
      <c r="J1479" s="45" t="inlineStr">
        <is>
          <t>RNCP39939</t>
        </is>
      </c>
      <c r="K1479" s="45" t="inlineStr">
        <is>
          <t>Instruments coupants et de chirurgie</t>
        </is>
      </c>
      <c r="L1479" s="45" t="inlineStr">
        <is>
          <t>31/08/2028</t>
        </is>
      </c>
      <c r="M1479" s="45" t="inlineStr">
        <is>
          <t>23074 (Traitement thermique) ; 23690 (Coutellerie taillanderie) ; 23661 (Mécanique précision)</t>
        </is>
      </c>
      <c r="N1479" s="50" t="inlineStr">
        <is>
          <t>NON</t>
        </is>
      </c>
      <c r="O1479" s="45" t="inlineStr"/>
    </row>
    <row r="1480" customFormat="1" s="3">
      <c r="A1480" s="45" t="n"/>
      <c r="B1480" s="46" t="inlineStr">
        <is>
          <t>23062</t>
        </is>
      </c>
      <c r="C1480" s="46">
        <f>LEFT(Tableau1[[#This Row],[Formacode]],3)</f>
        <v/>
      </c>
      <c r="D1480" s="47" t="n">
        <v>40082</v>
      </c>
      <c r="E1480" s="48">
        <f>"RNCP"&amp;D1480</f>
        <v/>
      </c>
      <c r="F1480" s="48" t="inlineStr">
        <is>
          <t>BAC PRO - Fonderie</t>
        </is>
      </c>
      <c r="G1480" s="49">
        <f>E1480&amp;" - "&amp;F1480</f>
        <v/>
      </c>
      <c r="H1480" s="36" t="inlineStr">
        <is>
          <t>RAS</t>
        </is>
      </c>
      <c r="I1480" s="45" t="inlineStr"/>
      <c r="J1480" s="45" t="inlineStr">
        <is>
          <t>RNCP40082</t>
        </is>
      </c>
      <c r="K1480" s="45" t="inlineStr">
        <is>
          <t>Fonderie</t>
        </is>
      </c>
      <c r="L1480" s="45" t="inlineStr">
        <is>
          <t>31/08/2030</t>
        </is>
      </c>
      <c r="M1480" s="45" t="inlineStr">
        <is>
          <t>23090 (Fonderie)</t>
        </is>
      </c>
      <c r="N1480" s="50" t="inlineStr">
        <is>
          <t>NON</t>
        </is>
      </c>
      <c r="O1480" s="45" t="inlineStr"/>
    </row>
    <row r="1481" customFormat="1" s="3">
      <c r="A1481" s="45" t="n"/>
      <c r="B1481" s="46" t="inlineStr">
        <is>
          <t>23062</t>
        </is>
      </c>
      <c r="C1481" s="46">
        <f>LEFT(Tableau1[[#This Row],[Formacode]],3)</f>
        <v/>
      </c>
      <c r="D1481" s="47" t="n">
        <v>40391</v>
      </c>
      <c r="E1481" s="48">
        <f>"RNCP"&amp;D1481</f>
        <v/>
      </c>
      <c r="F1481" s="48" t="inlineStr">
        <is>
          <t>CQP Agent de contrôle qualité dans l'industrie</t>
        </is>
      </c>
      <c r="G1481" s="49">
        <f>E1481&amp;" - "&amp;F1481</f>
        <v/>
      </c>
      <c r="H1481" s="36" t="inlineStr">
        <is>
          <t>RAS</t>
        </is>
      </c>
      <c r="I1481" s="45" t="inlineStr"/>
      <c r="J1481" s="45" t="inlineStr">
        <is>
          <t>RNCP40391</t>
        </is>
      </c>
      <c r="K1481" s="45" t="inlineStr">
        <is>
          <t>CQP Agent de contrôle qualité dans l'industrie</t>
        </is>
      </c>
      <c r="L1481" s="45" t="inlineStr">
        <is>
          <t>28/03/2030</t>
        </is>
      </c>
      <c r="M1481" s="45" t="inlineStr">
        <is>
          <t>31436 (Contrôle qualité) ; 23062 (Métallurgie)</t>
        </is>
      </c>
      <c r="N1481" s="50" t="inlineStr">
        <is>
          <t>NON</t>
        </is>
      </c>
      <c r="O1481" s="45" t="inlineStr"/>
    </row>
    <row r="1482" customFormat="1" s="3">
      <c r="A1482" s="45" t="n"/>
      <c r="B1482" s="46" t="inlineStr">
        <is>
          <t>23064</t>
        </is>
      </c>
      <c r="C1482" s="46">
        <f>LEFT(Tableau1[[#This Row],[Formacode]],3)</f>
        <v/>
      </c>
      <c r="D1482" s="47" t="n">
        <v>37465</v>
      </c>
      <c r="E1482" s="48">
        <f>"RNCP"&amp;D1482</f>
        <v/>
      </c>
      <c r="F1482" s="48" t="inlineStr">
        <is>
          <t>BTS - Forge</t>
        </is>
      </c>
      <c r="G1482" s="49">
        <f>E1482&amp;" - "&amp;F1482</f>
        <v/>
      </c>
      <c r="H1482" s="36" t="inlineStr">
        <is>
          <t>RAS</t>
        </is>
      </c>
      <c r="I1482" s="45" t="inlineStr"/>
      <c r="J1482" s="45" t="inlineStr">
        <is>
          <t>RNCP37465</t>
        </is>
      </c>
      <c r="K1482" s="45" t="inlineStr">
        <is>
          <t>Forge</t>
        </is>
      </c>
      <c r="L1482" s="45" t="inlineStr">
        <is>
          <t>31/08/2028</t>
        </is>
      </c>
      <c r="M1482" s="45" t="inlineStr">
        <is>
          <t>23049 (Forgeage) ; 23062 (Métallurgie) ; 23064 (Qualité travail matériau)</t>
        </is>
      </c>
      <c r="N1482" s="50" t="inlineStr">
        <is>
          <t>NON</t>
        </is>
      </c>
      <c r="O1482" s="45" t="inlineStr"/>
    </row>
    <row r="1483" ht="28.8" customFormat="1" customHeight="1" s="3">
      <c r="A1483" s="45" t="n"/>
      <c r="B1483" s="46" t="inlineStr">
        <is>
          <t>23064</t>
        </is>
      </c>
      <c r="C1483" s="46">
        <f>LEFT(Tableau1[[#This Row],[Formacode]],3)</f>
        <v/>
      </c>
      <c r="D1483" s="47" t="n">
        <v>38416</v>
      </c>
      <c r="E1483" s="48">
        <f>"RNCP"&amp;D1483</f>
        <v/>
      </c>
      <c r="F1483" s="48" t="inlineStr">
        <is>
          <t>BTS - EuroPlastics et Composites - Option CO: Conception Outillage - Option POP : Pilotage et Optimisation de la Production</t>
        </is>
      </c>
      <c r="G1483" s="49">
        <f>E1483&amp;" - "&amp;F1483</f>
        <v/>
      </c>
      <c r="H1483" s="36" t="inlineStr">
        <is>
          <t>RAS</t>
        </is>
      </c>
      <c r="I1483" s="45" t="inlineStr"/>
      <c r="J1483" s="45" t="inlineStr">
        <is>
          <t>RNCP38416</t>
        </is>
      </c>
      <c r="K1483" s="45" t="inlineStr">
        <is>
          <t>EuroPlastics et Composites - Option CO: Conception Outillage - Option POP : Pilotage et Optimisation de la Production</t>
        </is>
      </c>
      <c r="L1483" s="45" t="inlineStr">
        <is>
          <t>31/12/2028</t>
        </is>
      </c>
      <c r="M1483" s="45" t="inlineStr">
        <is>
          <t>23021 (Plasturgie) ; 31652 (Gestion production) ; 23064 (Qualité travail matériau) ; 31454 (Gestion qualité) ; 31606 (Conduite projet industriel)</t>
        </is>
      </c>
      <c r="N1483" s="50" t="inlineStr">
        <is>
          <t>NON</t>
        </is>
      </c>
      <c r="O1483" s="45" t="inlineStr"/>
    </row>
    <row r="1484" customFormat="1" s="3">
      <c r="A1484" s="51" t="n"/>
      <c r="B1484" s="52" t="inlineStr">
        <is>
          <t>23064</t>
        </is>
      </c>
      <c r="C1484" s="52">
        <f>LEFT(Tableau1[[#This Row],[Formacode]],3)</f>
        <v/>
      </c>
      <c r="D1484" s="53" t="n">
        <v>38471</v>
      </c>
      <c r="E1484" s="54">
        <f>"RNCP"&amp;D1484</f>
        <v/>
      </c>
      <c r="F1484" s="54" t="inlineStr">
        <is>
          <t>CQP Polisseur</t>
        </is>
      </c>
      <c r="G1484" s="55">
        <f>E1484&amp;" - "&amp;F1484</f>
        <v/>
      </c>
      <c r="H1484" s="37" t="inlineStr">
        <is>
          <t>À vérifier</t>
        </is>
      </c>
      <c r="I1484" s="51" t="inlineStr">
        <is>
          <t>Échéance le 21/12/2026 (dans 156 j)</t>
        </is>
      </c>
      <c r="J1484" s="51" t="inlineStr">
        <is>
          <t>RNCP38471</t>
        </is>
      </c>
      <c r="K1484" s="51" t="inlineStr">
        <is>
          <t>CQP Polisseur</t>
        </is>
      </c>
      <c r="L1484" s="51" t="inlineStr">
        <is>
          <t>21/12/2026</t>
        </is>
      </c>
      <c r="M1484" s="51" t="inlineStr">
        <is>
          <t>23583 (Mécanique surface) ; 23054 (Travail matériau)</t>
        </is>
      </c>
      <c r="N1484" s="62" t="inlineStr">
        <is>
          <t>NON</t>
        </is>
      </c>
      <c r="O1484" s="51" t="inlineStr"/>
    </row>
    <row r="1485" customFormat="1" s="3">
      <c r="A1485" s="45" t="n"/>
      <c r="B1485" s="46" t="inlineStr">
        <is>
          <t>23064</t>
        </is>
      </c>
      <c r="C1485" s="46">
        <f>LEFT(Tableau1[[#This Row],[Formacode]],3)</f>
        <v/>
      </c>
      <c r="D1485" s="47" t="n">
        <v>41097</v>
      </c>
      <c r="E1485" s="48">
        <f>"RNCP"&amp;D1485</f>
        <v/>
      </c>
      <c r="F1485" s="48" t="inlineStr">
        <is>
          <t>CQP Technicien en rectification industrielle</t>
        </is>
      </c>
      <c r="G1485" s="49">
        <f>E1485&amp;" - "&amp;F1485</f>
        <v/>
      </c>
      <c r="H1485" s="36" t="inlineStr">
        <is>
          <t>RAS</t>
        </is>
      </c>
      <c r="I1485" s="45" t="inlineStr"/>
      <c r="J1485" s="45" t="inlineStr">
        <is>
          <t>RNCP41097</t>
        </is>
      </c>
      <c r="K1485" s="45" t="inlineStr">
        <is>
          <t>CQP Technicien en rectification industrielle</t>
        </is>
      </c>
      <c r="L1485" s="45" t="inlineStr">
        <is>
          <t>18/07/2030</t>
        </is>
      </c>
      <c r="M1485" s="45" t="inlineStr">
        <is>
          <t>23098 (Rectification usinage) ; 23583 (Mécanique surface) ; 23064 (Qualité travail matériau)</t>
        </is>
      </c>
      <c r="N1485" s="50" t="inlineStr">
        <is>
          <t>NON</t>
        </is>
      </c>
      <c r="O1485" s="45" t="inlineStr"/>
    </row>
    <row r="1486" customFormat="1" s="3">
      <c r="A1486" s="45" t="n"/>
      <c r="B1486" s="46" t="inlineStr">
        <is>
          <t>23076</t>
        </is>
      </c>
      <c r="C1486" s="46">
        <f>LEFT(Tableau1[[#This Row],[Formacode]],3)</f>
        <v/>
      </c>
      <c r="D1486" s="47" t="n">
        <v>36236</v>
      </c>
      <c r="E1486" s="48">
        <f>"RNCP"&amp;D1486</f>
        <v/>
      </c>
      <c r="F1486" s="48" t="inlineStr">
        <is>
          <t>TP - Tourneur en réalisation de pièces mécaniques</t>
        </is>
      </c>
      <c r="G1486" s="49">
        <f>E1486&amp;" - "&amp;F1486</f>
        <v/>
      </c>
      <c r="H1486" s="36" t="inlineStr">
        <is>
          <t>RAS</t>
        </is>
      </c>
      <c r="I1486" s="45" t="inlineStr"/>
      <c r="J1486" s="45" t="inlineStr">
        <is>
          <t>RNCP36236</t>
        </is>
      </c>
      <c r="K1486" s="45" t="inlineStr">
        <is>
          <t>Tourneur en réalisation de pièces mécaniques</t>
        </is>
      </c>
      <c r="L1486" s="45" t="inlineStr">
        <is>
          <t>07/03/2027</t>
        </is>
      </c>
      <c r="M1486" s="45" t="inlineStr">
        <is>
          <t>24406 (Commande numérique tournage) ; 23088 (Tournage)</t>
        </is>
      </c>
      <c r="N1486" s="50" t="inlineStr">
        <is>
          <t>NON</t>
        </is>
      </c>
      <c r="O1486" s="45" t="inlineStr"/>
    </row>
    <row r="1487" customFormat="1" s="3">
      <c r="A1487" s="45" t="n"/>
      <c r="B1487" s="46" t="inlineStr">
        <is>
          <t>23076</t>
        </is>
      </c>
      <c r="C1487" s="46">
        <f>LEFT(Tableau1[[#This Row],[Formacode]],3)</f>
        <v/>
      </c>
      <c r="D1487" s="47" t="n">
        <v>36238</v>
      </c>
      <c r="E1487" s="48">
        <f>"RNCP"&amp;D1487</f>
        <v/>
      </c>
      <c r="F1487" s="48" t="inlineStr">
        <is>
          <t>TP - Fraiseur en réalisation de pièces mécaniques</t>
        </is>
      </c>
      <c r="G1487" s="49">
        <f>E1487&amp;" - "&amp;F1487</f>
        <v/>
      </c>
      <c r="H1487" s="36" t="inlineStr">
        <is>
          <t>RAS</t>
        </is>
      </c>
      <c r="I1487" s="45" t="inlineStr"/>
      <c r="J1487" s="45" t="inlineStr">
        <is>
          <t>RNCP36238</t>
        </is>
      </c>
      <c r="K1487" s="45" t="inlineStr">
        <is>
          <t>Fraiseur en réalisation de pièces mécaniques</t>
        </is>
      </c>
      <c r="L1487" s="45" t="inlineStr">
        <is>
          <t>15/02/2027</t>
        </is>
      </c>
      <c r="M1487" s="45" t="inlineStr">
        <is>
          <t>24404 (Commande numérique fraisage) ; 23067 (Fraisage)</t>
        </is>
      </c>
      <c r="N1487" s="50" t="inlineStr">
        <is>
          <t>NON</t>
        </is>
      </c>
      <c r="O1487" s="45" t="inlineStr"/>
    </row>
    <row r="1488" customFormat="1" s="3">
      <c r="A1488" s="45" t="n"/>
      <c r="B1488" s="46" t="inlineStr">
        <is>
          <t>23076</t>
        </is>
      </c>
      <c r="C1488" s="46">
        <f>LEFT(Tableau1[[#This Row],[Formacode]],3)</f>
        <v/>
      </c>
      <c r="D1488" s="47" t="n">
        <v>36539</v>
      </c>
      <c r="E1488" s="48">
        <f>"RNCP"&amp;D1488</f>
        <v/>
      </c>
      <c r="F1488" s="48" t="inlineStr">
        <is>
          <t>TP - Régleur décolleteur</t>
        </is>
      </c>
      <c r="G1488" s="49">
        <f>E1488&amp;" - "&amp;F1488</f>
        <v/>
      </c>
      <c r="H1488" s="36" t="inlineStr">
        <is>
          <t>RAS</t>
        </is>
      </c>
      <c r="I1488" s="45" t="inlineStr"/>
      <c r="J1488" s="45" t="inlineStr">
        <is>
          <t>RNCP36539</t>
        </is>
      </c>
      <c r="K1488" s="45" t="inlineStr">
        <is>
          <t>Régleur décolleteur</t>
        </is>
      </c>
      <c r="L1488" s="45" t="inlineStr">
        <is>
          <t>14/05/2027</t>
        </is>
      </c>
      <c r="M1488" s="45" t="inlineStr">
        <is>
          <t>23089 (Décolletage) ; 24425 (MOCN)</t>
        </is>
      </c>
      <c r="N1488" s="50" t="inlineStr">
        <is>
          <t>NON</t>
        </is>
      </c>
      <c r="O1488" s="45" t="inlineStr"/>
    </row>
    <row r="1489" customFormat="1" s="3">
      <c r="A1489" s="45" t="n"/>
      <c r="B1489" s="46" t="inlineStr">
        <is>
          <t>23076</t>
        </is>
      </c>
      <c r="C1489" s="46">
        <f>LEFT(Tableau1[[#This Row],[Formacode]],3)</f>
        <v/>
      </c>
      <c r="D1489" s="47" t="n">
        <v>36737</v>
      </c>
      <c r="E1489" s="48">
        <f>"RNCP"&amp;D1489</f>
        <v/>
      </c>
      <c r="F1489" s="48" t="inlineStr">
        <is>
          <t>CQP Ajusteur-monteur industriel</t>
        </is>
      </c>
      <c r="G1489" s="49">
        <f>E1489&amp;" - "&amp;F1489</f>
        <v/>
      </c>
      <c r="H1489" s="36" t="inlineStr">
        <is>
          <t>RAS</t>
        </is>
      </c>
      <c r="I1489" s="45" t="inlineStr"/>
      <c r="J1489" s="45" t="inlineStr">
        <is>
          <t>RNCP36737</t>
        </is>
      </c>
      <c r="K1489" s="45" t="inlineStr">
        <is>
          <t>CQP Ajusteur-monteur industriel</t>
        </is>
      </c>
      <c r="L1489" s="45" t="inlineStr">
        <is>
          <t>20/07/2027</t>
        </is>
      </c>
      <c r="M1489" s="45" t="inlineStr">
        <is>
          <t>23096 (Ajustage)</t>
        </is>
      </c>
      <c r="N1489" s="50" t="inlineStr">
        <is>
          <t>NON</t>
        </is>
      </c>
      <c r="O1489" s="45" t="inlineStr"/>
    </row>
    <row r="1490" customFormat="1" s="3">
      <c r="A1490" s="51" t="n"/>
      <c r="B1490" s="52" t="inlineStr">
        <is>
          <t>23076</t>
        </is>
      </c>
      <c r="C1490" s="52">
        <f>LEFT(Tableau1[[#This Row],[Formacode]],3)</f>
        <v/>
      </c>
      <c r="D1490" s="53" t="n">
        <v>37734</v>
      </c>
      <c r="E1490" s="54">
        <f>"RNCP"&amp;D1490</f>
        <v/>
      </c>
      <c r="F1490" s="54" t="inlineStr">
        <is>
          <t>CQP Rectifieur sur machine conventionnelle et/ou numérique</t>
        </is>
      </c>
      <c r="G1490" s="55">
        <f>E1490&amp;" - "&amp;F1490</f>
        <v/>
      </c>
      <c r="H1490" s="37" t="inlineStr">
        <is>
          <t>À vérifier</t>
        </is>
      </c>
      <c r="I1490" s="51" t="inlineStr">
        <is>
          <t>Échéance le 19/07/2026 (dans 1 j)</t>
        </is>
      </c>
      <c r="J1490" s="51" t="inlineStr">
        <is>
          <t>RNCP37734</t>
        </is>
      </c>
      <c r="K1490" s="51" t="inlineStr">
        <is>
          <t>CQP Rectifieur sur machine conventionnelle et/ou numérique</t>
        </is>
      </c>
      <c r="L1490" s="51" t="inlineStr">
        <is>
          <t>19/07/2026</t>
        </is>
      </c>
      <c r="M1490" s="51" t="inlineStr">
        <is>
          <t>23098 (Rectification usinage)</t>
        </is>
      </c>
      <c r="N1490" s="62" t="inlineStr">
        <is>
          <t>NON</t>
        </is>
      </c>
      <c r="O1490" s="51" t="inlineStr"/>
    </row>
    <row r="1491" customFormat="1" s="3">
      <c r="A1491" s="45" t="n"/>
      <c r="B1491" s="46" t="inlineStr">
        <is>
          <t>23076</t>
        </is>
      </c>
      <c r="C1491" s="46">
        <f>LEFT(Tableau1[[#This Row],[Formacode]],3)</f>
        <v/>
      </c>
      <c r="D1491" s="47" t="n">
        <v>38313</v>
      </c>
      <c r="E1491" s="48">
        <f>"RNCP"&amp;D1491</f>
        <v/>
      </c>
      <c r="F1491" s="48" t="inlineStr">
        <is>
          <t>BAC PRO - Technicien modeleur</t>
        </is>
      </c>
      <c r="G1491" s="49">
        <f>E1491&amp;" - "&amp;F1491</f>
        <v/>
      </c>
      <c r="H1491" s="36" t="inlineStr">
        <is>
          <t>RAS</t>
        </is>
      </c>
      <c r="I1491" s="45" t="inlineStr"/>
      <c r="J1491" s="45" t="inlineStr">
        <is>
          <t>RNCP38313</t>
        </is>
      </c>
      <c r="K1491" s="45" t="inlineStr">
        <is>
          <t>Technicien modeleur</t>
        </is>
      </c>
      <c r="L1491" s="45" t="inlineStr">
        <is>
          <t>31/08/2028</t>
        </is>
      </c>
      <c r="M1491" s="45" t="inlineStr">
        <is>
          <t>23076 (Usinage)</t>
        </is>
      </c>
      <c r="N1491" s="50" t="inlineStr">
        <is>
          <t>NON</t>
        </is>
      </c>
      <c r="O1491" s="45" t="inlineStr"/>
    </row>
    <row r="1492" customFormat="1" s="3">
      <c r="A1492" s="51" t="n"/>
      <c r="B1492" s="52" t="inlineStr">
        <is>
          <t>23076</t>
        </is>
      </c>
      <c r="C1492" s="52">
        <f>LEFT(Tableau1[[#This Row],[Formacode]],3)</f>
        <v/>
      </c>
      <c r="D1492" s="53" t="n">
        <v>38471</v>
      </c>
      <c r="E1492" s="54">
        <f>"RNCP"&amp;D1492</f>
        <v/>
      </c>
      <c r="F1492" s="54" t="inlineStr">
        <is>
          <t>CQP Polisseur</t>
        </is>
      </c>
      <c r="G1492" s="55">
        <f>E1492&amp;" - "&amp;F1492</f>
        <v/>
      </c>
      <c r="H1492" s="37" t="inlineStr">
        <is>
          <t>À vérifier</t>
        </is>
      </c>
      <c r="I1492" s="51" t="inlineStr">
        <is>
          <t>Échéance le 21/12/2026 (dans 156 j)</t>
        </is>
      </c>
      <c r="J1492" s="51" t="inlineStr">
        <is>
          <t>RNCP38471</t>
        </is>
      </c>
      <c r="K1492" s="51" t="inlineStr">
        <is>
          <t>CQP Polisseur</t>
        </is>
      </c>
      <c r="L1492" s="51" t="inlineStr">
        <is>
          <t>21/12/2026</t>
        </is>
      </c>
      <c r="M1492" s="51" t="inlineStr">
        <is>
          <t>23583 (Mécanique surface) ; 23054 (Travail matériau)</t>
        </is>
      </c>
      <c r="N1492" s="62" t="inlineStr">
        <is>
          <t>NON</t>
        </is>
      </c>
      <c r="O1492" s="51" t="inlineStr"/>
    </row>
    <row r="1493" customFormat="1" s="3">
      <c r="A1493" s="45" t="n"/>
      <c r="B1493" s="46" t="inlineStr">
        <is>
          <t>23076</t>
        </is>
      </c>
      <c r="C1493" s="46">
        <f>LEFT(Tableau1[[#This Row],[Formacode]],3)</f>
        <v/>
      </c>
      <c r="D1493" s="47" t="n">
        <v>38622</v>
      </c>
      <c r="E1493" s="48">
        <f>"RNCP"&amp;D1493</f>
        <v/>
      </c>
      <c r="F1493" s="48" t="inlineStr">
        <is>
          <t>Technicien d’usinage sur machines-outils à commande numérique (MOCN)</t>
        </is>
      </c>
      <c r="G1493" s="49">
        <f>E1493&amp;" - "&amp;F1493</f>
        <v/>
      </c>
      <c r="H1493" s="36" t="inlineStr">
        <is>
          <t>RAS</t>
        </is>
      </c>
      <c r="I1493" s="45" t="inlineStr"/>
      <c r="J1493" s="45" t="inlineStr">
        <is>
          <t>RNCP38622</t>
        </is>
      </c>
      <c r="K1493" s="45" t="inlineStr">
        <is>
          <t>Technicien d’usinage sur machines-outils à commande numérique (MOCN)</t>
        </is>
      </c>
      <c r="L1493" s="45" t="inlineStr">
        <is>
          <t>09/02/2027</t>
        </is>
      </c>
      <c r="M1493" s="45" t="inlineStr">
        <is>
          <t>23076 (Usinage) ; 24425 (MOCN)</t>
        </is>
      </c>
      <c r="N1493" s="50" t="inlineStr">
        <is>
          <t>NON</t>
        </is>
      </c>
      <c r="O1493" s="45" t="inlineStr"/>
    </row>
    <row r="1494" customFormat="1" s="3">
      <c r="A1494" s="45" t="n"/>
      <c r="B1494" s="46" t="inlineStr">
        <is>
          <t>23076</t>
        </is>
      </c>
      <c r="C1494" s="46">
        <f>LEFT(Tableau1[[#This Row],[Formacode]],3)</f>
        <v/>
      </c>
      <c r="D1494" s="47" t="n">
        <v>38668</v>
      </c>
      <c r="E1494" s="48">
        <f>"RNCP"&amp;D1494</f>
        <v/>
      </c>
      <c r="F1494" s="48" t="inlineStr">
        <is>
          <t>TP - Fraiseur d'outillages en usinage conventionnel et numérique</t>
        </is>
      </c>
      <c r="G1494" s="49">
        <f>E1494&amp;" - "&amp;F1494</f>
        <v/>
      </c>
      <c r="H1494" s="36" t="inlineStr">
        <is>
          <t>RAS</t>
        </is>
      </c>
      <c r="I1494" s="45" t="inlineStr"/>
      <c r="J1494" s="45" t="inlineStr">
        <is>
          <t>RNCP38668</t>
        </is>
      </c>
      <c r="K1494" s="45" t="inlineStr">
        <is>
          <t>Fraiseur d'outillages en usinage conventionnel et numérique</t>
        </is>
      </c>
      <c r="L1494" s="45" t="inlineStr">
        <is>
          <t>20/03/2029</t>
        </is>
      </c>
      <c r="M1494" s="45" t="inlineStr">
        <is>
          <t>23067 (Fraisage)</t>
        </is>
      </c>
      <c r="N1494" s="50" t="inlineStr">
        <is>
          <t>NON</t>
        </is>
      </c>
      <c r="O1494" s="45" t="inlineStr"/>
    </row>
    <row r="1495" customFormat="1" s="3">
      <c r="A1495" s="45" t="n"/>
      <c r="B1495" s="46" t="inlineStr">
        <is>
          <t>23076</t>
        </is>
      </c>
      <c r="C1495" s="46">
        <f>LEFT(Tableau1[[#This Row],[Formacode]],3)</f>
        <v/>
      </c>
      <c r="D1495" s="47" t="n">
        <v>38900</v>
      </c>
      <c r="E1495" s="48">
        <f>"RNCP"&amp;D1495</f>
        <v/>
      </c>
      <c r="F1495" s="48" t="inlineStr">
        <is>
          <t>CQP Ajusteur monteur d’outillages de production</t>
        </is>
      </c>
      <c r="G1495" s="49">
        <f>E1495&amp;" - "&amp;F1495</f>
        <v/>
      </c>
      <c r="H1495" s="36" t="inlineStr">
        <is>
          <t>RAS</t>
        </is>
      </c>
      <c r="I1495" s="45" t="inlineStr"/>
      <c r="J1495" s="45" t="inlineStr">
        <is>
          <t>RNCP38900</t>
        </is>
      </c>
      <c r="K1495" s="45" t="inlineStr">
        <is>
          <t>CQP Ajusteur monteur d’outillages de production</t>
        </is>
      </c>
      <c r="L1495" s="45" t="inlineStr">
        <is>
          <t>26/04/2029</t>
        </is>
      </c>
      <c r="M1495" s="45" t="inlineStr">
        <is>
          <t>31632 (Productique) ; 23681 (Outillage) ; 23035 (Montage assemblage) ; 23096 (Ajustage)</t>
        </is>
      </c>
      <c r="N1495" s="50" t="inlineStr">
        <is>
          <t>NON</t>
        </is>
      </c>
      <c r="O1495" s="45" t="inlineStr"/>
    </row>
    <row r="1496" customFormat="1" s="3">
      <c r="A1496" s="45" t="n"/>
      <c r="B1496" s="46" t="inlineStr">
        <is>
          <t>23076</t>
        </is>
      </c>
      <c r="C1496" s="46">
        <f>LEFT(Tableau1[[#This Row],[Formacode]],3)</f>
        <v/>
      </c>
      <c r="D1496" s="47" t="n">
        <v>39104</v>
      </c>
      <c r="E1496" s="48">
        <f>"RNCP"&amp;D1496</f>
        <v/>
      </c>
      <c r="F1496" s="48" t="inlineStr">
        <is>
          <t>CQP Ajusteur outilleur en emboutissage</t>
        </is>
      </c>
      <c r="G1496" s="49">
        <f>E1496&amp;" - "&amp;F1496</f>
        <v/>
      </c>
      <c r="H1496" s="36" t="inlineStr">
        <is>
          <t>RAS</t>
        </is>
      </c>
      <c r="I1496" s="45" t="inlineStr"/>
      <c r="J1496" s="45" t="inlineStr">
        <is>
          <t>RNCP39104</t>
        </is>
      </c>
      <c r="K1496" s="45" t="inlineStr">
        <is>
          <t>CQP Ajusteur outilleur en emboutissage</t>
        </is>
      </c>
      <c r="L1496" s="45" t="inlineStr">
        <is>
          <t>31/05/2029</t>
        </is>
      </c>
      <c r="M1496" s="45" t="inlineStr">
        <is>
          <t>23059 (Emboutissage) ; 23096 (Ajustage)</t>
        </is>
      </c>
      <c r="N1496" s="50" t="inlineStr">
        <is>
          <t>NON</t>
        </is>
      </c>
      <c r="O1496" s="45" t="inlineStr"/>
    </row>
    <row r="1497" customFormat="1" s="3">
      <c r="A1497" s="45" t="n"/>
      <c r="B1497" s="46" t="inlineStr">
        <is>
          <t>23076</t>
        </is>
      </c>
      <c r="C1497" s="46">
        <f>LEFT(Tableau1[[#This Row],[Formacode]],3)</f>
        <v/>
      </c>
      <c r="D1497" s="47" t="n">
        <v>39342</v>
      </c>
      <c r="E1497" s="48">
        <f>"RNCP"&amp;D1497</f>
        <v/>
      </c>
      <c r="F1497" s="48" t="inlineStr">
        <is>
          <t>CAP - Décolletage : opérateur régleur en décolletage</t>
        </is>
      </c>
      <c r="G1497" s="49">
        <f>E1497&amp;" - "&amp;F1497</f>
        <v/>
      </c>
      <c r="H1497" s="36" t="inlineStr">
        <is>
          <t>RAS</t>
        </is>
      </c>
      <c r="I1497" s="45" t="inlineStr"/>
      <c r="J1497" s="45" t="inlineStr">
        <is>
          <t>RNCP39342</t>
        </is>
      </c>
      <c r="K1497" s="45" t="inlineStr">
        <is>
          <t>Décolletage : opérateur régleur en décolletage</t>
        </is>
      </c>
      <c r="L1497" s="45" t="inlineStr">
        <is>
          <t>31/08/2028</t>
        </is>
      </c>
      <c r="M1497" s="45" t="inlineStr">
        <is>
          <t>23089 (Décolletage)</t>
        </is>
      </c>
      <c r="N1497" s="50" t="inlineStr">
        <is>
          <t>NON</t>
        </is>
      </c>
      <c r="O1497" s="45" t="inlineStr"/>
    </row>
    <row r="1498" customFormat="1" s="3">
      <c r="A1498" s="51" t="n"/>
      <c r="B1498" s="52" t="inlineStr">
        <is>
          <t>23076</t>
        </is>
      </c>
      <c r="C1498" s="52">
        <f>LEFT(Tableau1[[#This Row],[Formacode]],3)</f>
        <v/>
      </c>
      <c r="D1498" s="53" t="n">
        <v>39491</v>
      </c>
      <c r="E1498" s="54">
        <f>"RNCP"&amp;D1498</f>
        <v/>
      </c>
      <c r="F1498" s="54" t="inlineStr">
        <is>
          <t>CAP - Outillages en outils à découper et à emboutir</t>
        </is>
      </c>
      <c r="G1498" s="55">
        <f>E1498&amp;" - "&amp;F1498</f>
        <v/>
      </c>
      <c r="H1498" s="37" t="inlineStr">
        <is>
          <t>À vérifier</t>
        </is>
      </c>
      <c r="I1498" s="51" t="inlineStr">
        <is>
          <t>Successeur déjà publié : RNCP42106 (Outillages en outils à découper et à emboutir) — préparer la bascule de l'offre CPF | Échéance le 31/08/2026 (dans 44 j)</t>
        </is>
      </c>
      <c r="J1498" s="51" t="inlineStr">
        <is>
          <t>RNCP42106</t>
        </is>
      </c>
      <c r="K1498" s="51" t="inlineStr">
        <is>
          <t>Outillages en outils à découper et à emboutir</t>
        </is>
      </c>
      <c r="L1498" s="51" t="inlineStr">
        <is>
          <t>31/08/2026</t>
        </is>
      </c>
      <c r="M1498" s="51" t="inlineStr">
        <is>
          <t>23078 (Découpage) ; 23059 (Emboutissage)</t>
        </is>
      </c>
      <c r="N1498" s="62" t="inlineStr">
        <is>
          <t>NON</t>
        </is>
      </c>
      <c r="O1498" s="51" t="inlineStr"/>
    </row>
    <row r="1499" ht="28.8" customFormat="1" customHeight="1" s="3">
      <c r="A1499" s="45" t="n"/>
      <c r="B1499" s="46" t="inlineStr">
        <is>
          <t>23076</t>
        </is>
      </c>
      <c r="C1499" s="46">
        <f>LEFT(Tableau1[[#This Row],[Formacode]],3)</f>
        <v/>
      </c>
      <c r="D1499" s="47" t="n">
        <v>39640</v>
      </c>
      <c r="E1499" s="48">
        <f>"RNCP"&amp;D1499</f>
        <v/>
      </c>
      <c r="F1499" s="48" t="inlineStr">
        <is>
          <t>Opérateur régleur sur machine-outil à commande numérique par enlèvement de matière</t>
        </is>
      </c>
      <c r="G1499" s="49">
        <f>E1499&amp;" - "&amp;F1499</f>
        <v/>
      </c>
      <c r="H1499" s="36" t="inlineStr">
        <is>
          <t>RAS</t>
        </is>
      </c>
      <c r="I1499" s="45" t="inlineStr"/>
      <c r="J1499" s="45" t="inlineStr">
        <is>
          <t>RNCP39640</t>
        </is>
      </c>
      <c r="K1499" s="45" t="inlineStr">
        <is>
          <t>Opérateur régleur sur machine-outil à commande numérique par enlèvement de matière</t>
        </is>
      </c>
      <c r="L1499" s="45" t="inlineStr">
        <is>
          <t>01/10/2029</t>
        </is>
      </c>
      <c r="M1499" s="45" t="inlineStr">
        <is>
          <t>24404 (Commande numérique fraisage) ; 23095 (Alésage) ; 24406 (Commande numérique tournage) ; 24413 (Centre usinage)</t>
        </is>
      </c>
      <c r="N1499" s="50" t="inlineStr">
        <is>
          <t>NON</t>
        </is>
      </c>
      <c r="O1499" s="45" t="inlineStr"/>
    </row>
    <row r="1500" customFormat="1" s="3">
      <c r="A1500" s="45" t="n"/>
      <c r="B1500" s="46" t="inlineStr">
        <is>
          <t>23076</t>
        </is>
      </c>
      <c r="C1500" s="46">
        <f>LEFT(Tableau1[[#This Row],[Formacode]],3)</f>
        <v/>
      </c>
      <c r="D1500" s="47" t="n">
        <v>39722</v>
      </c>
      <c r="E1500" s="48">
        <f>"RNCP"&amp;D1500</f>
        <v/>
      </c>
      <c r="F1500" s="48" t="inlineStr">
        <is>
          <t>Opérateur sur machines-outils conventionnelles de production</t>
        </is>
      </c>
      <c r="G1500" s="49">
        <f>E1500&amp;" - "&amp;F1500</f>
        <v/>
      </c>
      <c r="H1500" s="36" t="inlineStr">
        <is>
          <t>RAS</t>
        </is>
      </c>
      <c r="I1500" s="45" t="inlineStr"/>
      <c r="J1500" s="45" t="inlineStr">
        <is>
          <t>RNCP39722</t>
        </is>
      </c>
      <c r="K1500" s="45" t="inlineStr">
        <is>
          <t>Opérateur sur machines-outils conventionnelles de production</t>
        </is>
      </c>
      <c r="L1500" s="45" t="inlineStr">
        <is>
          <t>31/10/2027</t>
        </is>
      </c>
      <c r="M1500" s="45" t="inlineStr">
        <is>
          <t>23076 (Usinage)</t>
        </is>
      </c>
      <c r="N1500" s="50" t="inlineStr">
        <is>
          <t>NON</t>
        </is>
      </c>
      <c r="O1500" s="45" t="inlineStr"/>
    </row>
    <row r="1501" customFormat="1" s="3">
      <c r="A1501" s="45" t="n"/>
      <c r="B1501" s="46" t="inlineStr">
        <is>
          <t>23076</t>
        </is>
      </c>
      <c r="C1501" s="46">
        <f>LEFT(Tableau1[[#This Row],[Formacode]],3)</f>
        <v/>
      </c>
      <c r="D1501" s="47" t="n">
        <v>39723</v>
      </c>
      <c r="E1501" s="48">
        <f>"RNCP"&amp;D1501</f>
        <v/>
      </c>
      <c r="F1501" s="48" t="inlineStr">
        <is>
          <t>CQP Régleur sur machines-outils de décolletage</t>
        </is>
      </c>
      <c r="G1501" s="49">
        <f>E1501&amp;" - "&amp;F1501</f>
        <v/>
      </c>
      <c r="H1501" s="36" t="inlineStr">
        <is>
          <t>RAS</t>
        </is>
      </c>
      <c r="I1501" s="45" t="inlineStr"/>
      <c r="J1501" s="45" t="inlineStr">
        <is>
          <t>RNCP39723</t>
        </is>
      </c>
      <c r="K1501" s="45" t="inlineStr">
        <is>
          <t>CQP Régleur sur machines-outils de décolletage</t>
        </is>
      </c>
      <c r="L1501" s="45" t="inlineStr">
        <is>
          <t>31/10/2027</t>
        </is>
      </c>
      <c r="M1501" s="45" t="inlineStr">
        <is>
          <t>23089 (Décolletage) ; 24425 (MOCN)</t>
        </is>
      </c>
      <c r="N1501" s="50" t="inlineStr">
        <is>
          <t>NON</t>
        </is>
      </c>
      <c r="O1501" s="45" t="inlineStr"/>
    </row>
    <row r="1502" customFormat="1" s="3">
      <c r="A1502" s="45" t="n"/>
      <c r="B1502" s="46" t="inlineStr">
        <is>
          <t>23076</t>
        </is>
      </c>
      <c r="C1502" s="46">
        <f>LEFT(Tableau1[[#This Row],[Formacode]],3)</f>
        <v/>
      </c>
      <c r="D1502" s="47" t="n">
        <v>40699</v>
      </c>
      <c r="E1502" s="48">
        <f>"RNCP"&amp;D1502</f>
        <v/>
      </c>
      <c r="F1502" s="48" t="inlineStr">
        <is>
          <t>TP - Opérateur régleur en usinage assisté par ordinateur</t>
        </is>
      </c>
      <c r="G1502" s="49">
        <f>E1502&amp;" - "&amp;F1502</f>
        <v/>
      </c>
      <c r="H1502" s="36" t="inlineStr">
        <is>
          <t>RAS</t>
        </is>
      </c>
      <c r="I1502" s="45" t="inlineStr"/>
      <c r="J1502" s="45" t="inlineStr">
        <is>
          <t>RNCP40699</t>
        </is>
      </c>
      <c r="K1502" s="45" t="inlineStr">
        <is>
          <t>Opérateur régleur en usinage assisté par ordinateur</t>
        </is>
      </c>
      <c r="L1502" s="45" t="inlineStr">
        <is>
          <t>19/05/2030</t>
        </is>
      </c>
      <c r="M1502" s="45" t="inlineStr">
        <is>
          <t>23076 (Usinage)</t>
        </is>
      </c>
      <c r="N1502" s="50" t="inlineStr">
        <is>
          <t>NON</t>
        </is>
      </c>
      <c r="O1502" s="45" t="inlineStr"/>
    </row>
    <row r="1503" ht="28.8" customFormat="1" customHeight="1" s="3">
      <c r="A1503" s="45" t="n"/>
      <c r="B1503" s="46" t="inlineStr">
        <is>
          <t>23076</t>
        </is>
      </c>
      <c r="C1503" s="46">
        <f>LEFT(Tableau1[[#This Row],[Formacode]],3)</f>
        <v/>
      </c>
      <c r="D1503" s="47" t="n">
        <v>41015</v>
      </c>
      <c r="E1503" s="48">
        <f>"RNCP"&amp;D1503</f>
        <v/>
      </c>
      <c r="F1503" s="48" t="inlineStr">
        <is>
          <t>BAC PRO - Technicien en réalisation de produits mécaniques, option réalisation et suivi de productions, option réalisation et maintenance des outillages</t>
        </is>
      </c>
      <c r="G1503" s="49">
        <f>E1503&amp;" - "&amp;F1503</f>
        <v/>
      </c>
      <c r="H1503" s="36" t="inlineStr">
        <is>
          <t>RAS</t>
        </is>
      </c>
      <c r="I1503" s="45" t="inlineStr"/>
      <c r="J1503" s="45" t="inlineStr">
        <is>
          <t>RNCP41015</t>
        </is>
      </c>
      <c r="K1503" s="45" t="inlineStr">
        <is>
          <t>Technicien en réalisation de produits mécaniques, option réalisation et suivi de productions, option réalisation et maintenance des outillages</t>
        </is>
      </c>
      <c r="L1503" s="45" t="inlineStr">
        <is>
          <t>31/08/2030</t>
        </is>
      </c>
      <c r="M1503" s="45" t="inlineStr">
        <is>
          <t>31632 (Productique) ; 31624 (Maintenance industrielle) ; 23681 (Outillage) ; 23076 (Usinage)</t>
        </is>
      </c>
      <c r="N1503" s="50" t="inlineStr">
        <is>
          <t>NON</t>
        </is>
      </c>
      <c r="O1503" s="45" t="inlineStr"/>
    </row>
    <row r="1504" customFormat="1" s="3">
      <c r="A1504" s="45" t="n"/>
      <c r="B1504" s="46" t="inlineStr">
        <is>
          <t>23076</t>
        </is>
      </c>
      <c r="C1504" s="46">
        <f>LEFT(Tableau1[[#This Row],[Formacode]],3)</f>
        <v/>
      </c>
      <c r="D1504" s="47" t="n">
        <v>41097</v>
      </c>
      <c r="E1504" s="48">
        <f>"RNCP"&amp;D1504</f>
        <v/>
      </c>
      <c r="F1504" s="48" t="inlineStr">
        <is>
          <t>CQP Technicien en rectification industrielle</t>
        </is>
      </c>
      <c r="G1504" s="49">
        <f>E1504&amp;" - "&amp;F1504</f>
        <v/>
      </c>
      <c r="H1504" s="36" t="inlineStr">
        <is>
          <t>RAS</t>
        </is>
      </c>
      <c r="I1504" s="45" t="inlineStr"/>
      <c r="J1504" s="45" t="inlineStr">
        <is>
          <t>RNCP41097</t>
        </is>
      </c>
      <c r="K1504" s="45" t="inlineStr">
        <is>
          <t>CQP Technicien en rectification industrielle</t>
        </is>
      </c>
      <c r="L1504" s="45" t="inlineStr">
        <is>
          <t>18/07/2030</t>
        </is>
      </c>
      <c r="M1504" s="45" t="inlineStr">
        <is>
          <t>23098 (Rectification usinage) ; 23583 (Mécanique surface) ; 23064 (Qualité travail matériau)</t>
        </is>
      </c>
      <c r="N1504" s="50" t="inlineStr">
        <is>
          <t>NON</t>
        </is>
      </c>
      <c r="O1504" s="45" t="inlineStr"/>
    </row>
    <row r="1505" customFormat="1" s="3">
      <c r="A1505" s="45" t="n"/>
      <c r="B1505" s="46" t="inlineStr">
        <is>
          <t>23076</t>
        </is>
      </c>
      <c r="C1505" s="46">
        <f>LEFT(Tableau1[[#This Row],[Formacode]],3)</f>
        <v/>
      </c>
      <c r="D1505" s="47" t="n">
        <v>41537</v>
      </c>
      <c r="E1505" s="48">
        <f>"RNCP"&amp;D1505</f>
        <v/>
      </c>
      <c r="F1505" s="48" t="inlineStr">
        <is>
          <t>TP - Technicien en usinage assisté par ordinateur</t>
        </is>
      </c>
      <c r="G1505" s="49">
        <f>E1505&amp;" - "&amp;F1505</f>
        <v/>
      </c>
      <c r="H1505" s="36" t="inlineStr">
        <is>
          <t>RAS</t>
        </is>
      </c>
      <c r="I1505" s="45" t="inlineStr"/>
      <c r="J1505" s="45" t="inlineStr">
        <is>
          <t>RNCP41537</t>
        </is>
      </c>
      <c r="K1505" s="45" t="inlineStr">
        <is>
          <t>Technicien en usinage assisté par ordinateur</t>
        </is>
      </c>
      <c r="L1505" s="45" t="inlineStr">
        <is>
          <t>07/12/2030</t>
        </is>
      </c>
      <c r="M1505" s="45" t="inlineStr">
        <is>
          <t>23076 (Usinage) ; 24425 (MOCN)</t>
        </is>
      </c>
      <c r="N1505" s="50" t="inlineStr">
        <is>
          <t>NON</t>
        </is>
      </c>
      <c r="O1505" s="45" t="inlineStr"/>
    </row>
    <row r="1506" customFormat="1" s="3">
      <c r="A1506" s="51" t="n"/>
      <c r="B1506" s="52" t="inlineStr">
        <is>
          <t>23083</t>
        </is>
      </c>
      <c r="C1506" s="52">
        <f>LEFT(Tableau1[[#This Row],[Formacode]],3)</f>
        <v/>
      </c>
      <c r="D1506" s="53" t="n">
        <v>35937</v>
      </c>
      <c r="E1506" s="54">
        <f>"RNCP"&amp;D1506</f>
        <v/>
      </c>
      <c r="F1506" s="54" t="inlineStr">
        <is>
          <t>TP - Agent de fabrication et montage en chaudronnerie</t>
        </is>
      </c>
      <c r="G1506" s="55">
        <f>E1506&amp;" - "&amp;F1506</f>
        <v/>
      </c>
      <c r="H1506" s="37" t="inlineStr">
        <is>
          <t>À vérifier</t>
        </is>
      </c>
      <c r="I1506" s="51" t="inlineStr">
        <is>
          <t>Échéance le 08/10/2026 (dans 82 j)</t>
        </is>
      </c>
      <c r="J1506" s="51" t="inlineStr">
        <is>
          <t>RNCP35937</t>
        </is>
      </c>
      <c r="K1506" s="51" t="inlineStr">
        <is>
          <t>Agent de fabrication et montage en chaudronnerie</t>
        </is>
      </c>
      <c r="L1506" s="51" t="inlineStr">
        <is>
          <t>08/10/2026</t>
        </is>
      </c>
      <c r="M1506" s="51" t="inlineStr">
        <is>
          <t>23083 (Chaudronnerie) ; 22387 (Construction métallique) ; 23016 (Soudage MIG MAG)</t>
        </is>
      </c>
      <c r="N1506" s="62" t="inlineStr">
        <is>
          <t>NON</t>
        </is>
      </c>
      <c r="O1506" s="51" t="inlineStr"/>
    </row>
    <row r="1507" customFormat="1" s="3">
      <c r="A1507" s="45" t="n"/>
      <c r="B1507" s="46" t="inlineStr">
        <is>
          <t>23083</t>
        </is>
      </c>
      <c r="C1507" s="46">
        <f>LEFT(Tableau1[[#This Row],[Formacode]],3)</f>
        <v/>
      </c>
      <c r="D1507" s="47" t="n">
        <v>36870</v>
      </c>
      <c r="E1507" s="48">
        <f>"RNCP"&amp;D1507</f>
        <v/>
      </c>
      <c r="F1507" s="48" t="inlineStr">
        <is>
          <t>Technicien polyvalent en chaudronnerie</t>
        </is>
      </c>
      <c r="G1507" s="49">
        <f>E1507&amp;" - "&amp;F1507</f>
        <v/>
      </c>
      <c r="H1507" s="36" t="inlineStr">
        <is>
          <t>RAS</t>
        </is>
      </c>
      <c r="I1507" s="45" t="inlineStr"/>
      <c r="J1507" s="45" t="inlineStr">
        <is>
          <t>RNCP36870</t>
        </is>
      </c>
      <c r="K1507" s="45" t="inlineStr">
        <is>
          <t>Technicien polyvalent en chaudronnerie</t>
        </is>
      </c>
      <c r="L1507" s="45" t="inlineStr">
        <is>
          <t>29/09/2027</t>
        </is>
      </c>
      <c r="M1507" s="45" t="inlineStr">
        <is>
          <t>23083 (Chaudronnerie)</t>
        </is>
      </c>
      <c r="N1507" s="50" t="inlineStr">
        <is>
          <t>NON</t>
        </is>
      </c>
      <c r="O1507" s="45" t="inlineStr"/>
    </row>
    <row r="1508" customFormat="1" s="3">
      <c r="A1508" s="45" t="n"/>
      <c r="B1508" s="46" t="inlineStr">
        <is>
          <t>23083</t>
        </is>
      </c>
      <c r="C1508" s="46">
        <f>LEFT(Tableau1[[#This Row],[Formacode]],3)</f>
        <v/>
      </c>
      <c r="D1508" s="47" t="n">
        <v>37405</v>
      </c>
      <c r="E1508" s="48">
        <f>"RNCP"&amp;D1508</f>
        <v/>
      </c>
      <c r="F1508" s="48" t="inlineStr">
        <is>
          <t>BTS - Conception et réalisation en chaudronnerie industrielle</t>
        </is>
      </c>
      <c r="G1508" s="49">
        <f>E1508&amp;" - "&amp;F1508</f>
        <v/>
      </c>
      <c r="H1508" s="36" t="inlineStr">
        <is>
          <t>RAS</t>
        </is>
      </c>
      <c r="I1508" s="45" t="inlineStr"/>
      <c r="J1508" s="45" t="inlineStr">
        <is>
          <t>RNCP37405</t>
        </is>
      </c>
      <c r="K1508" s="45" t="inlineStr">
        <is>
          <t>Conception et réalisation en chaudronnerie industrielle</t>
        </is>
      </c>
      <c r="L1508" s="45" t="inlineStr">
        <is>
          <t>31/08/2028</t>
        </is>
      </c>
      <c r="M1508" s="45" t="inlineStr">
        <is>
          <t>23083 (Chaudronnerie)</t>
        </is>
      </c>
      <c r="N1508" s="50" t="inlineStr">
        <is>
          <t>NON</t>
        </is>
      </c>
      <c r="O1508" s="45" t="inlineStr"/>
    </row>
    <row r="1509" customFormat="1" s="3">
      <c r="A1509" s="45" t="n"/>
      <c r="B1509" s="46" t="inlineStr">
        <is>
          <t>23083</t>
        </is>
      </c>
      <c r="C1509" s="46">
        <f>LEFT(Tableau1[[#This Row],[Formacode]],3)</f>
        <v/>
      </c>
      <c r="D1509" s="47" t="n">
        <v>38224</v>
      </c>
      <c r="E1509" s="48">
        <f>"RNCP"&amp;D1509</f>
        <v/>
      </c>
      <c r="F1509" s="48" t="inlineStr">
        <is>
          <t>CS - Technicien en chaudronnerie aéronautique et spatiale</t>
        </is>
      </c>
      <c r="G1509" s="49">
        <f>E1509&amp;" - "&amp;F1509</f>
        <v/>
      </c>
      <c r="H1509" s="36" t="inlineStr">
        <is>
          <t>RAS</t>
        </is>
      </c>
      <c r="I1509" s="45" t="inlineStr"/>
      <c r="J1509" s="45" t="inlineStr">
        <is>
          <t>RNCP38224</t>
        </is>
      </c>
      <c r="K1509" s="45" t="inlineStr">
        <is>
          <t>Technicien en chaudronnerie aéronautique et spatiale</t>
        </is>
      </c>
      <c r="L1509" s="45" t="inlineStr">
        <is>
          <t>30/09/2028</t>
        </is>
      </c>
      <c r="M1509" s="45" t="inlineStr">
        <is>
          <t>23086 (Chaudronnerie aéronautique)</t>
        </is>
      </c>
      <c r="N1509" s="50" t="inlineStr">
        <is>
          <t>NON</t>
        </is>
      </c>
      <c r="O1509" s="45" t="inlineStr"/>
    </row>
    <row r="1510" customFormat="1" s="3">
      <c r="A1510" s="45" t="n"/>
      <c r="B1510" s="46" t="inlineStr">
        <is>
          <t>23083</t>
        </is>
      </c>
      <c r="C1510" s="46">
        <f>LEFT(Tableau1[[#This Row],[Formacode]],3)</f>
        <v/>
      </c>
      <c r="D1510" s="47" t="n">
        <v>38312</v>
      </c>
      <c r="E1510" s="48">
        <f>"RNCP"&amp;D1510</f>
        <v/>
      </c>
      <c r="F1510" s="48" t="inlineStr">
        <is>
          <t>CS - Technicien en tuyauterie</t>
        </is>
      </c>
      <c r="G1510" s="49">
        <f>E1510&amp;" - "&amp;F1510</f>
        <v/>
      </c>
      <c r="H1510" s="36" t="inlineStr">
        <is>
          <t>RAS</t>
        </is>
      </c>
      <c r="I1510" s="45" t="inlineStr"/>
      <c r="J1510" s="45" t="inlineStr">
        <is>
          <t>RNCP38312</t>
        </is>
      </c>
      <c r="K1510" s="45" t="inlineStr">
        <is>
          <t>Technicien en tuyauterie</t>
        </is>
      </c>
      <c r="L1510" s="45" t="inlineStr">
        <is>
          <t>31/10/2027</t>
        </is>
      </c>
      <c r="M1510" s="45" t="inlineStr">
        <is>
          <t>23084 (Tuyauterie)</t>
        </is>
      </c>
      <c r="N1510" s="50" t="inlineStr">
        <is>
          <t>NON</t>
        </is>
      </c>
      <c r="O1510" s="45" t="inlineStr"/>
    </row>
    <row r="1511" customFormat="1" s="3">
      <c r="A1511" s="45" t="n"/>
      <c r="B1511" s="46" t="inlineStr">
        <is>
          <t>23083</t>
        </is>
      </c>
      <c r="C1511" s="46">
        <f>LEFT(Tableau1[[#This Row],[Formacode]],3)</f>
        <v/>
      </c>
      <c r="D1511" s="47" t="n">
        <v>38337</v>
      </c>
      <c r="E1511" s="48">
        <f>"RNCP"&amp;D1511</f>
        <v/>
      </c>
      <c r="F1511" s="48" t="inlineStr">
        <is>
          <t>BAC PRO - Technicien en chaudronnerie industrielle</t>
        </is>
      </c>
      <c r="G1511" s="49">
        <f>E1511&amp;" - "&amp;F1511</f>
        <v/>
      </c>
      <c r="H1511" s="36" t="inlineStr">
        <is>
          <t>RAS</t>
        </is>
      </c>
      <c r="I1511" s="45" t="inlineStr"/>
      <c r="J1511" s="45" t="inlineStr">
        <is>
          <t>RNCP38337</t>
        </is>
      </c>
      <c r="K1511" s="45" t="inlineStr">
        <is>
          <t>Technicien en chaudronnerie industrielle</t>
        </is>
      </c>
      <c r="L1511" s="45" t="inlineStr">
        <is>
          <t>31/08/2028</t>
        </is>
      </c>
      <c r="M1511" s="45" t="inlineStr">
        <is>
          <t>23083 (Chaudronnerie) ; 22387 (Construction métallique) ; 22834 (Matériau métallique)</t>
        </is>
      </c>
      <c r="N1511" s="50" t="inlineStr">
        <is>
          <t>NON</t>
        </is>
      </c>
      <c r="O1511" s="45" t="inlineStr"/>
    </row>
    <row r="1512" customFormat="1" s="3">
      <c r="A1512" s="51" t="n"/>
      <c r="B1512" s="52" t="inlineStr">
        <is>
          <t>23083</t>
        </is>
      </c>
      <c r="C1512" s="52">
        <f>LEFT(Tableau1[[#This Row],[Formacode]],3)</f>
        <v/>
      </c>
      <c r="D1512" s="53" t="n">
        <v>38471</v>
      </c>
      <c r="E1512" s="54">
        <f>"RNCP"&amp;D1512</f>
        <v/>
      </c>
      <c r="F1512" s="54" t="inlineStr">
        <is>
          <t>CQP Polisseur</t>
        </is>
      </c>
      <c r="G1512" s="55">
        <f>E1512&amp;" - "&amp;F1512</f>
        <v/>
      </c>
      <c r="H1512" s="37" t="inlineStr">
        <is>
          <t>À vérifier</t>
        </is>
      </c>
      <c r="I1512" s="51" t="inlineStr">
        <is>
          <t>Échéance le 21/12/2026 (dans 156 j)</t>
        </is>
      </c>
      <c r="J1512" s="51" t="inlineStr">
        <is>
          <t>RNCP38471</t>
        </is>
      </c>
      <c r="K1512" s="51" t="inlineStr">
        <is>
          <t>CQP Polisseur</t>
        </is>
      </c>
      <c r="L1512" s="51" t="inlineStr">
        <is>
          <t>21/12/2026</t>
        </is>
      </c>
      <c r="M1512" s="51" t="inlineStr">
        <is>
          <t>23583 (Mécanique surface) ; 23054 (Travail matériau)</t>
        </is>
      </c>
      <c r="N1512" s="62" t="inlineStr">
        <is>
          <t>NON</t>
        </is>
      </c>
      <c r="O1512" s="51" t="inlineStr"/>
    </row>
    <row r="1513" ht="28.8" customFormat="1" customHeight="1" s="3">
      <c r="A1513" s="45" t="n"/>
      <c r="B1513" s="46" t="inlineStr">
        <is>
          <t>23083</t>
        </is>
      </c>
      <c r="C1513" s="46">
        <f>LEFT(Tableau1[[#This Row],[Formacode]],3)</f>
        <v/>
      </c>
      <c r="D1513" s="47" t="n">
        <v>38568</v>
      </c>
      <c r="E1513" s="48">
        <f>"RNCP"&amp;D1513</f>
        <v/>
      </c>
      <c r="F1513" s="48" t="inlineStr">
        <is>
          <t>CAP - Réalisations industrielles en chaudronnerie ou soudage, option A : chaudronnerie, option B : soudage</t>
        </is>
      </c>
      <c r="G1513" s="49">
        <f>E1513&amp;" - "&amp;F1513</f>
        <v/>
      </c>
      <c r="H1513" s="36" t="inlineStr">
        <is>
          <t>RAS</t>
        </is>
      </c>
      <c r="I1513" s="45" t="inlineStr"/>
      <c r="J1513" s="45" t="inlineStr">
        <is>
          <t>RNCP38568</t>
        </is>
      </c>
      <c r="K1513" s="45" t="inlineStr">
        <is>
          <t>Réalisations industrielles en chaudronnerie ou soudage, option A : chaudronnerie, option B : soudage</t>
        </is>
      </c>
      <c r="L1513" s="45" t="inlineStr">
        <is>
          <t>31/08/2028</t>
        </is>
      </c>
      <c r="M1513" s="45" t="inlineStr">
        <is>
          <t>23083 (Chaudronnerie) ; 23026 (Soudage)</t>
        </is>
      </c>
      <c r="N1513" s="50" t="inlineStr">
        <is>
          <t>NON</t>
        </is>
      </c>
      <c r="O1513" s="45" t="inlineStr"/>
    </row>
    <row r="1514" customFormat="1" s="3">
      <c r="A1514" s="45" t="n"/>
      <c r="B1514" s="46" t="inlineStr">
        <is>
          <t>23083</t>
        </is>
      </c>
      <c r="C1514" s="46">
        <f>LEFT(Tableau1[[#This Row],[Formacode]],3)</f>
        <v/>
      </c>
      <c r="D1514" s="47" t="n">
        <v>38790</v>
      </c>
      <c r="E1514" s="48">
        <f>"RNCP"&amp;D1514</f>
        <v/>
      </c>
      <c r="F1514" s="48" t="inlineStr">
        <is>
          <t>Chaudronnier d'atelier</t>
        </is>
      </c>
      <c r="G1514" s="49">
        <f>E1514&amp;" - "&amp;F1514</f>
        <v/>
      </c>
      <c r="H1514" s="36" t="inlineStr">
        <is>
          <t>RAS</t>
        </is>
      </c>
      <c r="I1514" s="45" t="inlineStr"/>
      <c r="J1514" s="45" t="inlineStr">
        <is>
          <t>RNCP38790</t>
        </is>
      </c>
      <c r="K1514" s="45" t="inlineStr">
        <is>
          <t>Chaudronnier d'atelier</t>
        </is>
      </c>
      <c r="L1514" s="45" t="inlineStr">
        <is>
          <t>27/03/2027</t>
        </is>
      </c>
      <c r="M1514" s="45" t="inlineStr">
        <is>
          <t>23083 (Chaudronnerie)</t>
        </is>
      </c>
      <c r="N1514" s="50" t="inlineStr">
        <is>
          <t>NON</t>
        </is>
      </c>
      <c r="O1514" s="45" t="inlineStr"/>
    </row>
    <row r="1515" customFormat="1" s="3">
      <c r="A1515" s="45" t="n"/>
      <c r="B1515" s="46" t="inlineStr">
        <is>
          <t>23083</t>
        </is>
      </c>
      <c r="C1515" s="46">
        <f>LEFT(Tableau1[[#This Row],[Formacode]],3)</f>
        <v/>
      </c>
      <c r="D1515" s="47" t="n">
        <v>39182</v>
      </c>
      <c r="E1515" s="48">
        <f>"RNCP"&amp;D1515</f>
        <v/>
      </c>
      <c r="F1515" s="48" t="inlineStr">
        <is>
          <t>TP - Chaudronnier formeur aéronautique</t>
        </is>
      </c>
      <c r="G1515" s="49">
        <f>E1515&amp;" - "&amp;F1515</f>
        <v/>
      </c>
      <c r="H1515" s="36" t="inlineStr">
        <is>
          <t>RAS</t>
        </is>
      </c>
      <c r="I1515" s="45" t="inlineStr"/>
      <c r="J1515" s="45" t="inlineStr">
        <is>
          <t>RNCP39182</t>
        </is>
      </c>
      <c r="K1515" s="45" t="inlineStr">
        <is>
          <t>Chaudronnier formeur aéronautique</t>
        </is>
      </c>
      <c r="L1515" s="45" t="inlineStr">
        <is>
          <t>23/06/2029</t>
        </is>
      </c>
      <c r="M1515" s="45" t="inlineStr">
        <is>
          <t>23086 (Chaudronnerie aéronautique) ; 23048 (Formage)</t>
        </is>
      </c>
      <c r="N1515" s="50" t="inlineStr">
        <is>
          <t>NON</t>
        </is>
      </c>
      <c r="O1515" s="45" t="inlineStr"/>
    </row>
    <row r="1516" customFormat="1" s="3">
      <c r="A1516" s="45" t="n"/>
      <c r="B1516" s="46" t="inlineStr">
        <is>
          <t>23083</t>
        </is>
      </c>
      <c r="C1516" s="46">
        <f>LEFT(Tableau1[[#This Row],[Formacode]],3)</f>
        <v/>
      </c>
      <c r="D1516" s="47" t="n">
        <v>39641</v>
      </c>
      <c r="E1516" s="48">
        <f>"RNCP"&amp;D1516</f>
        <v/>
      </c>
      <c r="F1516" s="48" t="inlineStr">
        <is>
          <t>Tuyauteur Industriel</t>
        </is>
      </c>
      <c r="G1516" s="49">
        <f>E1516&amp;" - "&amp;F1516</f>
        <v/>
      </c>
      <c r="H1516" s="36" t="inlineStr">
        <is>
          <t>RAS</t>
        </is>
      </c>
      <c r="I1516" s="45" t="inlineStr"/>
      <c r="J1516" s="45" t="inlineStr">
        <is>
          <t>RNCP39641</t>
        </is>
      </c>
      <c r="K1516" s="45" t="inlineStr">
        <is>
          <t>Tuyauteur Industriel</t>
        </is>
      </c>
      <c r="L1516" s="45" t="inlineStr">
        <is>
          <t>01/10/2029</t>
        </is>
      </c>
      <c r="M1516" s="45" t="inlineStr">
        <is>
          <t>23084 (Tuyauterie)</t>
        </is>
      </c>
      <c r="N1516" s="50" t="inlineStr">
        <is>
          <t>NON</t>
        </is>
      </c>
      <c r="O1516" s="45" t="inlineStr"/>
    </row>
    <row r="1517" customFormat="1" s="3">
      <c r="A1517" s="45" t="n"/>
      <c r="B1517" s="46" t="inlineStr">
        <is>
          <t>23083</t>
        </is>
      </c>
      <c r="C1517" s="46">
        <f>LEFT(Tableau1[[#This Row],[Formacode]],3)</f>
        <v/>
      </c>
      <c r="D1517" s="47" t="n">
        <v>39883</v>
      </c>
      <c r="E1517" s="48">
        <f>"RNCP"&amp;D1517</f>
        <v/>
      </c>
      <c r="F1517" s="48" t="inlineStr">
        <is>
          <t>CQP Chaudronnier naval - coques et structures métalliques</t>
        </is>
      </c>
      <c r="G1517" s="49">
        <f>E1517&amp;" - "&amp;F1517</f>
        <v/>
      </c>
      <c r="H1517" s="36" t="inlineStr">
        <is>
          <t>RAS</t>
        </is>
      </c>
      <c r="I1517" s="45" t="inlineStr"/>
      <c r="J1517" s="45" t="inlineStr">
        <is>
          <t>RNCP39883</t>
        </is>
      </c>
      <c r="K1517" s="45" t="inlineStr">
        <is>
          <t>CQP Chaudronnier naval - coques et structures métalliques</t>
        </is>
      </c>
      <c r="L1517" s="45" t="inlineStr">
        <is>
          <t>28/11/2029</t>
        </is>
      </c>
      <c r="M1517" s="45" t="inlineStr">
        <is>
          <t>23083 (Chaudronnerie) ; 23622 (Construction maintenance navale)</t>
        </is>
      </c>
      <c r="N1517" s="50" t="inlineStr">
        <is>
          <t>NON</t>
        </is>
      </c>
      <c r="O1517" s="45" t="inlineStr"/>
    </row>
    <row r="1518" customFormat="1" s="3">
      <c r="A1518" s="45" t="n"/>
      <c r="B1518" s="46" t="inlineStr">
        <is>
          <t>23083</t>
        </is>
      </c>
      <c r="C1518" s="46">
        <f>LEFT(Tableau1[[#This Row],[Formacode]],3)</f>
        <v/>
      </c>
      <c r="D1518" s="47" t="n">
        <v>40471</v>
      </c>
      <c r="E1518" s="48">
        <f>"RNCP"&amp;D1518</f>
        <v/>
      </c>
      <c r="F1518" s="48" t="inlineStr">
        <is>
          <t>TP - Tuyauteur industriel</t>
        </is>
      </c>
      <c r="G1518" s="49">
        <f>E1518&amp;" - "&amp;F1518</f>
        <v/>
      </c>
      <c r="H1518" s="36" t="inlineStr">
        <is>
          <t>RAS</t>
        </is>
      </c>
      <c r="I1518" s="45" t="inlineStr"/>
      <c r="J1518" s="45" t="inlineStr">
        <is>
          <t>RNCP40471</t>
        </is>
      </c>
      <c r="K1518" s="45" t="inlineStr">
        <is>
          <t>Tuyauteur industriel</t>
        </is>
      </c>
      <c r="L1518" s="45" t="inlineStr">
        <is>
          <t>08/04/2030</t>
        </is>
      </c>
      <c r="M1518" s="45" t="inlineStr">
        <is>
          <t>23084 (Tuyauterie)</t>
        </is>
      </c>
      <c r="N1518" s="50" t="inlineStr">
        <is>
          <t>NON</t>
        </is>
      </c>
      <c r="O1518" s="45" t="inlineStr"/>
    </row>
    <row r="1519" customFormat="1" s="3">
      <c r="A1519" s="45" t="n"/>
      <c r="B1519" s="46" t="inlineStr">
        <is>
          <t>23083</t>
        </is>
      </c>
      <c r="C1519" s="46">
        <f>LEFT(Tableau1[[#This Row],[Formacode]],3)</f>
        <v/>
      </c>
      <c r="D1519" s="47" t="n">
        <v>40801</v>
      </c>
      <c r="E1519" s="48">
        <f>"RNCP"&amp;D1519</f>
        <v/>
      </c>
      <c r="F1519" s="48" t="inlineStr">
        <is>
          <t>TP - Technicien en chaudronnerie</t>
        </is>
      </c>
      <c r="G1519" s="49">
        <f>E1519&amp;" - "&amp;F1519</f>
        <v/>
      </c>
      <c r="H1519" s="36" t="inlineStr">
        <is>
          <t>RAS</t>
        </is>
      </c>
      <c r="I1519" s="45" t="inlineStr"/>
      <c r="J1519" s="45" t="inlineStr">
        <is>
          <t>RNCP40801</t>
        </is>
      </c>
      <c r="K1519" s="45" t="inlineStr">
        <is>
          <t>Technicien en chaudronnerie</t>
        </is>
      </c>
      <c r="L1519" s="45" t="inlineStr">
        <is>
          <t>12/07/2030</t>
        </is>
      </c>
      <c r="M1519" s="45" t="inlineStr">
        <is>
          <t>23083 (Chaudronnerie)</t>
        </is>
      </c>
      <c r="N1519" s="50" t="inlineStr">
        <is>
          <t>NON</t>
        </is>
      </c>
      <c r="O1519" s="45" t="inlineStr"/>
    </row>
    <row r="1520" customFormat="1" s="3">
      <c r="A1520" s="45" t="n"/>
      <c r="B1520" s="46" t="inlineStr">
        <is>
          <t>23083</t>
        </is>
      </c>
      <c r="C1520" s="46">
        <f>LEFT(Tableau1[[#This Row],[Formacode]],3)</f>
        <v/>
      </c>
      <c r="D1520" s="47" t="n">
        <v>41425</v>
      </c>
      <c r="E1520" s="48">
        <f>"RNCP"&amp;D1520</f>
        <v/>
      </c>
      <c r="F1520" s="48" t="inlineStr">
        <is>
          <t>CQP Opérateur en tôlerie</t>
        </is>
      </c>
      <c r="G1520" s="49">
        <f>E1520&amp;" - "&amp;F1520</f>
        <v/>
      </c>
      <c r="H1520" s="36" t="inlineStr">
        <is>
          <t>RAS</t>
        </is>
      </c>
      <c r="I1520" s="45" t="inlineStr"/>
      <c r="J1520" s="45" t="inlineStr">
        <is>
          <t>RNCP41425</t>
        </is>
      </c>
      <c r="K1520" s="45" t="inlineStr">
        <is>
          <t>CQP Opérateur en tôlerie</t>
        </is>
      </c>
      <c r="L1520" s="45" t="inlineStr">
        <is>
          <t>27/10/2030</t>
        </is>
      </c>
      <c r="M1520" s="45" t="inlineStr">
        <is>
          <t>23094 (Tôlerie)</t>
        </is>
      </c>
      <c r="N1520" s="50" t="inlineStr">
        <is>
          <t>NON</t>
        </is>
      </c>
      <c r="O1520" s="45" t="inlineStr"/>
    </row>
    <row r="1521" customFormat="1" s="3">
      <c r="A1521" s="45" t="n"/>
      <c r="B1521" s="46" t="inlineStr">
        <is>
          <t>23083</t>
        </is>
      </c>
      <c r="C1521" s="46">
        <f>LEFT(Tableau1[[#This Row],[Formacode]],3)</f>
        <v/>
      </c>
      <c r="D1521" s="47" t="n">
        <v>41432</v>
      </c>
      <c r="E1521" s="48">
        <f>"RNCP"&amp;D1521</f>
        <v/>
      </c>
      <c r="F1521" s="48" t="inlineStr">
        <is>
          <t>CQP Chargé d'affaire en chaudronnerie, tuyauterie, soudure</t>
        </is>
      </c>
      <c r="G1521" s="49">
        <f>E1521&amp;" - "&amp;F1521</f>
        <v/>
      </c>
      <c r="H1521" s="36" t="inlineStr">
        <is>
          <t>RAS</t>
        </is>
      </c>
      <c r="I1521" s="45" t="inlineStr"/>
      <c r="J1521" s="45" t="inlineStr">
        <is>
          <t>RNCP41432</t>
        </is>
      </c>
      <c r="K1521" s="45" t="inlineStr">
        <is>
          <t>CQP Chargé d'affaire en chaudronnerie, tuyauterie, soudure</t>
        </is>
      </c>
      <c r="L1521" s="45" t="inlineStr">
        <is>
          <t>27/10/2030</t>
        </is>
      </c>
      <c r="M1521" s="45" t="inlineStr">
        <is>
          <t>23026 (Soudage) ; 22257 (Commercialisation BTP) ; 23083 (Chaudronnerie)</t>
        </is>
      </c>
      <c r="N1521" s="50" t="inlineStr">
        <is>
          <t>NON</t>
        </is>
      </c>
      <c r="O1521" s="45" t="inlineStr"/>
    </row>
    <row r="1522" customFormat="1" s="4">
      <c r="A1522" s="51" t="n"/>
      <c r="B1522" s="52" t="inlineStr">
        <is>
          <t>23542</t>
        </is>
      </c>
      <c r="C1522" s="52">
        <f>LEFT(Tableau1[[#This Row],[Formacode]],3)</f>
        <v/>
      </c>
      <c r="D1522" s="53" t="n">
        <v>36332</v>
      </c>
      <c r="E1522" s="54">
        <f>"RNCP"&amp;D1522</f>
        <v/>
      </c>
      <c r="F1522" s="54" t="inlineStr">
        <is>
          <t>CS - Maintenance des installations oléohydrauliques et pneumatiques</t>
        </is>
      </c>
      <c r="G1522" s="55">
        <f>E1522&amp;" - "&amp;F1522</f>
        <v/>
      </c>
      <c r="H1522" s="37" t="inlineStr">
        <is>
          <t>À vérifier</t>
        </is>
      </c>
      <c r="I1522" s="51" t="inlineStr">
        <is>
          <t>Successeur déjà publié : RNCP42136 (Maintenance des installations oléohydrauliques et pneumatiques) — préparer la bascule de l'offre CPF | Échéance le 31/08/2026 (dans 44 j)</t>
        </is>
      </c>
      <c r="J1522" s="51" t="inlineStr">
        <is>
          <t>RNCP42136</t>
        </is>
      </c>
      <c r="K1522" s="51" t="inlineStr">
        <is>
          <t>Maintenance des installations oléohydrauliques et pneumatiques</t>
        </is>
      </c>
      <c r="L1522" s="51" t="inlineStr">
        <is>
          <t>31/08/2026</t>
        </is>
      </c>
      <c r="M1522" s="51" t="inlineStr">
        <is>
          <t>23570 (Oléohydraulique) ; 23523 (Pneumatique) ; 24447 (Automatisme hydraulique) ; 24457 (Automatisme pneumatique) ; 23654 (Mécanique construction réparation)</t>
        </is>
      </c>
      <c r="N1522" s="62" t="inlineStr">
        <is>
          <t>NON</t>
        </is>
      </c>
      <c r="O1522" s="51" t="inlineStr"/>
    </row>
    <row r="1523" customFormat="1" s="4">
      <c r="A1523" s="45" t="n"/>
      <c r="B1523" s="46" t="inlineStr">
        <is>
          <t>23542</t>
        </is>
      </c>
      <c r="C1523" s="46">
        <f>LEFT(Tableau1[[#This Row],[Formacode]],3)</f>
        <v/>
      </c>
      <c r="D1523" s="47" t="n">
        <v>39007</v>
      </c>
      <c r="E1523" s="48">
        <f>"RNCP"&amp;D1523</f>
        <v/>
      </c>
      <c r="F1523" s="48" t="inlineStr">
        <is>
          <t>TP - Technicien de maintenance d'engins et de matériels de chantier et de manutention</t>
        </is>
      </c>
      <c r="G1523" s="49">
        <f>E1523&amp;" - "&amp;F1523</f>
        <v/>
      </c>
      <c r="H1523" s="36" t="inlineStr">
        <is>
          <t>RAS</t>
        </is>
      </c>
      <c r="I1523" s="45" t="inlineStr"/>
      <c r="J1523" s="45" t="inlineStr">
        <is>
          <t>RNCP39007</t>
        </is>
      </c>
      <c r="K1523" s="45" t="inlineStr">
        <is>
          <t>Technicien de maintenance d'engins et de matériels de chantier et de manutention</t>
        </is>
      </c>
      <c r="L1523" s="45" t="inlineStr">
        <is>
          <t>23/03/2029</t>
        </is>
      </c>
      <c r="M1523" s="45" t="inlineStr">
        <is>
          <t>22286 (Matériel chantier) ; 23523 (Pneumatique) ; 31717 (Engin chantier) ; 31736 (Réparation engin manutention) ; 23652 (Transmission mécanique)</t>
        </is>
      </c>
      <c r="N1523" s="50" t="inlineStr">
        <is>
          <t>NON</t>
        </is>
      </c>
      <c r="O1523" s="45" t="inlineStr"/>
    </row>
    <row r="1524" customFormat="1" s="4">
      <c r="A1524" s="45" t="n"/>
      <c r="B1524" s="46" t="inlineStr">
        <is>
          <t>23542</t>
        </is>
      </c>
      <c r="C1524" s="46">
        <f>LEFT(Tableau1[[#This Row],[Formacode]],3)</f>
        <v/>
      </c>
      <c r="D1524" s="47" t="n">
        <v>39283</v>
      </c>
      <c r="E1524" s="48">
        <f>"RNCP"&amp;D1524</f>
        <v/>
      </c>
      <c r="F1524" s="48" t="inlineStr">
        <is>
          <t>TP - Mécanicien réparateur de matériels de chantier et de manutention</t>
        </is>
      </c>
      <c r="G1524" s="49">
        <f>E1524&amp;" - "&amp;F1524</f>
        <v/>
      </c>
      <c r="H1524" s="36" t="inlineStr">
        <is>
          <t>RAS</t>
        </is>
      </c>
      <c r="I1524" s="45" t="inlineStr"/>
      <c r="J1524" s="45" t="inlineStr">
        <is>
          <t>RNCP39283</t>
        </is>
      </c>
      <c r="K1524" s="45" t="inlineStr">
        <is>
          <t>Mécanicien réparateur de matériels de chantier et de manutention</t>
        </is>
      </c>
      <c r="L1524" s="45" t="inlineStr">
        <is>
          <t>19/07/2029</t>
        </is>
      </c>
      <c r="M1524" s="45" t="inlineStr">
        <is>
          <t>31736 (Réparation engin manutention) ; 23523 (Pneumatique)</t>
        </is>
      </c>
      <c r="N1524" s="50" t="inlineStr">
        <is>
          <t>NON</t>
        </is>
      </c>
      <c r="O1524" s="45" t="inlineStr"/>
    </row>
    <row r="1525" customFormat="1" s="4">
      <c r="A1525" s="45" t="n"/>
      <c r="B1525" s="46" t="inlineStr">
        <is>
          <t>23542</t>
        </is>
      </c>
      <c r="C1525" s="46">
        <f>LEFT(Tableau1[[#This Row],[Formacode]],3)</f>
        <v/>
      </c>
      <c r="D1525" s="47" t="n">
        <v>40384</v>
      </c>
      <c r="E1525" s="48">
        <f>"RNCP"&amp;D1525</f>
        <v/>
      </c>
      <c r="F1525" s="48" t="inlineStr">
        <is>
          <t>CQP Technicien de maintenance en hydraulique</t>
        </is>
      </c>
      <c r="G1525" s="49">
        <f>E1525&amp;" - "&amp;F1525</f>
        <v/>
      </c>
      <c r="H1525" s="36" t="inlineStr">
        <is>
          <t>RAS</t>
        </is>
      </c>
      <c r="I1525" s="45" t="inlineStr"/>
      <c r="J1525" s="45" t="inlineStr">
        <is>
          <t>RNCP40384</t>
        </is>
      </c>
      <c r="K1525" s="45" t="inlineStr">
        <is>
          <t>CQP Technicien de maintenance en hydraulique</t>
        </is>
      </c>
      <c r="L1525" s="45" t="inlineStr">
        <is>
          <t>28/03/2030</t>
        </is>
      </c>
      <c r="M1525" s="45" t="inlineStr">
        <is>
          <t>23551 (Hydraulique) ; 24447 (Automatisme hydraulique) ; 24139 (Énergie hydraulique) ; 31604 (Maintenance corrective) ; 31603 (Maintenance préventive)</t>
        </is>
      </c>
      <c r="N1525" s="50" t="inlineStr">
        <is>
          <t>NON</t>
        </is>
      </c>
      <c r="O1525" s="45" t="inlineStr"/>
    </row>
    <row r="1526" customFormat="1" s="4">
      <c r="A1526" s="45" t="n"/>
      <c r="B1526" s="46" t="inlineStr">
        <is>
          <t>23546</t>
        </is>
      </c>
      <c r="C1526" s="46">
        <f>LEFT(Tableau1[[#This Row],[Formacode]],3)</f>
        <v/>
      </c>
      <c r="D1526" s="47" t="n">
        <v>37318</v>
      </c>
      <c r="E1526" s="48">
        <f>"RNCP"&amp;D1526</f>
        <v/>
      </c>
      <c r="F1526" s="48" t="inlineStr">
        <is>
          <t>TP - Technicien de contrôle et de métrologie industrielle</t>
        </is>
      </c>
      <c r="G1526" s="49">
        <f>E1526&amp;" - "&amp;F1526</f>
        <v/>
      </c>
      <c r="H1526" s="36" t="inlineStr">
        <is>
          <t>RAS</t>
        </is>
      </c>
      <c r="I1526" s="45" t="inlineStr"/>
      <c r="J1526" s="45" t="inlineStr">
        <is>
          <t>RNCP37318</t>
        </is>
      </c>
      <c r="K1526" s="45" t="inlineStr">
        <is>
          <t>Technicien de contrôle et de métrologie industrielle</t>
        </is>
      </c>
      <c r="L1526" s="45" t="inlineStr">
        <is>
          <t>19/02/2028</t>
        </is>
      </c>
      <c r="M1526" s="45" t="inlineStr">
        <is>
          <t>31380 (Métrologie dimensionnelle) ; 23506 (Mesure mécanique) ; 31436 (Contrôle qualité)</t>
        </is>
      </c>
      <c r="N1526" s="50" t="inlineStr">
        <is>
          <t>NON</t>
        </is>
      </c>
      <c r="O1526" s="45" t="inlineStr"/>
    </row>
    <row r="1527" customFormat="1" s="4">
      <c r="A1527" s="51" t="n"/>
      <c r="B1527" s="52" t="inlineStr">
        <is>
          <t>23583</t>
        </is>
      </c>
      <c r="C1527" s="52">
        <f>LEFT(Tableau1[[#This Row],[Formacode]],3)</f>
        <v/>
      </c>
      <c r="D1527" s="53" t="n">
        <v>38471</v>
      </c>
      <c r="E1527" s="54">
        <f>"RNCP"&amp;D1527</f>
        <v/>
      </c>
      <c r="F1527" s="54" t="inlineStr">
        <is>
          <t>CQP Polisseur</t>
        </is>
      </c>
      <c r="G1527" s="55">
        <f>E1527&amp;" - "&amp;F1527</f>
        <v/>
      </c>
      <c r="H1527" s="37" t="inlineStr">
        <is>
          <t>À vérifier</t>
        </is>
      </c>
      <c r="I1527" s="51" t="inlineStr">
        <is>
          <t>Échéance le 21/12/2026 (dans 156 j)</t>
        </is>
      </c>
      <c r="J1527" s="51" t="inlineStr">
        <is>
          <t>RNCP38471</t>
        </is>
      </c>
      <c r="K1527" s="51" t="inlineStr">
        <is>
          <t>CQP Polisseur</t>
        </is>
      </c>
      <c r="L1527" s="51" t="inlineStr">
        <is>
          <t>21/12/2026</t>
        </is>
      </c>
      <c r="M1527" s="51" t="inlineStr">
        <is>
          <t>23583 (Mécanique surface) ; 23054 (Travail matériau)</t>
        </is>
      </c>
      <c r="N1527" s="62" t="inlineStr">
        <is>
          <t>NON</t>
        </is>
      </c>
      <c r="O1527" s="51" t="inlineStr"/>
    </row>
    <row r="1528" customFormat="1" s="4">
      <c r="A1528" s="45" t="n"/>
      <c r="B1528" s="46" t="inlineStr">
        <is>
          <t>23583</t>
        </is>
      </c>
      <c r="C1528" s="46">
        <f>LEFT(Tableau1[[#This Row],[Formacode]],3)</f>
        <v/>
      </c>
      <c r="D1528" s="47" t="n">
        <v>41097</v>
      </c>
      <c r="E1528" s="48">
        <f>"RNCP"&amp;D1528</f>
        <v/>
      </c>
      <c r="F1528" s="48" t="inlineStr">
        <is>
          <t>CQP Technicien en rectification industrielle</t>
        </is>
      </c>
      <c r="G1528" s="49">
        <f>E1528&amp;" - "&amp;F1528</f>
        <v/>
      </c>
      <c r="H1528" s="36" t="inlineStr">
        <is>
          <t>RAS</t>
        </is>
      </c>
      <c r="I1528" s="45" t="inlineStr"/>
      <c r="J1528" s="45" t="inlineStr">
        <is>
          <t>RNCP41097</t>
        </is>
      </c>
      <c r="K1528" s="45" t="inlineStr">
        <is>
          <t>CQP Technicien en rectification industrielle</t>
        </is>
      </c>
      <c r="L1528" s="45" t="inlineStr">
        <is>
          <t>18/07/2030</t>
        </is>
      </c>
      <c r="M1528" s="45" t="inlineStr">
        <is>
          <t>23098 (Rectification usinage) ; 23583 (Mécanique surface) ; 23064 (Qualité travail matériau)</t>
        </is>
      </c>
      <c r="N1528" s="50" t="inlineStr">
        <is>
          <t>NON</t>
        </is>
      </c>
      <c r="O1528" s="45" t="inlineStr"/>
    </row>
    <row r="1529" customFormat="1" s="3">
      <c r="A1529" s="51" t="n"/>
      <c r="B1529" s="52" t="inlineStr">
        <is>
          <t>23613</t>
        </is>
      </c>
      <c r="C1529" s="52">
        <f>LEFT(Tableau1[[#This Row],[Formacode]],3)</f>
        <v/>
      </c>
      <c r="D1529" s="53" t="n">
        <v>36332</v>
      </c>
      <c r="E1529" s="54">
        <f>"RNCP"&amp;D1529</f>
        <v/>
      </c>
      <c r="F1529" s="54" t="inlineStr">
        <is>
          <t>CS - Maintenance des installations oléohydrauliques et pneumatiques</t>
        </is>
      </c>
      <c r="G1529" s="55">
        <f>E1529&amp;" - "&amp;F1529</f>
        <v/>
      </c>
      <c r="H1529" s="37" t="inlineStr">
        <is>
          <t>À vérifier</t>
        </is>
      </c>
      <c r="I1529" s="51" t="inlineStr">
        <is>
          <t>Successeur déjà publié : RNCP42136 (Maintenance des installations oléohydrauliques et pneumatiques) — préparer la bascule de l'offre CPF | Échéance le 31/08/2026 (dans 44 j)</t>
        </is>
      </c>
      <c r="J1529" s="51" t="inlineStr">
        <is>
          <t>RNCP42136</t>
        </is>
      </c>
      <c r="K1529" s="51" t="inlineStr">
        <is>
          <t>Maintenance des installations oléohydrauliques et pneumatiques</t>
        </is>
      </c>
      <c r="L1529" s="51" t="inlineStr">
        <is>
          <t>31/08/2026</t>
        </is>
      </c>
      <c r="M1529" s="51" t="inlineStr">
        <is>
          <t>23570 (Oléohydraulique) ; 23523 (Pneumatique) ; 24447 (Automatisme hydraulique) ; 24457 (Automatisme pneumatique) ; 23654 (Mécanique construction réparation)</t>
        </is>
      </c>
      <c r="N1529" s="62" t="inlineStr">
        <is>
          <t>NON</t>
        </is>
      </c>
      <c r="O1529" s="51" t="inlineStr"/>
    </row>
    <row r="1530" customFormat="1" s="3">
      <c r="A1530" s="45" t="n"/>
      <c r="B1530" s="46" t="inlineStr">
        <is>
          <t>23613</t>
        </is>
      </c>
      <c r="C1530" s="46">
        <f>LEFT(Tableau1[[#This Row],[Formacode]],3)</f>
        <v/>
      </c>
      <c r="D1530" s="47" t="n">
        <v>36475</v>
      </c>
      <c r="E1530" s="48">
        <f>"RNCP"&amp;D1530</f>
        <v/>
      </c>
      <c r="F1530" s="48" t="inlineStr">
        <is>
          <t>CQP Étancheur aéronautique</t>
        </is>
      </c>
      <c r="G1530" s="49">
        <f>E1530&amp;" - "&amp;F1530</f>
        <v/>
      </c>
      <c r="H1530" s="36" t="inlineStr">
        <is>
          <t>RAS</t>
        </is>
      </c>
      <c r="I1530" s="45" t="inlineStr"/>
      <c r="J1530" s="45" t="inlineStr">
        <is>
          <t>RNCP36475</t>
        </is>
      </c>
      <c r="K1530" s="45" t="inlineStr">
        <is>
          <t>CQP Étancheur aéronautique</t>
        </is>
      </c>
      <c r="L1530" s="45" t="inlineStr">
        <is>
          <t>01/06/2027</t>
        </is>
      </c>
      <c r="M1530" s="45" t="inlineStr">
        <is>
          <t>22421 (Étanchéité) ; 23613 (Construction aéronautique)</t>
        </is>
      </c>
      <c r="N1530" s="50" t="inlineStr">
        <is>
          <t>NON</t>
        </is>
      </c>
      <c r="O1530" s="45" t="inlineStr"/>
    </row>
    <row r="1531" customFormat="1" s="3">
      <c r="A1531" s="45" t="n"/>
      <c r="B1531" s="46" t="inlineStr">
        <is>
          <t>23613</t>
        </is>
      </c>
      <c r="C1531" s="46">
        <f>LEFT(Tableau1[[#This Row],[Formacode]],3)</f>
        <v/>
      </c>
      <c r="D1531" s="47" t="n">
        <v>37399</v>
      </c>
      <c r="E1531" s="48">
        <f>"RNCP"&amp;D1531</f>
        <v/>
      </c>
      <c r="F1531" s="48" t="inlineStr">
        <is>
          <t>TP - Inspecteur qualité aéronautique et spatiale</t>
        </is>
      </c>
      <c r="G1531" s="49">
        <f>E1531&amp;" - "&amp;F1531</f>
        <v/>
      </c>
      <c r="H1531" s="36" t="inlineStr">
        <is>
          <t>RAS</t>
        </is>
      </c>
      <c r="I1531" s="45" t="inlineStr"/>
      <c r="J1531" s="45" t="inlineStr">
        <is>
          <t>RNCP37399</t>
        </is>
      </c>
      <c r="K1531" s="45" t="inlineStr">
        <is>
          <t>Inspecteur qualité aéronautique et spatiale</t>
        </is>
      </c>
      <c r="L1531" s="45" t="inlineStr">
        <is>
          <t>28/07/2028</t>
        </is>
      </c>
      <c r="M1531" s="45" t="inlineStr">
        <is>
          <t>31354 (Qualité industrielle) ; 23613 (Construction aéronautique)</t>
        </is>
      </c>
      <c r="N1531" s="50" t="inlineStr">
        <is>
          <t>NON</t>
        </is>
      </c>
      <c r="O1531" s="45" t="inlineStr"/>
    </row>
    <row r="1532" customFormat="1" s="3">
      <c r="A1532" s="45" t="n"/>
      <c r="B1532" s="46" t="inlineStr">
        <is>
          <t>23613</t>
        </is>
      </c>
      <c r="C1532" s="46">
        <f>LEFT(Tableau1[[#This Row],[Formacode]],3)</f>
        <v/>
      </c>
      <c r="D1532" s="47" t="n">
        <v>37700</v>
      </c>
      <c r="E1532" s="48">
        <f>"RNCP"&amp;D1532</f>
        <v/>
      </c>
      <c r="F1532" s="48" t="inlineStr">
        <is>
          <t>CAP - Aéronautique options Avionique, Structure et Systèmes</t>
        </is>
      </c>
      <c r="G1532" s="49">
        <f>E1532&amp;" - "&amp;F1532</f>
        <v/>
      </c>
      <c r="H1532" s="36" t="inlineStr">
        <is>
          <t>RAS</t>
        </is>
      </c>
      <c r="I1532" s="45" t="inlineStr"/>
      <c r="J1532" s="45" t="inlineStr">
        <is>
          <t>RNCP37700</t>
        </is>
      </c>
      <c r="K1532" s="45" t="inlineStr">
        <is>
          <t>Aéronautique options Avionique, Structure et Systèmes</t>
        </is>
      </c>
      <c r="L1532" s="45" t="inlineStr">
        <is>
          <t>31/08/2028</t>
        </is>
      </c>
      <c r="M1532" s="45" t="inlineStr">
        <is>
          <t>23613 (Construction aéronautique) ; 24346 (Électronique embarquée)</t>
        </is>
      </c>
      <c r="N1532" s="50" t="inlineStr">
        <is>
          <t>NON</t>
        </is>
      </c>
      <c r="O1532" s="45" t="inlineStr"/>
    </row>
    <row r="1533" customFormat="1" s="3">
      <c r="A1533" s="45" t="n"/>
      <c r="B1533" s="46" t="inlineStr">
        <is>
          <t>23613</t>
        </is>
      </c>
      <c r="C1533" s="46">
        <f>LEFT(Tableau1[[#This Row],[Formacode]],3)</f>
        <v/>
      </c>
      <c r="D1533" s="47" t="n">
        <v>37914</v>
      </c>
      <c r="E1533" s="48">
        <f>"RNCP"&amp;D1533</f>
        <v/>
      </c>
      <c r="F1533" s="48" t="inlineStr">
        <is>
          <t>BAC PRO - Aviation générale</t>
        </is>
      </c>
      <c r="G1533" s="49">
        <f>E1533&amp;" - "&amp;F1533</f>
        <v/>
      </c>
      <c r="H1533" s="36" t="inlineStr">
        <is>
          <t>RAS</t>
        </is>
      </c>
      <c r="I1533" s="45" t="inlineStr"/>
      <c r="J1533" s="45" t="inlineStr">
        <is>
          <t>RNCP37914</t>
        </is>
      </c>
      <c r="K1533" s="45" t="inlineStr">
        <is>
          <t>Aviation générale</t>
        </is>
      </c>
      <c r="L1533" s="45" t="inlineStr">
        <is>
          <t>31/08/2028</t>
        </is>
      </c>
      <c r="M1533" s="45" t="inlineStr">
        <is>
          <t>23613 (Construction aéronautique)</t>
        </is>
      </c>
      <c r="N1533" s="50" t="inlineStr">
        <is>
          <t>NON</t>
        </is>
      </c>
      <c r="O1533" s="45" t="inlineStr"/>
    </row>
    <row r="1534" customFormat="1" s="3">
      <c r="A1534" s="45" t="n"/>
      <c r="B1534" s="46" t="inlineStr">
        <is>
          <t>23613</t>
        </is>
      </c>
      <c r="C1534" s="46">
        <f>LEFT(Tableau1[[#This Row],[Formacode]],3)</f>
        <v/>
      </c>
      <c r="D1534" s="47" t="n">
        <v>37923</v>
      </c>
      <c r="E1534" s="48">
        <f>"RNCP"&amp;D1534</f>
        <v/>
      </c>
      <c r="F1534" s="48" t="inlineStr">
        <is>
          <t>CS - Technicien en peinture aéronautique</t>
        </is>
      </c>
      <c r="G1534" s="49">
        <f>E1534&amp;" - "&amp;F1534</f>
        <v/>
      </c>
      <c r="H1534" s="36" t="inlineStr">
        <is>
          <t>RAS</t>
        </is>
      </c>
      <c r="I1534" s="45" t="inlineStr"/>
      <c r="J1534" s="45" t="inlineStr">
        <is>
          <t>RNCP37923</t>
        </is>
      </c>
      <c r="K1534" s="45" t="inlineStr">
        <is>
          <t>Technicien en peinture aéronautique</t>
        </is>
      </c>
      <c r="L1534" s="45" t="inlineStr">
        <is>
          <t>31/08/2028</t>
        </is>
      </c>
      <c r="M1534" s="45" t="inlineStr">
        <is>
          <t>23053 (Peinture industrielle) ; 23613 (Construction aéronautique)</t>
        </is>
      </c>
      <c r="N1534" s="50" t="inlineStr">
        <is>
          <t>NON</t>
        </is>
      </c>
      <c r="O1534" s="45" t="inlineStr"/>
    </row>
    <row r="1535" ht="28.8" customFormat="1" customHeight="1" s="3">
      <c r="A1535" s="45" t="n"/>
      <c r="B1535" s="46" t="inlineStr">
        <is>
          <t>23613</t>
        </is>
      </c>
      <c r="C1535" s="46">
        <f>LEFT(Tableau1[[#This Row],[Formacode]],3)</f>
        <v/>
      </c>
      <c r="D1535" s="47" t="n">
        <v>37924</v>
      </c>
      <c r="E1535" s="48">
        <f>"RNCP"&amp;D1535</f>
        <v/>
      </c>
      <c r="F1535" s="48" t="inlineStr">
        <is>
          <t>CS - Aéronautique options Avionique, Avions à moteurs à pistons, Avions à moteurs à turbines, Hélicoptères à moteurs à pistons, Hélicoptères à moteurs à turbines</t>
        </is>
      </c>
      <c r="G1535" s="49">
        <f>E1535&amp;" - "&amp;F1535</f>
        <v/>
      </c>
      <c r="H1535" s="36" t="inlineStr">
        <is>
          <t>RAS</t>
        </is>
      </c>
      <c r="I1535" s="45" t="inlineStr"/>
      <c r="J1535" s="45" t="inlineStr">
        <is>
          <t>RNCP37924</t>
        </is>
      </c>
      <c r="K1535" s="45" t="inlineStr">
        <is>
          <t>Aéronautique options Avionique, Avions à moteurs à pistons, Avions à moteurs à turbines, Hélicoptères à moteurs à pistons, Hélicoptères à moteurs à turbines</t>
        </is>
      </c>
      <c r="L1535" s="45" t="inlineStr">
        <is>
          <t>31/08/2028</t>
        </is>
      </c>
      <c r="M1535" s="45" t="inlineStr">
        <is>
          <t>23613 (Construction aéronautique) ; 24346 (Électronique embarquée)</t>
        </is>
      </c>
      <c r="N1535" s="50" t="inlineStr">
        <is>
          <t>NON</t>
        </is>
      </c>
      <c r="O1535" s="45" t="inlineStr"/>
    </row>
    <row r="1536" customFormat="1" s="3">
      <c r="A1536" s="45" t="n"/>
      <c r="B1536" s="46" t="inlineStr">
        <is>
          <t>23613</t>
        </is>
      </c>
      <c r="C1536" s="46">
        <f>LEFT(Tableau1[[#This Row],[Formacode]],3)</f>
        <v/>
      </c>
      <c r="D1536" s="47" t="n">
        <v>37928</v>
      </c>
      <c r="E1536" s="48">
        <f>"RNCP"&amp;D1536</f>
        <v/>
      </c>
      <c r="F1536" s="48" t="inlineStr">
        <is>
          <t>BAC PRO - Aéronautique options Avionique,  Structure, Systèmes</t>
        </is>
      </c>
      <c r="G1536" s="49">
        <f>E1536&amp;" - "&amp;F1536</f>
        <v/>
      </c>
      <c r="H1536" s="36" t="inlineStr">
        <is>
          <t>RAS</t>
        </is>
      </c>
      <c r="I1536" s="45" t="inlineStr"/>
      <c r="J1536" s="45" t="inlineStr">
        <is>
          <t>RNCP37928</t>
        </is>
      </c>
      <c r="K1536" s="45" t="inlineStr">
        <is>
          <t>Aéronautique options Avionique, Structure, Systèmes</t>
        </is>
      </c>
      <c r="L1536" s="45" t="inlineStr">
        <is>
          <t>31/08/2028</t>
        </is>
      </c>
      <c r="M1536" s="45" t="inlineStr">
        <is>
          <t>23624 (Construction aérospatiale) ; 23613 (Construction aéronautique) ; 24346 (Électronique embarquée)</t>
        </is>
      </c>
      <c r="N1536" s="50" t="inlineStr">
        <is>
          <t>NON</t>
        </is>
      </c>
      <c r="O1536" s="45" t="inlineStr"/>
    </row>
    <row r="1537" customFormat="1" s="3">
      <c r="A1537" s="45" t="n"/>
      <c r="B1537" s="46" t="inlineStr">
        <is>
          <t>23613</t>
        </is>
      </c>
      <c r="C1537" s="46">
        <f>LEFT(Tableau1[[#This Row],[Formacode]],3)</f>
        <v/>
      </c>
      <c r="D1537" s="47" t="n">
        <v>38576</v>
      </c>
      <c r="E1537" s="48">
        <f>"RNCP"&amp;D1537</f>
        <v/>
      </c>
      <c r="F1537" s="48" t="inlineStr">
        <is>
          <t>BTS - Aéronautique</t>
        </is>
      </c>
      <c r="G1537" s="49">
        <f>E1537&amp;" - "&amp;F1537</f>
        <v/>
      </c>
      <c r="H1537" s="36" t="inlineStr">
        <is>
          <t>RAS</t>
        </is>
      </c>
      <c r="I1537" s="45" t="inlineStr"/>
      <c r="J1537" s="45" t="inlineStr">
        <is>
          <t>RNCP38576</t>
        </is>
      </c>
      <c r="K1537" s="45" t="inlineStr">
        <is>
          <t>Aéronautique</t>
        </is>
      </c>
      <c r="L1537" s="45" t="inlineStr">
        <is>
          <t>31/08/2029</t>
        </is>
      </c>
      <c r="M1537" s="45" t="inlineStr">
        <is>
          <t>23613 (Construction aéronautique)</t>
        </is>
      </c>
      <c r="N1537" s="50" t="inlineStr">
        <is>
          <t>NON</t>
        </is>
      </c>
      <c r="O1537" s="45" t="inlineStr"/>
    </row>
    <row r="1538" customFormat="1" s="3">
      <c r="A1538" s="45" t="n"/>
      <c r="B1538" s="46" t="inlineStr">
        <is>
          <t>23613</t>
        </is>
      </c>
      <c r="C1538" s="46">
        <f>LEFT(Tableau1[[#This Row],[Formacode]],3)</f>
        <v/>
      </c>
      <c r="D1538" s="47" t="n">
        <v>39838</v>
      </c>
      <c r="E1538" s="48">
        <f>"RNCP"&amp;D1538</f>
        <v/>
      </c>
      <c r="F1538" s="48" t="inlineStr">
        <is>
          <t>CQP Préparateur assembleur aéronautique</t>
        </is>
      </c>
      <c r="G1538" s="49">
        <f>E1538&amp;" - "&amp;F1538</f>
        <v/>
      </c>
      <c r="H1538" s="36" t="inlineStr">
        <is>
          <t>RAS</t>
        </is>
      </c>
      <c r="I1538" s="45" t="inlineStr"/>
      <c r="J1538" s="45" t="inlineStr">
        <is>
          <t>RNCP39838</t>
        </is>
      </c>
      <c r="K1538" s="45" t="inlineStr">
        <is>
          <t>CQP Préparateur assembleur aéronautique</t>
        </is>
      </c>
      <c r="L1538" s="45" t="inlineStr">
        <is>
          <t>28/11/2029</t>
        </is>
      </c>
      <c r="M1538" s="45" t="inlineStr">
        <is>
          <t>23613 (Construction aéronautique) ; 23035 (Montage assemblage)</t>
        </is>
      </c>
      <c r="N1538" s="50" t="inlineStr">
        <is>
          <t>NON</t>
        </is>
      </c>
      <c r="O1538" s="45" t="inlineStr"/>
    </row>
    <row r="1539" customFormat="1" s="3">
      <c r="A1539" s="45" t="n"/>
      <c r="B1539" s="46" t="inlineStr">
        <is>
          <t>23613</t>
        </is>
      </c>
      <c r="C1539" s="46">
        <f>LEFT(Tableau1[[#This Row],[Formacode]],3)</f>
        <v/>
      </c>
      <c r="D1539" s="47" t="n">
        <v>40088</v>
      </c>
      <c r="E1539" s="48">
        <f>"RNCP"&amp;D1539</f>
        <v/>
      </c>
      <c r="F1539" s="48" t="inlineStr">
        <is>
          <t>TP - Ajusteur monteur aéronautique</t>
        </is>
      </c>
      <c r="G1539" s="49">
        <f>E1539&amp;" - "&amp;F1539</f>
        <v/>
      </c>
      <c r="H1539" s="36" t="inlineStr">
        <is>
          <t>RAS</t>
        </is>
      </c>
      <c r="I1539" s="45" t="inlineStr"/>
      <c r="J1539" s="45" t="inlineStr">
        <is>
          <t>RNCP40088</t>
        </is>
      </c>
      <c r="K1539" s="45" t="inlineStr">
        <is>
          <t>Ajusteur monteur aéronautique</t>
        </is>
      </c>
      <c r="L1539" s="45" t="inlineStr">
        <is>
          <t>06/03/2030</t>
        </is>
      </c>
      <c r="M1539" s="45" t="inlineStr">
        <is>
          <t>23613 (Construction aéronautique) ; 23035 (Montage assemblage)</t>
        </is>
      </c>
      <c r="N1539" s="50" t="inlineStr">
        <is>
          <t>NON</t>
        </is>
      </c>
      <c r="O1539" s="45" t="inlineStr"/>
    </row>
    <row r="1540" customFormat="1" s="3">
      <c r="A1540" s="45" t="n"/>
      <c r="B1540" s="46" t="inlineStr">
        <is>
          <t>23613</t>
        </is>
      </c>
      <c r="C1540" s="46">
        <f>LEFT(Tableau1[[#This Row],[Formacode]],3)</f>
        <v/>
      </c>
      <c r="D1540" s="47" t="n">
        <v>40664</v>
      </c>
      <c r="E1540" s="48">
        <f>"RNCP"&amp;D1540</f>
        <v/>
      </c>
      <c r="F1540" s="48" t="inlineStr">
        <is>
          <t>CQP Intégrateur cabine aéronautique</t>
        </is>
      </c>
      <c r="G1540" s="49">
        <f>E1540&amp;" - "&amp;F1540</f>
        <v/>
      </c>
      <c r="H1540" s="36" t="inlineStr">
        <is>
          <t>RAS</t>
        </is>
      </c>
      <c r="I1540" s="45" t="inlineStr"/>
      <c r="J1540" s="45" t="inlineStr">
        <is>
          <t>RNCP40664</t>
        </is>
      </c>
      <c r="K1540" s="45" t="inlineStr">
        <is>
          <t>CQP Intégrateur cabine aéronautique</t>
        </is>
      </c>
      <c r="L1540" s="45" t="inlineStr">
        <is>
          <t>23/05/2030</t>
        </is>
      </c>
      <c r="M1540" s="45" t="inlineStr">
        <is>
          <t>23613 (Construction aéronautique)</t>
        </is>
      </c>
      <c r="N1540" s="50" t="inlineStr">
        <is>
          <t>NON</t>
        </is>
      </c>
      <c r="O1540" s="45" t="inlineStr"/>
    </row>
    <row r="1541" customFormat="1" s="3">
      <c r="A1541" s="45" t="n"/>
      <c r="B1541" s="46" t="inlineStr">
        <is>
          <t>23613</t>
        </is>
      </c>
      <c r="C1541" s="46">
        <f>LEFT(Tableau1[[#This Row],[Formacode]],3)</f>
        <v/>
      </c>
      <c r="D1541" s="47" t="n">
        <v>41464</v>
      </c>
      <c r="E1541" s="48">
        <f>"RNCP"&amp;D1541</f>
        <v/>
      </c>
      <c r="F1541" s="48" t="inlineStr">
        <is>
          <t>Technicien-vendeur cycles</t>
        </is>
      </c>
      <c r="G1541" s="49">
        <f>E1541&amp;" - "&amp;F1541</f>
        <v/>
      </c>
      <c r="H1541" s="36" t="inlineStr">
        <is>
          <t>RAS</t>
        </is>
      </c>
      <c r="I1541" s="45" t="inlineStr"/>
      <c r="J1541" s="45" t="inlineStr">
        <is>
          <t>RNCP41464</t>
        </is>
      </c>
      <c r="K1541" s="45" t="inlineStr">
        <is>
          <t>Technicien-vendeur cycles</t>
        </is>
      </c>
      <c r="L1541" s="45" t="inlineStr">
        <is>
          <t>27/10/2030</t>
        </is>
      </c>
      <c r="M1541" s="45" t="inlineStr">
        <is>
          <t>34554 (Commerce) ; 23654 (Mécanique construction réparation)</t>
        </is>
      </c>
      <c r="N1541" s="50" t="inlineStr">
        <is>
          <t>NON</t>
        </is>
      </c>
      <c r="O1541" s="45" t="inlineStr"/>
    </row>
    <row r="1542" customFormat="1" s="3">
      <c r="A1542" s="51" t="n"/>
      <c r="B1542" s="52" t="inlineStr">
        <is>
          <t>23622</t>
        </is>
      </c>
      <c r="C1542" s="52">
        <f>LEFT(Tableau1[[#This Row],[Formacode]],3)</f>
        <v/>
      </c>
      <c r="D1542" s="53" t="n">
        <v>36332</v>
      </c>
      <c r="E1542" s="54">
        <f>"RNCP"&amp;D1542</f>
        <v/>
      </c>
      <c r="F1542" s="54" t="inlineStr">
        <is>
          <t>CS - Maintenance des installations oléohydrauliques et pneumatiques</t>
        </is>
      </c>
      <c r="G1542" s="55">
        <f>E1542&amp;" - "&amp;F1542</f>
        <v/>
      </c>
      <c r="H1542" s="37" t="inlineStr">
        <is>
          <t>À vérifier</t>
        </is>
      </c>
      <c r="I1542" s="51" t="inlineStr">
        <is>
          <t>Successeur déjà publié : RNCP42136 (Maintenance des installations oléohydrauliques et pneumatiques) — préparer la bascule de l'offre CPF | Échéance le 31/08/2026 (dans 44 j)</t>
        </is>
      </c>
      <c r="J1542" s="51" t="inlineStr">
        <is>
          <t>RNCP42136</t>
        </is>
      </c>
      <c r="K1542" s="51" t="inlineStr">
        <is>
          <t>Maintenance des installations oléohydrauliques et pneumatiques</t>
        </is>
      </c>
      <c r="L1542" s="51" t="inlineStr">
        <is>
          <t>31/08/2026</t>
        </is>
      </c>
      <c r="M1542" s="51" t="inlineStr">
        <is>
          <t>23570 (Oléohydraulique) ; 23523 (Pneumatique) ; 24447 (Automatisme hydraulique) ; 24457 (Automatisme pneumatique) ; 23654 (Mécanique construction réparation)</t>
        </is>
      </c>
      <c r="N1542" s="62" t="inlineStr">
        <is>
          <t>NON</t>
        </is>
      </c>
      <c r="O1542" s="51" t="inlineStr"/>
    </row>
    <row r="1543" customFormat="1" s="3">
      <c r="A1543" s="45" t="n"/>
      <c r="B1543" s="46" t="inlineStr">
        <is>
          <t>23622</t>
        </is>
      </c>
      <c r="C1543" s="46">
        <f>LEFT(Tableau1[[#This Row],[Formacode]],3)</f>
        <v/>
      </c>
      <c r="D1543" s="47" t="n">
        <v>36393</v>
      </c>
      <c r="E1543" s="48">
        <f>"RNCP"&amp;D1543</f>
        <v/>
      </c>
      <c r="F1543" s="48" t="inlineStr">
        <is>
          <t>Technico-commercial de l'Industrie et des Services Nautiques</t>
        </is>
      </c>
      <c r="G1543" s="49">
        <f>E1543&amp;" - "&amp;F1543</f>
        <v/>
      </c>
      <c r="H1543" s="36" t="inlineStr">
        <is>
          <t>RAS</t>
        </is>
      </c>
      <c r="I1543" s="45" t="inlineStr"/>
      <c r="J1543" s="45" t="inlineStr">
        <is>
          <t>RNCP36393</t>
        </is>
      </c>
      <c r="K1543" s="45" t="inlineStr">
        <is>
          <t>Technico-commercial de l'Industrie et des Services Nautiques</t>
        </is>
      </c>
      <c r="L1543" s="45" t="inlineStr">
        <is>
          <t>25/04/2027</t>
        </is>
      </c>
      <c r="M1543" s="45" t="inlineStr">
        <is>
          <t>34581 (Technico-commercial) ; 23622 (Construction maintenance navale) ; 34582 (Négociation commerciale) ; 34076 (Gestion relation client) ; 42027 (Service location)</t>
        </is>
      </c>
      <c r="N1543" s="50" t="inlineStr">
        <is>
          <t>NON</t>
        </is>
      </c>
      <c r="O1543" s="45" t="inlineStr"/>
    </row>
    <row r="1544" customFormat="1" s="3">
      <c r="A1544" s="51" t="n"/>
      <c r="B1544" s="52" t="inlineStr">
        <is>
          <t>23622</t>
        </is>
      </c>
      <c r="C1544" s="52">
        <f>LEFT(Tableau1[[#This Row],[Formacode]],3)</f>
        <v/>
      </c>
      <c r="D1544" s="53" t="n">
        <v>36969</v>
      </c>
      <c r="E1544" s="54">
        <f>"RNCP"&amp;D1544</f>
        <v/>
      </c>
      <c r="F1544" s="54" t="inlineStr">
        <is>
          <t>BTS - Mécatronique navale</t>
        </is>
      </c>
      <c r="G1544" s="55">
        <f>E1544&amp;" - "&amp;F1544</f>
        <v/>
      </c>
      <c r="H1544" s="37" t="inlineStr">
        <is>
          <t>À vérifier</t>
        </is>
      </c>
      <c r="I1544" s="51" t="inlineStr">
        <is>
          <t>Successeur déjà publié : RNCP42587 (Mécatronique navale) — préparer la bascule de l'offre CPF</t>
        </is>
      </c>
      <c r="J1544" s="51" t="inlineStr">
        <is>
          <t>RNCP42587</t>
        </is>
      </c>
      <c r="K1544" s="51" t="inlineStr">
        <is>
          <t>Mécatronique navale</t>
        </is>
      </c>
      <c r="L1544" s="51" t="inlineStr">
        <is>
          <t>31/08/2027</t>
        </is>
      </c>
      <c r="M1544" s="51" t="inlineStr">
        <is>
          <t>23610 (Mécanique navale) ; 24424 (Mécatronique)</t>
        </is>
      </c>
      <c r="N1544" s="62" t="inlineStr">
        <is>
          <t>NON</t>
        </is>
      </c>
      <c r="O1544" s="51" t="inlineStr"/>
    </row>
    <row r="1545" customFormat="1" s="3">
      <c r="A1545" s="45" t="n"/>
      <c r="B1545" s="46" t="inlineStr">
        <is>
          <t>23622</t>
        </is>
      </c>
      <c r="C1545" s="46">
        <f>LEFT(Tableau1[[#This Row],[Formacode]],3)</f>
        <v/>
      </c>
      <c r="D1545" s="47" t="n">
        <v>37570</v>
      </c>
      <c r="E1545" s="48">
        <f>"RNCP"&amp;D1545</f>
        <v/>
      </c>
      <c r="F1545" s="48" t="inlineStr">
        <is>
          <t>CS - Mécatronique navale</t>
        </is>
      </c>
      <c r="G1545" s="49">
        <f>E1545&amp;" - "&amp;F1545</f>
        <v/>
      </c>
      <c r="H1545" s="36" t="inlineStr">
        <is>
          <t>RAS</t>
        </is>
      </c>
      <c r="I1545" s="45" t="inlineStr"/>
      <c r="J1545" s="45" t="inlineStr">
        <is>
          <t>RNCP37570</t>
        </is>
      </c>
      <c r="K1545" s="45" t="inlineStr">
        <is>
          <t>Mécatronique navale</t>
        </is>
      </c>
      <c r="L1545" s="45" t="inlineStr">
        <is>
          <t>31/08/2028</t>
        </is>
      </c>
      <c r="M1545" s="45" t="inlineStr">
        <is>
          <t>23610 (Mécanique navale)</t>
        </is>
      </c>
      <c r="N1545" s="50" t="inlineStr">
        <is>
          <t>NON</t>
        </is>
      </c>
      <c r="O1545" s="45" t="inlineStr"/>
    </row>
    <row r="1546" customFormat="1" s="3">
      <c r="A1546" s="45" t="n"/>
      <c r="B1546" s="46" t="inlineStr">
        <is>
          <t>23622</t>
        </is>
      </c>
      <c r="C1546" s="46">
        <f>LEFT(Tableau1[[#This Row],[Formacode]],3)</f>
        <v/>
      </c>
      <c r="D1546" s="47" t="n">
        <v>37670</v>
      </c>
      <c r="E1546" s="48">
        <f>"RNCP"&amp;D1546</f>
        <v/>
      </c>
      <c r="F1546" s="48" t="inlineStr">
        <is>
          <t>CAP - Maintenance nautique</t>
        </is>
      </c>
      <c r="G1546" s="49">
        <f>E1546&amp;" - "&amp;F1546</f>
        <v/>
      </c>
      <c r="H1546" s="36" t="inlineStr">
        <is>
          <t>RAS</t>
        </is>
      </c>
      <c r="I1546" s="45" t="inlineStr"/>
      <c r="J1546" s="45" t="inlineStr">
        <is>
          <t>RNCP37670</t>
        </is>
      </c>
      <c r="K1546" s="45" t="inlineStr">
        <is>
          <t>Maintenance nautique</t>
        </is>
      </c>
      <c r="L1546" s="45" t="inlineStr">
        <is>
          <t>31/08/2028</t>
        </is>
      </c>
      <c r="M1546" s="45" t="inlineStr">
        <is>
          <t>23602 (Entretien marine plaisance) ; 23610 (Mécanique navale)</t>
        </is>
      </c>
      <c r="N1546" s="50" t="inlineStr">
        <is>
          <t>NON</t>
        </is>
      </c>
      <c r="O1546" s="45" t="inlineStr"/>
    </row>
    <row r="1547" customFormat="1" s="3">
      <c r="A1547" s="45" t="n"/>
      <c r="B1547" s="46" t="inlineStr">
        <is>
          <t>23622</t>
        </is>
      </c>
      <c r="C1547" s="46">
        <f>LEFT(Tableau1[[#This Row],[Formacode]],3)</f>
        <v/>
      </c>
      <c r="D1547" s="47" t="n">
        <v>37698</v>
      </c>
      <c r="E1547" s="48">
        <f>"RNCP"&amp;D1547</f>
        <v/>
      </c>
      <c r="F1547" s="48" t="inlineStr">
        <is>
          <t>BAC PRO - Maintenance nautique</t>
        </is>
      </c>
      <c r="G1547" s="49">
        <f>E1547&amp;" - "&amp;F1547</f>
        <v/>
      </c>
      <c r="H1547" s="36" t="inlineStr">
        <is>
          <t>RAS</t>
        </is>
      </c>
      <c r="I1547" s="45" t="inlineStr"/>
      <c r="J1547" s="45" t="inlineStr">
        <is>
          <t>RNCP37698</t>
        </is>
      </c>
      <c r="K1547" s="45" t="inlineStr">
        <is>
          <t>Maintenance nautique</t>
        </is>
      </c>
      <c r="L1547" s="45" t="inlineStr">
        <is>
          <t>31/08/2028</t>
        </is>
      </c>
      <c r="M1547" s="45" t="inlineStr">
        <is>
          <t>23602 (Entretien marine plaisance)</t>
        </is>
      </c>
      <c r="N1547" s="50" t="inlineStr">
        <is>
          <t>NON</t>
        </is>
      </c>
      <c r="O1547" s="45" t="inlineStr"/>
    </row>
    <row r="1548" customFormat="1" s="3">
      <c r="A1548" s="45" t="n"/>
      <c r="B1548" s="46" t="inlineStr">
        <is>
          <t>23622</t>
        </is>
      </c>
      <c r="C1548" s="46">
        <f>LEFT(Tableau1[[#This Row],[Formacode]],3)</f>
        <v/>
      </c>
      <c r="D1548" s="47" t="n">
        <v>38366</v>
      </c>
      <c r="E1548" s="48">
        <f>"RNCP"&amp;D1548</f>
        <v/>
      </c>
      <c r="F1548" s="48" t="inlineStr">
        <is>
          <t>Brevet de technicien supérieur - Conception et industrialisation en construction navale</t>
        </is>
      </c>
      <c r="G1548" s="49">
        <f>E1548&amp;" - "&amp;F1548</f>
        <v/>
      </c>
      <c r="H1548" s="36" t="inlineStr">
        <is>
          <t>RAS</t>
        </is>
      </c>
      <c r="I1548" s="45" t="inlineStr"/>
      <c r="J1548" s="45" t="inlineStr">
        <is>
          <t>RNCP38366</t>
        </is>
      </c>
      <c r="K1548" s="45" t="inlineStr">
        <is>
          <t>Conception et industrialisation en construction navale</t>
        </is>
      </c>
      <c r="L1548" s="45" t="inlineStr">
        <is>
          <t>31/12/2028</t>
        </is>
      </c>
      <c r="M1548" s="45" t="inlineStr">
        <is>
          <t>23622 (Construction maintenance navale)</t>
        </is>
      </c>
      <c r="N1548" s="50" t="inlineStr">
        <is>
          <t>NON</t>
        </is>
      </c>
      <c r="O1548" s="45" t="inlineStr"/>
    </row>
    <row r="1549" customFormat="1" s="3">
      <c r="A1549" s="45" t="n"/>
      <c r="B1549" s="46" t="inlineStr">
        <is>
          <t>23622</t>
        </is>
      </c>
      <c r="C1549" s="46">
        <f>LEFT(Tableau1[[#This Row],[Formacode]],3)</f>
        <v/>
      </c>
      <c r="D1549" s="47" t="n">
        <v>38409</v>
      </c>
      <c r="E1549" s="48">
        <f>"RNCP"&amp;D1549</f>
        <v/>
      </c>
      <c r="F1549" s="48" t="inlineStr">
        <is>
          <t>CAP - Charpentier de marine</t>
        </is>
      </c>
      <c r="G1549" s="49">
        <f>E1549&amp;" - "&amp;F1549</f>
        <v/>
      </c>
      <c r="H1549" s="36" t="inlineStr">
        <is>
          <t>RAS</t>
        </is>
      </c>
      <c r="I1549" s="45" t="inlineStr"/>
      <c r="J1549" s="45" t="inlineStr">
        <is>
          <t>RNCP38409</t>
        </is>
      </c>
      <c r="K1549" s="45" t="inlineStr">
        <is>
          <t>Charpentier de marine</t>
        </is>
      </c>
      <c r="L1549" s="45" t="inlineStr">
        <is>
          <t>31/12/2028</t>
        </is>
      </c>
      <c r="M1549" s="45" t="inlineStr">
        <is>
          <t>23601 (Charpente marine) ; 22881 (Bois)</t>
        </is>
      </c>
      <c r="N1549" s="50" t="inlineStr">
        <is>
          <t>NON</t>
        </is>
      </c>
      <c r="O1549" s="45" t="inlineStr"/>
    </row>
    <row r="1550" customFormat="1" s="3">
      <c r="A1550" s="51" t="n"/>
      <c r="B1550" s="52" t="inlineStr">
        <is>
          <t>23622</t>
        </is>
      </c>
      <c r="C1550" s="52">
        <f>LEFT(Tableau1[[#This Row],[Formacode]],3)</f>
        <v/>
      </c>
      <c r="D1550" s="53" t="n">
        <v>38410</v>
      </c>
      <c r="E1550" s="54">
        <f>"RNCP"&amp;D1550</f>
        <v/>
      </c>
      <c r="F1550" s="54" t="inlineStr">
        <is>
          <t>BP - Charpentier de marine</t>
        </is>
      </c>
      <c r="G1550" s="55">
        <f>E1550&amp;" - "&amp;F1550</f>
        <v/>
      </c>
      <c r="H1550" s="37" t="inlineStr">
        <is>
          <t>À vérifier</t>
        </is>
      </c>
      <c r="I1550" s="51" t="inlineStr">
        <is>
          <t>Échéance le 31/12/2026 (dans 166 j)</t>
        </is>
      </c>
      <c r="J1550" s="51" t="inlineStr">
        <is>
          <t>RNCP38410</t>
        </is>
      </c>
      <c r="K1550" s="51" t="inlineStr">
        <is>
          <t>Charpentier de marine</t>
        </is>
      </c>
      <c r="L1550" s="51" t="inlineStr">
        <is>
          <t>31/12/2026</t>
        </is>
      </c>
      <c r="M1550" s="51" t="inlineStr">
        <is>
          <t>22881 (Bois) ; 23601 (Charpente marine)</t>
        </is>
      </c>
      <c r="N1550" s="62" t="inlineStr">
        <is>
          <t>NON</t>
        </is>
      </c>
      <c r="O1550" s="51" t="inlineStr"/>
    </row>
    <row r="1551" customFormat="1" s="3">
      <c r="A1551" s="45" t="n"/>
      <c r="B1551" s="46" t="inlineStr">
        <is>
          <t>23622</t>
        </is>
      </c>
      <c r="C1551" s="46">
        <f>LEFT(Tableau1[[#This Row],[Formacode]],3)</f>
        <v/>
      </c>
      <c r="D1551" s="47" t="n">
        <v>38804</v>
      </c>
      <c r="E1551" s="48">
        <f>"RNCP"&amp;D1551</f>
        <v/>
      </c>
      <c r="F1551" s="48" t="inlineStr">
        <is>
          <t>Mécanicien nautique</t>
        </is>
      </c>
      <c r="G1551" s="49">
        <f>E1551&amp;" - "&amp;F1551</f>
        <v/>
      </c>
      <c r="H1551" s="36" t="inlineStr">
        <is>
          <t>RAS</t>
        </is>
      </c>
      <c r="I1551" s="45" t="inlineStr"/>
      <c r="J1551" s="45" t="inlineStr">
        <is>
          <t>RNCP38804</t>
        </is>
      </c>
      <c r="K1551" s="45" t="inlineStr">
        <is>
          <t>Mécanicien nautique</t>
        </is>
      </c>
      <c r="L1551" s="45" t="inlineStr">
        <is>
          <t>27/03/2027</t>
        </is>
      </c>
      <c r="M1551" s="45" t="inlineStr">
        <is>
          <t>23610 (Mécanique navale)</t>
        </is>
      </c>
      <c r="N1551" s="50" t="inlineStr">
        <is>
          <t>NON</t>
        </is>
      </c>
      <c r="O1551" s="45" t="inlineStr"/>
    </row>
    <row r="1552" customFormat="1" s="3">
      <c r="A1552" s="45" t="n"/>
      <c r="B1552" s="46" t="inlineStr">
        <is>
          <t>23622</t>
        </is>
      </c>
      <c r="C1552" s="46">
        <f>LEFT(Tableau1[[#This Row],[Formacode]],3)</f>
        <v/>
      </c>
      <c r="D1552" s="47" t="n">
        <v>38805</v>
      </c>
      <c r="E1552" s="48">
        <f>"RNCP"&amp;D1552</f>
        <v/>
      </c>
      <c r="F1552" s="48" t="inlineStr">
        <is>
          <t>Technicien de maintenance et de réparation dans les industries nautiques</t>
        </is>
      </c>
      <c r="G1552" s="49">
        <f>E1552&amp;" - "&amp;F1552</f>
        <v/>
      </c>
      <c r="H1552" s="36" t="inlineStr">
        <is>
          <t>RAS</t>
        </is>
      </c>
      <c r="I1552" s="45" t="inlineStr"/>
      <c r="J1552" s="45" t="inlineStr">
        <is>
          <t>RNCP38805</t>
        </is>
      </c>
      <c r="K1552" s="45" t="inlineStr">
        <is>
          <t>Technicien de maintenance et de réparation dans les industries nautiques</t>
        </is>
      </c>
      <c r="L1552" s="45" t="inlineStr">
        <is>
          <t>27/03/2027</t>
        </is>
      </c>
      <c r="M1552" s="45" t="inlineStr">
        <is>
          <t>23602 (Entretien marine plaisance)</t>
        </is>
      </c>
      <c r="N1552" s="50" t="inlineStr">
        <is>
          <t>NON</t>
        </is>
      </c>
      <c r="O1552" s="45" t="inlineStr"/>
    </row>
    <row r="1553" customFormat="1" s="3">
      <c r="A1553" s="45" t="n"/>
      <c r="B1553" s="46" t="inlineStr">
        <is>
          <t>23622</t>
        </is>
      </c>
      <c r="C1553" s="46">
        <f>LEFT(Tableau1[[#This Row],[Formacode]],3)</f>
        <v/>
      </c>
      <c r="D1553" s="47" t="n">
        <v>39282</v>
      </c>
      <c r="E1553" s="48">
        <f>"RNCP"&amp;D1553</f>
        <v/>
      </c>
      <c r="F1553" s="48" t="inlineStr">
        <is>
          <t>TP - Constructeur aménageur nautique bois et composites</t>
        </is>
      </c>
      <c r="G1553" s="49">
        <f>E1553&amp;" - "&amp;F1553</f>
        <v/>
      </c>
      <c r="H1553" s="36" t="inlineStr">
        <is>
          <t>RAS</t>
        </is>
      </c>
      <c r="I1553" s="45" t="inlineStr"/>
      <c r="J1553" s="45" t="inlineStr">
        <is>
          <t>RNCP39282</t>
        </is>
      </c>
      <c r="K1553" s="45" t="inlineStr">
        <is>
          <t>Constructeur aménageur nautique bois et composites</t>
        </is>
      </c>
      <c r="L1553" s="45" t="inlineStr">
        <is>
          <t>08/10/2029</t>
        </is>
      </c>
      <c r="M1553" s="45" t="inlineStr">
        <is>
          <t>23622 (Construction maintenance navale) ; 22881 (Bois) ; 22871 (Matériau composite)</t>
        </is>
      </c>
      <c r="N1553" s="50" t="inlineStr">
        <is>
          <t>NON</t>
        </is>
      </c>
      <c r="O1553" s="45" t="inlineStr"/>
    </row>
    <row r="1554" customFormat="1" s="3">
      <c r="A1554" s="51" t="n"/>
      <c r="B1554" s="52" t="inlineStr">
        <is>
          <t>23622</t>
        </is>
      </c>
      <c r="C1554" s="52">
        <f>LEFT(Tableau1[[#This Row],[Formacode]],3)</f>
        <v/>
      </c>
      <c r="D1554" s="53" t="n">
        <v>39584</v>
      </c>
      <c r="E1554" s="54">
        <f>"RNCP"&amp;D1554</f>
        <v/>
      </c>
      <c r="F1554" s="54" t="inlineStr">
        <is>
          <t>Expert maritime et fluvial</t>
        </is>
      </c>
      <c r="G1554" s="55">
        <f>E1554&amp;" - "&amp;F1554</f>
        <v/>
      </c>
      <c r="H1554" s="37" t="inlineStr">
        <is>
          <t>À vérifier</t>
        </is>
      </c>
      <c r="I1554" s="51" t="inlineStr">
        <is>
          <t>Successeur déjà publié : RNCP42207 (Expert dans le domaine des constructions flottantes option maritime ou fluvial) — préparer la bascule de l'offre CPF | Échéance le 01/10/2026 (dans 75 j)</t>
        </is>
      </c>
      <c r="J1554" s="51" t="inlineStr">
        <is>
          <t>RNCP42207</t>
        </is>
      </c>
      <c r="K1554" s="51" t="inlineStr">
        <is>
          <t>Expert dans le domaine des constructions flottantes option maritime ou fluvial</t>
        </is>
      </c>
      <c r="L1554" s="51" t="inlineStr">
        <is>
          <t>01/10/2026</t>
        </is>
      </c>
      <c r="M1554" s="51" t="inlineStr">
        <is>
          <t>23610 (Mécanique navale) ; 31872 (Transport maritime) ; 31850 (Transport fluvial)</t>
        </is>
      </c>
      <c r="N1554" s="62" t="inlineStr">
        <is>
          <t>NON</t>
        </is>
      </c>
      <c r="O1554" s="51" t="inlineStr"/>
    </row>
    <row r="1555" customFormat="1" s="3">
      <c r="A1555" s="45" t="n"/>
      <c r="B1555" s="46" t="inlineStr">
        <is>
          <t>23622</t>
        </is>
      </c>
      <c r="C1555" s="46">
        <f>LEFT(Tableau1[[#This Row],[Formacode]],3)</f>
        <v/>
      </c>
      <c r="D1555" s="47" t="n">
        <v>39840</v>
      </c>
      <c r="E1555" s="48">
        <f>"RNCP"&amp;D1555</f>
        <v/>
      </c>
      <c r="F1555" s="48" t="inlineStr">
        <is>
          <t>CQP Mécanicien en réparation navale</t>
        </is>
      </c>
      <c r="G1555" s="49">
        <f>E1555&amp;" - "&amp;F1555</f>
        <v/>
      </c>
      <c r="H1555" s="36" t="inlineStr">
        <is>
          <t>RAS</t>
        </is>
      </c>
      <c r="I1555" s="45" t="inlineStr"/>
      <c r="J1555" s="45" t="inlineStr">
        <is>
          <t>RNCP39840</t>
        </is>
      </c>
      <c r="K1555" s="45" t="inlineStr">
        <is>
          <t>CQP Mécanicien en réparation navale</t>
        </is>
      </c>
      <c r="L1555" s="45" t="inlineStr">
        <is>
          <t>28/11/2029</t>
        </is>
      </c>
      <c r="M1555" s="45" t="inlineStr">
        <is>
          <t>23610 (Mécanique navale) ; 23602 (Entretien marine plaisance)</t>
        </is>
      </c>
      <c r="N1555" s="50" t="inlineStr">
        <is>
          <t>NON</t>
        </is>
      </c>
      <c r="O1555" s="45" t="inlineStr"/>
    </row>
    <row r="1556" customFormat="1" s="3">
      <c r="A1556" s="45" t="n"/>
      <c r="B1556" s="46" t="inlineStr">
        <is>
          <t>23622</t>
        </is>
      </c>
      <c r="C1556" s="46">
        <f>LEFT(Tableau1[[#This Row],[Formacode]],3)</f>
        <v/>
      </c>
      <c r="D1556" s="47" t="n">
        <v>39883</v>
      </c>
      <c r="E1556" s="48">
        <f>"RNCP"&amp;D1556</f>
        <v/>
      </c>
      <c r="F1556" s="48" t="inlineStr">
        <is>
          <t>CQP Chaudronnier naval - coques et structures métalliques</t>
        </is>
      </c>
      <c r="G1556" s="49">
        <f>E1556&amp;" - "&amp;F1556</f>
        <v/>
      </c>
      <c r="H1556" s="36" t="inlineStr">
        <is>
          <t>RAS</t>
        </is>
      </c>
      <c r="I1556" s="45" t="inlineStr"/>
      <c r="J1556" s="45" t="inlineStr">
        <is>
          <t>RNCP39883</t>
        </is>
      </c>
      <c r="K1556" s="45" t="inlineStr">
        <is>
          <t>CQP Chaudronnier naval - coques et structures métalliques</t>
        </is>
      </c>
      <c r="L1556" s="45" t="inlineStr">
        <is>
          <t>28/11/2029</t>
        </is>
      </c>
      <c r="M1556" s="45" t="inlineStr">
        <is>
          <t>23083 (Chaudronnerie) ; 23622 (Construction maintenance navale)</t>
        </is>
      </c>
      <c r="N1556" s="50" t="inlineStr">
        <is>
          <t>NON</t>
        </is>
      </c>
      <c r="O1556" s="45" t="inlineStr"/>
    </row>
    <row r="1557" customFormat="1" s="3">
      <c r="A1557" s="45" t="n"/>
      <c r="B1557" s="46" t="inlineStr">
        <is>
          <t>23622</t>
        </is>
      </c>
      <c r="C1557" s="46">
        <f>LEFT(Tableau1[[#This Row],[Formacode]],3)</f>
        <v/>
      </c>
      <c r="D1557" s="47" t="n">
        <v>41464</v>
      </c>
      <c r="E1557" s="48">
        <f>"RNCP"&amp;D1557</f>
        <v/>
      </c>
      <c r="F1557" s="48" t="inlineStr">
        <is>
          <t>Technicien-vendeur cycles</t>
        </is>
      </c>
      <c r="G1557" s="49">
        <f>E1557&amp;" - "&amp;F1557</f>
        <v/>
      </c>
      <c r="H1557" s="36" t="inlineStr">
        <is>
          <t>RAS</t>
        </is>
      </c>
      <c r="I1557" s="45" t="inlineStr"/>
      <c r="J1557" s="45" t="inlineStr">
        <is>
          <t>RNCP41464</t>
        </is>
      </c>
      <c r="K1557" s="45" t="inlineStr">
        <is>
          <t>Technicien-vendeur cycles</t>
        </is>
      </c>
      <c r="L1557" s="45" t="inlineStr">
        <is>
          <t>27/10/2030</t>
        </is>
      </c>
      <c r="M1557" s="45" t="inlineStr">
        <is>
          <t>34554 (Commerce) ; 23654 (Mécanique construction réparation)</t>
        </is>
      </c>
      <c r="N1557" s="50" t="inlineStr">
        <is>
          <t>NON</t>
        </is>
      </c>
      <c r="O1557" s="45" t="inlineStr"/>
    </row>
    <row r="1558" customFormat="1" s="3">
      <c r="A1558" s="51" t="n"/>
      <c r="B1558" s="52" t="inlineStr">
        <is>
          <t>23624</t>
        </is>
      </c>
      <c r="C1558" s="52">
        <f>LEFT(Tableau1[[#This Row],[Formacode]],3)</f>
        <v/>
      </c>
      <c r="D1558" s="53" t="n">
        <v>36332</v>
      </c>
      <c r="E1558" s="54">
        <f>"RNCP"&amp;D1558</f>
        <v/>
      </c>
      <c r="F1558" s="54" t="inlineStr">
        <is>
          <t>CS - Maintenance des installations oléohydrauliques et pneumatiques</t>
        </is>
      </c>
      <c r="G1558" s="55">
        <f>E1558&amp;" - "&amp;F1558</f>
        <v/>
      </c>
      <c r="H1558" s="37" t="inlineStr">
        <is>
          <t>À vérifier</t>
        </is>
      </c>
      <c r="I1558" s="51" t="inlineStr">
        <is>
          <t>Successeur déjà publié : RNCP42136 (Maintenance des installations oléohydrauliques et pneumatiques) — préparer la bascule de l'offre CPF | Échéance le 31/08/2026 (dans 44 j)</t>
        </is>
      </c>
      <c r="J1558" s="51" t="inlineStr">
        <is>
          <t>RNCP42136</t>
        </is>
      </c>
      <c r="K1558" s="51" t="inlineStr">
        <is>
          <t>Maintenance des installations oléohydrauliques et pneumatiques</t>
        </is>
      </c>
      <c r="L1558" s="51" t="inlineStr">
        <is>
          <t>31/08/2026</t>
        </is>
      </c>
      <c r="M1558" s="51" t="inlineStr">
        <is>
          <t>23570 (Oléohydraulique) ; 23523 (Pneumatique) ; 24447 (Automatisme hydraulique) ; 24457 (Automatisme pneumatique) ; 23654 (Mécanique construction réparation)</t>
        </is>
      </c>
      <c r="N1558" s="62" t="inlineStr">
        <is>
          <t>NON</t>
        </is>
      </c>
      <c r="O1558" s="51" t="inlineStr"/>
    </row>
    <row r="1559" customFormat="1" s="3">
      <c r="A1559" s="45" t="n"/>
      <c r="B1559" s="46" t="inlineStr">
        <is>
          <t>23624</t>
        </is>
      </c>
      <c r="C1559" s="46">
        <f>LEFT(Tableau1[[#This Row],[Formacode]],3)</f>
        <v/>
      </c>
      <c r="D1559" s="47" t="n">
        <v>37928</v>
      </c>
      <c r="E1559" s="48">
        <f>"RNCP"&amp;D1559</f>
        <v/>
      </c>
      <c r="F1559" s="48" t="inlineStr">
        <is>
          <t>BAC PRO - Aéronautique options Avionique,  Structure, Systèmes</t>
        </is>
      </c>
      <c r="G1559" s="49">
        <f>E1559&amp;" - "&amp;F1559</f>
        <v/>
      </c>
      <c r="H1559" s="36" t="inlineStr">
        <is>
          <t>RAS</t>
        </is>
      </c>
      <c r="I1559" s="45" t="inlineStr"/>
      <c r="J1559" s="45" t="inlineStr">
        <is>
          <t>RNCP37928</t>
        </is>
      </c>
      <c r="K1559" s="45" t="inlineStr">
        <is>
          <t>Aéronautique options Avionique, Structure, Systèmes</t>
        </is>
      </c>
      <c r="L1559" s="45" t="inlineStr">
        <is>
          <t>31/08/2028</t>
        </is>
      </c>
      <c r="M1559" s="45" t="inlineStr">
        <is>
          <t>23624 (Construction aérospatiale) ; 23613 (Construction aéronautique) ; 24346 (Électronique embarquée)</t>
        </is>
      </c>
      <c r="N1559" s="50" t="inlineStr">
        <is>
          <t>NON</t>
        </is>
      </c>
      <c r="O1559" s="45" t="inlineStr"/>
    </row>
    <row r="1560" customFormat="1" s="3">
      <c r="A1560" s="45" t="n"/>
      <c r="B1560" s="46" t="inlineStr">
        <is>
          <t>23624</t>
        </is>
      </c>
      <c r="C1560" s="46">
        <f>LEFT(Tableau1[[#This Row],[Formacode]],3)</f>
        <v/>
      </c>
      <c r="D1560" s="47" t="n">
        <v>41464</v>
      </c>
      <c r="E1560" s="48">
        <f>"RNCP"&amp;D1560</f>
        <v/>
      </c>
      <c r="F1560" s="48" t="inlineStr">
        <is>
          <t>Technicien-vendeur cycles</t>
        </is>
      </c>
      <c r="G1560" s="49">
        <f>E1560&amp;" - "&amp;F1560</f>
        <v/>
      </c>
      <c r="H1560" s="36" t="inlineStr">
        <is>
          <t>RAS</t>
        </is>
      </c>
      <c r="I1560" s="45" t="inlineStr"/>
      <c r="J1560" s="45" t="inlineStr">
        <is>
          <t>RNCP41464</t>
        </is>
      </c>
      <c r="K1560" s="45" t="inlineStr">
        <is>
          <t>Technicien-vendeur cycles</t>
        </is>
      </c>
      <c r="L1560" s="45" t="inlineStr">
        <is>
          <t>27/10/2030</t>
        </is>
      </c>
      <c r="M1560" s="45" t="inlineStr">
        <is>
          <t>34554 (Commerce) ; 23654 (Mécanique construction réparation)</t>
        </is>
      </c>
      <c r="N1560" s="50" t="inlineStr">
        <is>
          <t>NON</t>
        </is>
      </c>
      <c r="O1560" s="45" t="inlineStr"/>
    </row>
    <row r="1561" customFormat="1" s="3">
      <c r="A1561" s="51" t="n"/>
      <c r="B1561" s="52" t="inlineStr">
        <is>
          <t>23635</t>
        </is>
      </c>
      <c r="C1561" s="52">
        <f>LEFT(Tableau1[[#This Row],[Formacode]],3)</f>
        <v/>
      </c>
      <c r="D1561" s="53" t="n">
        <v>36332</v>
      </c>
      <c r="E1561" s="54">
        <f>"RNCP"&amp;D1561</f>
        <v/>
      </c>
      <c r="F1561" s="54" t="inlineStr">
        <is>
          <t>CS - Maintenance des installations oléohydrauliques et pneumatiques</t>
        </is>
      </c>
      <c r="G1561" s="55">
        <f>E1561&amp;" - "&amp;F1561</f>
        <v/>
      </c>
      <c r="H1561" s="37" t="inlineStr">
        <is>
          <t>À vérifier</t>
        </is>
      </c>
      <c r="I1561" s="51" t="inlineStr">
        <is>
          <t>Successeur déjà publié : RNCP42136 (Maintenance des installations oléohydrauliques et pneumatiques) — préparer la bascule de l'offre CPF | Échéance le 31/08/2026 (dans 44 j)</t>
        </is>
      </c>
      <c r="J1561" s="51" t="inlineStr">
        <is>
          <t>RNCP42136</t>
        </is>
      </c>
      <c r="K1561" s="51" t="inlineStr">
        <is>
          <t>Maintenance des installations oléohydrauliques et pneumatiques</t>
        </is>
      </c>
      <c r="L1561" s="51" t="inlineStr">
        <is>
          <t>31/08/2026</t>
        </is>
      </c>
      <c r="M1561" s="51" t="inlineStr">
        <is>
          <t>23570 (Oléohydraulique) ; 23523 (Pneumatique) ; 24447 (Automatisme hydraulique) ; 24457 (Automatisme pneumatique) ; 23654 (Mécanique construction réparation)</t>
        </is>
      </c>
      <c r="N1561" s="62" t="inlineStr">
        <is>
          <t>NON</t>
        </is>
      </c>
      <c r="O1561" s="51" t="inlineStr"/>
    </row>
    <row r="1562" customFormat="1" s="3">
      <c r="A1562" s="45" t="n"/>
      <c r="B1562" s="46" t="inlineStr">
        <is>
          <t>23635</t>
        </is>
      </c>
      <c r="C1562" s="46">
        <f>LEFT(Tableau1[[#This Row],[Formacode]],3)</f>
        <v/>
      </c>
      <c r="D1562" s="47" t="n">
        <v>36721</v>
      </c>
      <c r="E1562" s="48">
        <f>"RNCP"&amp;D1562</f>
        <v/>
      </c>
      <c r="F1562" s="48" t="inlineStr">
        <is>
          <t>Conseiller technique cycles</t>
        </is>
      </c>
      <c r="G1562" s="49">
        <f>E1562&amp;" - "&amp;F1562</f>
        <v/>
      </c>
      <c r="H1562" s="36" t="inlineStr">
        <is>
          <t>RAS</t>
        </is>
      </c>
      <c r="I1562" s="45" t="inlineStr"/>
      <c r="J1562" s="45" t="inlineStr">
        <is>
          <t>RNCP36721</t>
        </is>
      </c>
      <c r="K1562" s="45" t="inlineStr">
        <is>
          <t>Conseiller technique cycles</t>
        </is>
      </c>
      <c r="L1562" s="45" t="inlineStr">
        <is>
          <t>20/07/2027</t>
        </is>
      </c>
      <c r="M1562" s="45" t="inlineStr">
        <is>
          <t>23635 (Mécanique cycle motocycle)</t>
        </is>
      </c>
      <c r="N1562" s="50" t="inlineStr">
        <is>
          <t>NON</t>
        </is>
      </c>
      <c r="O1562" s="45" t="inlineStr"/>
    </row>
    <row r="1563" customFormat="1" s="3">
      <c r="A1563" s="45" t="n"/>
      <c r="B1563" s="46" t="inlineStr">
        <is>
          <t>23635</t>
        </is>
      </c>
      <c r="C1563" s="46">
        <f>LEFT(Tableau1[[#This Row],[Formacode]],3)</f>
        <v/>
      </c>
      <c r="D1563" s="47" t="n">
        <v>37007</v>
      </c>
      <c r="E1563" s="48">
        <f>"RNCP"&amp;D1563</f>
        <v/>
      </c>
      <c r="F1563" s="48" t="inlineStr">
        <is>
          <t>Mécanicien cycles</t>
        </is>
      </c>
      <c r="G1563" s="49">
        <f>E1563&amp;" - "&amp;F1563</f>
        <v/>
      </c>
      <c r="H1563" s="36" t="inlineStr">
        <is>
          <t>RAS</t>
        </is>
      </c>
      <c r="I1563" s="45" t="inlineStr"/>
      <c r="J1563" s="45" t="inlineStr">
        <is>
          <t>RNCP37007</t>
        </is>
      </c>
      <c r="K1563" s="45" t="inlineStr">
        <is>
          <t>Mécanicien cycles</t>
        </is>
      </c>
      <c r="L1563" s="45" t="inlineStr">
        <is>
          <t>24/10/2027</t>
        </is>
      </c>
      <c r="M1563" s="45" t="inlineStr">
        <is>
          <t>23635 (Mécanique cycle motocycle)</t>
        </is>
      </c>
      <c r="N1563" s="50" t="inlineStr">
        <is>
          <t>NON</t>
        </is>
      </c>
      <c r="O1563" s="45" t="inlineStr"/>
    </row>
    <row r="1564" ht="28.8" customFormat="1" customHeight="1" s="3">
      <c r="A1564" s="51" t="n"/>
      <c r="B1564" s="52" t="inlineStr">
        <is>
          <t>23635</t>
        </is>
      </c>
      <c r="C1564" s="52">
        <f>LEFT(Tableau1[[#This Row],[Formacode]],3)</f>
        <v/>
      </c>
      <c r="D1564" s="53" t="n">
        <v>38367</v>
      </c>
      <c r="E1564" s="54">
        <f>"RNCP"&amp;D1564</f>
        <v/>
      </c>
      <c r="F1564" s="54" t="inlineStr">
        <is>
          <t>BTS - Maintenance des véhicules (Option A : Voitures particulières, Option B : Véhicules de transport routier, Option C : Motocycles)</t>
        </is>
      </c>
      <c r="G1564" s="55">
        <f>E1564&amp;" - "&amp;F1564</f>
        <v/>
      </c>
      <c r="H1564" s="37" t="inlineStr">
        <is>
          <t>À vérifier</t>
        </is>
      </c>
      <c r="I1564" s="51" t="inlineStr">
        <is>
          <t>Successeur déjà publié : RNCP41864 (Maintenance des véhicules – options : véhicules légers, véhicules de transport routier et motocycles) — préparer la bascule de l'offre CPF | Échéance le 31/12/2026 (dans 166 j)</t>
        </is>
      </c>
      <c r="J1564" s="51" t="inlineStr">
        <is>
          <t>RNCP41864</t>
        </is>
      </c>
      <c r="K1564" s="51" t="inlineStr">
        <is>
          <t>Maintenance des véhicules – options : véhicules légers, véhicules de transport routier et motocycles</t>
        </is>
      </c>
      <c r="L1564" s="51" t="inlineStr">
        <is>
          <t>31/12/2026</t>
        </is>
      </c>
      <c r="M1564" s="51" t="inlineStr">
        <is>
          <t>23635 (Mécanique cycle motocycle) ; 23615 (Réparation véhicule industriel) ; 23637 (Mécanique automobile)</t>
        </is>
      </c>
      <c r="N1564" s="62" t="inlineStr">
        <is>
          <t>NON</t>
        </is>
      </c>
      <c r="O1564" s="51" t="inlineStr"/>
    </row>
    <row r="1565" customFormat="1" s="3">
      <c r="A1565" s="45" t="n"/>
      <c r="B1565" s="46" t="inlineStr">
        <is>
          <t>23635</t>
        </is>
      </c>
      <c r="C1565" s="46">
        <f>LEFT(Tableau1[[#This Row],[Formacode]],3)</f>
        <v/>
      </c>
      <c r="D1565" s="47" t="n">
        <v>39538</v>
      </c>
      <c r="E1565" s="48">
        <f>"RNCP"&amp;D1565</f>
        <v/>
      </c>
      <c r="F1565" s="48" t="inlineStr">
        <is>
          <t>TP - Mécanicien réparateur de motocycles</t>
        </is>
      </c>
      <c r="G1565" s="49">
        <f>E1565&amp;" - "&amp;F1565</f>
        <v/>
      </c>
      <c r="H1565" s="36" t="inlineStr">
        <is>
          <t>RAS</t>
        </is>
      </c>
      <c r="I1565" s="45" t="inlineStr"/>
      <c r="J1565" s="45" t="inlineStr">
        <is>
          <t>RNCP39538</t>
        </is>
      </c>
      <c r="K1565" s="45" t="inlineStr">
        <is>
          <t>Mécanicien réparateur de motocycles</t>
        </is>
      </c>
      <c r="L1565" s="45" t="inlineStr">
        <is>
          <t>24/11/2029</t>
        </is>
      </c>
      <c r="M1565" s="45" t="inlineStr">
        <is>
          <t>23635 (Mécanique cycle motocycle)</t>
        </is>
      </c>
      <c r="N1565" s="50" t="inlineStr">
        <is>
          <t>NON</t>
        </is>
      </c>
      <c r="O1565" s="45" t="inlineStr"/>
    </row>
    <row r="1566" customFormat="1" s="3">
      <c r="A1566" s="45" t="n"/>
      <c r="B1566" s="46" t="inlineStr">
        <is>
          <t>23635</t>
        </is>
      </c>
      <c r="C1566" s="46">
        <f>LEFT(Tableau1[[#This Row],[Formacode]],3)</f>
        <v/>
      </c>
      <c r="D1566" s="47" t="n">
        <v>40854</v>
      </c>
      <c r="E1566" s="48">
        <f>"RNCP"&amp;D1566</f>
        <v/>
      </c>
      <c r="F1566" s="48" t="inlineStr">
        <is>
          <t>Technicien expert après-vente motocycles</t>
        </is>
      </c>
      <c r="G1566" s="49">
        <f>E1566&amp;" - "&amp;F1566</f>
        <v/>
      </c>
      <c r="H1566" s="36" t="inlineStr">
        <is>
          <t>RAS</t>
        </is>
      </c>
      <c r="I1566" s="45" t="inlineStr"/>
      <c r="J1566" s="45" t="inlineStr">
        <is>
          <t>RNCP40854</t>
        </is>
      </c>
      <c r="K1566" s="45" t="inlineStr">
        <is>
          <t>Technicien expert après-vente motocycles</t>
        </is>
      </c>
      <c r="L1566" s="45" t="inlineStr">
        <is>
          <t>25/06/2030</t>
        </is>
      </c>
      <c r="M1566" s="45" t="inlineStr">
        <is>
          <t>23635 (Mécanique cycle motocycle) ; 34027 (Service après-vente)</t>
        </is>
      </c>
      <c r="N1566" s="50" t="inlineStr">
        <is>
          <t>NON</t>
        </is>
      </c>
      <c r="O1566" s="45" t="inlineStr"/>
    </row>
    <row r="1567" ht="28.8" customFormat="1" customHeight="1" s="3">
      <c r="A1567" s="45" t="n"/>
      <c r="B1567" s="46" t="inlineStr">
        <is>
          <t>23635</t>
        </is>
      </c>
      <c r="C1567" s="46">
        <f>LEFT(Tableau1[[#This Row],[Formacode]],3)</f>
        <v/>
      </c>
      <c r="D1567" s="47" t="n">
        <v>40996</v>
      </c>
      <c r="E1567" s="48">
        <f>"RNCP"&amp;D1567</f>
        <v/>
      </c>
      <c r="F1567" s="48" t="inlineStr">
        <is>
          <t>BAC PRO - Maintenance des véhicules : Option : véhicules légers Option : véhicules de transport routier Option : motocycles</t>
        </is>
      </c>
      <c r="G1567" s="49">
        <f>E1567&amp;" - "&amp;F1567</f>
        <v/>
      </c>
      <c r="H1567" s="36" t="inlineStr">
        <is>
          <t>RAS</t>
        </is>
      </c>
      <c r="I1567" s="45" t="inlineStr"/>
      <c r="J1567" s="45" t="inlineStr">
        <is>
          <t>RNCP40996</t>
        </is>
      </c>
      <c r="K1567" s="45" t="inlineStr">
        <is>
          <t>Maintenance des véhicules : Option : véhicules légers Option : véhicules de transport routier Option : motocycles</t>
        </is>
      </c>
      <c r="L1567" s="45" t="inlineStr">
        <is>
          <t>31/08/2030</t>
        </is>
      </c>
      <c r="M1567" s="45" t="inlineStr">
        <is>
          <t>23637 (Mécanique automobile) ; 23615 (Réparation véhicule industriel) ; 23635 (Mécanique cycle motocycle)</t>
        </is>
      </c>
      <c r="N1567" s="50" t="inlineStr">
        <is>
          <t>NON</t>
        </is>
      </c>
      <c r="O1567" s="45" t="inlineStr"/>
    </row>
    <row r="1568" ht="28.8" customFormat="1" customHeight="1" s="3">
      <c r="A1568" s="45" t="n"/>
      <c r="B1568" s="46" t="inlineStr">
        <is>
          <t>23635</t>
        </is>
      </c>
      <c r="C1568" s="46">
        <f>LEFT(Tableau1[[#This Row],[Formacode]],3)</f>
        <v/>
      </c>
      <c r="D1568" s="47" t="n">
        <v>40997</v>
      </c>
      <c r="E1568" s="48">
        <f>"RNCP"&amp;D1568</f>
        <v/>
      </c>
      <c r="F1568" s="48" t="inlineStr">
        <is>
          <t>CAP - Maintenance des véhicules - Options : véhicules légers, véhicules de transport routier, motocycles</t>
        </is>
      </c>
      <c r="G1568" s="49">
        <f>E1568&amp;" - "&amp;F1568</f>
        <v/>
      </c>
      <c r="H1568" s="36" t="inlineStr">
        <is>
          <t>RAS</t>
        </is>
      </c>
      <c r="I1568" s="45" t="inlineStr"/>
      <c r="J1568" s="45" t="inlineStr">
        <is>
          <t>RNCP40997</t>
        </is>
      </c>
      <c r="K1568" s="45" t="inlineStr">
        <is>
          <t>Maintenance des véhicules - Options : véhicules légers, véhicules de transport routier, motocycles</t>
        </is>
      </c>
      <c r="L1568" s="45" t="inlineStr">
        <is>
          <t>31/08/2030</t>
        </is>
      </c>
      <c r="M1568" s="45" t="inlineStr">
        <is>
          <t>23637 (Mécanique automobile) ; 23615 (Réparation véhicule industriel) ; 23635 (Mécanique cycle motocycle)</t>
        </is>
      </c>
      <c r="N1568" s="50" t="inlineStr">
        <is>
          <t>NON</t>
        </is>
      </c>
      <c r="O1568" s="45" t="inlineStr"/>
    </row>
    <row r="1569" customFormat="1" s="3">
      <c r="A1569" s="45" t="n"/>
      <c r="B1569" s="46" t="inlineStr">
        <is>
          <t>23635</t>
        </is>
      </c>
      <c r="C1569" s="46">
        <f>LEFT(Tableau1[[#This Row],[Formacode]],3)</f>
        <v/>
      </c>
      <c r="D1569" s="47" t="n">
        <v>41464</v>
      </c>
      <c r="E1569" s="48">
        <f>"RNCP"&amp;D1569</f>
        <v/>
      </c>
      <c r="F1569" s="48" t="inlineStr">
        <is>
          <t>Technicien-vendeur cycles</t>
        </is>
      </c>
      <c r="G1569" s="49">
        <f>E1569&amp;" - "&amp;F1569</f>
        <v/>
      </c>
      <c r="H1569" s="36" t="inlineStr">
        <is>
          <t>RAS</t>
        </is>
      </c>
      <c r="I1569" s="45" t="inlineStr"/>
      <c r="J1569" s="45" t="inlineStr">
        <is>
          <t>RNCP41464</t>
        </is>
      </c>
      <c r="K1569" s="45" t="inlineStr">
        <is>
          <t>Technicien-vendeur cycles</t>
        </is>
      </c>
      <c r="L1569" s="45" t="inlineStr">
        <is>
          <t>27/10/2030</t>
        </is>
      </c>
      <c r="M1569" s="45" t="inlineStr">
        <is>
          <t>34554 (Commerce) ; 23654 (Mécanique construction réparation)</t>
        </is>
      </c>
      <c r="N1569" s="50" t="inlineStr">
        <is>
          <t>NON</t>
        </is>
      </c>
      <c r="O1569" s="45" t="inlineStr"/>
    </row>
    <row r="1570" customFormat="1" s="3">
      <c r="A1570" s="51" t="n"/>
      <c r="B1570" s="52" t="inlineStr">
        <is>
          <t>23641</t>
        </is>
      </c>
      <c r="C1570" s="52">
        <f>LEFT(Tableau1[[#This Row],[Formacode]],3)</f>
        <v/>
      </c>
      <c r="D1570" s="53" t="n">
        <v>36332</v>
      </c>
      <c r="E1570" s="54">
        <f>"RNCP"&amp;D1570</f>
        <v/>
      </c>
      <c r="F1570" s="54" t="inlineStr">
        <is>
          <t>CS - Maintenance des installations oléohydrauliques et pneumatiques</t>
        </is>
      </c>
      <c r="G1570" s="55">
        <f>E1570&amp;" - "&amp;F1570</f>
        <v/>
      </c>
      <c r="H1570" s="37" t="inlineStr">
        <is>
          <t>À vérifier</t>
        </is>
      </c>
      <c r="I1570" s="51" t="inlineStr">
        <is>
          <t>Successeur déjà publié : RNCP42136 (Maintenance des installations oléohydrauliques et pneumatiques) — préparer la bascule de l'offre CPF | Échéance le 31/08/2026 (dans 44 j)</t>
        </is>
      </c>
      <c r="J1570" s="51" t="inlineStr">
        <is>
          <t>RNCP42136</t>
        </is>
      </c>
      <c r="K1570" s="51" t="inlineStr">
        <is>
          <t>Maintenance des installations oléohydrauliques et pneumatiques</t>
        </is>
      </c>
      <c r="L1570" s="51" t="inlineStr">
        <is>
          <t>31/08/2026</t>
        </is>
      </c>
      <c r="M1570" s="51" t="inlineStr">
        <is>
          <t>23570 (Oléohydraulique) ; 23523 (Pneumatique) ; 24447 (Automatisme hydraulique) ; 24457 (Automatisme pneumatique) ; 23654 (Mécanique construction réparation)</t>
        </is>
      </c>
      <c r="N1570" s="62" t="inlineStr">
        <is>
          <t>NON</t>
        </is>
      </c>
      <c r="O1570" s="51" t="inlineStr"/>
    </row>
    <row r="1571" customFormat="1" s="3">
      <c r="A1571" s="45" t="n"/>
      <c r="B1571" s="46" t="inlineStr">
        <is>
          <t>23641</t>
        </is>
      </c>
      <c r="C1571" s="46">
        <f>LEFT(Tableau1[[#This Row],[Formacode]],3)</f>
        <v/>
      </c>
      <c r="D1571" s="47" t="n">
        <v>41464</v>
      </c>
      <c r="E1571" s="48">
        <f>"RNCP"&amp;D1571</f>
        <v/>
      </c>
      <c r="F1571" s="48" t="inlineStr">
        <is>
          <t>Technicien-vendeur cycles</t>
        </is>
      </c>
      <c r="G1571" s="49">
        <f>E1571&amp;" - "&amp;F1571</f>
        <v/>
      </c>
      <c r="H1571" s="36" t="inlineStr">
        <is>
          <t>RAS</t>
        </is>
      </c>
      <c r="I1571" s="45" t="inlineStr"/>
      <c r="J1571" s="45" t="inlineStr">
        <is>
          <t>RNCP41464</t>
        </is>
      </c>
      <c r="K1571" s="45" t="inlineStr">
        <is>
          <t>Technicien-vendeur cycles</t>
        </is>
      </c>
      <c r="L1571" s="45" t="inlineStr">
        <is>
          <t>27/10/2030</t>
        </is>
      </c>
      <c r="M1571" s="45" t="inlineStr">
        <is>
          <t>34554 (Commerce) ; 23654 (Mécanique construction réparation)</t>
        </is>
      </c>
      <c r="N1571" s="50" t="inlineStr">
        <is>
          <t>NON</t>
        </is>
      </c>
      <c r="O1571" s="45" t="inlineStr"/>
    </row>
    <row r="1572" customFormat="1" s="3">
      <c r="A1572" s="51" t="n"/>
      <c r="B1572" s="52" t="inlineStr">
        <is>
          <t>23642</t>
        </is>
      </c>
      <c r="C1572" s="52">
        <f>LEFT(Tableau1[[#This Row],[Formacode]],3)</f>
        <v/>
      </c>
      <c r="D1572" s="53" t="n">
        <v>36332</v>
      </c>
      <c r="E1572" s="54">
        <f>"RNCP"&amp;D1572</f>
        <v/>
      </c>
      <c r="F1572" s="54" t="inlineStr">
        <is>
          <t>CS - Maintenance des installations oléohydrauliques et pneumatiques</t>
        </is>
      </c>
      <c r="G1572" s="55">
        <f>E1572&amp;" - "&amp;F1572</f>
        <v/>
      </c>
      <c r="H1572" s="37" t="inlineStr">
        <is>
          <t>À vérifier</t>
        </is>
      </c>
      <c r="I1572" s="51" t="inlineStr">
        <is>
          <t>Successeur déjà publié : RNCP42136 (Maintenance des installations oléohydrauliques et pneumatiques) — préparer la bascule de l'offre CPF | Échéance le 31/08/2026 (dans 44 j)</t>
        </is>
      </c>
      <c r="J1572" s="51" t="inlineStr">
        <is>
          <t>RNCP42136</t>
        </is>
      </c>
      <c r="K1572" s="51" t="inlineStr">
        <is>
          <t>Maintenance des installations oléohydrauliques et pneumatiques</t>
        </is>
      </c>
      <c r="L1572" s="51" t="inlineStr">
        <is>
          <t>31/08/2026</t>
        </is>
      </c>
      <c r="M1572" s="51" t="inlineStr">
        <is>
          <t>23570 (Oléohydraulique) ; 23523 (Pneumatique) ; 24447 (Automatisme hydraulique) ; 24457 (Automatisme pneumatique) ; 23654 (Mécanique construction réparation)</t>
        </is>
      </c>
      <c r="N1572" s="62" t="inlineStr">
        <is>
          <t>NON</t>
        </is>
      </c>
      <c r="O1572" s="51" t="inlineStr"/>
    </row>
    <row r="1573" customFormat="1" s="3">
      <c r="A1573" s="45" t="n"/>
      <c r="B1573" s="46" t="inlineStr">
        <is>
          <t>23642</t>
        </is>
      </c>
      <c r="C1573" s="46">
        <f>LEFT(Tableau1[[#This Row],[Formacode]],3)</f>
        <v/>
      </c>
      <c r="D1573" s="47" t="n">
        <v>41136</v>
      </c>
      <c r="E1573" s="48">
        <f>"RNCP"&amp;D1573</f>
        <v/>
      </c>
      <c r="F1573" s="48" t="inlineStr">
        <is>
          <t>CQP Coordonnateur du système QSE</t>
        </is>
      </c>
      <c r="G1573" s="49">
        <f>E1573&amp;" - "&amp;F1573</f>
        <v/>
      </c>
      <c r="H1573" s="36" t="inlineStr">
        <is>
          <t>RAS</t>
        </is>
      </c>
      <c r="I1573" s="45" t="inlineStr"/>
      <c r="J1573" s="45" t="inlineStr">
        <is>
          <t>RNCP41136</t>
        </is>
      </c>
      <c r="K1573" s="45" t="inlineStr">
        <is>
          <t>CQP Coordonnateur du système QSE</t>
        </is>
      </c>
      <c r="L1573" s="45" t="inlineStr">
        <is>
          <t>18/07/2030</t>
        </is>
      </c>
      <c r="M1573" s="45" t="inlineStr">
        <is>
          <t>42818 (Système management santé sécurité travail) ; 31354 (Qualité industrielle) ; 23642 (Sécurité mécanique construction réparation) ; 42817 (Réglementation santé sécurité travail) ; 31407 (Qualité hygiène sécurité environnement)</t>
        </is>
      </c>
      <c r="N1573" s="50" t="inlineStr">
        <is>
          <t>NON</t>
        </is>
      </c>
      <c r="O1573" s="45" t="inlineStr"/>
    </row>
    <row r="1574" customFormat="1" s="3">
      <c r="A1574" s="45" t="n"/>
      <c r="B1574" s="46" t="inlineStr">
        <is>
          <t>23642</t>
        </is>
      </c>
      <c r="C1574" s="46">
        <f>LEFT(Tableau1[[#This Row],[Formacode]],3)</f>
        <v/>
      </c>
      <c r="D1574" s="47" t="n">
        <v>41464</v>
      </c>
      <c r="E1574" s="48">
        <f>"RNCP"&amp;D1574</f>
        <v/>
      </c>
      <c r="F1574" s="48" t="inlineStr">
        <is>
          <t>Technicien-vendeur cycles</t>
        </is>
      </c>
      <c r="G1574" s="49">
        <f>E1574&amp;" - "&amp;F1574</f>
        <v/>
      </c>
      <c r="H1574" s="36" t="inlineStr">
        <is>
          <t>RAS</t>
        </is>
      </c>
      <c r="I1574" s="45" t="inlineStr"/>
      <c r="J1574" s="45" t="inlineStr">
        <is>
          <t>RNCP41464</t>
        </is>
      </c>
      <c r="K1574" s="45" t="inlineStr">
        <is>
          <t>Technicien-vendeur cycles</t>
        </is>
      </c>
      <c r="L1574" s="45" t="inlineStr">
        <is>
          <t>27/10/2030</t>
        </is>
      </c>
      <c r="M1574" s="45" t="inlineStr">
        <is>
          <t>34554 (Commerce) ; 23654 (Mécanique construction réparation)</t>
        </is>
      </c>
      <c r="N1574" s="50" t="inlineStr">
        <is>
          <t>NON</t>
        </is>
      </c>
      <c r="O1574" s="45" t="inlineStr"/>
    </row>
    <row r="1575" customFormat="1" s="3">
      <c r="A1575" s="63" t="n"/>
      <c r="B1575" s="64" t="inlineStr">
        <is>
          <t>23646</t>
        </is>
      </c>
      <c r="C1575" s="64">
        <f>LEFT(Tableau1[[#This Row],[Formacode]],3)</f>
        <v/>
      </c>
      <c r="D1575" s="65" t="n">
        <v>35227</v>
      </c>
      <c r="E1575" s="66">
        <f>"RNCP"&amp;D1575</f>
        <v/>
      </c>
      <c r="F1575" s="66" t="inlineStr">
        <is>
          <t>TP - Mécanicien réparateur de véhicules industriels</t>
        </is>
      </c>
      <c r="G1575" s="67">
        <f>E1575&amp;" - "&amp;F1575</f>
        <v/>
      </c>
      <c r="H1575" s="38" t="inlineStr">
        <is>
          <t>Expiré / remplacé</t>
        </is>
      </c>
      <c r="I1575" s="63" t="inlineStr">
        <is>
          <t>Fiche inactive — remplacée par RNCP41904 (Mécanicien de maintenance de véhicules de transport routier - personnes et marchandises)</t>
        </is>
      </c>
      <c r="J1575" s="63" t="inlineStr">
        <is>
          <t>RNCP41904</t>
        </is>
      </c>
      <c r="K1575" s="63" t="inlineStr">
        <is>
          <t>Mécanicien de maintenance de véhicules de transport routier - personnes et marchandises</t>
        </is>
      </c>
      <c r="L1575" s="63" t="inlineStr">
        <is>
          <t>27/02/2026</t>
        </is>
      </c>
      <c r="M1575" s="63" t="inlineStr">
        <is>
          <t>23615 (Réparation véhicule industriel) ; 23651 (Construction maintenance véhicule propre)</t>
        </is>
      </c>
      <c r="N1575" s="68" t="inlineStr">
        <is>
          <t>NON</t>
        </is>
      </c>
      <c r="O1575" s="63" t="inlineStr"/>
    </row>
    <row r="1576" customFormat="1" s="3">
      <c r="A1576" s="51" t="n"/>
      <c r="B1576" s="52" t="inlineStr">
        <is>
          <t>23646</t>
        </is>
      </c>
      <c r="C1576" s="52">
        <f>LEFT(Tableau1[[#This Row],[Formacode]],3)</f>
        <v/>
      </c>
      <c r="D1576" s="53" t="n">
        <v>36019</v>
      </c>
      <c r="E1576" s="54">
        <f>"RNCP"&amp;D1576</f>
        <v/>
      </c>
      <c r="F1576" s="54" t="inlineStr">
        <is>
          <t>CQP  Retoucheur tôle nue sur ligne de fabrication de véhicules</t>
        </is>
      </c>
      <c r="G1576" s="55">
        <f>E1576&amp;" - "&amp;F1576</f>
        <v/>
      </c>
      <c r="H1576" s="37" t="inlineStr">
        <is>
          <t>À vérifier</t>
        </is>
      </c>
      <c r="I1576" s="51" t="inlineStr">
        <is>
          <t>Échéance le 10/11/2026 (dans 115 j)</t>
        </is>
      </c>
      <c r="J1576" s="51" t="inlineStr">
        <is>
          <t>RNCP36019</t>
        </is>
      </c>
      <c r="K1576" s="51" t="inlineStr">
        <is>
          <t>CQP Retoucheur tôle nue sur ligne de fabrication de véhicules</t>
        </is>
      </c>
      <c r="L1576" s="51" t="inlineStr">
        <is>
          <t>10/11/2026</t>
        </is>
      </c>
      <c r="M1576" s="51" t="inlineStr">
        <is>
          <t>23617 (Carrosserie)</t>
        </is>
      </c>
      <c r="N1576" s="62" t="inlineStr">
        <is>
          <t>NON</t>
        </is>
      </c>
      <c r="O1576" s="51" t="inlineStr"/>
    </row>
    <row r="1577" customFormat="1" s="3">
      <c r="A1577" s="45" t="n"/>
      <c r="B1577" s="46" t="inlineStr">
        <is>
          <t>23646</t>
        </is>
      </c>
      <c r="C1577" s="46">
        <f>LEFT(Tableau1[[#This Row],[Formacode]],3)</f>
        <v/>
      </c>
      <c r="D1577" s="47" t="n">
        <v>36200</v>
      </c>
      <c r="E1577" s="48">
        <f>"RNCP"&amp;D1577</f>
        <v/>
      </c>
      <c r="F1577" s="48" t="inlineStr">
        <is>
          <t>Carrossier peintre</t>
        </is>
      </c>
      <c r="G1577" s="49">
        <f>E1577&amp;" - "&amp;F1577</f>
        <v/>
      </c>
      <c r="H1577" s="36" t="inlineStr">
        <is>
          <t>RAS</t>
        </is>
      </c>
      <c r="I1577" s="45" t="inlineStr"/>
      <c r="J1577" s="45" t="inlineStr">
        <is>
          <t>RNCP36200</t>
        </is>
      </c>
      <c r="K1577" s="45" t="inlineStr">
        <is>
          <t>Carrossier peintre</t>
        </is>
      </c>
      <c r="L1577" s="45" t="inlineStr">
        <is>
          <t>25/02/2027</t>
        </is>
      </c>
      <c r="M1577" s="45" t="inlineStr">
        <is>
          <t>23607 (Peinture carrosserie) ; 23657 (Aménagement véhicule automobile)</t>
        </is>
      </c>
      <c r="N1577" s="50" t="inlineStr">
        <is>
          <t>NON</t>
        </is>
      </c>
      <c r="O1577" s="45" t="inlineStr"/>
    </row>
    <row r="1578" customFormat="1" s="3">
      <c r="A1578" s="45" t="n"/>
      <c r="B1578" s="46" t="inlineStr">
        <is>
          <t>23646</t>
        </is>
      </c>
      <c r="C1578" s="46">
        <f>LEFT(Tableau1[[#This Row],[Formacode]],3)</f>
        <v/>
      </c>
      <c r="D1578" s="47" t="n">
        <v>36223</v>
      </c>
      <c r="E1578" s="48">
        <f>"RNCP"&amp;D1578</f>
        <v/>
      </c>
      <c r="F1578" s="48" t="inlineStr">
        <is>
          <t>CQP Opérateur vitrage</t>
        </is>
      </c>
      <c r="G1578" s="49">
        <f>E1578&amp;" - "&amp;F1578</f>
        <v/>
      </c>
      <c r="H1578" s="36" t="inlineStr">
        <is>
          <t>RAS</t>
        </is>
      </c>
      <c r="I1578" s="45" t="inlineStr"/>
      <c r="J1578" s="45" t="inlineStr">
        <is>
          <t>RNCP36223</t>
        </is>
      </c>
      <c r="K1578" s="45" t="inlineStr">
        <is>
          <t>CQP Opérateur vitrage</t>
        </is>
      </c>
      <c r="L1578" s="45" t="inlineStr">
        <is>
          <t>25/02/2027</t>
        </is>
      </c>
      <c r="M1578" s="45" t="inlineStr">
        <is>
          <t>23637 (Mécanique automobile) ; 31301 (Test étanchéité) ; 23657 (Aménagement véhicule automobile)</t>
        </is>
      </c>
      <c r="N1578" s="50" t="inlineStr">
        <is>
          <t>NON</t>
        </is>
      </c>
      <c r="O1578" s="45" t="inlineStr"/>
    </row>
    <row r="1579" customFormat="1" s="3">
      <c r="A1579" s="45" t="n"/>
      <c r="B1579" s="46" t="inlineStr">
        <is>
          <t>23646</t>
        </is>
      </c>
      <c r="C1579" s="46">
        <f>LEFT(Tableau1[[#This Row],[Formacode]],3)</f>
        <v/>
      </c>
      <c r="D1579" s="47" t="n">
        <v>36242</v>
      </c>
      <c r="E1579" s="48">
        <f>"RNCP"&amp;D1579</f>
        <v/>
      </c>
      <c r="F1579" s="48" t="inlineStr">
        <is>
          <t>TP - Technicien froid embarqué routier</t>
        </is>
      </c>
      <c r="G1579" s="49">
        <f>E1579&amp;" - "&amp;F1579</f>
        <v/>
      </c>
      <c r="H1579" s="36" t="inlineStr">
        <is>
          <t>RAS</t>
        </is>
      </c>
      <c r="I1579" s="45" t="inlineStr"/>
      <c r="J1579" s="45" t="inlineStr">
        <is>
          <t>RNCP36242</t>
        </is>
      </c>
      <c r="K1579" s="45" t="inlineStr">
        <is>
          <t>Technicien froid embarqué routier</t>
        </is>
      </c>
      <c r="L1579" s="45" t="inlineStr">
        <is>
          <t>22/04/2027</t>
        </is>
      </c>
      <c r="M1579" s="45" t="inlineStr">
        <is>
          <t>22604 (Froid commercial) ; 23658 (Climatisation véhicule) ; 23615 (Réparation véhicule industriel)</t>
        </is>
      </c>
      <c r="N1579" s="50" t="inlineStr">
        <is>
          <t>NON</t>
        </is>
      </c>
      <c r="O1579" s="45" t="inlineStr"/>
    </row>
    <row r="1580" customFormat="1" s="3">
      <c r="A1580" s="51" t="n"/>
      <c r="B1580" s="52" t="inlineStr">
        <is>
          <t>23646</t>
        </is>
      </c>
      <c r="C1580" s="52">
        <f>LEFT(Tableau1[[#This Row],[Formacode]],3)</f>
        <v/>
      </c>
      <c r="D1580" s="53" t="n">
        <v>36332</v>
      </c>
      <c r="E1580" s="54">
        <f>"RNCP"&amp;D1580</f>
        <v/>
      </c>
      <c r="F1580" s="54" t="inlineStr">
        <is>
          <t>CS - Maintenance des installations oléohydrauliques et pneumatiques</t>
        </is>
      </c>
      <c r="G1580" s="55">
        <f>E1580&amp;" - "&amp;F1580</f>
        <v/>
      </c>
      <c r="H1580" s="37" t="inlineStr">
        <is>
          <t>À vérifier</t>
        </is>
      </c>
      <c r="I1580" s="51" t="inlineStr">
        <is>
          <t>Successeur déjà publié : RNCP42136 (Maintenance des installations oléohydrauliques et pneumatiques) — préparer la bascule de l'offre CPF | Échéance le 31/08/2026 (dans 44 j)</t>
        </is>
      </c>
      <c r="J1580" s="51" t="inlineStr">
        <is>
          <t>RNCP42136</t>
        </is>
      </c>
      <c r="K1580" s="51" t="inlineStr">
        <is>
          <t>Maintenance des installations oléohydrauliques et pneumatiques</t>
        </is>
      </c>
      <c r="L1580" s="51" t="inlineStr">
        <is>
          <t>31/08/2026</t>
        </is>
      </c>
      <c r="M1580" s="51" t="inlineStr">
        <is>
          <t>23570 (Oléohydraulique) ; 23523 (Pneumatique) ; 24447 (Automatisme hydraulique) ; 24457 (Automatisme pneumatique) ; 23654 (Mécanique construction réparation)</t>
        </is>
      </c>
      <c r="N1580" s="62" t="inlineStr">
        <is>
          <t>NON</t>
        </is>
      </c>
      <c r="O1580" s="51" t="inlineStr"/>
    </row>
    <row r="1581" customFormat="1" s="3">
      <c r="A1581" s="45" t="n"/>
      <c r="B1581" s="46" t="inlineStr">
        <is>
          <t>23646</t>
        </is>
      </c>
      <c r="C1581" s="46">
        <f>LEFT(Tableau1[[#This Row],[Formacode]],3)</f>
        <v/>
      </c>
      <c r="D1581" s="47" t="n">
        <v>36885</v>
      </c>
      <c r="E1581" s="48">
        <f>"RNCP"&amp;D1581</f>
        <v/>
      </c>
      <c r="F1581" s="48" t="inlineStr">
        <is>
          <t>Réceptionnaire après-vente véhicules légers</t>
        </is>
      </c>
      <c r="G1581" s="49">
        <f>E1581&amp;" - "&amp;F1581</f>
        <v/>
      </c>
      <c r="H1581" s="36" t="inlineStr">
        <is>
          <t>RAS</t>
        </is>
      </c>
      <c r="I1581" s="45" t="inlineStr"/>
      <c r="J1581" s="45" t="inlineStr">
        <is>
          <t>RNCP36885</t>
        </is>
      </c>
      <c r="K1581" s="45" t="inlineStr">
        <is>
          <t>Réceptionnaire après-vente véhicules légers</t>
        </is>
      </c>
      <c r="L1581" s="45" t="inlineStr">
        <is>
          <t>29/09/2027</t>
        </is>
      </c>
      <c r="M1581" s="45" t="inlineStr">
        <is>
          <t>34027 (Service après-vente) ; 23637 (Mécanique automobile)</t>
        </is>
      </c>
      <c r="N1581" s="50" t="inlineStr">
        <is>
          <t>NON</t>
        </is>
      </c>
      <c r="O1581" s="45" t="inlineStr"/>
    </row>
    <row r="1582" customFormat="1" s="3">
      <c r="A1582" s="45" t="n"/>
      <c r="B1582" s="46" t="inlineStr">
        <is>
          <t>23646</t>
        </is>
      </c>
      <c r="C1582" s="46">
        <f>LEFT(Tableau1[[#This Row],[Formacode]],3)</f>
        <v/>
      </c>
      <c r="D1582" s="47" t="n">
        <v>36915</v>
      </c>
      <c r="E1582" s="48">
        <f>"RNCP"&amp;D1582</f>
        <v/>
      </c>
      <c r="F1582" s="48" t="inlineStr">
        <is>
          <t>CQP contrôleur Technique VL</t>
        </is>
      </c>
      <c r="G1582" s="49">
        <f>E1582&amp;" - "&amp;F1582</f>
        <v/>
      </c>
      <c r="H1582" s="36" t="inlineStr">
        <is>
          <t>RAS</t>
        </is>
      </c>
      <c r="I1582" s="45" t="inlineStr"/>
      <c r="J1582" s="45" t="inlineStr">
        <is>
          <t>RNCP36915</t>
        </is>
      </c>
      <c r="K1582" s="45" t="inlineStr">
        <is>
          <t>CQP contrôleur Technique VL</t>
        </is>
      </c>
      <c r="L1582" s="45" t="inlineStr">
        <is>
          <t>29/09/2027</t>
        </is>
      </c>
      <c r="M1582" s="45" t="inlineStr">
        <is>
          <t>23649 (Contrôle technique automobile)</t>
        </is>
      </c>
      <c r="N1582" s="50" t="inlineStr">
        <is>
          <t>NON</t>
        </is>
      </c>
      <c r="O1582" s="45" t="inlineStr"/>
    </row>
    <row r="1583" customFormat="1" s="3">
      <c r="A1583" s="63" t="n"/>
      <c r="B1583" s="64" t="inlineStr">
        <is>
          <t>23646</t>
        </is>
      </c>
      <c r="C1583" s="64">
        <f>LEFT(Tableau1[[#This Row],[Formacode]],3)</f>
        <v/>
      </c>
      <c r="D1583" s="65" t="n">
        <v>37071</v>
      </c>
      <c r="E1583" s="66">
        <f>"RNCP"&amp;D1583</f>
        <v/>
      </c>
      <c r="F1583" s="66" t="inlineStr">
        <is>
          <t>Technicien expert après-vente véhicules utilitaires et industriels</t>
        </is>
      </c>
      <c r="G1583" s="67">
        <f>E1583&amp;" - "&amp;F1583</f>
        <v/>
      </c>
      <c r="H1583" s="38" t="inlineStr">
        <is>
          <t>Expiré / remplacé</t>
        </is>
      </c>
      <c r="I1583" s="63" t="inlineStr">
        <is>
          <t>Fiche inactive — remplacée par RNCP41657 (Technicien expert après-vente véhicules utilitaires et industriels)</t>
        </is>
      </c>
      <c r="J1583" s="63" t="inlineStr">
        <is>
          <t>RNCP41657</t>
        </is>
      </c>
      <c r="K1583" s="63" t="inlineStr">
        <is>
          <t>Technicien expert après-vente véhicules utilitaires et industriels</t>
        </is>
      </c>
      <c r="L1583" s="63" t="inlineStr">
        <is>
          <t>18/12/2025</t>
        </is>
      </c>
      <c r="M1583" s="63" t="inlineStr">
        <is>
          <t>31604 (Maintenance corrective) ; 31603 (Maintenance préventive) ; 23637 (Mécanique automobile)</t>
        </is>
      </c>
      <c r="N1583" s="68" t="inlineStr">
        <is>
          <t>NON</t>
        </is>
      </c>
      <c r="O1583" s="63" t="inlineStr"/>
    </row>
    <row r="1584" customFormat="1" s="3">
      <c r="A1584" s="63" t="n"/>
      <c r="B1584" s="64" t="inlineStr">
        <is>
          <t>23646</t>
        </is>
      </c>
      <c r="C1584" s="64">
        <f>LEFT(Tableau1[[#This Row],[Formacode]],3)</f>
        <v/>
      </c>
      <c r="D1584" s="65" t="n">
        <v>37134</v>
      </c>
      <c r="E1584" s="66">
        <f>"RNCP"&amp;D1584</f>
        <v/>
      </c>
      <c r="F1584" s="66" t="inlineStr">
        <is>
          <t>CQP Mécanicien véhicules utilitaires et industriels</t>
        </is>
      </c>
      <c r="G1584" s="67">
        <f>E1584&amp;" - "&amp;F1584</f>
        <v/>
      </c>
      <c r="H1584" s="38" t="inlineStr">
        <is>
          <t>Expiré / remplacé</t>
        </is>
      </c>
      <c r="I1584" s="63" t="inlineStr">
        <is>
          <t>Fiche inactive — remplacée par RNCP41656 (CQP Mécanicien véhicules utilitaires et industriels)</t>
        </is>
      </c>
      <c r="J1584" s="63" t="inlineStr">
        <is>
          <t>RNCP41656</t>
        </is>
      </c>
      <c r="K1584" s="63" t="inlineStr">
        <is>
          <t>CQP Mécanicien véhicules utilitaires et industriels</t>
        </is>
      </c>
      <c r="L1584" s="63" t="inlineStr">
        <is>
          <t>18/12/2025</t>
        </is>
      </c>
      <c r="M1584" s="63" t="inlineStr">
        <is>
          <t>23637 (Mécanique automobile)</t>
        </is>
      </c>
      <c r="N1584" s="68" t="inlineStr">
        <is>
          <t>NON</t>
        </is>
      </c>
      <c r="O1584" s="63" t="inlineStr"/>
    </row>
    <row r="1585" customFormat="1" s="3">
      <c r="A1585" s="45" t="n"/>
      <c r="B1585" s="46" t="inlineStr">
        <is>
          <t>23646</t>
        </is>
      </c>
      <c r="C1585" s="46">
        <f>LEFT(Tableau1[[#This Row],[Formacode]],3)</f>
        <v/>
      </c>
      <c r="D1585" s="47" t="n">
        <v>37320</v>
      </c>
      <c r="E1585" s="48">
        <f>"RNCP"&amp;D1585</f>
        <v/>
      </c>
      <c r="F1585" s="48" t="inlineStr">
        <is>
          <t>TP - Contrôleur technique de véhicules légers</t>
        </is>
      </c>
      <c r="G1585" s="49">
        <f>E1585&amp;" - "&amp;F1585</f>
        <v/>
      </c>
      <c r="H1585" s="36" t="inlineStr">
        <is>
          <t>RAS</t>
        </is>
      </c>
      <c r="I1585" s="45" t="inlineStr"/>
      <c r="J1585" s="45" t="inlineStr">
        <is>
          <t>RNCP37320</t>
        </is>
      </c>
      <c r="K1585" s="45" t="inlineStr">
        <is>
          <t>Contrôleur technique de véhicules légers</t>
        </is>
      </c>
      <c r="L1585" s="45" t="inlineStr">
        <is>
          <t>01/02/2028</t>
        </is>
      </c>
      <c r="M1585" s="45" t="inlineStr">
        <is>
          <t>23649 (Contrôle technique automobile)</t>
        </is>
      </c>
      <c r="N1585" s="50" t="inlineStr">
        <is>
          <t>NON</t>
        </is>
      </c>
      <c r="O1585" s="45" t="inlineStr"/>
    </row>
    <row r="1586" customFormat="1" s="3">
      <c r="A1586" s="45" t="n"/>
      <c r="B1586" s="46" t="inlineStr">
        <is>
          <t>23646</t>
        </is>
      </c>
      <c r="C1586" s="46">
        <f>LEFT(Tableau1[[#This Row],[Formacode]],3)</f>
        <v/>
      </c>
      <c r="D1586" s="47" t="n">
        <v>37540</v>
      </c>
      <c r="E1586" s="48">
        <f>"RNCP"&amp;D1586</f>
        <v/>
      </c>
      <c r="F1586" s="48" t="inlineStr">
        <is>
          <t>CAP - Peintre automobile</t>
        </is>
      </c>
      <c r="G1586" s="49">
        <f>E1586&amp;" - "&amp;F1586</f>
        <v/>
      </c>
      <c r="H1586" s="36" t="inlineStr">
        <is>
          <t>RAS</t>
        </is>
      </c>
      <c r="I1586" s="45" t="inlineStr"/>
      <c r="J1586" s="45" t="inlineStr">
        <is>
          <t>RNCP37540</t>
        </is>
      </c>
      <c r="K1586" s="45" t="inlineStr">
        <is>
          <t>Peintre automobile</t>
        </is>
      </c>
      <c r="L1586" s="45" t="inlineStr">
        <is>
          <t>31/08/2028</t>
        </is>
      </c>
      <c r="M1586" s="45" t="inlineStr">
        <is>
          <t>23607 (Peinture carrosserie)</t>
        </is>
      </c>
      <c r="N1586" s="50" t="inlineStr">
        <is>
          <t>NON</t>
        </is>
      </c>
      <c r="O1586" s="45" t="inlineStr"/>
    </row>
    <row r="1587" customFormat="1" s="3">
      <c r="A1587" s="45" t="n"/>
      <c r="B1587" s="46" t="inlineStr">
        <is>
          <t>23646</t>
        </is>
      </c>
      <c r="C1587" s="46">
        <f>LEFT(Tableau1[[#This Row],[Formacode]],3)</f>
        <v/>
      </c>
      <c r="D1587" s="47" t="n">
        <v>37601</v>
      </c>
      <c r="E1587" s="48">
        <f>"RNCP"&amp;D1587</f>
        <v/>
      </c>
      <c r="F1587" s="48" t="inlineStr">
        <is>
          <t>CAP - Carrossier automobile</t>
        </is>
      </c>
      <c r="G1587" s="49">
        <f>E1587&amp;" - "&amp;F1587</f>
        <v/>
      </c>
      <c r="H1587" s="36" t="inlineStr">
        <is>
          <t>RAS</t>
        </is>
      </c>
      <c r="I1587" s="45" t="inlineStr"/>
      <c r="J1587" s="45" t="inlineStr">
        <is>
          <t>RNCP37601</t>
        </is>
      </c>
      <c r="K1587" s="45" t="inlineStr">
        <is>
          <t>Carrossier automobile</t>
        </is>
      </c>
      <c r="L1587" s="45" t="inlineStr">
        <is>
          <t>31/08/2028</t>
        </is>
      </c>
      <c r="M1587" s="45" t="inlineStr">
        <is>
          <t>23617 (Carrosserie)</t>
        </is>
      </c>
      <c r="N1587" s="50" t="inlineStr">
        <is>
          <t>NON</t>
        </is>
      </c>
      <c r="O1587" s="45" t="inlineStr"/>
    </row>
    <row r="1588" customFormat="1" s="3">
      <c r="A1588" s="45" t="n"/>
      <c r="B1588" s="46" t="inlineStr">
        <is>
          <t>23646</t>
        </is>
      </c>
      <c r="C1588" s="46">
        <f>LEFT(Tableau1[[#This Row],[Formacode]],3)</f>
        <v/>
      </c>
      <c r="D1588" s="47" t="n">
        <v>37913</v>
      </c>
      <c r="E1588" s="48">
        <f>"RNCP"&amp;D1588</f>
        <v/>
      </c>
      <c r="F1588" s="48" t="inlineStr">
        <is>
          <t>BAC PRO - Carrossier peintre automobile</t>
        </is>
      </c>
      <c r="G1588" s="49">
        <f>E1588&amp;" - "&amp;F1588</f>
        <v/>
      </c>
      <c r="H1588" s="36" t="inlineStr">
        <is>
          <t>RAS</t>
        </is>
      </c>
      <c r="I1588" s="45" t="inlineStr"/>
      <c r="J1588" s="45" t="inlineStr">
        <is>
          <t>RNCP37913</t>
        </is>
      </c>
      <c r="K1588" s="45" t="inlineStr">
        <is>
          <t>Carrossier peintre automobile</t>
        </is>
      </c>
      <c r="L1588" s="45" t="inlineStr">
        <is>
          <t>31/08/2028</t>
        </is>
      </c>
      <c r="M1588" s="45" t="inlineStr">
        <is>
          <t>23617 (Carrosserie)</t>
        </is>
      </c>
      <c r="N1588" s="50" t="inlineStr">
        <is>
          <t>NON</t>
        </is>
      </c>
      <c r="O1588" s="45" t="inlineStr"/>
    </row>
    <row r="1589" customFormat="1" s="3">
      <c r="A1589" s="45" t="n"/>
      <c r="B1589" s="46" t="inlineStr">
        <is>
          <t>23646</t>
        </is>
      </c>
      <c r="C1589" s="46">
        <f>LEFT(Tableau1[[#This Row],[Formacode]],3)</f>
        <v/>
      </c>
      <c r="D1589" s="47" t="n">
        <v>38101</v>
      </c>
      <c r="E1589" s="48">
        <f>"RNCP"&amp;D1589</f>
        <v/>
      </c>
      <c r="F1589" s="48" t="inlineStr">
        <is>
          <t>TP - Mécanicien de maintenance automobile</t>
        </is>
      </c>
      <c r="G1589" s="49">
        <f>E1589&amp;" - "&amp;F1589</f>
        <v/>
      </c>
      <c r="H1589" s="36" t="inlineStr">
        <is>
          <t>RAS</t>
        </is>
      </c>
      <c r="I1589" s="45" t="inlineStr"/>
      <c r="J1589" s="45" t="inlineStr">
        <is>
          <t>RNCP38101</t>
        </is>
      </c>
      <c r="K1589" s="45" t="inlineStr">
        <is>
          <t>Mécanicien de maintenance automobile</t>
        </is>
      </c>
      <c r="L1589" s="45" t="inlineStr">
        <is>
          <t>18/10/2028</t>
        </is>
      </c>
      <c r="M1589" s="45" t="inlineStr">
        <is>
          <t>23637 (Mécanique automobile)</t>
        </is>
      </c>
      <c r="N1589" s="50" t="inlineStr">
        <is>
          <t>NON</t>
        </is>
      </c>
      <c r="O1589" s="45" t="inlineStr"/>
    </row>
    <row r="1590" customFormat="1" s="3">
      <c r="A1590" s="45" t="n"/>
      <c r="B1590" s="46" t="inlineStr">
        <is>
          <t>23646</t>
        </is>
      </c>
      <c r="C1590" s="46">
        <f>LEFT(Tableau1[[#This Row],[Formacode]],3)</f>
        <v/>
      </c>
      <c r="D1590" s="47" t="n">
        <v>38102</v>
      </c>
      <c r="E1590" s="48">
        <f>"RNCP"&amp;D1590</f>
        <v/>
      </c>
      <c r="F1590" s="48" t="inlineStr">
        <is>
          <t>TP - Mécanicien automobile</t>
        </is>
      </c>
      <c r="G1590" s="49">
        <f>E1590&amp;" - "&amp;F1590</f>
        <v/>
      </c>
      <c r="H1590" s="36" t="inlineStr">
        <is>
          <t>RAS</t>
        </is>
      </c>
      <c r="I1590" s="45" t="inlineStr"/>
      <c r="J1590" s="45" t="inlineStr">
        <is>
          <t>RNCP38102</t>
        </is>
      </c>
      <c r="K1590" s="45" t="inlineStr">
        <is>
          <t>Mécanicien automobile</t>
        </is>
      </c>
      <c r="L1590" s="45" t="inlineStr">
        <is>
          <t>18/10/2028</t>
        </is>
      </c>
      <c r="M1590" s="45" t="inlineStr">
        <is>
          <t>23637 (Mécanique automobile)</t>
        </is>
      </c>
      <c r="N1590" s="50" t="inlineStr">
        <is>
          <t>NON</t>
        </is>
      </c>
      <c r="O1590" s="45" t="inlineStr"/>
    </row>
    <row r="1591" customFormat="1" s="3">
      <c r="A1591" s="45" t="n"/>
      <c r="B1591" s="46" t="inlineStr">
        <is>
          <t>23646</t>
        </is>
      </c>
      <c r="C1591" s="46">
        <f>LEFT(Tableau1[[#This Row],[Formacode]],3)</f>
        <v/>
      </c>
      <c r="D1591" s="47" t="n">
        <v>38263</v>
      </c>
      <c r="E1591" s="48">
        <f>"RNCP"&amp;D1591</f>
        <v/>
      </c>
      <c r="F1591" s="48" t="inlineStr">
        <is>
          <t>CQP Dépanneur-remorqueur VL</t>
        </is>
      </c>
      <c r="G1591" s="49">
        <f>E1591&amp;" - "&amp;F1591</f>
        <v/>
      </c>
      <c r="H1591" s="36" t="inlineStr">
        <is>
          <t>RAS</t>
        </is>
      </c>
      <c r="I1591" s="45" t="inlineStr"/>
      <c r="J1591" s="45" t="inlineStr">
        <is>
          <t>RNCP38263</t>
        </is>
      </c>
      <c r="K1591" s="45" t="inlineStr">
        <is>
          <t>CQP Dépanneur-remorqueur VL</t>
        </is>
      </c>
      <c r="L1591" s="45" t="inlineStr">
        <is>
          <t>15/11/2028</t>
        </is>
      </c>
      <c r="M1591" s="45" t="inlineStr">
        <is>
          <t>23637 (Mécanique automobile)</t>
        </is>
      </c>
      <c r="N1591" s="50" t="inlineStr">
        <is>
          <t>NON</t>
        </is>
      </c>
      <c r="O1591" s="45" t="inlineStr"/>
    </row>
    <row r="1592" customFormat="1" s="3">
      <c r="A1592" s="45" t="n"/>
      <c r="B1592" s="46" t="inlineStr">
        <is>
          <t>23646</t>
        </is>
      </c>
      <c r="C1592" s="46">
        <f>LEFT(Tableau1[[#This Row],[Formacode]],3)</f>
        <v/>
      </c>
      <c r="D1592" s="47" t="n">
        <v>38295</v>
      </c>
      <c r="E1592" s="48">
        <f>"RNCP"&amp;D1592</f>
        <v/>
      </c>
      <c r="F1592" s="48" t="inlineStr">
        <is>
          <t>TP - Technicien électromécanicien automobile</t>
        </is>
      </c>
      <c r="G1592" s="49">
        <f>E1592&amp;" - "&amp;F1592</f>
        <v/>
      </c>
      <c r="H1592" s="36" t="inlineStr">
        <is>
          <t>RAS</t>
        </is>
      </c>
      <c r="I1592" s="45" t="inlineStr"/>
      <c r="J1592" s="45" t="inlineStr">
        <is>
          <t>RNCP38295</t>
        </is>
      </c>
      <c r="K1592" s="45" t="inlineStr">
        <is>
          <t>Technicien électromécanicien automobile</t>
        </is>
      </c>
      <c r="L1592" s="45" t="inlineStr">
        <is>
          <t>02/11/2028</t>
        </is>
      </c>
      <c r="M1592" s="45" t="inlineStr">
        <is>
          <t>23637 (Mécanique automobile)</t>
        </is>
      </c>
      <c r="N1592" s="50" t="inlineStr">
        <is>
          <t>NON</t>
        </is>
      </c>
      <c r="O1592" s="45" t="inlineStr"/>
    </row>
    <row r="1593" customFormat="1" s="3">
      <c r="A1593" s="45" t="n"/>
      <c r="B1593" s="46" t="inlineStr">
        <is>
          <t>23646</t>
        </is>
      </c>
      <c r="C1593" s="46">
        <f>LEFT(Tableau1[[#This Row],[Formacode]],3)</f>
        <v/>
      </c>
      <c r="D1593" s="47" t="n">
        <v>38304</v>
      </c>
      <c r="E1593" s="48">
        <f>"RNCP"&amp;D1593</f>
        <v/>
      </c>
      <c r="F1593" s="48" t="inlineStr">
        <is>
          <t>CS - Maquettes et prototypes</t>
        </is>
      </c>
      <c r="G1593" s="49">
        <f>E1593&amp;" - "&amp;F1593</f>
        <v/>
      </c>
      <c r="H1593" s="36" t="inlineStr">
        <is>
          <t>RAS</t>
        </is>
      </c>
      <c r="I1593" s="45" t="inlineStr"/>
      <c r="J1593" s="45" t="inlineStr">
        <is>
          <t>RNCP38304</t>
        </is>
      </c>
      <c r="K1593" s="45" t="inlineStr">
        <is>
          <t>Maquettes et prototypes</t>
        </is>
      </c>
      <c r="L1593" s="45" t="inlineStr">
        <is>
          <t>31/08/2028</t>
        </is>
      </c>
      <c r="M1593" s="45" t="inlineStr">
        <is>
          <t>23681 (Outillage) ; 31664 (Qualité gestion industrielle) ; 23646 (Construction automobile)</t>
        </is>
      </c>
      <c r="N1593" s="50" t="inlineStr">
        <is>
          <t>NON</t>
        </is>
      </c>
      <c r="O1593" s="45" t="inlineStr"/>
    </row>
    <row r="1594" ht="28.8" customFormat="1" customHeight="1" s="3">
      <c r="A1594" s="51" t="n"/>
      <c r="B1594" s="52" t="inlineStr">
        <is>
          <t>23646</t>
        </is>
      </c>
      <c r="C1594" s="52">
        <f>LEFT(Tableau1[[#This Row],[Formacode]],3)</f>
        <v/>
      </c>
      <c r="D1594" s="53" t="n">
        <v>38367</v>
      </c>
      <c r="E1594" s="54">
        <f>"RNCP"&amp;D1594</f>
        <v/>
      </c>
      <c r="F1594" s="54" t="inlineStr">
        <is>
          <t>BTS - Maintenance des véhicules (Option A : Voitures particulières, Option B : Véhicules de transport routier, Option C : Motocycles)</t>
        </is>
      </c>
      <c r="G1594" s="55">
        <f>E1594&amp;" - "&amp;F1594</f>
        <v/>
      </c>
      <c r="H1594" s="37" t="inlineStr">
        <is>
          <t>À vérifier</t>
        </is>
      </c>
      <c r="I1594" s="51" t="inlineStr">
        <is>
          <t>Successeur déjà publié : RNCP41864 (Maintenance des véhicules – options : véhicules légers, véhicules de transport routier et motocycles) — préparer la bascule de l'offre CPF | Échéance le 31/12/2026 (dans 166 j)</t>
        </is>
      </c>
      <c r="J1594" s="51" t="inlineStr">
        <is>
          <t>RNCP41864</t>
        </is>
      </c>
      <c r="K1594" s="51" t="inlineStr">
        <is>
          <t>Maintenance des véhicules – options : véhicules légers, véhicules de transport routier et motocycles</t>
        </is>
      </c>
      <c r="L1594" s="51" t="inlineStr">
        <is>
          <t>31/12/2026</t>
        </is>
      </c>
      <c r="M1594" s="51" t="inlineStr">
        <is>
          <t>23635 (Mécanique cycle motocycle) ; 23615 (Réparation véhicule industriel) ; 23637 (Mécanique automobile)</t>
        </is>
      </c>
      <c r="N1594" s="62" t="inlineStr">
        <is>
          <t>NON</t>
        </is>
      </c>
      <c r="O1594" s="51" t="inlineStr"/>
    </row>
    <row r="1595" ht="28.8" customFormat="1" customHeight="1" s="3">
      <c r="A1595" s="45" t="n"/>
      <c r="B1595" s="46" t="inlineStr">
        <is>
          <t>23646</t>
        </is>
      </c>
      <c r="C1595" s="46">
        <f>LEFT(Tableau1[[#This Row],[Formacode]],3)</f>
        <v/>
      </c>
      <c r="D1595" s="47" t="n">
        <v>38903</v>
      </c>
      <c r="E1595" s="48">
        <f>"RNCP"&amp;D1595</f>
        <v/>
      </c>
      <c r="F1595" s="48" t="inlineStr">
        <is>
          <t>CQP Pilote de production de composants et de cellules de batteries pour véhicules électriques</t>
        </is>
      </c>
      <c r="G1595" s="49">
        <f>E1595&amp;" - "&amp;F1595</f>
        <v/>
      </c>
      <c r="H1595" s="36" t="inlineStr">
        <is>
          <t>RAS</t>
        </is>
      </c>
      <c r="I1595" s="45" t="inlineStr"/>
      <c r="J1595" s="45" t="inlineStr">
        <is>
          <t>RNCP38903</t>
        </is>
      </c>
      <c r="K1595" s="45" t="inlineStr">
        <is>
          <t>CQP Pilote de production de composants et de cellules de batteries pour véhicules électriques</t>
        </is>
      </c>
      <c r="L1595" s="45" t="inlineStr">
        <is>
          <t>26/04/2027</t>
        </is>
      </c>
      <c r="M1595" s="45" t="inlineStr">
        <is>
          <t>31620 (Conduite installation industrielle) ; 23606 (Électricité automobile)</t>
        </is>
      </c>
      <c r="N1595" s="50" t="inlineStr">
        <is>
          <t>NON</t>
        </is>
      </c>
      <c r="O1595" s="45" t="inlineStr"/>
    </row>
    <row r="1596" customFormat="1" s="3">
      <c r="A1596" s="45" t="n"/>
      <c r="B1596" s="46" t="inlineStr">
        <is>
          <t>23646</t>
        </is>
      </c>
      <c r="C1596" s="46">
        <f>LEFT(Tableau1[[#This Row],[Formacode]],3)</f>
        <v/>
      </c>
      <c r="D1596" s="47" t="n">
        <v>39201</v>
      </c>
      <c r="E1596" s="48">
        <f>"RNCP"&amp;D1596</f>
        <v/>
      </c>
      <c r="F1596" s="48" t="inlineStr">
        <is>
          <t>CQP Débosseleur sans peinture</t>
        </is>
      </c>
      <c r="G1596" s="49">
        <f>E1596&amp;" - "&amp;F1596</f>
        <v/>
      </c>
      <c r="H1596" s="36" t="inlineStr">
        <is>
          <t>RAS</t>
        </is>
      </c>
      <c r="I1596" s="45" t="inlineStr"/>
      <c r="J1596" s="45" t="inlineStr">
        <is>
          <t>RNCP39201</t>
        </is>
      </c>
      <c r="K1596" s="45" t="inlineStr">
        <is>
          <t>CQP Débosseleur sans peinture</t>
        </is>
      </c>
      <c r="L1596" s="45" t="inlineStr">
        <is>
          <t>27/06/2029</t>
        </is>
      </c>
      <c r="M1596" s="45" t="inlineStr">
        <is>
          <t>23617 (Carrosserie)</t>
        </is>
      </c>
      <c r="N1596" s="50" t="inlineStr">
        <is>
          <t>NON</t>
        </is>
      </c>
      <c r="O1596" s="45" t="inlineStr"/>
    </row>
    <row r="1597" customFormat="1" s="3">
      <c r="A1597" s="45" t="n"/>
      <c r="B1597" s="46" t="inlineStr">
        <is>
          <t>23646</t>
        </is>
      </c>
      <c r="C1597" s="46">
        <f>LEFT(Tableau1[[#This Row],[Formacode]],3)</f>
        <v/>
      </c>
      <c r="D1597" s="47" t="n">
        <v>39343</v>
      </c>
      <c r="E1597" s="48">
        <f>"RNCP"&amp;D1597</f>
        <v/>
      </c>
      <c r="F1597" s="48" t="inlineStr">
        <is>
          <t>CQP Mécanicien réparateur de véhicules anciens et historiques</t>
        </is>
      </c>
      <c r="G1597" s="49">
        <f>E1597&amp;" - "&amp;F1597</f>
        <v/>
      </c>
      <c r="H1597" s="36" t="inlineStr">
        <is>
          <t>RAS</t>
        </is>
      </c>
      <c r="I1597" s="45" t="inlineStr"/>
      <c r="J1597" s="45" t="inlineStr">
        <is>
          <t>RNCP39343</t>
        </is>
      </c>
      <c r="K1597" s="45" t="inlineStr">
        <is>
          <t>CQP Mécanicien réparateur de véhicules anciens et historiques</t>
        </is>
      </c>
      <c r="L1597" s="45" t="inlineStr">
        <is>
          <t>19/07/2027</t>
        </is>
      </c>
      <c r="M1597" s="45" t="inlineStr">
        <is>
          <t>23637 (Mécanique automobile)</t>
        </is>
      </c>
      <c r="N1597" s="50" t="inlineStr">
        <is>
          <t>NON</t>
        </is>
      </c>
      <c r="O1597" s="45" t="inlineStr"/>
    </row>
    <row r="1598" customFormat="1" s="3">
      <c r="A1598" s="51" t="n"/>
      <c r="B1598" s="52" t="inlineStr">
        <is>
          <t>23646</t>
        </is>
      </c>
      <c r="C1598" s="52">
        <f>LEFT(Tableau1[[#This Row],[Formacode]],3)</f>
        <v/>
      </c>
      <c r="D1598" s="53" t="n">
        <v>39634</v>
      </c>
      <c r="E1598" s="54">
        <f>"RNCP"&amp;D1598</f>
        <v/>
      </c>
      <c r="F1598" s="54" t="inlineStr">
        <is>
          <t>CQP Peintre en carrosserie</t>
        </is>
      </c>
      <c r="G1598" s="55">
        <f>E1598&amp;" - "&amp;F1598</f>
        <v/>
      </c>
      <c r="H1598" s="37" t="inlineStr">
        <is>
          <t>À vérifier</t>
        </is>
      </c>
      <c r="I1598" s="51" t="inlineStr">
        <is>
          <t>Échéance le 01/10/2026 (dans 75 j)</t>
        </is>
      </c>
      <c r="J1598" s="51" t="inlineStr">
        <is>
          <t>RNCP39634</t>
        </is>
      </c>
      <c r="K1598" s="51" t="inlineStr">
        <is>
          <t>CQP Peintre en carrosserie</t>
        </is>
      </c>
      <c r="L1598" s="51" t="inlineStr">
        <is>
          <t>01/10/2026</t>
        </is>
      </c>
      <c r="M1598" s="51" t="inlineStr">
        <is>
          <t>23607 (Peinture carrosserie)</t>
        </is>
      </c>
      <c r="N1598" s="62" t="inlineStr">
        <is>
          <t>NON</t>
        </is>
      </c>
      <c r="O1598" s="51" t="inlineStr"/>
    </row>
    <row r="1599" customFormat="1" s="3">
      <c r="A1599" s="45" t="n"/>
      <c r="B1599" s="46" t="inlineStr">
        <is>
          <t>23646</t>
        </is>
      </c>
      <c r="C1599" s="46">
        <f>LEFT(Tableau1[[#This Row],[Formacode]],3)</f>
        <v/>
      </c>
      <c r="D1599" s="47" t="n">
        <v>39727</v>
      </c>
      <c r="E1599" s="48">
        <f>"RNCP"&amp;D1599</f>
        <v/>
      </c>
      <c r="F1599" s="48" t="inlineStr">
        <is>
          <t>CQP Mécanicien de maintenance automobile</t>
        </is>
      </c>
      <c r="G1599" s="49">
        <f>E1599&amp;" - "&amp;F1599</f>
        <v/>
      </c>
      <c r="H1599" s="36" t="inlineStr">
        <is>
          <t>RAS</t>
        </is>
      </c>
      <c r="I1599" s="45" t="inlineStr"/>
      <c r="J1599" s="45" t="inlineStr">
        <is>
          <t>RNCP39727</t>
        </is>
      </c>
      <c r="K1599" s="45" t="inlineStr">
        <is>
          <t>CQP Mécanicien de maintenance automobile</t>
        </is>
      </c>
      <c r="L1599" s="45" t="inlineStr">
        <is>
          <t>31/10/2027</t>
        </is>
      </c>
      <c r="M1599" s="45" t="inlineStr">
        <is>
          <t>23637 (Mécanique automobile) ; 31604 (Maintenance corrective) ; 31603 (Maintenance préventive)</t>
        </is>
      </c>
      <c r="N1599" s="50" t="inlineStr">
        <is>
          <t>NON</t>
        </is>
      </c>
      <c r="O1599" s="45" t="inlineStr"/>
    </row>
    <row r="1600" customFormat="1" s="3">
      <c r="A1600" s="51" t="n"/>
      <c r="B1600" s="52" t="inlineStr">
        <is>
          <t>23646</t>
        </is>
      </c>
      <c r="C1600" s="52">
        <f>LEFT(Tableau1[[#This Row],[Formacode]],3)</f>
        <v/>
      </c>
      <c r="D1600" s="53" t="n">
        <v>39847</v>
      </c>
      <c r="E1600" s="54">
        <f>"RNCP"&amp;D1600</f>
        <v/>
      </c>
      <c r="F1600" s="54" t="inlineStr">
        <is>
          <t>CQP Opérateur maintenance pneumatiques véhicules industriels, agricoles et génie civil</t>
        </is>
      </c>
      <c r="G1600" s="55">
        <f>E1600&amp;" - "&amp;F1600</f>
        <v/>
      </c>
      <c r="H1600" s="37" t="inlineStr">
        <is>
          <t>À vérifier</t>
        </is>
      </c>
      <c r="I1600" s="51" t="inlineStr">
        <is>
          <t>Échéance le 28/11/2026 (dans 133 j)</t>
        </is>
      </c>
      <c r="J1600" s="51" t="inlineStr">
        <is>
          <t>RNCP39847</t>
        </is>
      </c>
      <c r="K1600" s="51" t="inlineStr">
        <is>
          <t>CQP Opérateur maintenance pneumatiques véhicules industriels, agricoles et génie civil</t>
        </is>
      </c>
      <c r="L1600" s="51" t="inlineStr">
        <is>
          <t>28/11/2026</t>
        </is>
      </c>
      <c r="M1600" s="51" t="inlineStr">
        <is>
          <t>23608 (Pneu)</t>
        </is>
      </c>
      <c r="N1600" s="62" t="inlineStr">
        <is>
          <t>NON</t>
        </is>
      </c>
      <c r="O1600" s="51" t="inlineStr"/>
    </row>
    <row r="1601" customFormat="1" s="3">
      <c r="A1601" s="45" t="n"/>
      <c r="B1601" s="46" t="inlineStr">
        <is>
          <t>23646</t>
        </is>
      </c>
      <c r="C1601" s="46">
        <f>LEFT(Tableau1[[#This Row],[Formacode]],3)</f>
        <v/>
      </c>
      <c r="D1601" s="47" t="n">
        <v>39952</v>
      </c>
      <c r="E1601" s="48">
        <f>"RNCP"&amp;D1601</f>
        <v/>
      </c>
      <c r="F1601" s="48" t="inlineStr">
        <is>
          <t>CQP Technicien expert de maintenance de batteries de véhicules électriques</t>
        </is>
      </c>
      <c r="G1601" s="49">
        <f>E1601&amp;" - "&amp;F1601</f>
        <v/>
      </c>
      <c r="H1601" s="36" t="inlineStr">
        <is>
          <t>RAS</t>
        </is>
      </c>
      <c r="I1601" s="45" t="inlineStr"/>
      <c r="J1601" s="45" t="inlineStr">
        <is>
          <t>RNCP39952</t>
        </is>
      </c>
      <c r="K1601" s="45" t="inlineStr">
        <is>
          <t>CQP Technicien expert de maintenance de batteries de véhicules électriques</t>
        </is>
      </c>
      <c r="L1601" s="45" t="inlineStr">
        <is>
          <t>18/12/2027</t>
        </is>
      </c>
      <c r="M1601" s="45" t="inlineStr">
        <is>
          <t>23651 (Construction maintenance véhicule propre) ; 23637 (Mécanique automobile) ; 24070 (Moteur électrique)</t>
        </is>
      </c>
      <c r="N1601" s="50" t="inlineStr">
        <is>
          <t>NON</t>
        </is>
      </c>
      <c r="O1601" s="45" t="inlineStr"/>
    </row>
    <row r="1602" customFormat="1" s="3">
      <c r="A1602" s="45" t="n"/>
      <c r="B1602" s="46" t="inlineStr">
        <is>
          <t>23646</t>
        </is>
      </c>
      <c r="C1602" s="46">
        <f>LEFT(Tableau1[[#This Row],[Formacode]],3)</f>
        <v/>
      </c>
      <c r="D1602" s="47" t="n">
        <v>39979</v>
      </c>
      <c r="E1602" s="48">
        <f>"RNCP"&amp;D1602</f>
        <v/>
      </c>
      <c r="F1602" s="48" t="inlineStr">
        <is>
          <t>CQP Technicien de maintenance de batteries de véhicules électriques</t>
        </is>
      </c>
      <c r="G1602" s="49">
        <f>E1602&amp;" - "&amp;F1602</f>
        <v/>
      </c>
      <c r="H1602" s="36" t="inlineStr">
        <is>
          <t>RAS</t>
        </is>
      </c>
      <c r="I1602" s="45" t="inlineStr"/>
      <c r="J1602" s="45" t="inlineStr">
        <is>
          <t>RNCP39979</t>
        </is>
      </c>
      <c r="K1602" s="45" t="inlineStr">
        <is>
          <t>CQP Technicien de maintenance de batteries de véhicules électriques</t>
        </is>
      </c>
      <c r="L1602" s="45" t="inlineStr">
        <is>
          <t>18/12/2027</t>
        </is>
      </c>
      <c r="M1602" s="45" t="inlineStr">
        <is>
          <t>23651 (Construction maintenance véhicule propre) ; 23637 (Mécanique automobile) ; 24070 (Moteur électrique)</t>
        </is>
      </c>
      <c r="N1602" s="50" t="inlineStr">
        <is>
          <t>NON</t>
        </is>
      </c>
      <c r="O1602" s="45" t="inlineStr"/>
    </row>
    <row r="1603" customFormat="1" s="3">
      <c r="A1603" s="45" t="n"/>
      <c r="B1603" s="46" t="inlineStr">
        <is>
          <t>23646</t>
        </is>
      </c>
      <c r="C1603" s="46">
        <f>LEFT(Tableau1[[#This Row],[Formacode]],3)</f>
        <v/>
      </c>
      <c r="D1603" s="47" t="n">
        <v>39984</v>
      </c>
      <c r="E1603" s="48">
        <f>"RNCP"&amp;D1603</f>
        <v/>
      </c>
      <c r="F1603" s="48" t="inlineStr">
        <is>
          <t>CQP Technicien démonteur de batteries de véhicules électriques</t>
        </is>
      </c>
      <c r="G1603" s="49">
        <f>E1603&amp;" - "&amp;F1603</f>
        <v/>
      </c>
      <c r="H1603" s="36" t="inlineStr">
        <is>
          <t>RAS</t>
        </is>
      </c>
      <c r="I1603" s="45" t="inlineStr"/>
      <c r="J1603" s="45" t="inlineStr">
        <is>
          <t>RNCP39984</t>
        </is>
      </c>
      <c r="K1603" s="45" t="inlineStr">
        <is>
          <t>CQP Technicien démonteur de batteries de véhicules électriques</t>
        </is>
      </c>
      <c r="L1603" s="45" t="inlineStr">
        <is>
          <t>18/12/2027</t>
        </is>
      </c>
      <c r="M1603" s="45" t="inlineStr">
        <is>
          <t>23651 (Construction maintenance véhicule propre) ; 23637 (Mécanique automobile) ; 24070 (Moteur électrique)</t>
        </is>
      </c>
      <c r="N1603" s="50" t="inlineStr">
        <is>
          <t>NON</t>
        </is>
      </c>
      <c r="O1603" s="45" t="inlineStr"/>
    </row>
    <row r="1604" customFormat="1" s="3">
      <c r="A1604" s="45" t="n"/>
      <c r="B1604" s="46" t="inlineStr">
        <is>
          <t>23646</t>
        </is>
      </c>
      <c r="C1604" s="46">
        <f>LEFT(Tableau1[[#This Row],[Formacode]],3)</f>
        <v/>
      </c>
      <c r="D1604" s="47" t="n">
        <v>40012</v>
      </c>
      <c r="E1604" s="48">
        <f>"RNCP"&amp;D1604</f>
        <v/>
      </c>
      <c r="F1604" s="48" t="inlineStr">
        <is>
          <t>BAC PRO - Construction et aménagement de véhicules</t>
        </is>
      </c>
      <c r="G1604" s="49">
        <f>E1604&amp;" - "&amp;F1604</f>
        <v/>
      </c>
      <c r="H1604" s="36" t="inlineStr">
        <is>
          <t>RAS</t>
        </is>
      </c>
      <c r="I1604" s="45" t="inlineStr"/>
      <c r="J1604" s="45" t="inlineStr">
        <is>
          <t>RNCP40012</t>
        </is>
      </c>
      <c r="K1604" s="45" t="inlineStr">
        <is>
          <t>Construction et aménagement de véhicules</t>
        </is>
      </c>
      <c r="L1604" s="45" t="inlineStr">
        <is>
          <t>31/08/2029</t>
        </is>
      </c>
      <c r="M1604" s="45" t="inlineStr">
        <is>
          <t>23617 (Carrosserie)</t>
        </is>
      </c>
      <c r="N1604" s="50" t="inlineStr">
        <is>
          <t>NON</t>
        </is>
      </c>
      <c r="O1604" s="45" t="inlineStr"/>
    </row>
    <row r="1605" customFormat="1" s="3">
      <c r="A1605" s="45" t="n"/>
      <c r="B1605" s="46" t="inlineStr">
        <is>
          <t>23646</t>
        </is>
      </c>
      <c r="C1605" s="46">
        <f>LEFT(Tableau1[[#This Row],[Formacode]],3)</f>
        <v/>
      </c>
      <c r="D1605" s="47" t="n">
        <v>40013</v>
      </c>
      <c r="E1605" s="48">
        <f>"RNCP"&amp;D1605</f>
        <v/>
      </c>
      <c r="F1605" s="48" t="inlineStr">
        <is>
          <t>CAP - Construction et aménagement de véhicules</t>
        </is>
      </c>
      <c r="G1605" s="49">
        <f>E1605&amp;" - "&amp;F1605</f>
        <v/>
      </c>
      <c r="H1605" s="36" t="inlineStr">
        <is>
          <t>RAS</t>
        </is>
      </c>
      <c r="I1605" s="45" t="inlineStr"/>
      <c r="J1605" s="45" t="inlineStr">
        <is>
          <t>RNCP40013</t>
        </is>
      </c>
      <c r="K1605" s="45" t="inlineStr">
        <is>
          <t>Construction et aménagement de véhicules</t>
        </is>
      </c>
      <c r="L1605" s="45" t="inlineStr">
        <is>
          <t>31/08/2029</t>
        </is>
      </c>
      <c r="M1605" s="45" t="inlineStr">
        <is>
          <t>23617 (Carrosserie)</t>
        </is>
      </c>
      <c r="N1605" s="50" t="inlineStr">
        <is>
          <t>NON</t>
        </is>
      </c>
      <c r="O1605" s="45" t="inlineStr"/>
    </row>
    <row r="1606" customFormat="1" s="3">
      <c r="A1606" s="45" t="n"/>
      <c r="B1606" s="46" t="inlineStr">
        <is>
          <t>23646</t>
        </is>
      </c>
      <c r="C1606" s="46">
        <f>LEFT(Tableau1[[#This Row],[Formacode]],3)</f>
        <v/>
      </c>
      <c r="D1606" s="47" t="n">
        <v>40029</v>
      </c>
      <c r="E1606" s="48">
        <f>"RNCP"&amp;D1606</f>
        <v/>
      </c>
      <c r="F1606" s="48" t="inlineStr">
        <is>
          <t>BTS - Construction et aménagement de véhicules</t>
        </is>
      </c>
      <c r="G1606" s="49">
        <f>E1606&amp;" - "&amp;F1606</f>
        <v/>
      </c>
      <c r="H1606" s="36" t="inlineStr">
        <is>
          <t>RAS</t>
        </is>
      </c>
      <c r="I1606" s="45" t="inlineStr"/>
      <c r="J1606" s="45" t="inlineStr">
        <is>
          <t>RNCP40029</t>
        </is>
      </c>
      <c r="K1606" s="45" t="inlineStr">
        <is>
          <t>Construction et aménagement de véhicules</t>
        </is>
      </c>
      <c r="L1606" s="45" t="inlineStr">
        <is>
          <t>31/08/2030</t>
        </is>
      </c>
      <c r="M1606" s="45" t="inlineStr">
        <is>
          <t>23657 (Aménagement véhicule automobile) ; 31676 (Bureau d'études) ; 23617 (Carrosserie)</t>
        </is>
      </c>
      <c r="N1606" s="50" t="inlineStr">
        <is>
          <t>NON</t>
        </is>
      </c>
      <c r="O1606" s="45" t="inlineStr"/>
    </row>
    <row r="1607" customFormat="1" s="3">
      <c r="A1607" s="45" t="n"/>
      <c r="B1607" s="46" t="inlineStr">
        <is>
          <t>23646</t>
        </is>
      </c>
      <c r="C1607" s="46">
        <f>LEFT(Tableau1[[#This Row],[Formacode]],3)</f>
        <v/>
      </c>
      <c r="D1607" s="47" t="n">
        <v>40838</v>
      </c>
      <c r="E1607" s="48">
        <f>"RNCP"&amp;D1607</f>
        <v/>
      </c>
      <c r="F1607" s="48" t="inlineStr">
        <is>
          <t>Technicien expert après-vente automobile</t>
        </is>
      </c>
      <c r="G1607" s="49">
        <f>E1607&amp;" - "&amp;F1607</f>
        <v/>
      </c>
      <c r="H1607" s="36" t="inlineStr">
        <is>
          <t>RAS</t>
        </is>
      </c>
      <c r="I1607" s="45" t="inlineStr"/>
      <c r="J1607" s="45" t="inlineStr">
        <is>
          <t>RNCP40838</t>
        </is>
      </c>
      <c r="K1607" s="45" t="inlineStr">
        <is>
          <t>Technicien expert après-vente automobile</t>
        </is>
      </c>
      <c r="L1607" s="45" t="inlineStr">
        <is>
          <t>25/06/2030</t>
        </is>
      </c>
      <c r="M1607" s="45" t="inlineStr">
        <is>
          <t>23637 (Mécanique automobile) ; 34027 (Service après-vente)</t>
        </is>
      </c>
      <c r="N1607" s="50" t="inlineStr">
        <is>
          <t>NON</t>
        </is>
      </c>
      <c r="O1607" s="45" t="inlineStr"/>
    </row>
    <row r="1608" customFormat="1" s="3">
      <c r="A1608" s="51" t="n"/>
      <c r="B1608" s="52" t="inlineStr">
        <is>
          <t>23646</t>
        </is>
      </c>
      <c r="C1608" s="52">
        <f>LEFT(Tableau1[[#This Row],[Formacode]],3)</f>
        <v/>
      </c>
      <c r="D1608" s="53" t="n">
        <v>40839</v>
      </c>
      <c r="E1608" s="54">
        <f>"RNCP"&amp;D1608</f>
        <v/>
      </c>
      <c r="F1608" s="54" t="inlineStr">
        <is>
          <t>CQP Technicien après-vente automobile</t>
        </is>
      </c>
      <c r="G1608" s="55">
        <f>E1608&amp;" - "&amp;F1608</f>
        <v/>
      </c>
      <c r="H1608" s="37" t="inlineStr">
        <is>
          <t>À vérifier</t>
        </is>
      </c>
      <c r="I1608" s="51" t="inlineStr">
        <is>
          <t>Intitulé officiel différent : « Technicien après-vente automobile »</t>
        </is>
      </c>
      <c r="J1608" s="51" t="inlineStr">
        <is>
          <t>RNCP40839</t>
        </is>
      </c>
      <c r="K1608" s="51" t="inlineStr">
        <is>
          <t>Technicien après-vente automobile</t>
        </is>
      </c>
      <c r="L1608" s="51" t="inlineStr">
        <is>
          <t>25/06/2030</t>
        </is>
      </c>
      <c r="M1608" s="51" t="inlineStr">
        <is>
          <t>23637 (Mécanique automobile)</t>
        </is>
      </c>
      <c r="N1608" s="62" t="inlineStr">
        <is>
          <t>NON</t>
        </is>
      </c>
      <c r="O1608" s="51" t="inlineStr"/>
    </row>
    <row r="1609" customFormat="1" s="3">
      <c r="A1609" s="45" t="n"/>
      <c r="B1609" s="46" t="inlineStr">
        <is>
          <t>23646</t>
        </is>
      </c>
      <c r="C1609" s="46">
        <f>LEFT(Tableau1[[#This Row],[Formacode]],3)</f>
        <v/>
      </c>
      <c r="D1609" s="47" t="n">
        <v>40840</v>
      </c>
      <c r="E1609" s="48">
        <f>"RNCP"&amp;D1609</f>
        <v/>
      </c>
      <c r="F1609" s="48" t="inlineStr">
        <is>
          <t>Mécanicien automobile</t>
        </is>
      </c>
      <c r="G1609" s="49">
        <f>E1609&amp;" - "&amp;F1609</f>
        <v/>
      </c>
      <c r="H1609" s="36" t="inlineStr">
        <is>
          <t>RAS</t>
        </is>
      </c>
      <c r="I1609" s="45" t="inlineStr"/>
      <c r="J1609" s="45" t="inlineStr">
        <is>
          <t>RNCP40840</t>
        </is>
      </c>
      <c r="K1609" s="45" t="inlineStr">
        <is>
          <t>Mécanicien automobile</t>
        </is>
      </c>
      <c r="L1609" s="45" t="inlineStr">
        <is>
          <t>25/06/2030</t>
        </is>
      </c>
      <c r="M1609" s="45" t="inlineStr">
        <is>
          <t>23637 (Mécanique automobile)</t>
        </is>
      </c>
      <c r="N1609" s="50" t="inlineStr">
        <is>
          <t>NON</t>
        </is>
      </c>
      <c r="O1609" s="45" t="inlineStr"/>
    </row>
    <row r="1610" ht="28.8" customFormat="1" customHeight="1" s="3">
      <c r="A1610" s="45" t="n"/>
      <c r="B1610" s="46" t="inlineStr">
        <is>
          <t>23646</t>
        </is>
      </c>
      <c r="C1610" s="46">
        <f>LEFT(Tableau1[[#This Row],[Formacode]],3)</f>
        <v/>
      </c>
      <c r="D1610" s="47" t="n">
        <v>40996</v>
      </c>
      <c r="E1610" s="48">
        <f>"RNCP"&amp;D1610</f>
        <v/>
      </c>
      <c r="F1610" s="48" t="inlineStr">
        <is>
          <t>BAC PRO - Maintenance des véhicules : Option : véhicules légers Option : véhicules de transport routier Option : motocycles</t>
        </is>
      </c>
      <c r="G1610" s="49">
        <f>E1610&amp;" - "&amp;F1610</f>
        <v/>
      </c>
      <c r="H1610" s="36" t="inlineStr">
        <is>
          <t>RAS</t>
        </is>
      </c>
      <c r="I1610" s="45" t="inlineStr"/>
      <c r="J1610" s="45" t="inlineStr">
        <is>
          <t>RNCP40996</t>
        </is>
      </c>
      <c r="K1610" s="45" t="inlineStr">
        <is>
          <t>Maintenance des véhicules : Option : véhicules légers Option : véhicules de transport routier Option : motocycles</t>
        </is>
      </c>
      <c r="L1610" s="45" t="inlineStr">
        <is>
          <t>31/08/2030</t>
        </is>
      </c>
      <c r="M1610" s="45" t="inlineStr">
        <is>
          <t>23637 (Mécanique automobile) ; 23615 (Réparation véhicule industriel) ; 23635 (Mécanique cycle motocycle)</t>
        </is>
      </c>
      <c r="N1610" s="50" t="inlineStr">
        <is>
          <t>NON</t>
        </is>
      </c>
      <c r="O1610" s="45" t="inlineStr"/>
    </row>
    <row r="1611" ht="28.8" customFormat="1" customHeight="1" s="3">
      <c r="A1611" s="45" t="n"/>
      <c r="B1611" s="46" t="inlineStr">
        <is>
          <t>23646</t>
        </is>
      </c>
      <c r="C1611" s="46">
        <f>LEFT(Tableau1[[#This Row],[Formacode]],3)</f>
        <v/>
      </c>
      <c r="D1611" s="47" t="n">
        <v>40997</v>
      </c>
      <c r="E1611" s="48">
        <f>"RNCP"&amp;D1611</f>
        <v/>
      </c>
      <c r="F1611" s="48" t="inlineStr">
        <is>
          <t>CAP - Maintenance des véhicules - Options : véhicules légers, véhicules de transport routier, motocycles</t>
        </is>
      </c>
      <c r="G1611" s="49">
        <f>E1611&amp;" - "&amp;F1611</f>
        <v/>
      </c>
      <c r="H1611" s="36" t="inlineStr">
        <is>
          <t>RAS</t>
        </is>
      </c>
      <c r="I1611" s="45" t="inlineStr"/>
      <c r="J1611" s="45" t="inlineStr">
        <is>
          <t>RNCP40997</t>
        </is>
      </c>
      <c r="K1611" s="45" t="inlineStr">
        <is>
          <t>Maintenance des véhicules - Options : véhicules légers, véhicules de transport routier, motocycles</t>
        </is>
      </c>
      <c r="L1611" s="45" t="inlineStr">
        <is>
          <t>31/08/2030</t>
        </is>
      </c>
      <c r="M1611" s="45" t="inlineStr">
        <is>
          <t>23637 (Mécanique automobile) ; 23615 (Réparation véhicule industriel) ; 23635 (Mécanique cycle motocycle)</t>
        </is>
      </c>
      <c r="N1611" s="50" t="inlineStr">
        <is>
          <t>NON</t>
        </is>
      </c>
      <c r="O1611" s="45" t="inlineStr"/>
    </row>
    <row r="1612" customFormat="1" s="3">
      <c r="A1612" s="45" t="n"/>
      <c r="B1612" s="46" t="inlineStr">
        <is>
          <t>23646</t>
        </is>
      </c>
      <c r="C1612" s="46">
        <f>LEFT(Tableau1[[#This Row],[Formacode]],3)</f>
        <v/>
      </c>
      <c r="D1612" s="47" t="n">
        <v>41431</v>
      </c>
      <c r="E1612" s="48">
        <f>"RNCP"&amp;D1612</f>
        <v/>
      </c>
      <c r="F1612" s="48" t="inlineStr">
        <is>
          <t>CQP Responsable de site des services multimarques de l’après-vente automobile</t>
        </is>
      </c>
      <c r="G1612" s="49">
        <f>E1612&amp;" - "&amp;F1612</f>
        <v/>
      </c>
      <c r="H1612" s="36" t="inlineStr">
        <is>
          <t>RAS</t>
        </is>
      </c>
      <c r="I1612" s="45" t="inlineStr"/>
      <c r="J1612" s="45" t="inlineStr">
        <is>
          <t>RNCP41431</t>
        </is>
      </c>
      <c r="K1612" s="45" t="inlineStr">
        <is>
          <t>CQP Responsable de site des services multimarques de l’après-vente automobile</t>
        </is>
      </c>
      <c r="L1612" s="45" t="inlineStr">
        <is>
          <t>27/10/2028</t>
        </is>
      </c>
      <c r="M1612" s="45" t="inlineStr">
        <is>
          <t>23637 (Mécanique automobile)</t>
        </is>
      </c>
      <c r="N1612" s="50" t="inlineStr">
        <is>
          <t>NON</t>
        </is>
      </c>
      <c r="O1612" s="45" t="inlineStr"/>
    </row>
    <row r="1613" customFormat="1" s="3">
      <c r="A1613" s="45" t="n"/>
      <c r="B1613" s="46" t="inlineStr">
        <is>
          <t>23646</t>
        </is>
      </c>
      <c r="C1613" s="46">
        <f>LEFT(Tableau1[[#This Row],[Formacode]],3)</f>
        <v/>
      </c>
      <c r="D1613" s="47" t="n">
        <v>41434</v>
      </c>
      <c r="E1613" s="48">
        <f>"RNCP"&amp;D1613</f>
        <v/>
      </c>
      <c r="F1613" s="48" t="inlineStr">
        <is>
          <t>CQP Responsable technique d’atelier véhicules légers</t>
        </is>
      </c>
      <c r="G1613" s="49">
        <f>E1613&amp;" - "&amp;F1613</f>
        <v/>
      </c>
      <c r="H1613" s="36" t="inlineStr">
        <is>
          <t>RAS</t>
        </is>
      </c>
      <c r="I1613" s="45" t="inlineStr"/>
      <c r="J1613" s="45" t="inlineStr">
        <is>
          <t>RNCP41434</t>
        </is>
      </c>
      <c r="K1613" s="45" t="inlineStr">
        <is>
          <t>CQP Responsable technique d’atelier véhicules légers</t>
        </is>
      </c>
      <c r="L1613" s="45" t="inlineStr">
        <is>
          <t>27/10/2028</t>
        </is>
      </c>
      <c r="M1613" s="45" t="inlineStr">
        <is>
          <t>23637 (Mécanique automobile)</t>
        </is>
      </c>
      <c r="N1613" s="50" t="inlineStr">
        <is>
          <t>NON</t>
        </is>
      </c>
      <c r="O1613" s="45" t="inlineStr"/>
    </row>
    <row r="1614" customFormat="1" s="3">
      <c r="A1614" s="45" t="n"/>
      <c r="B1614" s="46" t="inlineStr">
        <is>
          <t>23646</t>
        </is>
      </c>
      <c r="C1614" s="46">
        <f>LEFT(Tableau1[[#This Row],[Formacode]],3)</f>
        <v/>
      </c>
      <c r="D1614" s="47" t="n">
        <v>41464</v>
      </c>
      <c r="E1614" s="48">
        <f>"RNCP"&amp;D1614</f>
        <v/>
      </c>
      <c r="F1614" s="48" t="inlineStr">
        <is>
          <t>Technicien-vendeur cycles</t>
        </is>
      </c>
      <c r="G1614" s="49">
        <f>E1614&amp;" - "&amp;F1614</f>
        <v/>
      </c>
      <c r="H1614" s="36" t="inlineStr">
        <is>
          <t>RAS</t>
        </is>
      </c>
      <c r="I1614" s="45" t="inlineStr"/>
      <c r="J1614" s="45" t="inlineStr">
        <is>
          <t>RNCP41464</t>
        </is>
      </c>
      <c r="K1614" s="45" t="inlineStr">
        <is>
          <t>Technicien-vendeur cycles</t>
        </is>
      </c>
      <c r="L1614" s="45" t="inlineStr">
        <is>
          <t>27/10/2030</t>
        </is>
      </c>
      <c r="M1614" s="45" t="inlineStr">
        <is>
          <t>34554 (Commerce) ; 23654 (Mécanique construction réparation)</t>
        </is>
      </c>
      <c r="N1614" s="50" t="inlineStr">
        <is>
          <t>NON</t>
        </is>
      </c>
      <c r="O1614" s="45" t="inlineStr"/>
    </row>
    <row r="1615" customFormat="1" s="3">
      <c r="A1615" s="45" t="n"/>
      <c r="B1615" s="46" t="inlineStr">
        <is>
          <t>23646</t>
        </is>
      </c>
      <c r="C1615" s="46">
        <f>LEFT(Tableau1[[#This Row],[Formacode]],3)</f>
        <v/>
      </c>
      <c r="D1615" s="47" t="n">
        <v>41532</v>
      </c>
      <c r="E1615" s="48">
        <f>"RNCP"&amp;D1615</f>
        <v/>
      </c>
      <c r="F1615" s="48" t="inlineStr">
        <is>
          <t>TP - Carrossier réparateur</t>
        </is>
      </c>
      <c r="G1615" s="49">
        <f>E1615&amp;" - "&amp;F1615</f>
        <v/>
      </c>
      <c r="H1615" s="36" t="inlineStr">
        <is>
          <t>RAS</t>
        </is>
      </c>
      <c r="I1615" s="45" t="inlineStr"/>
      <c r="J1615" s="45" t="inlineStr">
        <is>
          <t>RNCP41532</t>
        </is>
      </c>
      <c r="K1615" s="45" t="inlineStr">
        <is>
          <t>Carrossier réparateur</t>
        </is>
      </c>
      <c r="L1615" s="45" t="inlineStr">
        <is>
          <t>03/10/2030</t>
        </is>
      </c>
      <c r="M1615" s="45" t="inlineStr">
        <is>
          <t>23617 (Carrosserie)</t>
        </is>
      </c>
      <c r="N1615" s="50" t="inlineStr">
        <is>
          <t>NON</t>
        </is>
      </c>
      <c r="O1615" s="45" t="inlineStr"/>
    </row>
    <row r="1616" customFormat="1" s="3">
      <c r="A1616" s="45" t="n"/>
      <c r="B1616" s="46" t="inlineStr">
        <is>
          <t>23646</t>
        </is>
      </c>
      <c r="C1616" s="46">
        <f>LEFT(Tableau1[[#This Row],[Formacode]],3)</f>
        <v/>
      </c>
      <c r="D1616" s="47" t="n">
        <v>41533</v>
      </c>
      <c r="E1616" s="48">
        <f>"RNCP"&amp;D1616</f>
        <v/>
      </c>
      <c r="F1616" s="48" t="inlineStr">
        <is>
          <t>TP - Peintre en carrosserie</t>
        </is>
      </c>
      <c r="G1616" s="49">
        <f>E1616&amp;" - "&amp;F1616</f>
        <v/>
      </c>
      <c r="H1616" s="36" t="inlineStr">
        <is>
          <t>RAS</t>
        </is>
      </c>
      <c r="I1616" s="45" t="inlineStr"/>
      <c r="J1616" s="45" t="inlineStr">
        <is>
          <t>RNCP41533</t>
        </is>
      </c>
      <c r="K1616" s="45" t="inlineStr">
        <is>
          <t>Peintre en carrosserie</t>
        </is>
      </c>
      <c r="L1616" s="45" t="inlineStr">
        <is>
          <t>07/10/2030</t>
        </is>
      </c>
      <c r="M1616" s="45" t="inlineStr">
        <is>
          <t>23607 (Peinture carrosserie) ; 23053 (Peinture industrielle)</t>
        </is>
      </c>
      <c r="N1616" s="50" t="inlineStr">
        <is>
          <t>NON</t>
        </is>
      </c>
      <c r="O1616" s="45" t="inlineStr"/>
    </row>
    <row r="1617" customFormat="1" s="3">
      <c r="A1617" s="45" t="n"/>
      <c r="B1617" s="46" t="inlineStr">
        <is>
          <t>23646</t>
        </is>
      </c>
      <c r="C1617" s="46">
        <f>LEFT(Tableau1[[#This Row],[Formacode]],3)</f>
        <v/>
      </c>
      <c r="D1617" s="47" t="n">
        <v>41639</v>
      </c>
      <c r="E1617" s="48">
        <f>"RNCP"&amp;D1617</f>
        <v/>
      </c>
      <c r="F1617" s="48" t="inlineStr">
        <is>
          <t>CQP Mécanicien de maintenance véhicules utilitaires et industriels</t>
        </is>
      </c>
      <c r="G1617" s="49">
        <f>E1617&amp;" - "&amp;F1617</f>
        <v/>
      </c>
      <c r="H1617" s="36" t="inlineStr">
        <is>
          <t>RAS</t>
        </is>
      </c>
      <c r="I1617" s="45" t="inlineStr"/>
      <c r="J1617" s="45" t="inlineStr">
        <is>
          <t>RNCP41639</t>
        </is>
      </c>
      <c r="K1617" s="45" t="inlineStr">
        <is>
          <t>CQP Mécanicien de maintenance véhicules utilitaires et industriels</t>
        </is>
      </c>
      <c r="L1617" s="45" t="inlineStr">
        <is>
          <t>27/11/2028</t>
        </is>
      </c>
      <c r="M1617" s="45" t="inlineStr">
        <is>
          <t>23637 (Mécanique automobile)</t>
        </is>
      </c>
      <c r="N1617" s="50" t="inlineStr">
        <is>
          <t>NON</t>
        </is>
      </c>
      <c r="O1617" s="45" t="inlineStr"/>
    </row>
    <row r="1618" customFormat="1" s="3">
      <c r="A1618" s="45" t="n"/>
      <c r="B1618" s="46" t="inlineStr">
        <is>
          <t>23646</t>
        </is>
      </c>
      <c r="C1618" s="46">
        <f>LEFT(Tableau1[[#This Row],[Formacode]],3)</f>
        <v/>
      </c>
      <c r="D1618" s="47" t="n">
        <v>41656</v>
      </c>
      <c r="E1618" s="48">
        <f>"RNCP"&amp;D1618</f>
        <v/>
      </c>
      <c r="F1618" s="48" t="inlineStr">
        <is>
          <t>CQP Mécanicien véhicules utilitaires et industriels</t>
        </is>
      </c>
      <c r="G1618" s="49">
        <f>E1618&amp;" - "&amp;F1618</f>
        <v/>
      </c>
      <c r="H1618" s="36" t="inlineStr">
        <is>
          <t>RAS</t>
        </is>
      </c>
      <c r="I1618" s="45" t="inlineStr"/>
      <c r="J1618" s="45" t="inlineStr">
        <is>
          <t>RNCP41656</t>
        </is>
      </c>
      <c r="K1618" s="45" t="inlineStr">
        <is>
          <t>CQP Mécanicien véhicules utilitaires et industriels</t>
        </is>
      </c>
      <c r="L1618" s="45" t="inlineStr">
        <is>
          <t>27/11/2028</t>
        </is>
      </c>
      <c r="M1618" s="45" t="inlineStr">
        <is>
          <t>23637 (Mécanique automobile)</t>
        </is>
      </c>
      <c r="N1618" s="50" t="inlineStr">
        <is>
          <t>NON</t>
        </is>
      </c>
      <c r="O1618" s="45" t="inlineStr"/>
    </row>
    <row r="1619" customFormat="1" s="3">
      <c r="A1619" s="45" t="n"/>
      <c r="B1619" s="46" t="inlineStr">
        <is>
          <t>23646</t>
        </is>
      </c>
      <c r="C1619" s="46">
        <f>LEFT(Tableau1[[#This Row],[Formacode]],3)</f>
        <v/>
      </c>
      <c r="D1619" s="47" t="n">
        <v>41657</v>
      </c>
      <c r="E1619" s="48">
        <f>"RNCP"&amp;D1619</f>
        <v/>
      </c>
      <c r="F1619" s="48" t="inlineStr">
        <is>
          <t>Technicien expert après-vente véhicules utilitaires et industriels</t>
        </is>
      </c>
      <c r="G1619" s="49">
        <f>E1619&amp;" - "&amp;F1619</f>
        <v/>
      </c>
      <c r="H1619" s="36" t="inlineStr">
        <is>
          <t>RAS</t>
        </is>
      </c>
      <c r="I1619" s="45" t="inlineStr"/>
      <c r="J1619" s="45" t="inlineStr">
        <is>
          <t>RNCP41657</t>
        </is>
      </c>
      <c r="K1619" s="45" t="inlineStr">
        <is>
          <t>Technicien expert après-vente véhicules utilitaires et industriels</t>
        </is>
      </c>
      <c r="L1619" s="45" t="inlineStr">
        <is>
          <t>27/11/2030</t>
        </is>
      </c>
      <c r="M1619" s="45" t="inlineStr">
        <is>
          <t>31604 (Maintenance corrective) ; 31603 (Maintenance préventive) ; 23637 (Mécanique automobile)</t>
        </is>
      </c>
      <c r="N1619" s="50" t="inlineStr">
        <is>
          <t>NON</t>
        </is>
      </c>
      <c r="O1619" s="45" t="inlineStr"/>
    </row>
    <row r="1620" customFormat="1" s="3">
      <c r="A1620" s="51" t="n"/>
      <c r="B1620" s="52" t="inlineStr">
        <is>
          <t>23651</t>
        </is>
      </c>
      <c r="C1620" s="52">
        <f>LEFT(Tableau1[[#This Row],[Formacode]],3)</f>
        <v/>
      </c>
      <c r="D1620" s="53" t="n">
        <v>36332</v>
      </c>
      <c r="E1620" s="54">
        <f>"RNCP"&amp;D1620</f>
        <v/>
      </c>
      <c r="F1620" s="54" t="inlineStr">
        <is>
          <t>CS - Maintenance des installations oléohydrauliques et pneumatiques</t>
        </is>
      </c>
      <c r="G1620" s="55">
        <f>E1620&amp;" - "&amp;F1620</f>
        <v/>
      </c>
      <c r="H1620" s="37" t="inlineStr">
        <is>
          <t>À vérifier</t>
        </is>
      </c>
      <c r="I1620" s="51" t="inlineStr">
        <is>
          <t>Successeur déjà publié : RNCP42136 (Maintenance des installations oléohydrauliques et pneumatiques) — préparer la bascule de l'offre CPF | Échéance le 31/08/2026 (dans 44 j)</t>
        </is>
      </c>
      <c r="J1620" s="51" t="inlineStr">
        <is>
          <t>RNCP42136</t>
        </is>
      </c>
      <c r="K1620" s="51" t="inlineStr">
        <is>
          <t>Maintenance des installations oléohydrauliques et pneumatiques</t>
        </is>
      </c>
      <c r="L1620" s="51" t="inlineStr">
        <is>
          <t>31/08/2026</t>
        </is>
      </c>
      <c r="M1620" s="51" t="inlineStr">
        <is>
          <t>23570 (Oléohydraulique) ; 23523 (Pneumatique) ; 24447 (Automatisme hydraulique) ; 24457 (Automatisme pneumatique) ; 23654 (Mécanique construction réparation)</t>
        </is>
      </c>
      <c r="N1620" s="62" t="inlineStr">
        <is>
          <t>NON</t>
        </is>
      </c>
      <c r="O1620" s="51" t="inlineStr"/>
    </row>
    <row r="1621" customFormat="1" s="3">
      <c r="A1621" s="45" t="n"/>
      <c r="B1621" s="46" t="inlineStr">
        <is>
          <t>23651</t>
        </is>
      </c>
      <c r="C1621" s="46">
        <f>LEFT(Tableau1[[#This Row],[Formacode]],3)</f>
        <v/>
      </c>
      <c r="D1621" s="47" t="n">
        <v>39952</v>
      </c>
      <c r="E1621" s="48">
        <f>"RNCP"&amp;D1621</f>
        <v/>
      </c>
      <c r="F1621" s="48" t="inlineStr">
        <is>
          <t>CQP Technicien expert de maintenance de batteries de véhicules électriques</t>
        </is>
      </c>
      <c r="G1621" s="49">
        <f>E1621&amp;" - "&amp;F1621</f>
        <v/>
      </c>
      <c r="H1621" s="36" t="inlineStr">
        <is>
          <t>RAS</t>
        </is>
      </c>
      <c r="I1621" s="45" t="inlineStr"/>
      <c r="J1621" s="45" t="inlineStr">
        <is>
          <t>RNCP39952</t>
        </is>
      </c>
      <c r="K1621" s="45" t="inlineStr">
        <is>
          <t>CQP Technicien expert de maintenance de batteries de véhicules électriques</t>
        </is>
      </c>
      <c r="L1621" s="45" t="inlineStr">
        <is>
          <t>18/12/2027</t>
        </is>
      </c>
      <c r="M1621" s="45" t="inlineStr">
        <is>
          <t>23651 (Construction maintenance véhicule propre) ; 23637 (Mécanique automobile) ; 24070 (Moteur électrique)</t>
        </is>
      </c>
      <c r="N1621" s="50" t="inlineStr">
        <is>
          <t>NON</t>
        </is>
      </c>
      <c r="O1621" s="45" t="inlineStr"/>
    </row>
    <row r="1622" customFormat="1" s="3">
      <c r="A1622" s="45" t="n"/>
      <c r="B1622" s="46" t="inlineStr">
        <is>
          <t>23651</t>
        </is>
      </c>
      <c r="C1622" s="46">
        <f>LEFT(Tableau1[[#This Row],[Formacode]],3)</f>
        <v/>
      </c>
      <c r="D1622" s="47" t="n">
        <v>39979</v>
      </c>
      <c r="E1622" s="48">
        <f>"RNCP"&amp;D1622</f>
        <v/>
      </c>
      <c r="F1622" s="48" t="inlineStr">
        <is>
          <t>CQP Technicien de maintenance de batteries de véhicules électriques</t>
        </is>
      </c>
      <c r="G1622" s="49">
        <f>E1622&amp;" - "&amp;F1622</f>
        <v/>
      </c>
      <c r="H1622" s="36" t="inlineStr">
        <is>
          <t>RAS</t>
        </is>
      </c>
      <c r="I1622" s="45" t="inlineStr"/>
      <c r="J1622" s="45" t="inlineStr">
        <is>
          <t>RNCP39979</t>
        </is>
      </c>
      <c r="K1622" s="45" t="inlineStr">
        <is>
          <t>CQP Technicien de maintenance de batteries de véhicules électriques</t>
        </is>
      </c>
      <c r="L1622" s="45" t="inlineStr">
        <is>
          <t>18/12/2027</t>
        </is>
      </c>
      <c r="M1622" s="45" t="inlineStr">
        <is>
          <t>23651 (Construction maintenance véhicule propre) ; 23637 (Mécanique automobile) ; 24070 (Moteur électrique)</t>
        </is>
      </c>
      <c r="N1622" s="50" t="inlineStr">
        <is>
          <t>NON</t>
        </is>
      </c>
      <c r="O1622" s="45" t="inlineStr"/>
    </row>
    <row r="1623" customFormat="1" s="3">
      <c r="A1623" s="45" t="n"/>
      <c r="B1623" s="46" t="inlineStr">
        <is>
          <t>23651</t>
        </is>
      </c>
      <c r="C1623" s="46">
        <f>LEFT(Tableau1[[#This Row],[Formacode]],3)</f>
        <v/>
      </c>
      <c r="D1623" s="47" t="n">
        <v>39984</v>
      </c>
      <c r="E1623" s="48">
        <f>"RNCP"&amp;D1623</f>
        <v/>
      </c>
      <c r="F1623" s="48" t="inlineStr">
        <is>
          <t>CQP Technicien démonteur de batteries de véhicules électriques</t>
        </is>
      </c>
      <c r="G1623" s="49">
        <f>E1623&amp;" - "&amp;F1623</f>
        <v/>
      </c>
      <c r="H1623" s="36" t="inlineStr">
        <is>
          <t>RAS</t>
        </is>
      </c>
      <c r="I1623" s="45" t="inlineStr"/>
      <c r="J1623" s="45" t="inlineStr">
        <is>
          <t>RNCP39984</t>
        </is>
      </c>
      <c r="K1623" s="45" t="inlineStr">
        <is>
          <t>CQP Technicien démonteur de batteries de véhicules électriques</t>
        </is>
      </c>
      <c r="L1623" s="45" t="inlineStr">
        <is>
          <t>18/12/2027</t>
        </is>
      </c>
      <c r="M1623" s="45" t="inlineStr">
        <is>
          <t>23651 (Construction maintenance véhicule propre) ; 23637 (Mécanique automobile) ; 24070 (Moteur électrique)</t>
        </is>
      </c>
      <c r="N1623" s="50" t="inlineStr">
        <is>
          <t>NON</t>
        </is>
      </c>
      <c r="O1623" s="45" t="inlineStr"/>
    </row>
    <row r="1624" customFormat="1" s="3">
      <c r="A1624" s="45" t="n"/>
      <c r="B1624" s="46" t="inlineStr">
        <is>
          <t>23651</t>
        </is>
      </c>
      <c r="C1624" s="46">
        <f>LEFT(Tableau1[[#This Row],[Formacode]],3)</f>
        <v/>
      </c>
      <c r="D1624" s="47" t="n">
        <v>41464</v>
      </c>
      <c r="E1624" s="48">
        <f>"RNCP"&amp;D1624</f>
        <v/>
      </c>
      <c r="F1624" s="48" t="inlineStr">
        <is>
          <t>Technicien-vendeur cycles</t>
        </is>
      </c>
      <c r="G1624" s="49">
        <f>E1624&amp;" - "&amp;F1624</f>
        <v/>
      </c>
      <c r="H1624" s="36" t="inlineStr">
        <is>
          <t>RAS</t>
        </is>
      </c>
      <c r="I1624" s="45" t="inlineStr"/>
      <c r="J1624" s="45" t="inlineStr">
        <is>
          <t>RNCP41464</t>
        </is>
      </c>
      <c r="K1624" s="45" t="inlineStr">
        <is>
          <t>Technicien-vendeur cycles</t>
        </is>
      </c>
      <c r="L1624" s="45" t="inlineStr">
        <is>
          <t>27/10/2030</t>
        </is>
      </c>
      <c r="M1624" s="45" t="inlineStr">
        <is>
          <t>34554 (Commerce) ; 23654 (Mécanique construction réparation)</t>
        </is>
      </c>
      <c r="N1624" s="50" t="inlineStr">
        <is>
          <t>NON</t>
        </is>
      </c>
      <c r="O1624" s="45" t="inlineStr"/>
    </row>
    <row r="1625" customFormat="1" s="3">
      <c r="A1625" s="51" t="n"/>
      <c r="B1625" s="52" t="inlineStr">
        <is>
          <t>23653</t>
        </is>
      </c>
      <c r="C1625" s="52">
        <f>LEFT(Tableau1[[#This Row],[Formacode]],3)</f>
        <v/>
      </c>
      <c r="D1625" s="53" t="n">
        <v>36332</v>
      </c>
      <c r="E1625" s="54">
        <f>"RNCP"&amp;D1625</f>
        <v/>
      </c>
      <c r="F1625" s="54" t="inlineStr">
        <is>
          <t>CS - Maintenance des installations oléohydrauliques et pneumatiques</t>
        </is>
      </c>
      <c r="G1625" s="55">
        <f>E1625&amp;" - "&amp;F1625</f>
        <v/>
      </c>
      <c r="H1625" s="37" t="inlineStr">
        <is>
          <t>À vérifier</t>
        </is>
      </c>
      <c r="I1625" s="51" t="inlineStr">
        <is>
          <t>Successeur déjà publié : RNCP42136 (Maintenance des installations oléohydrauliques et pneumatiques) — préparer la bascule de l'offre CPF | Échéance le 31/08/2026 (dans 44 j)</t>
        </is>
      </c>
      <c r="J1625" s="51" t="inlineStr">
        <is>
          <t>RNCP42136</t>
        </is>
      </c>
      <c r="K1625" s="51" t="inlineStr">
        <is>
          <t>Maintenance des installations oléohydrauliques et pneumatiques</t>
        </is>
      </c>
      <c r="L1625" s="51" t="inlineStr">
        <is>
          <t>31/08/2026</t>
        </is>
      </c>
      <c r="M1625" s="51" t="inlineStr">
        <is>
          <t>23570 (Oléohydraulique) ; 23523 (Pneumatique) ; 24447 (Automatisme hydraulique) ; 24457 (Automatisme pneumatique) ; 23654 (Mécanique construction réparation)</t>
        </is>
      </c>
      <c r="N1625" s="62" t="inlineStr">
        <is>
          <t>NON</t>
        </is>
      </c>
      <c r="O1625" s="51" t="inlineStr"/>
    </row>
    <row r="1626" customFormat="1" s="3">
      <c r="A1626" s="45" t="n"/>
      <c r="B1626" s="46" t="inlineStr">
        <is>
          <t>23653</t>
        </is>
      </c>
      <c r="C1626" s="46">
        <f>LEFT(Tableau1[[#This Row],[Formacode]],3)</f>
        <v/>
      </c>
      <c r="D1626" s="47" t="n">
        <v>41464</v>
      </c>
      <c r="E1626" s="48">
        <f>"RNCP"&amp;D1626</f>
        <v/>
      </c>
      <c r="F1626" s="48" t="inlineStr">
        <is>
          <t>Technicien-vendeur cycles</t>
        </is>
      </c>
      <c r="G1626" s="49">
        <f>E1626&amp;" - "&amp;F1626</f>
        <v/>
      </c>
      <c r="H1626" s="36" t="inlineStr">
        <is>
          <t>RAS</t>
        </is>
      </c>
      <c r="I1626" s="45" t="inlineStr"/>
      <c r="J1626" s="45" t="inlineStr">
        <is>
          <t>RNCP41464</t>
        </is>
      </c>
      <c r="K1626" s="45" t="inlineStr">
        <is>
          <t>Technicien-vendeur cycles</t>
        </is>
      </c>
      <c r="L1626" s="45" t="inlineStr">
        <is>
          <t>27/10/2030</t>
        </is>
      </c>
      <c r="M1626" s="45" t="inlineStr">
        <is>
          <t>34554 (Commerce) ; 23654 (Mécanique construction réparation)</t>
        </is>
      </c>
      <c r="N1626" s="50" t="inlineStr">
        <is>
          <t>NON</t>
        </is>
      </c>
      <c r="O1626" s="45" t="inlineStr"/>
    </row>
    <row r="1627" customFormat="1" s="3">
      <c r="A1627" s="51" t="n"/>
      <c r="B1627" s="52" t="inlineStr">
        <is>
          <t>23662</t>
        </is>
      </c>
      <c r="C1627" s="52">
        <f>LEFT(Tableau1[[#This Row],[Formacode]],3)</f>
        <v/>
      </c>
      <c r="D1627" s="53" t="n">
        <v>36332</v>
      </c>
      <c r="E1627" s="54">
        <f>"RNCP"&amp;D1627</f>
        <v/>
      </c>
      <c r="F1627" s="54" t="inlineStr">
        <is>
          <t>CS - Maintenance des installations oléohydrauliques et pneumatiques</t>
        </is>
      </c>
      <c r="G1627" s="55">
        <f>E1627&amp;" - "&amp;F1627</f>
        <v/>
      </c>
      <c r="H1627" s="37" t="inlineStr">
        <is>
          <t>À vérifier</t>
        </is>
      </c>
      <c r="I1627" s="51" t="inlineStr">
        <is>
          <t>Successeur déjà publié : RNCP42136 (Maintenance des installations oléohydrauliques et pneumatiques) — préparer la bascule de l'offre CPF | Échéance le 31/08/2026 (dans 44 j)</t>
        </is>
      </c>
      <c r="J1627" s="51" t="inlineStr">
        <is>
          <t>RNCP42136</t>
        </is>
      </c>
      <c r="K1627" s="51" t="inlineStr">
        <is>
          <t>Maintenance des installations oléohydrauliques et pneumatiques</t>
        </is>
      </c>
      <c r="L1627" s="51" t="inlineStr">
        <is>
          <t>31/08/2026</t>
        </is>
      </c>
      <c r="M1627" s="51" t="inlineStr">
        <is>
          <t>23570 (Oléohydraulique) ; 23523 (Pneumatique) ; 24447 (Automatisme hydraulique) ; 24457 (Automatisme pneumatique) ; 23654 (Mécanique construction réparation)</t>
        </is>
      </c>
      <c r="N1627" s="62" t="inlineStr">
        <is>
          <t>NON</t>
        </is>
      </c>
      <c r="O1627" s="51" t="inlineStr"/>
    </row>
    <row r="1628" customFormat="1" s="3">
      <c r="A1628" s="45" t="n"/>
      <c r="B1628" s="46" t="inlineStr">
        <is>
          <t>23662</t>
        </is>
      </c>
      <c r="C1628" s="46">
        <f>LEFT(Tableau1[[#This Row],[Formacode]],3)</f>
        <v/>
      </c>
      <c r="D1628" s="47" t="n">
        <v>37896</v>
      </c>
      <c r="E1628" s="48">
        <f>"RNCP"&amp;D1628</f>
        <v/>
      </c>
      <c r="F1628" s="48" t="inlineStr">
        <is>
          <t>CAP - Horlogerie</t>
        </is>
      </c>
      <c r="G1628" s="49">
        <f>E1628&amp;" - "&amp;F1628</f>
        <v/>
      </c>
      <c r="H1628" s="36" t="inlineStr">
        <is>
          <t>RAS</t>
        </is>
      </c>
      <c r="I1628" s="45" t="inlineStr"/>
      <c r="J1628" s="45" t="inlineStr">
        <is>
          <t>RNCP37896</t>
        </is>
      </c>
      <c r="K1628" s="45" t="inlineStr">
        <is>
          <t>Horlogerie</t>
        </is>
      </c>
      <c r="L1628" s="45" t="inlineStr">
        <is>
          <t>31/08/2028</t>
        </is>
      </c>
      <c r="M1628" s="45" t="inlineStr">
        <is>
          <t>23670 (Horlogerie)</t>
        </is>
      </c>
      <c r="N1628" s="50" t="inlineStr">
        <is>
          <t>NON</t>
        </is>
      </c>
      <c r="O1628" s="45" t="inlineStr"/>
    </row>
    <row r="1629" customFormat="1" s="3">
      <c r="A1629" s="45" t="n"/>
      <c r="B1629" s="46" t="inlineStr">
        <is>
          <t>23662</t>
        </is>
      </c>
      <c r="C1629" s="46">
        <f>LEFT(Tableau1[[#This Row],[Formacode]],3)</f>
        <v/>
      </c>
      <c r="D1629" s="47" t="n">
        <v>38304</v>
      </c>
      <c r="E1629" s="48">
        <f>"RNCP"&amp;D1629</f>
        <v/>
      </c>
      <c r="F1629" s="48" t="inlineStr">
        <is>
          <t>CS - Maquettes et prototypes</t>
        </is>
      </c>
      <c r="G1629" s="49">
        <f>E1629&amp;" - "&amp;F1629</f>
        <v/>
      </c>
      <c r="H1629" s="36" t="inlineStr">
        <is>
          <t>RAS</t>
        </is>
      </c>
      <c r="I1629" s="45" t="inlineStr"/>
      <c r="J1629" s="45" t="inlineStr">
        <is>
          <t>RNCP38304</t>
        </is>
      </c>
      <c r="K1629" s="45" t="inlineStr">
        <is>
          <t>Maquettes et prototypes</t>
        </is>
      </c>
      <c r="L1629" s="45" t="inlineStr">
        <is>
          <t>31/08/2028</t>
        </is>
      </c>
      <c r="M1629" s="45" t="inlineStr">
        <is>
          <t>23681 (Outillage) ; 31664 (Qualité gestion industrielle) ; 23646 (Construction automobile)</t>
        </is>
      </c>
      <c r="N1629" s="50" t="inlineStr">
        <is>
          <t>NON</t>
        </is>
      </c>
      <c r="O1629" s="45" t="inlineStr"/>
    </row>
    <row r="1630" customFormat="1" s="3">
      <c r="A1630" s="45" t="n"/>
      <c r="B1630" s="46" t="inlineStr">
        <is>
          <t>23662</t>
        </is>
      </c>
      <c r="C1630" s="46">
        <f>LEFT(Tableau1[[#This Row],[Formacode]],3)</f>
        <v/>
      </c>
      <c r="D1630" s="47" t="n">
        <v>38394</v>
      </c>
      <c r="E1630" s="48">
        <f>"RNCP"&amp;D1630</f>
        <v/>
      </c>
      <c r="F1630" s="48" t="inlineStr">
        <is>
          <t>CAP - Armurerie (fabrication et réparation)</t>
        </is>
      </c>
      <c r="G1630" s="49">
        <f>E1630&amp;" - "&amp;F1630</f>
        <v/>
      </c>
      <c r="H1630" s="36" t="inlineStr">
        <is>
          <t>RAS</t>
        </is>
      </c>
      <c r="I1630" s="45" t="inlineStr"/>
      <c r="J1630" s="45" t="inlineStr">
        <is>
          <t>RNCP38394</t>
        </is>
      </c>
      <c r="K1630" s="45" t="inlineStr">
        <is>
          <t>Armurerie (fabrication et réparation)</t>
        </is>
      </c>
      <c r="L1630" s="45" t="inlineStr">
        <is>
          <t>31/08/2028</t>
        </is>
      </c>
      <c r="M1630" s="45" t="inlineStr">
        <is>
          <t>23660 (Armurerie)</t>
        </is>
      </c>
      <c r="N1630" s="50" t="inlineStr">
        <is>
          <t>NON</t>
        </is>
      </c>
      <c r="O1630" s="45" t="inlineStr"/>
    </row>
    <row r="1631" customFormat="1" s="3">
      <c r="A1631" s="45" t="n"/>
      <c r="B1631" s="46" t="inlineStr">
        <is>
          <t>23662</t>
        </is>
      </c>
      <c r="C1631" s="46">
        <f>LEFT(Tableau1[[#This Row],[Formacode]],3)</f>
        <v/>
      </c>
      <c r="D1631" s="47" t="n">
        <v>38423</v>
      </c>
      <c r="E1631" s="48">
        <f>"RNCP"&amp;D1631</f>
        <v/>
      </c>
      <c r="F1631" s="48" t="inlineStr">
        <is>
          <t>BAC PRO - Microtechniques</t>
        </is>
      </c>
      <c r="G1631" s="49">
        <f>E1631&amp;" - "&amp;F1631</f>
        <v/>
      </c>
      <c r="H1631" s="36" t="inlineStr">
        <is>
          <t>RAS</t>
        </is>
      </c>
      <c r="I1631" s="45" t="inlineStr"/>
      <c r="J1631" s="45" t="inlineStr">
        <is>
          <t>RNCP38423</t>
        </is>
      </c>
      <c r="K1631" s="45" t="inlineStr">
        <is>
          <t>Microtechniques</t>
        </is>
      </c>
      <c r="L1631" s="45" t="inlineStr">
        <is>
          <t>31/12/2028</t>
        </is>
      </c>
      <c r="M1631" s="45" t="inlineStr">
        <is>
          <t>23661 (Mécanique précision)</t>
        </is>
      </c>
      <c r="N1631" s="50" t="inlineStr">
        <is>
          <t>NON</t>
        </is>
      </c>
      <c r="O1631" s="45" t="inlineStr"/>
    </row>
    <row r="1632" customFormat="1" s="3">
      <c r="A1632" s="45" t="n"/>
      <c r="B1632" s="46" t="inlineStr">
        <is>
          <t>23662</t>
        </is>
      </c>
      <c r="C1632" s="46">
        <f>LEFT(Tableau1[[#This Row],[Formacode]],3)</f>
        <v/>
      </c>
      <c r="D1632" s="47" t="n">
        <v>38743</v>
      </c>
      <c r="E1632" s="48">
        <f>"RNCP"&amp;D1632</f>
        <v/>
      </c>
      <c r="F1632" s="48" t="inlineStr">
        <is>
          <t>BTS - Conception et industrialisation en microtechniques</t>
        </is>
      </c>
      <c r="G1632" s="49">
        <f>E1632&amp;" - "&amp;F1632</f>
        <v/>
      </c>
      <c r="H1632" s="36" t="inlineStr">
        <is>
          <t>RAS</t>
        </is>
      </c>
      <c r="I1632" s="45" t="inlineStr"/>
      <c r="J1632" s="45" t="inlineStr">
        <is>
          <t>RNCP38743</t>
        </is>
      </c>
      <c r="K1632" s="45" t="inlineStr">
        <is>
          <t>Conception et industrialisation en microtechniques</t>
        </is>
      </c>
      <c r="L1632" s="45" t="inlineStr">
        <is>
          <t>31/12/2028</t>
        </is>
      </c>
      <c r="M1632" s="45" t="inlineStr">
        <is>
          <t>23661 (Mécanique précision) ; 31676 (Bureau d'études) ; 31629 (Bureau des méthodes)</t>
        </is>
      </c>
      <c r="N1632" s="50" t="inlineStr">
        <is>
          <t>NON</t>
        </is>
      </c>
      <c r="O1632" s="45" t="inlineStr"/>
    </row>
    <row r="1633" customFormat="1" s="3">
      <c r="A1633" s="45" t="n"/>
      <c r="B1633" s="46" t="inlineStr">
        <is>
          <t>23662</t>
        </is>
      </c>
      <c r="C1633" s="46">
        <f>LEFT(Tableau1[[#This Row],[Formacode]],3)</f>
        <v/>
      </c>
      <c r="D1633" s="47" t="n">
        <v>38900</v>
      </c>
      <c r="E1633" s="48">
        <f>"RNCP"&amp;D1633</f>
        <v/>
      </c>
      <c r="F1633" s="48" t="inlineStr">
        <is>
          <t>CQP Ajusteur monteur d’outillages de production</t>
        </is>
      </c>
      <c r="G1633" s="49">
        <f>E1633&amp;" - "&amp;F1633</f>
        <v/>
      </c>
      <c r="H1633" s="36" t="inlineStr">
        <is>
          <t>RAS</t>
        </is>
      </c>
      <c r="I1633" s="45" t="inlineStr"/>
      <c r="J1633" s="45" t="inlineStr">
        <is>
          <t>RNCP38900</t>
        </is>
      </c>
      <c r="K1633" s="45" t="inlineStr">
        <is>
          <t>CQP Ajusteur monteur d’outillages de production</t>
        </is>
      </c>
      <c r="L1633" s="45" t="inlineStr">
        <is>
          <t>26/04/2029</t>
        </is>
      </c>
      <c r="M1633" s="45" t="inlineStr">
        <is>
          <t>31632 (Productique) ; 23681 (Outillage) ; 23035 (Montage assemblage) ; 23096 (Ajustage)</t>
        </is>
      </c>
      <c r="N1633" s="50" t="inlineStr">
        <is>
          <t>NON</t>
        </is>
      </c>
      <c r="O1633" s="45" t="inlineStr"/>
    </row>
    <row r="1634" customFormat="1" s="3">
      <c r="A1634" s="45" t="n"/>
      <c r="B1634" s="46" t="inlineStr">
        <is>
          <t>23662</t>
        </is>
      </c>
      <c r="C1634" s="46">
        <f>LEFT(Tableau1[[#This Row],[Formacode]],3)</f>
        <v/>
      </c>
      <c r="D1634" s="47" t="n">
        <v>39007</v>
      </c>
      <c r="E1634" s="48">
        <f>"RNCP"&amp;D1634</f>
        <v/>
      </c>
      <c r="F1634" s="48" t="inlineStr">
        <is>
          <t>TP - Technicien de maintenance d'engins et de matériels de chantier et de manutention</t>
        </is>
      </c>
      <c r="G1634" s="49">
        <f>E1634&amp;" - "&amp;F1634</f>
        <v/>
      </c>
      <c r="H1634" s="36" t="inlineStr">
        <is>
          <t>RAS</t>
        </is>
      </c>
      <c r="I1634" s="45" t="inlineStr"/>
      <c r="J1634" s="45" t="inlineStr">
        <is>
          <t>RNCP39007</t>
        </is>
      </c>
      <c r="K1634" s="45" t="inlineStr">
        <is>
          <t>Technicien de maintenance d'engins et de matériels de chantier et de manutention</t>
        </is>
      </c>
      <c r="L1634" s="45" t="inlineStr">
        <is>
          <t>23/03/2029</t>
        </is>
      </c>
      <c r="M1634" s="45" t="inlineStr">
        <is>
          <t>22286 (Matériel chantier) ; 23523 (Pneumatique) ; 31717 (Engin chantier) ; 31736 (Réparation engin manutention) ; 23652 (Transmission mécanique)</t>
        </is>
      </c>
      <c r="N1634" s="50" t="inlineStr">
        <is>
          <t>NON</t>
        </is>
      </c>
      <c r="O1634" s="45" t="inlineStr"/>
    </row>
    <row r="1635" customFormat="1" s="3">
      <c r="A1635" s="45" t="n"/>
      <c r="B1635" s="46" t="inlineStr">
        <is>
          <t>23662</t>
        </is>
      </c>
      <c r="C1635" s="46">
        <f>LEFT(Tableau1[[#This Row],[Formacode]],3)</f>
        <v/>
      </c>
      <c r="D1635" s="47" t="n">
        <v>39083</v>
      </c>
      <c r="E1635" s="48">
        <f>"RNCP"&amp;D1635</f>
        <v/>
      </c>
      <c r="F1635" s="48" t="inlineStr">
        <is>
          <t>TP - Monteur qualifié d'équipements industriels</t>
        </is>
      </c>
      <c r="G1635" s="49">
        <f>E1635&amp;" - "&amp;F1635</f>
        <v/>
      </c>
      <c r="H1635" s="36" t="inlineStr">
        <is>
          <t>RAS</t>
        </is>
      </c>
      <c r="I1635" s="45" t="inlineStr"/>
      <c r="J1635" s="45" t="inlineStr">
        <is>
          <t>RNCP39083</t>
        </is>
      </c>
      <c r="K1635" s="45" t="inlineStr">
        <is>
          <t>Monteur qualifié d'équipements industriels</t>
        </is>
      </c>
      <c r="L1635" s="45" t="inlineStr">
        <is>
          <t>09/06/2029</t>
        </is>
      </c>
      <c r="M1635" s="45" t="inlineStr">
        <is>
          <t>23662 (Construction mécanique) ; 23035 (Montage assemblage)</t>
        </is>
      </c>
      <c r="N1635" s="50" t="inlineStr">
        <is>
          <t>NON</t>
        </is>
      </c>
      <c r="O1635" s="45" t="inlineStr"/>
    </row>
    <row r="1636" customFormat="1" s="3">
      <c r="A1636" s="45" t="n"/>
      <c r="B1636" s="46" t="inlineStr">
        <is>
          <t>23662</t>
        </is>
      </c>
      <c r="C1636" s="46">
        <f>LEFT(Tableau1[[#This Row],[Formacode]],3)</f>
        <v/>
      </c>
      <c r="D1636" s="47" t="n">
        <v>39179</v>
      </c>
      <c r="E1636" s="48">
        <f>"RNCP"&amp;D1636</f>
        <v/>
      </c>
      <c r="F1636" s="48" t="inlineStr">
        <is>
          <t>TP - Horloger</t>
        </is>
      </c>
      <c r="G1636" s="49">
        <f>E1636&amp;" - "&amp;F1636</f>
        <v/>
      </c>
      <c r="H1636" s="36" t="inlineStr">
        <is>
          <t>RAS</t>
        </is>
      </c>
      <c r="I1636" s="45" t="inlineStr"/>
      <c r="J1636" s="45" t="inlineStr">
        <is>
          <t>RNCP39179</t>
        </is>
      </c>
      <c r="K1636" s="45" t="inlineStr">
        <is>
          <t>Horloger</t>
        </is>
      </c>
      <c r="L1636" s="45" t="inlineStr">
        <is>
          <t>06/10/2029</t>
        </is>
      </c>
      <c r="M1636" s="45" t="inlineStr">
        <is>
          <t>23670 (Horlogerie)</t>
        </is>
      </c>
      <c r="N1636" s="50" t="inlineStr">
        <is>
          <t>NON</t>
        </is>
      </c>
      <c r="O1636" s="45" t="inlineStr"/>
    </row>
    <row r="1637" customFormat="1" s="3">
      <c r="A1637" s="45" t="n"/>
      <c r="B1637" s="46" t="inlineStr">
        <is>
          <t>23662</t>
        </is>
      </c>
      <c r="C1637" s="46">
        <f>LEFT(Tableau1[[#This Row],[Formacode]],3)</f>
        <v/>
      </c>
      <c r="D1637" s="47" t="n">
        <v>39724</v>
      </c>
      <c r="E1637" s="48">
        <f>"RNCP"&amp;D1637</f>
        <v/>
      </c>
      <c r="F1637" s="48" t="inlineStr">
        <is>
          <t>CQP Régleur ressortier</t>
        </is>
      </c>
      <c r="G1637" s="49">
        <f>E1637&amp;" - "&amp;F1637</f>
        <v/>
      </c>
      <c r="H1637" s="36" t="inlineStr">
        <is>
          <t>RAS</t>
        </is>
      </c>
      <c r="I1637" s="45" t="inlineStr"/>
      <c r="J1637" s="45" t="inlineStr">
        <is>
          <t>RNCP39724</t>
        </is>
      </c>
      <c r="K1637" s="45" t="inlineStr">
        <is>
          <t>CQP Régleur ressortier</t>
        </is>
      </c>
      <c r="L1637" s="45" t="inlineStr">
        <is>
          <t>31/10/2029</t>
        </is>
      </c>
      <c r="M1637" s="45" t="inlineStr">
        <is>
          <t>23673 (Ressort)</t>
        </is>
      </c>
      <c r="N1637" s="50" t="inlineStr">
        <is>
          <t>NON</t>
        </is>
      </c>
      <c r="O1637" s="45" t="inlineStr"/>
    </row>
    <row r="1638" customFormat="1" s="3">
      <c r="A1638" s="45" t="n"/>
      <c r="B1638" s="46" t="inlineStr">
        <is>
          <t>23662</t>
        </is>
      </c>
      <c r="C1638" s="46">
        <f>LEFT(Tableau1[[#This Row],[Formacode]],3)</f>
        <v/>
      </c>
      <c r="D1638" s="47" t="n">
        <v>39939</v>
      </c>
      <c r="E1638" s="48">
        <f>"RNCP"&amp;D1638</f>
        <v/>
      </c>
      <c r="F1638" s="48" t="inlineStr">
        <is>
          <t>CAP - Instruments coupants et de chirurgie</t>
        </is>
      </c>
      <c r="G1638" s="49">
        <f>E1638&amp;" - "&amp;F1638</f>
        <v/>
      </c>
      <c r="H1638" s="36" t="inlineStr">
        <is>
          <t>RAS</t>
        </is>
      </c>
      <c r="I1638" s="45" t="inlineStr"/>
      <c r="J1638" s="45" t="inlineStr">
        <is>
          <t>RNCP39939</t>
        </is>
      </c>
      <c r="K1638" s="45" t="inlineStr">
        <is>
          <t>Instruments coupants et de chirurgie</t>
        </is>
      </c>
      <c r="L1638" s="45" t="inlineStr">
        <is>
          <t>31/08/2028</t>
        </is>
      </c>
      <c r="M1638" s="45" t="inlineStr">
        <is>
          <t>23074 (Traitement thermique) ; 23690 (Coutellerie taillanderie) ; 23661 (Mécanique précision)</t>
        </is>
      </c>
      <c r="N1638" s="50" t="inlineStr">
        <is>
          <t>NON</t>
        </is>
      </c>
      <c r="O1638" s="45" t="inlineStr"/>
    </row>
    <row r="1639" ht="28.8" customFormat="1" customHeight="1" s="3">
      <c r="A1639" s="45" t="n"/>
      <c r="B1639" s="46" t="inlineStr">
        <is>
          <t>23662</t>
        </is>
      </c>
      <c r="C1639" s="46">
        <f>LEFT(Tableau1[[#This Row],[Formacode]],3)</f>
        <v/>
      </c>
      <c r="D1639" s="47" t="n">
        <v>41015</v>
      </c>
      <c r="E1639" s="48">
        <f>"RNCP"&amp;D1639</f>
        <v/>
      </c>
      <c r="F1639" s="48" t="inlineStr">
        <is>
          <t>BAC PRO - Technicien en réalisation de produits mécaniques, option réalisation et suivi de productions, option réalisation et maintenance des outillages</t>
        </is>
      </c>
      <c r="G1639" s="49">
        <f>E1639&amp;" - "&amp;F1639</f>
        <v/>
      </c>
      <c r="H1639" s="36" t="inlineStr">
        <is>
          <t>RAS</t>
        </is>
      </c>
      <c r="I1639" s="45" t="inlineStr"/>
      <c r="J1639" s="45" t="inlineStr">
        <is>
          <t>RNCP41015</t>
        </is>
      </c>
      <c r="K1639" s="45" t="inlineStr">
        <is>
          <t>Technicien en réalisation de produits mécaniques, option réalisation et suivi de productions, option réalisation et maintenance des outillages</t>
        </is>
      </c>
      <c r="L1639" s="45" t="inlineStr">
        <is>
          <t>31/08/2030</t>
        </is>
      </c>
      <c r="M1639" s="45" t="inlineStr">
        <is>
          <t>31632 (Productique) ; 31624 (Maintenance industrielle) ; 23681 (Outillage) ; 23076 (Usinage)</t>
        </is>
      </c>
      <c r="N1639" s="50" t="inlineStr">
        <is>
          <t>NON</t>
        </is>
      </c>
      <c r="O1639" s="45" t="inlineStr"/>
    </row>
    <row r="1640" customFormat="1" s="3">
      <c r="A1640" s="45" t="n"/>
      <c r="B1640" s="46" t="inlineStr">
        <is>
          <t>23662</t>
        </is>
      </c>
      <c r="C1640" s="46">
        <f>LEFT(Tableau1[[#This Row],[Formacode]],3)</f>
        <v/>
      </c>
      <c r="D1640" s="47" t="n">
        <v>41458</v>
      </c>
      <c r="E1640" s="48">
        <f>"RNCP"&amp;D1640</f>
        <v/>
      </c>
      <c r="F1640" s="48" t="inlineStr">
        <is>
          <t>CQP Outilleur de forme – moules et matrices</t>
        </is>
      </c>
      <c r="G1640" s="49">
        <f>E1640&amp;" - "&amp;F1640</f>
        <v/>
      </c>
      <c r="H1640" s="36" t="inlineStr">
        <is>
          <t>RAS</t>
        </is>
      </c>
      <c r="I1640" s="45" t="inlineStr"/>
      <c r="J1640" s="45" t="inlineStr">
        <is>
          <t>RNCP41458</t>
        </is>
      </c>
      <c r="K1640" s="45" t="inlineStr">
        <is>
          <t>CQP Outilleur de forme – moules et matrices</t>
        </is>
      </c>
      <c r="L1640" s="45" t="inlineStr">
        <is>
          <t>27/10/2030</t>
        </is>
      </c>
      <c r="M1640" s="45" t="inlineStr">
        <is>
          <t>23681 (Outillage)</t>
        </is>
      </c>
      <c r="N1640" s="50" t="inlineStr">
        <is>
          <t>NON</t>
        </is>
      </c>
      <c r="O1640" s="45" t="inlineStr"/>
    </row>
    <row r="1641" customFormat="1" s="3">
      <c r="A1641" s="45" t="n"/>
      <c r="B1641" s="46" t="inlineStr">
        <is>
          <t>23662</t>
        </is>
      </c>
      <c r="C1641" s="46">
        <f>LEFT(Tableau1[[#This Row],[Formacode]],3)</f>
        <v/>
      </c>
      <c r="D1641" s="47" t="n">
        <v>41464</v>
      </c>
      <c r="E1641" s="48">
        <f>"RNCP"&amp;D1641</f>
        <v/>
      </c>
      <c r="F1641" s="48" t="inlineStr">
        <is>
          <t>Technicien-vendeur cycles</t>
        </is>
      </c>
      <c r="G1641" s="49">
        <f>E1641&amp;" - "&amp;F1641</f>
        <v/>
      </c>
      <c r="H1641" s="36" t="inlineStr">
        <is>
          <t>RAS</t>
        </is>
      </c>
      <c r="I1641" s="45" t="inlineStr"/>
      <c r="J1641" s="45" t="inlineStr">
        <is>
          <t>RNCP41464</t>
        </is>
      </c>
      <c r="K1641" s="45" t="inlineStr">
        <is>
          <t>Technicien-vendeur cycles</t>
        </is>
      </c>
      <c r="L1641" s="45" t="inlineStr">
        <is>
          <t>27/10/2030</t>
        </is>
      </c>
      <c r="M1641" s="45" t="inlineStr">
        <is>
          <t>34554 (Commerce) ; 23654 (Mécanique construction réparation)</t>
        </is>
      </c>
      <c r="N1641" s="50" t="inlineStr">
        <is>
          <t>NON</t>
        </is>
      </c>
      <c r="O1641" s="45" t="inlineStr"/>
    </row>
    <row r="1642" customFormat="1" s="3">
      <c r="A1642" s="51" t="n"/>
      <c r="B1642" s="52" t="inlineStr">
        <is>
          <t>23663</t>
        </is>
      </c>
      <c r="C1642" s="52">
        <f>LEFT(Tableau1[[#This Row],[Formacode]],3)</f>
        <v/>
      </c>
      <c r="D1642" s="53" t="n">
        <v>36332</v>
      </c>
      <c r="E1642" s="54">
        <f>"RNCP"&amp;D1642</f>
        <v/>
      </c>
      <c r="F1642" s="54" t="inlineStr">
        <is>
          <t>CS - Maintenance des installations oléohydrauliques et pneumatiques</t>
        </is>
      </c>
      <c r="G1642" s="55">
        <f>E1642&amp;" - "&amp;F1642</f>
        <v/>
      </c>
      <c r="H1642" s="37" t="inlineStr">
        <is>
          <t>À vérifier</t>
        </is>
      </c>
      <c r="I1642" s="51" t="inlineStr">
        <is>
          <t>Successeur déjà publié : RNCP42136 (Maintenance des installations oléohydrauliques et pneumatiques) — préparer la bascule de l'offre CPF | Échéance le 31/08/2026 (dans 44 j)</t>
        </is>
      </c>
      <c r="J1642" s="51" t="inlineStr">
        <is>
          <t>RNCP42136</t>
        </is>
      </c>
      <c r="K1642" s="51" t="inlineStr">
        <is>
          <t>Maintenance des installations oléohydrauliques et pneumatiques</t>
        </is>
      </c>
      <c r="L1642" s="51" t="inlineStr">
        <is>
          <t>31/08/2026</t>
        </is>
      </c>
      <c r="M1642" s="51" t="inlineStr">
        <is>
          <t>23570 (Oléohydraulique) ; 23523 (Pneumatique) ; 24447 (Automatisme hydraulique) ; 24457 (Automatisme pneumatique) ; 23654 (Mécanique construction réparation)</t>
        </is>
      </c>
      <c r="N1642" s="62" t="inlineStr">
        <is>
          <t>NON</t>
        </is>
      </c>
      <c r="O1642" s="51" t="inlineStr"/>
    </row>
    <row r="1643" customFormat="1" s="3">
      <c r="A1643" s="45" t="n"/>
      <c r="B1643" s="46" t="inlineStr">
        <is>
          <t>23663</t>
        </is>
      </c>
      <c r="C1643" s="46">
        <f>LEFT(Tableau1[[#This Row],[Formacode]],3)</f>
        <v/>
      </c>
      <c r="D1643" s="47" t="n">
        <v>41464</v>
      </c>
      <c r="E1643" s="48">
        <f>"RNCP"&amp;D1643</f>
        <v/>
      </c>
      <c r="F1643" s="48" t="inlineStr">
        <is>
          <t>Technicien-vendeur cycles</t>
        </is>
      </c>
      <c r="G1643" s="49">
        <f>E1643&amp;" - "&amp;F1643</f>
        <v/>
      </c>
      <c r="H1643" s="36" t="inlineStr">
        <is>
          <t>RAS</t>
        </is>
      </c>
      <c r="I1643" s="45" t="inlineStr"/>
      <c r="J1643" s="45" t="inlineStr">
        <is>
          <t>RNCP41464</t>
        </is>
      </c>
      <c r="K1643" s="45" t="inlineStr">
        <is>
          <t>Technicien-vendeur cycles</t>
        </is>
      </c>
      <c r="L1643" s="45" t="inlineStr">
        <is>
          <t>27/10/2030</t>
        </is>
      </c>
      <c r="M1643" s="45" t="inlineStr">
        <is>
          <t>34554 (Commerce) ; 23654 (Mécanique construction réparation)</t>
        </is>
      </c>
      <c r="N1643" s="50" t="inlineStr">
        <is>
          <t>NON</t>
        </is>
      </c>
      <c r="O1643" s="45" t="inlineStr"/>
    </row>
    <row r="1644" customFormat="1" s="3">
      <c r="A1644" s="51" t="n"/>
      <c r="B1644" s="52" t="inlineStr">
        <is>
          <t>23675</t>
        </is>
      </c>
      <c r="C1644" s="52">
        <f>LEFT(Tableau1[[#This Row],[Formacode]],3)</f>
        <v/>
      </c>
      <c r="D1644" s="53" t="n">
        <v>36332</v>
      </c>
      <c r="E1644" s="54">
        <f>"RNCP"&amp;D1644</f>
        <v/>
      </c>
      <c r="F1644" s="54" t="inlineStr">
        <is>
          <t>CS - Maintenance des installations oléohydrauliques et pneumatiques</t>
        </is>
      </c>
      <c r="G1644" s="55">
        <f>E1644&amp;" - "&amp;F1644</f>
        <v/>
      </c>
      <c r="H1644" s="37" t="inlineStr">
        <is>
          <t>À vérifier</t>
        </is>
      </c>
      <c r="I1644" s="51" t="inlineStr">
        <is>
          <t>Successeur déjà publié : RNCP42136 (Maintenance des installations oléohydrauliques et pneumatiques) — préparer la bascule de l'offre CPF | Échéance le 31/08/2026 (dans 44 j)</t>
        </is>
      </c>
      <c r="J1644" s="51" t="inlineStr">
        <is>
          <t>RNCP42136</t>
        </is>
      </c>
      <c r="K1644" s="51" t="inlineStr">
        <is>
          <t>Maintenance des installations oléohydrauliques et pneumatiques</t>
        </is>
      </c>
      <c r="L1644" s="51" t="inlineStr">
        <is>
          <t>31/08/2026</t>
        </is>
      </c>
      <c r="M1644" s="51" t="inlineStr">
        <is>
          <t>23570 (Oléohydraulique) ; 23523 (Pneumatique) ; 24447 (Automatisme hydraulique) ; 24457 (Automatisme pneumatique) ; 23654 (Mécanique construction réparation)</t>
        </is>
      </c>
      <c r="N1644" s="62" t="inlineStr">
        <is>
          <t>NON</t>
        </is>
      </c>
      <c r="O1644" s="51" t="inlineStr"/>
    </row>
    <row r="1645" customFormat="1" s="3">
      <c r="A1645" s="45" t="n"/>
      <c r="B1645" s="46" t="inlineStr">
        <is>
          <t>23675</t>
        </is>
      </c>
      <c r="C1645" s="46">
        <f>LEFT(Tableau1[[#This Row],[Formacode]],3)</f>
        <v/>
      </c>
      <c r="D1645" s="47" t="n">
        <v>41464</v>
      </c>
      <c r="E1645" s="48">
        <f>"RNCP"&amp;D1645</f>
        <v/>
      </c>
      <c r="F1645" s="48" t="inlineStr">
        <is>
          <t>Technicien-vendeur cycles</t>
        </is>
      </c>
      <c r="G1645" s="49">
        <f>E1645&amp;" - "&amp;F1645</f>
        <v/>
      </c>
      <c r="H1645" s="36" t="inlineStr">
        <is>
          <t>RAS</t>
        </is>
      </c>
      <c r="I1645" s="45" t="inlineStr"/>
      <c r="J1645" s="45" t="inlineStr">
        <is>
          <t>RNCP41464</t>
        </is>
      </c>
      <c r="K1645" s="45" t="inlineStr">
        <is>
          <t>Technicien-vendeur cycles</t>
        </is>
      </c>
      <c r="L1645" s="45" t="inlineStr">
        <is>
          <t>27/10/2030</t>
        </is>
      </c>
      <c r="M1645" s="45" t="inlineStr">
        <is>
          <t>34554 (Commerce) ; 23654 (Mécanique construction réparation)</t>
        </is>
      </c>
      <c r="N1645" s="50" t="inlineStr">
        <is>
          <t>NON</t>
        </is>
      </c>
      <c r="O1645" s="45" t="inlineStr"/>
    </row>
    <row r="1646" customFormat="1" s="3">
      <c r="A1646" s="51" t="n"/>
      <c r="B1646" s="52" t="inlineStr">
        <is>
          <t>23677</t>
        </is>
      </c>
      <c r="C1646" s="52">
        <f>LEFT(Tableau1[[#This Row],[Formacode]],3)</f>
        <v/>
      </c>
      <c r="D1646" s="53" t="n">
        <v>36332</v>
      </c>
      <c r="E1646" s="54">
        <f>"RNCP"&amp;D1646</f>
        <v/>
      </c>
      <c r="F1646" s="54" t="inlineStr">
        <is>
          <t>CS - Maintenance des installations oléohydrauliques et pneumatiques</t>
        </is>
      </c>
      <c r="G1646" s="55">
        <f>E1646&amp;" - "&amp;F1646</f>
        <v/>
      </c>
      <c r="H1646" s="37" t="inlineStr">
        <is>
          <t>À vérifier</t>
        </is>
      </c>
      <c r="I1646" s="51" t="inlineStr">
        <is>
          <t>Successeur déjà publié : RNCP42136 (Maintenance des installations oléohydrauliques et pneumatiques) — préparer la bascule de l'offre CPF | Échéance le 31/08/2026 (dans 44 j)</t>
        </is>
      </c>
      <c r="J1646" s="51" t="inlineStr">
        <is>
          <t>RNCP42136</t>
        </is>
      </c>
      <c r="K1646" s="51" t="inlineStr">
        <is>
          <t>Maintenance des installations oléohydrauliques et pneumatiques</t>
        </is>
      </c>
      <c r="L1646" s="51" t="inlineStr">
        <is>
          <t>31/08/2026</t>
        </is>
      </c>
      <c r="M1646" s="51" t="inlineStr">
        <is>
          <t>23570 (Oléohydraulique) ; 23523 (Pneumatique) ; 24447 (Automatisme hydraulique) ; 24457 (Automatisme pneumatique) ; 23654 (Mécanique construction réparation)</t>
        </is>
      </c>
      <c r="N1646" s="62" t="inlineStr">
        <is>
          <t>NON</t>
        </is>
      </c>
      <c r="O1646" s="51" t="inlineStr"/>
    </row>
    <row r="1647" customFormat="1" s="3">
      <c r="A1647" s="45" t="n"/>
      <c r="B1647" s="46" t="inlineStr">
        <is>
          <t>23677</t>
        </is>
      </c>
      <c r="C1647" s="46">
        <f>LEFT(Tableau1[[#This Row],[Formacode]],3)</f>
        <v/>
      </c>
      <c r="D1647" s="47" t="n">
        <v>36966</v>
      </c>
      <c r="E1647" s="48">
        <f>"RNCP"&amp;D1647</f>
        <v/>
      </c>
      <c r="F1647" s="48" t="inlineStr">
        <is>
          <t>BTS - Motorisations toutes énergies</t>
        </is>
      </c>
      <c r="G1647" s="49">
        <f>E1647&amp;" - "&amp;F1647</f>
        <v/>
      </c>
      <c r="H1647" s="36" t="inlineStr">
        <is>
          <t>RAS</t>
        </is>
      </c>
      <c r="I1647" s="45" t="inlineStr"/>
      <c r="J1647" s="45" t="inlineStr">
        <is>
          <t>RNCP36966</t>
        </is>
      </c>
      <c r="K1647" s="45" t="inlineStr">
        <is>
          <t>Motorisations toutes énergies</t>
        </is>
      </c>
      <c r="L1647" s="45" t="inlineStr">
        <is>
          <t>31/08/2027</t>
        </is>
      </c>
      <c r="M1647" s="45" t="inlineStr">
        <is>
          <t>23677 (Moteur) ; 31754 (Manutention) ; 11452 (Thermodynamique)</t>
        </is>
      </c>
      <c r="N1647" s="50" t="inlineStr">
        <is>
          <t>NON</t>
        </is>
      </c>
      <c r="O1647" s="45" t="inlineStr"/>
    </row>
    <row r="1648" customFormat="1" s="3">
      <c r="A1648" s="45" t="n"/>
      <c r="B1648" s="46" t="inlineStr">
        <is>
          <t>23677</t>
        </is>
      </c>
      <c r="C1648" s="46">
        <f>LEFT(Tableau1[[#This Row],[Formacode]],3)</f>
        <v/>
      </c>
      <c r="D1648" s="47" t="n">
        <v>41464</v>
      </c>
      <c r="E1648" s="48">
        <f>"RNCP"&amp;D1648</f>
        <v/>
      </c>
      <c r="F1648" s="48" t="inlineStr">
        <is>
          <t>Technicien-vendeur cycles</t>
        </is>
      </c>
      <c r="G1648" s="49">
        <f>E1648&amp;" - "&amp;F1648</f>
        <v/>
      </c>
      <c r="H1648" s="36" t="inlineStr">
        <is>
          <t>RAS</t>
        </is>
      </c>
      <c r="I1648" s="45" t="inlineStr"/>
      <c r="J1648" s="45" t="inlineStr">
        <is>
          <t>RNCP41464</t>
        </is>
      </c>
      <c r="K1648" s="45" t="inlineStr">
        <is>
          <t>Technicien-vendeur cycles</t>
        </is>
      </c>
      <c r="L1648" s="45" t="inlineStr">
        <is>
          <t>27/10/2030</t>
        </is>
      </c>
      <c r="M1648" s="45" t="inlineStr">
        <is>
          <t>34554 (Commerce) ; 23654 (Mécanique construction réparation)</t>
        </is>
      </c>
      <c r="N1648" s="50" t="inlineStr">
        <is>
          <t>NON</t>
        </is>
      </c>
      <c r="O1648" s="45" t="inlineStr"/>
    </row>
    <row r="1649" customFormat="1" s="3">
      <c r="A1649" s="51" t="n"/>
      <c r="B1649" s="52" t="inlineStr">
        <is>
          <t>23684</t>
        </is>
      </c>
      <c r="C1649" s="52">
        <f>LEFT(Tableau1[[#This Row],[Formacode]],3)</f>
        <v/>
      </c>
      <c r="D1649" s="53" t="n">
        <v>36332</v>
      </c>
      <c r="E1649" s="54">
        <f>"RNCP"&amp;D1649</f>
        <v/>
      </c>
      <c r="F1649" s="54" t="inlineStr">
        <is>
          <t>CS - Maintenance des installations oléohydrauliques et pneumatiques</t>
        </is>
      </c>
      <c r="G1649" s="55">
        <f>E1649&amp;" - "&amp;F1649</f>
        <v/>
      </c>
      <c r="H1649" s="37" t="inlineStr">
        <is>
          <t>À vérifier</t>
        </is>
      </c>
      <c r="I1649" s="51" t="inlineStr">
        <is>
          <t>Successeur déjà publié : RNCP42136 (Maintenance des installations oléohydrauliques et pneumatiques) — préparer la bascule de l'offre CPF | Échéance le 31/08/2026 (dans 44 j)</t>
        </is>
      </c>
      <c r="J1649" s="51" t="inlineStr">
        <is>
          <t>RNCP42136</t>
        </is>
      </c>
      <c r="K1649" s="51" t="inlineStr">
        <is>
          <t>Maintenance des installations oléohydrauliques et pneumatiques</t>
        </is>
      </c>
      <c r="L1649" s="51" t="inlineStr">
        <is>
          <t>31/08/2026</t>
        </is>
      </c>
      <c r="M1649" s="51" t="inlineStr">
        <is>
          <t>23570 (Oléohydraulique) ; 23523 (Pneumatique) ; 24447 (Automatisme hydraulique) ; 24457 (Automatisme pneumatique) ; 23654 (Mécanique construction réparation)</t>
        </is>
      </c>
      <c r="N1649" s="62" t="inlineStr">
        <is>
          <t>NON</t>
        </is>
      </c>
      <c r="O1649" s="51" t="inlineStr"/>
    </row>
    <row r="1650" customFormat="1" s="3">
      <c r="A1650" s="45" t="n"/>
      <c r="B1650" s="46" t="inlineStr">
        <is>
          <t>23684</t>
        </is>
      </c>
      <c r="C1650" s="46">
        <f>LEFT(Tableau1[[#This Row],[Formacode]],3)</f>
        <v/>
      </c>
      <c r="D1650" s="47" t="n">
        <v>37276</v>
      </c>
      <c r="E1650" s="48">
        <f>"RNCP"&amp;D1650</f>
        <v/>
      </c>
      <c r="F1650" s="48" t="inlineStr">
        <is>
          <t>TP - Electromécanicien de maintenance industrielle</t>
        </is>
      </c>
      <c r="G1650" s="49">
        <f>E1650&amp;" - "&amp;F1650</f>
        <v/>
      </c>
      <c r="H1650" s="36" t="inlineStr">
        <is>
          <t>RAS</t>
        </is>
      </c>
      <c r="I1650" s="45" t="inlineStr"/>
      <c r="J1650" s="45" t="inlineStr">
        <is>
          <t>RNCP37276</t>
        </is>
      </c>
      <c r="K1650" s="45" t="inlineStr">
        <is>
          <t>Electromécanicien de maintenance industrielle</t>
        </is>
      </c>
      <c r="L1650" s="45" t="inlineStr">
        <is>
          <t>22/02/2028</t>
        </is>
      </c>
      <c r="M1650" s="45" t="inlineStr">
        <is>
          <t>31624 (Maintenance industrielle) ; 23684 (Entretien mécanique industrielle) ; 24069 (Maintenance installation électrique) ; 24052 (Électromécanique)</t>
        </is>
      </c>
      <c r="N1650" s="50" t="inlineStr">
        <is>
          <t>NON</t>
        </is>
      </c>
      <c r="O1650" s="45" t="inlineStr"/>
    </row>
    <row r="1651" customFormat="1" s="3">
      <c r="A1651" s="45" t="n"/>
      <c r="B1651" s="46" t="inlineStr">
        <is>
          <t>23684</t>
        </is>
      </c>
      <c r="C1651" s="46">
        <f>LEFT(Tableau1[[#This Row],[Formacode]],3)</f>
        <v/>
      </c>
      <c r="D1651" s="47" t="n">
        <v>41464</v>
      </c>
      <c r="E1651" s="48">
        <f>"RNCP"&amp;D1651</f>
        <v/>
      </c>
      <c r="F1651" s="48" t="inlineStr">
        <is>
          <t>Technicien-vendeur cycles</t>
        </is>
      </c>
      <c r="G1651" s="49">
        <f>E1651&amp;" - "&amp;F1651</f>
        <v/>
      </c>
      <c r="H1651" s="36" t="inlineStr">
        <is>
          <t>RAS</t>
        </is>
      </c>
      <c r="I1651" s="45" t="inlineStr"/>
      <c r="J1651" s="45" t="inlineStr">
        <is>
          <t>RNCP41464</t>
        </is>
      </c>
      <c r="K1651" s="45" t="inlineStr">
        <is>
          <t>Technicien-vendeur cycles</t>
        </is>
      </c>
      <c r="L1651" s="45" t="inlineStr">
        <is>
          <t>27/10/2030</t>
        </is>
      </c>
      <c r="M1651" s="45" t="inlineStr">
        <is>
          <t>34554 (Commerce) ; 23654 (Mécanique construction réparation)</t>
        </is>
      </c>
      <c r="N1651" s="50" t="inlineStr">
        <is>
          <t>NON</t>
        </is>
      </c>
      <c r="O1651" s="45" t="inlineStr"/>
    </row>
    <row r="1652" customFormat="1" s="3">
      <c r="A1652" s="51" t="n"/>
      <c r="B1652" s="52" t="inlineStr">
        <is>
          <t>23692</t>
        </is>
      </c>
      <c r="C1652" s="52">
        <f>LEFT(Tableau1[[#This Row],[Formacode]],3)</f>
        <v/>
      </c>
      <c r="D1652" s="53" t="n">
        <v>36332</v>
      </c>
      <c r="E1652" s="54">
        <f>"RNCP"&amp;D1652</f>
        <v/>
      </c>
      <c r="F1652" s="54" t="inlineStr">
        <is>
          <t>CS - Maintenance des installations oléohydrauliques et pneumatiques</t>
        </is>
      </c>
      <c r="G1652" s="55">
        <f>E1652&amp;" - "&amp;F1652</f>
        <v/>
      </c>
      <c r="H1652" s="37" t="inlineStr">
        <is>
          <t>À vérifier</t>
        </is>
      </c>
      <c r="I1652" s="51" t="inlineStr">
        <is>
          <t>Successeur déjà publié : RNCP42136 (Maintenance des installations oléohydrauliques et pneumatiques) — préparer la bascule de l'offre CPF | Échéance le 31/08/2026 (dans 44 j)</t>
        </is>
      </c>
      <c r="J1652" s="51" t="inlineStr">
        <is>
          <t>RNCP42136</t>
        </is>
      </c>
      <c r="K1652" s="51" t="inlineStr">
        <is>
          <t>Maintenance des installations oléohydrauliques et pneumatiques</t>
        </is>
      </c>
      <c r="L1652" s="51" t="inlineStr">
        <is>
          <t>31/08/2026</t>
        </is>
      </c>
      <c r="M1652" s="51" t="inlineStr">
        <is>
          <t>23570 (Oléohydraulique) ; 23523 (Pneumatique) ; 24447 (Automatisme hydraulique) ; 24457 (Automatisme pneumatique) ; 23654 (Mécanique construction réparation)</t>
        </is>
      </c>
      <c r="N1652" s="62" t="inlineStr">
        <is>
          <t>NON</t>
        </is>
      </c>
      <c r="O1652" s="51" t="inlineStr"/>
    </row>
    <row r="1653" customFormat="1" s="3">
      <c r="A1653" s="45" t="n"/>
      <c r="B1653" s="46" t="inlineStr">
        <is>
          <t>23692</t>
        </is>
      </c>
      <c r="C1653" s="46">
        <f>LEFT(Tableau1[[#This Row],[Formacode]],3)</f>
        <v/>
      </c>
      <c r="D1653" s="47" t="n">
        <v>37317</v>
      </c>
      <c r="E1653" s="48">
        <f>"RNCP"&amp;D1653</f>
        <v/>
      </c>
      <c r="F1653" s="48" t="inlineStr">
        <is>
          <t>TP - Technicien supérieur en conception industrielle de systèmes mécaniques</t>
        </is>
      </c>
      <c r="G1653" s="49">
        <f>E1653&amp;" - "&amp;F1653</f>
        <v/>
      </c>
      <c r="H1653" s="36" t="inlineStr">
        <is>
          <t>RAS</t>
        </is>
      </c>
      <c r="I1653" s="45" t="inlineStr"/>
      <c r="J1653" s="45" t="inlineStr">
        <is>
          <t>RNCP37317</t>
        </is>
      </c>
      <c r="K1653" s="45" t="inlineStr">
        <is>
          <t>Technicien supérieur en conception industrielle de systèmes mécaniques</t>
        </is>
      </c>
      <c r="L1653" s="45" t="inlineStr">
        <is>
          <t>20/01/2028</t>
        </is>
      </c>
      <c r="M1653" s="45" t="inlineStr">
        <is>
          <t>23692 (Dessin construction mécanique) ; 31676 (Bureau d'études)</t>
        </is>
      </c>
      <c r="N1653" s="50" t="inlineStr">
        <is>
          <t>NON</t>
        </is>
      </c>
      <c r="O1653" s="45" t="inlineStr"/>
    </row>
    <row r="1654" customFormat="1" s="3">
      <c r="A1654" s="45" t="n"/>
      <c r="B1654" s="46" t="inlineStr">
        <is>
          <t>23692</t>
        </is>
      </c>
      <c r="C1654" s="46">
        <f>LEFT(Tableau1[[#This Row],[Formacode]],3)</f>
        <v/>
      </c>
      <c r="D1654" s="47" t="n">
        <v>40215</v>
      </c>
      <c r="E1654" s="48">
        <f>"RNCP"&amp;D1654</f>
        <v/>
      </c>
      <c r="F1654" s="48" t="inlineStr">
        <is>
          <t>TP - Technicien d'études en mécanique</t>
        </is>
      </c>
      <c r="G1654" s="49">
        <f>E1654&amp;" - "&amp;F1654</f>
        <v/>
      </c>
      <c r="H1654" s="36" t="inlineStr">
        <is>
          <t>RAS</t>
        </is>
      </c>
      <c r="I1654" s="45" t="inlineStr"/>
      <c r="J1654" s="45" t="inlineStr">
        <is>
          <t>RNCP40215</t>
        </is>
      </c>
      <c r="K1654" s="45" t="inlineStr">
        <is>
          <t>Technicien d'études en mécanique</t>
        </is>
      </c>
      <c r="L1654" s="45" t="inlineStr">
        <is>
          <t>15/03/2028</t>
        </is>
      </c>
      <c r="M1654" s="45" t="inlineStr">
        <is>
          <t>23692 (Dessin construction mécanique) ; 31676 (Bureau d'études)</t>
        </is>
      </c>
      <c r="N1654" s="50" t="inlineStr">
        <is>
          <t>NON</t>
        </is>
      </c>
      <c r="O1654" s="45" t="inlineStr"/>
    </row>
    <row r="1655" customFormat="1" s="3">
      <c r="A1655" s="45" t="n"/>
      <c r="B1655" s="46" t="inlineStr">
        <is>
          <t>23692</t>
        </is>
      </c>
      <c r="C1655" s="46">
        <f>LEFT(Tableau1[[#This Row],[Formacode]],3)</f>
        <v/>
      </c>
      <c r="D1655" s="47" t="n">
        <v>41334</v>
      </c>
      <c r="E1655" s="48">
        <f>"RNCP"&amp;D1655</f>
        <v/>
      </c>
      <c r="F1655" s="48" t="inlineStr">
        <is>
          <t>CQP Dessinateur d’études industrielles</t>
        </is>
      </c>
      <c r="G1655" s="49">
        <f>E1655&amp;" - "&amp;F1655</f>
        <v/>
      </c>
      <c r="H1655" s="36" t="inlineStr">
        <is>
          <t>RAS</t>
        </is>
      </c>
      <c r="I1655" s="45" t="inlineStr"/>
      <c r="J1655" s="45" t="inlineStr">
        <is>
          <t>RNCP41334</t>
        </is>
      </c>
      <c r="K1655" s="45" t="inlineStr">
        <is>
          <t>CQP Dessinateur d’études industrielles</t>
        </is>
      </c>
      <c r="L1655" s="45" t="inlineStr">
        <is>
          <t>24/09/2030</t>
        </is>
      </c>
      <c r="M1655" s="45" t="inlineStr">
        <is>
          <t>31686 (Dessin industriel) ; 22398 (Dessin construction) ; 23692 (Dessin construction mécanique) ; 31684 (CAO)</t>
        </is>
      </c>
      <c r="N1655" s="50" t="inlineStr">
        <is>
          <t>NON</t>
        </is>
      </c>
      <c r="O1655" s="45" t="inlineStr"/>
    </row>
    <row r="1656" customFormat="1" s="3">
      <c r="A1656" s="45" t="n"/>
      <c r="B1656" s="46" t="inlineStr">
        <is>
          <t>23692</t>
        </is>
      </c>
      <c r="C1656" s="46">
        <f>LEFT(Tableau1[[#This Row],[Formacode]],3)</f>
        <v/>
      </c>
      <c r="D1656" s="47" t="n">
        <v>41464</v>
      </c>
      <c r="E1656" s="48">
        <f>"RNCP"&amp;D1656</f>
        <v/>
      </c>
      <c r="F1656" s="48" t="inlineStr">
        <is>
          <t>Technicien-vendeur cycles</t>
        </is>
      </c>
      <c r="G1656" s="49">
        <f>E1656&amp;" - "&amp;F1656</f>
        <v/>
      </c>
      <c r="H1656" s="36" t="inlineStr">
        <is>
          <t>RAS</t>
        </is>
      </c>
      <c r="I1656" s="45" t="inlineStr"/>
      <c r="J1656" s="45" t="inlineStr">
        <is>
          <t>RNCP41464</t>
        </is>
      </c>
      <c r="K1656" s="45" t="inlineStr">
        <is>
          <t>Technicien-vendeur cycles</t>
        </is>
      </c>
      <c r="L1656" s="45" t="inlineStr">
        <is>
          <t>27/10/2030</t>
        </is>
      </c>
      <c r="M1656" s="45" t="inlineStr">
        <is>
          <t>34554 (Commerce) ; 23654 (Mécanique construction réparation)</t>
        </is>
      </c>
      <c r="N1656" s="50" t="inlineStr">
        <is>
          <t>NON</t>
        </is>
      </c>
      <c r="O1656" s="45" t="inlineStr"/>
    </row>
    <row r="1657" customFormat="1" s="3">
      <c r="A1657" s="45" t="n"/>
      <c r="B1657" s="46" t="inlineStr">
        <is>
          <t>24016</t>
        </is>
      </c>
      <c r="C1657" s="46">
        <f>LEFT(Tableau1[[#This Row],[Formacode]],3)</f>
        <v/>
      </c>
      <c r="D1657" s="47" t="n">
        <v>36171</v>
      </c>
      <c r="E1657" s="48">
        <f>"RNCP"&amp;D1657</f>
        <v/>
      </c>
      <c r="F1657" s="48" t="inlineStr">
        <is>
          <t>TP - Agent d'assemblage et de maintenance de batteries d'accumulateurs</t>
        </is>
      </c>
      <c r="G1657" s="49">
        <f>E1657&amp;" - "&amp;F1657</f>
        <v/>
      </c>
      <c r="H1657" s="36" t="inlineStr">
        <is>
          <t>RAS</t>
        </is>
      </c>
      <c r="I1657" s="45" t="inlineStr"/>
      <c r="J1657" s="45" t="inlineStr">
        <is>
          <t>RNCP36171</t>
        </is>
      </c>
      <c r="K1657" s="45" t="inlineStr">
        <is>
          <t>Agent d'assemblage et de maintenance de batteries d'accumulateurs</t>
        </is>
      </c>
      <c r="L1657" s="45" t="inlineStr">
        <is>
          <t>30/01/2027</t>
        </is>
      </c>
      <c r="M1657" s="45" t="inlineStr">
        <is>
          <t>24322 (Montage câblage électronique) ; 24069 (Maintenance installation électrique) ; 24016 (Montage câblage électrique)</t>
        </is>
      </c>
      <c r="N1657" s="50" t="inlineStr">
        <is>
          <t>NON</t>
        </is>
      </c>
      <c r="O1657" s="45" t="inlineStr"/>
    </row>
    <row r="1658" customFormat="1" s="3">
      <c r="A1658" s="45" t="n"/>
      <c r="B1658" s="46" t="inlineStr">
        <is>
          <t>24016</t>
        </is>
      </c>
      <c r="C1658" s="46">
        <f>LEFT(Tableau1[[#This Row],[Formacode]],3)</f>
        <v/>
      </c>
      <c r="D1658" s="47" t="n">
        <v>36869</v>
      </c>
      <c r="E1658" s="48">
        <f>"RNCP"&amp;D1658</f>
        <v/>
      </c>
      <c r="F1658" s="48" t="inlineStr">
        <is>
          <t>CQP Monteur câbleur en équipements électriques</t>
        </is>
      </c>
      <c r="G1658" s="49">
        <f>E1658&amp;" - "&amp;F1658</f>
        <v/>
      </c>
      <c r="H1658" s="36" t="inlineStr">
        <is>
          <t>RAS</t>
        </is>
      </c>
      <c r="I1658" s="45" t="inlineStr"/>
      <c r="J1658" s="45" t="inlineStr">
        <is>
          <t>RNCP36869</t>
        </is>
      </c>
      <c r="K1658" s="45" t="inlineStr">
        <is>
          <t>CQP Monteur câbleur en équipements électriques</t>
        </is>
      </c>
      <c r="L1658" s="45" t="inlineStr">
        <is>
          <t>29/09/2027</t>
        </is>
      </c>
      <c r="M1658" s="45" t="inlineStr">
        <is>
          <t>24016 (Montage câblage électrique)</t>
        </is>
      </c>
      <c r="N1658" s="50" t="inlineStr">
        <is>
          <t>NON</t>
        </is>
      </c>
      <c r="O1658" s="45" t="inlineStr"/>
    </row>
    <row r="1659" customFormat="1" s="3">
      <c r="A1659" s="45" t="n"/>
      <c r="B1659" s="46" t="inlineStr">
        <is>
          <t>24016</t>
        </is>
      </c>
      <c r="C1659" s="46">
        <f>LEFT(Tableau1[[#This Row],[Formacode]],3)</f>
        <v/>
      </c>
      <c r="D1659" s="47" t="n">
        <v>37400</v>
      </c>
      <c r="E1659" s="48">
        <f>"RNCP"&amp;D1659</f>
        <v/>
      </c>
      <c r="F1659" s="48" t="inlineStr">
        <is>
          <t>TP - Monteur câbleur en aéronautique</t>
        </is>
      </c>
      <c r="G1659" s="49">
        <f>E1659&amp;" - "&amp;F1659</f>
        <v/>
      </c>
      <c r="H1659" s="36" t="inlineStr">
        <is>
          <t>RAS</t>
        </is>
      </c>
      <c r="I1659" s="45" t="inlineStr"/>
      <c r="J1659" s="45" t="inlineStr">
        <is>
          <t>RNCP37400</t>
        </is>
      </c>
      <c r="K1659" s="45" t="inlineStr">
        <is>
          <t>Monteur câbleur en aéronautique</t>
        </is>
      </c>
      <c r="L1659" s="45" t="inlineStr">
        <is>
          <t>29/04/2028</t>
        </is>
      </c>
      <c r="M1659" s="45" t="inlineStr">
        <is>
          <t>24016 (Montage câblage électrique)</t>
        </is>
      </c>
      <c r="N1659" s="50" t="inlineStr">
        <is>
          <t>NON</t>
        </is>
      </c>
      <c r="O1659" s="45" t="inlineStr"/>
    </row>
    <row r="1660" customFormat="1" s="3">
      <c r="A1660" s="45" t="n"/>
      <c r="B1660" s="46" t="inlineStr">
        <is>
          <t>24016</t>
        </is>
      </c>
      <c r="C1660" s="46">
        <f>LEFT(Tableau1[[#This Row],[Formacode]],3)</f>
        <v/>
      </c>
      <c r="D1660" s="47" t="n">
        <v>37531</v>
      </c>
      <c r="E1660" s="48">
        <f>"RNCP"&amp;D1660</f>
        <v/>
      </c>
      <c r="F1660" s="48" t="inlineStr">
        <is>
          <t>Installateur en équipements électriques (BM)</t>
        </is>
      </c>
      <c r="G1660" s="49">
        <f>E1660&amp;" - "&amp;F1660</f>
        <v/>
      </c>
      <c r="H1660" s="36" t="inlineStr">
        <is>
          <t>RAS</t>
        </is>
      </c>
      <c r="I1660" s="45" t="inlineStr"/>
      <c r="J1660" s="45" t="inlineStr">
        <is>
          <t>RNCP37531</t>
        </is>
      </c>
      <c r="K1660" s="45" t="inlineStr">
        <is>
          <t>Installateur en équipements électriques (BM)</t>
        </is>
      </c>
      <c r="L1660" s="45" t="inlineStr">
        <is>
          <t>24/04/2028</t>
        </is>
      </c>
      <c r="M1660" s="45" t="inlineStr">
        <is>
          <t>24066 (Installation électrique) ; 24016 (Montage câblage électrique)</t>
        </is>
      </c>
      <c r="N1660" s="50" t="inlineStr">
        <is>
          <t>NON</t>
        </is>
      </c>
      <c r="O1660" s="45" t="inlineStr"/>
    </row>
    <row r="1661" customFormat="1" s="3">
      <c r="A1661" s="45" t="n"/>
      <c r="B1661" s="46" t="inlineStr">
        <is>
          <t>24016</t>
        </is>
      </c>
      <c r="C1661" s="46">
        <f>LEFT(Tableau1[[#This Row],[Formacode]],3)</f>
        <v/>
      </c>
      <c r="D1661" s="47" t="n">
        <v>38878</v>
      </c>
      <c r="E1661" s="48">
        <f>"RNCP"&amp;D1661</f>
        <v/>
      </c>
      <c r="F1661" s="48" t="inlineStr">
        <is>
          <t>BAC PRO - Métiers de l'électricité et de ses environnements connectés</t>
        </is>
      </c>
      <c r="G1661" s="49">
        <f>E1661&amp;" - "&amp;F1661</f>
        <v/>
      </c>
      <c r="H1661" s="36" t="inlineStr">
        <is>
          <t>RAS</t>
        </is>
      </c>
      <c r="I1661" s="45" t="inlineStr"/>
      <c r="J1661" s="45" t="inlineStr">
        <is>
          <t>RNCP38878</t>
        </is>
      </c>
      <c r="K1661" s="45" t="inlineStr">
        <is>
          <t>Métiers de l'électricité et de ses environnements connectés</t>
        </is>
      </c>
      <c r="L1661" s="45" t="inlineStr">
        <is>
          <t>31/08/2029</t>
        </is>
      </c>
      <c r="M1661" s="45" t="inlineStr">
        <is>
          <t>24054 (Électricité) ; 22499 (Immotique) ; 24396 (Matériel électronique sécurité)</t>
        </is>
      </c>
      <c r="N1661" s="50" t="inlineStr">
        <is>
          <t>NON</t>
        </is>
      </c>
      <c r="O1661" s="45" t="inlineStr"/>
    </row>
    <row r="1662" customFormat="1" s="3">
      <c r="A1662" s="51" t="n"/>
      <c r="B1662" s="52" t="inlineStr">
        <is>
          <t>24016</t>
        </is>
      </c>
      <c r="C1662" s="52">
        <f>LEFT(Tableau1[[#This Row],[Formacode]],3)</f>
        <v/>
      </c>
      <c r="D1662" s="53" t="n">
        <v>39192</v>
      </c>
      <c r="E1662" s="54">
        <f>"RNCP"&amp;D1662</f>
        <v/>
      </c>
      <c r="F1662" s="54" t="inlineStr">
        <is>
          <t>CS - Technicien ascensoriste (service et modernisation)</t>
        </is>
      </c>
      <c r="G1662" s="55">
        <f>E1662&amp;" - "&amp;F1662</f>
        <v/>
      </c>
      <c r="H1662" s="37" t="inlineStr">
        <is>
          <t>À vérifier</t>
        </is>
      </c>
      <c r="I1662" s="51" t="inlineStr">
        <is>
          <t>Échéance le 31/12/2026 (dans 166 j)</t>
        </is>
      </c>
      <c r="J1662" s="51" t="inlineStr">
        <is>
          <t>RNCP39192</t>
        </is>
      </c>
      <c r="K1662" s="51" t="inlineStr">
        <is>
          <t>Technicien ascensoriste (service et modernisation)</t>
        </is>
      </c>
      <c r="L1662" s="51" t="inlineStr">
        <is>
          <t>31/12/2026</t>
        </is>
      </c>
      <c r="M1662" s="51" t="inlineStr">
        <is>
          <t>22493 (Ascenseur) ; 24054 (Électricité)</t>
        </is>
      </c>
      <c r="N1662" s="62" t="inlineStr">
        <is>
          <t>NON</t>
        </is>
      </c>
      <c r="O1662" s="51" t="inlineStr"/>
    </row>
    <row r="1663" customFormat="1" s="3">
      <c r="A1663" s="45" t="n"/>
      <c r="B1663" s="46" t="inlineStr">
        <is>
          <t>24016</t>
        </is>
      </c>
      <c r="C1663" s="46">
        <f>LEFT(Tableau1[[#This Row],[Formacode]],3)</f>
        <v/>
      </c>
      <c r="D1663" s="47" t="n">
        <v>39839</v>
      </c>
      <c r="E1663" s="48">
        <f>"RNCP"&amp;D1663</f>
        <v/>
      </c>
      <c r="F1663" s="48" t="inlineStr">
        <is>
          <t>CQP Technicien monteur d'équipement industriel</t>
        </is>
      </c>
      <c r="G1663" s="49">
        <f>E1663&amp;" - "&amp;F1663</f>
        <v/>
      </c>
      <c r="H1663" s="36" t="inlineStr">
        <is>
          <t>RAS</t>
        </is>
      </c>
      <c r="I1663" s="45" t="inlineStr"/>
      <c r="J1663" s="45" t="inlineStr">
        <is>
          <t>RNCP39839</t>
        </is>
      </c>
      <c r="K1663" s="45" t="inlineStr">
        <is>
          <t>CQP Technicien monteur d'équipement industriel</t>
        </is>
      </c>
      <c r="L1663" s="45" t="inlineStr">
        <is>
          <t>28/11/2027</t>
        </is>
      </c>
      <c r="M1663" s="45" t="inlineStr">
        <is>
          <t>24016 (Montage câblage électrique) ; 24099 (Électricité équipement industriel)</t>
        </is>
      </c>
      <c r="N1663" s="50" t="inlineStr">
        <is>
          <t>NON</t>
        </is>
      </c>
      <c r="O1663" s="45" t="inlineStr"/>
    </row>
    <row r="1664" customFormat="1" s="3">
      <c r="A1664" s="45" t="n"/>
      <c r="B1664" s="46" t="inlineStr">
        <is>
          <t>24016</t>
        </is>
      </c>
      <c r="C1664" s="46">
        <f>LEFT(Tableau1[[#This Row],[Formacode]],3)</f>
        <v/>
      </c>
      <c r="D1664" s="47" t="n">
        <v>41007</v>
      </c>
      <c r="E1664" s="48">
        <f>"RNCP"&amp;D1664</f>
        <v/>
      </c>
      <c r="F1664" s="48" t="inlineStr">
        <is>
          <t>BTS - Electrotechnique</t>
        </is>
      </c>
      <c r="G1664" s="49">
        <f>E1664&amp;" - "&amp;F1664</f>
        <v/>
      </c>
      <c r="H1664" s="36" t="inlineStr">
        <is>
          <t>RAS</t>
        </is>
      </c>
      <c r="I1664" s="45" t="inlineStr"/>
      <c r="J1664" s="45" t="inlineStr">
        <is>
          <t>RNCP41007</t>
        </is>
      </c>
      <c r="K1664" s="45" t="inlineStr">
        <is>
          <t>Electrotechnique</t>
        </is>
      </c>
      <c r="L1664" s="45" t="inlineStr">
        <is>
          <t>31/08/2030</t>
        </is>
      </c>
      <c r="M1664" s="45" t="inlineStr">
        <is>
          <t>24054 (Électricité)</t>
        </is>
      </c>
      <c r="N1664" s="50" t="inlineStr">
        <is>
          <t>NON</t>
        </is>
      </c>
      <c r="O1664" s="45" t="inlineStr"/>
    </row>
    <row r="1665" customFormat="1" s="3">
      <c r="A1665" s="45" t="n"/>
      <c r="B1665" s="46" t="inlineStr">
        <is>
          <t>24016</t>
        </is>
      </c>
      <c r="C1665" s="46">
        <f>LEFT(Tableau1[[#This Row],[Formacode]],3)</f>
        <v/>
      </c>
      <c r="D1665" s="47" t="n">
        <v>41138</v>
      </c>
      <c r="E1665" s="48">
        <f>"RNCP"&amp;D1665</f>
        <v/>
      </c>
      <c r="F1665" s="48" t="inlineStr">
        <is>
          <t>CQP Intégrateur câbleur aéronautique</t>
        </is>
      </c>
      <c r="G1665" s="49">
        <f>E1665&amp;" - "&amp;F1665</f>
        <v/>
      </c>
      <c r="H1665" s="36" t="inlineStr">
        <is>
          <t>RAS</t>
        </is>
      </c>
      <c r="I1665" s="45" t="inlineStr"/>
      <c r="J1665" s="45" t="inlineStr">
        <is>
          <t>RNCP41138</t>
        </is>
      </c>
      <c r="K1665" s="45" t="inlineStr">
        <is>
          <t>CQP Intégrateur câbleur aéronautique</t>
        </is>
      </c>
      <c r="L1665" s="45" t="inlineStr">
        <is>
          <t>18/07/2030</t>
        </is>
      </c>
      <c r="M1665" s="45" t="inlineStr">
        <is>
          <t>24016 (Montage câblage électrique)</t>
        </is>
      </c>
      <c r="N1665" s="50" t="inlineStr">
        <is>
          <t>NON</t>
        </is>
      </c>
      <c r="O1665" s="45" t="inlineStr"/>
    </row>
    <row r="1666" customFormat="1" s="3">
      <c r="A1666" s="45" t="n"/>
      <c r="B1666" s="46" t="inlineStr">
        <is>
          <t>24021</t>
        </is>
      </c>
      <c r="C1666" s="46">
        <f>LEFT(Tableau1[[#This Row],[Formacode]],3)</f>
        <v/>
      </c>
      <c r="D1666" s="47" t="n">
        <v>38878</v>
      </c>
      <c r="E1666" s="48">
        <f>"RNCP"&amp;D1666</f>
        <v/>
      </c>
      <c r="F1666" s="48" t="inlineStr">
        <is>
          <t>BAC PRO - Métiers de l'électricité et de ses environnements connectés</t>
        </is>
      </c>
      <c r="G1666" s="49">
        <f>E1666&amp;" - "&amp;F1666</f>
        <v/>
      </c>
      <c r="H1666" s="36" t="inlineStr">
        <is>
          <t>RAS</t>
        </is>
      </c>
      <c r="I1666" s="45" t="inlineStr"/>
      <c r="J1666" s="45" t="inlineStr">
        <is>
          <t>RNCP38878</t>
        </is>
      </c>
      <c r="K1666" s="45" t="inlineStr">
        <is>
          <t>Métiers de l'électricité et de ses environnements connectés</t>
        </is>
      </c>
      <c r="L1666" s="45" t="inlineStr">
        <is>
          <t>31/08/2029</t>
        </is>
      </c>
      <c r="M1666" s="45" t="inlineStr">
        <is>
          <t>24054 (Électricité) ; 22499 (Immotique) ; 24396 (Matériel électronique sécurité)</t>
        </is>
      </c>
      <c r="N1666" s="50" t="inlineStr">
        <is>
          <t>NON</t>
        </is>
      </c>
      <c r="O1666" s="45" t="inlineStr"/>
    </row>
    <row r="1667" customFormat="1" s="3">
      <c r="A1667" s="45" t="n"/>
      <c r="B1667" s="46" t="inlineStr">
        <is>
          <t>24021</t>
        </is>
      </c>
      <c r="C1667" s="46">
        <f>LEFT(Tableau1[[#This Row],[Formacode]],3)</f>
        <v/>
      </c>
      <c r="D1667" s="47" t="n">
        <v>39177</v>
      </c>
      <c r="E1667" s="48">
        <f>"RNCP"&amp;D1667</f>
        <v/>
      </c>
      <c r="F1667" s="48" t="inlineStr">
        <is>
          <t>TP - Technicien d'après-vente en électroménager et audiovisuel</t>
        </is>
      </c>
      <c r="G1667" s="49">
        <f>E1667&amp;" - "&amp;F1667</f>
        <v/>
      </c>
      <c r="H1667" s="36" t="inlineStr">
        <is>
          <t>RAS</t>
        </is>
      </c>
      <c r="I1667" s="45" t="inlineStr"/>
      <c r="J1667" s="45" t="inlineStr">
        <is>
          <t>RNCP39177</t>
        </is>
      </c>
      <c r="K1667" s="45" t="inlineStr">
        <is>
          <t>Technicien d'après-vente en électroménager et audiovisuel</t>
        </is>
      </c>
      <c r="L1667" s="45" t="inlineStr">
        <is>
          <t>30/06/2029</t>
        </is>
      </c>
      <c r="M1667" s="45" t="inlineStr">
        <is>
          <t>24021 (Électroménager) ; 24374 (Maintenance audiovisuelle) ; 34027 (Service après-vente)</t>
        </is>
      </c>
      <c r="N1667" s="50" t="inlineStr">
        <is>
          <t>NON</t>
        </is>
      </c>
      <c r="O1667" s="45" t="inlineStr"/>
    </row>
    <row r="1668" customFormat="1" s="3">
      <c r="A1668" s="51" t="n"/>
      <c r="B1668" s="52" t="inlineStr">
        <is>
          <t>24021</t>
        </is>
      </c>
      <c r="C1668" s="52">
        <f>LEFT(Tableau1[[#This Row],[Formacode]],3)</f>
        <v/>
      </c>
      <c r="D1668" s="53" t="n">
        <v>39192</v>
      </c>
      <c r="E1668" s="54">
        <f>"RNCP"&amp;D1668</f>
        <v/>
      </c>
      <c r="F1668" s="54" t="inlineStr">
        <is>
          <t>CS - Technicien ascensoriste (service et modernisation)</t>
        </is>
      </c>
      <c r="G1668" s="55">
        <f>E1668&amp;" - "&amp;F1668</f>
        <v/>
      </c>
      <c r="H1668" s="37" t="inlineStr">
        <is>
          <t>À vérifier</t>
        </is>
      </c>
      <c r="I1668" s="51" t="inlineStr">
        <is>
          <t>Échéance le 31/12/2026 (dans 166 j)</t>
        </is>
      </c>
      <c r="J1668" s="51" t="inlineStr">
        <is>
          <t>RNCP39192</t>
        </is>
      </c>
      <c r="K1668" s="51" t="inlineStr">
        <is>
          <t>Technicien ascensoriste (service et modernisation)</t>
        </is>
      </c>
      <c r="L1668" s="51" t="inlineStr">
        <is>
          <t>31/12/2026</t>
        </is>
      </c>
      <c r="M1668" s="51" t="inlineStr">
        <is>
          <t>22493 (Ascenseur) ; 24054 (Électricité)</t>
        </is>
      </c>
      <c r="N1668" s="62" t="inlineStr">
        <is>
          <t>NON</t>
        </is>
      </c>
      <c r="O1668" s="51" t="inlineStr"/>
    </row>
    <row r="1669" customFormat="1" s="3">
      <c r="A1669" s="45" t="n"/>
      <c r="B1669" s="46" t="inlineStr">
        <is>
          <t>24021</t>
        </is>
      </c>
      <c r="C1669" s="46">
        <f>LEFT(Tableau1[[#This Row],[Formacode]],3)</f>
        <v/>
      </c>
      <c r="D1669" s="47" t="n">
        <v>41007</v>
      </c>
      <c r="E1669" s="48">
        <f>"RNCP"&amp;D1669</f>
        <v/>
      </c>
      <c r="F1669" s="48" t="inlineStr">
        <is>
          <t>BTS - Electrotechnique</t>
        </is>
      </c>
      <c r="G1669" s="49">
        <f>E1669&amp;" - "&amp;F1669</f>
        <v/>
      </c>
      <c r="H1669" s="36" t="inlineStr">
        <is>
          <t>RAS</t>
        </is>
      </c>
      <c r="I1669" s="45" t="inlineStr"/>
      <c r="J1669" s="45" t="inlineStr">
        <is>
          <t>RNCP41007</t>
        </is>
      </c>
      <c r="K1669" s="45" t="inlineStr">
        <is>
          <t>Electrotechnique</t>
        </is>
      </c>
      <c r="L1669" s="45" t="inlineStr">
        <is>
          <t>31/08/2030</t>
        </is>
      </c>
      <c r="M1669" s="45" t="inlineStr">
        <is>
          <t>24054 (Électricité)</t>
        </is>
      </c>
      <c r="N1669" s="50" t="inlineStr">
        <is>
          <t>NON</t>
        </is>
      </c>
      <c r="O1669" s="45" t="inlineStr"/>
    </row>
    <row r="1670" customFormat="1" s="3">
      <c r="A1670" s="45" t="n"/>
      <c r="B1670" s="46" t="inlineStr">
        <is>
          <t>24024</t>
        </is>
      </c>
      <c r="C1670" s="46">
        <f>LEFT(Tableau1[[#This Row],[Formacode]],3)</f>
        <v/>
      </c>
      <c r="D1670" s="47" t="n">
        <v>38878</v>
      </c>
      <c r="E1670" s="48">
        <f>"RNCP"&amp;D1670</f>
        <v/>
      </c>
      <c r="F1670" s="48" t="inlineStr">
        <is>
          <t>BAC PRO - Métiers de l'électricité et de ses environnements connectés</t>
        </is>
      </c>
      <c r="G1670" s="49">
        <f>E1670&amp;" - "&amp;F1670</f>
        <v/>
      </c>
      <c r="H1670" s="36" t="inlineStr">
        <is>
          <t>RAS</t>
        </is>
      </c>
      <c r="I1670" s="45" t="inlineStr"/>
      <c r="J1670" s="45" t="inlineStr">
        <is>
          <t>RNCP38878</t>
        </is>
      </c>
      <c r="K1670" s="45" t="inlineStr">
        <is>
          <t>Métiers de l'électricité et de ses environnements connectés</t>
        </is>
      </c>
      <c r="L1670" s="45" t="inlineStr">
        <is>
          <t>31/08/2029</t>
        </is>
      </c>
      <c r="M1670" s="45" t="inlineStr">
        <is>
          <t>24054 (Électricité) ; 22499 (Immotique) ; 24396 (Matériel électronique sécurité)</t>
        </is>
      </c>
      <c r="N1670" s="50" t="inlineStr">
        <is>
          <t>NON</t>
        </is>
      </c>
      <c r="O1670" s="45" t="inlineStr"/>
    </row>
    <row r="1671" customFormat="1" s="3">
      <c r="A1671" s="51" t="n"/>
      <c r="B1671" s="52" t="inlineStr">
        <is>
          <t>24024</t>
        </is>
      </c>
      <c r="C1671" s="52">
        <f>LEFT(Tableau1[[#This Row],[Formacode]],3)</f>
        <v/>
      </c>
      <c r="D1671" s="53" t="n">
        <v>39192</v>
      </c>
      <c r="E1671" s="54">
        <f>"RNCP"&amp;D1671</f>
        <v/>
      </c>
      <c r="F1671" s="54" t="inlineStr">
        <is>
          <t>CS - Technicien ascensoriste (service et modernisation)</t>
        </is>
      </c>
      <c r="G1671" s="55">
        <f>E1671&amp;" - "&amp;F1671</f>
        <v/>
      </c>
      <c r="H1671" s="37" t="inlineStr">
        <is>
          <t>À vérifier</t>
        </is>
      </c>
      <c r="I1671" s="51" t="inlineStr">
        <is>
          <t>Échéance le 31/12/2026 (dans 166 j)</t>
        </is>
      </c>
      <c r="J1671" s="51" t="inlineStr">
        <is>
          <t>RNCP39192</t>
        </is>
      </c>
      <c r="K1671" s="51" t="inlineStr">
        <is>
          <t>Technicien ascensoriste (service et modernisation)</t>
        </is>
      </c>
      <c r="L1671" s="51" t="inlineStr">
        <is>
          <t>31/12/2026</t>
        </is>
      </c>
      <c r="M1671" s="51" t="inlineStr">
        <is>
          <t>22493 (Ascenseur) ; 24054 (Électricité)</t>
        </is>
      </c>
      <c r="N1671" s="62" t="inlineStr">
        <is>
          <t>NON</t>
        </is>
      </c>
      <c r="O1671" s="51" t="inlineStr"/>
    </row>
    <row r="1672" customFormat="1" s="3">
      <c r="A1672" s="45" t="n"/>
      <c r="B1672" s="46" t="inlineStr">
        <is>
          <t>24024</t>
        </is>
      </c>
      <c r="C1672" s="46">
        <f>LEFT(Tableau1[[#This Row],[Formacode]],3)</f>
        <v/>
      </c>
      <c r="D1672" s="47" t="n">
        <v>41007</v>
      </c>
      <c r="E1672" s="48">
        <f>"RNCP"&amp;D1672</f>
        <v/>
      </c>
      <c r="F1672" s="48" t="inlineStr">
        <is>
          <t>BTS - Electrotechnique</t>
        </is>
      </c>
      <c r="G1672" s="49">
        <f>E1672&amp;" - "&amp;F1672</f>
        <v/>
      </c>
      <c r="H1672" s="36" t="inlineStr">
        <is>
          <t>RAS</t>
        </is>
      </c>
      <c r="I1672" s="45" t="inlineStr"/>
      <c r="J1672" s="45" t="inlineStr">
        <is>
          <t>RNCP41007</t>
        </is>
      </c>
      <c r="K1672" s="45" t="inlineStr">
        <is>
          <t>Electrotechnique</t>
        </is>
      </c>
      <c r="L1672" s="45" t="inlineStr">
        <is>
          <t>31/08/2030</t>
        </is>
      </c>
      <c r="M1672" s="45" t="inlineStr">
        <is>
          <t>24054 (Électricité)</t>
        </is>
      </c>
      <c r="N1672" s="50" t="inlineStr">
        <is>
          <t>NON</t>
        </is>
      </c>
      <c r="O1672" s="45" t="inlineStr"/>
    </row>
    <row r="1673" customFormat="1" s="3">
      <c r="A1673" s="63" t="n"/>
      <c r="B1673" s="64" t="inlineStr">
        <is>
          <t>24027</t>
        </is>
      </c>
      <c r="C1673" s="64">
        <f>LEFT(Tableau1[[#This Row],[Formacode]],3)</f>
        <v/>
      </c>
      <c r="D1673" s="65" t="n">
        <v>35530</v>
      </c>
      <c r="E1673" s="66">
        <f>"RNCP"&amp;D1673</f>
        <v/>
      </c>
      <c r="F1673" s="66" t="inlineStr">
        <is>
          <t>TP - Technicien de bureau d'études en électricité des bâtiments</t>
        </is>
      </c>
      <c r="G1673" s="67">
        <f>E1673&amp;" - "&amp;F1673</f>
        <v/>
      </c>
      <c r="H1673" s="38" t="inlineStr">
        <is>
          <t>Expiré / remplacé</t>
        </is>
      </c>
      <c r="I1673" s="63" t="inlineStr">
        <is>
          <t>Fiche inactive (échéance 17/05/2026) — aucun successeur publié</t>
        </is>
      </c>
      <c r="J1673" s="63" t="inlineStr">
        <is>
          <t>RNCP35530</t>
        </is>
      </c>
      <c r="K1673" s="63" t="inlineStr">
        <is>
          <t>Technicien de bureau d'études en électricité des bâtiments</t>
        </is>
      </c>
      <c r="L1673" s="63" t="inlineStr">
        <is>
          <t>17/05/2026</t>
        </is>
      </c>
      <c r="M1673" s="63" t="inlineStr">
        <is>
          <t>22252 (Dessin BTP) ; 24066 (Installation électrique) ; 24027 (Schéma électrique) ; 71111 (Logiciel Autocad)</t>
        </is>
      </c>
      <c r="N1673" s="68" t="inlineStr">
        <is>
          <t>NON</t>
        </is>
      </c>
      <c r="O1673" s="63" t="inlineStr"/>
    </row>
    <row r="1674" customFormat="1" s="3">
      <c r="A1674" s="45" t="n"/>
      <c r="B1674" s="46" t="inlineStr">
        <is>
          <t>24027</t>
        </is>
      </c>
      <c r="C1674" s="46">
        <f>LEFT(Tableau1[[#This Row],[Formacode]],3)</f>
        <v/>
      </c>
      <c r="D1674" s="47" t="n">
        <v>38878</v>
      </c>
      <c r="E1674" s="48">
        <f>"RNCP"&amp;D1674</f>
        <v/>
      </c>
      <c r="F1674" s="48" t="inlineStr">
        <is>
          <t>BAC PRO - Métiers de l'électricité et de ses environnements connectés</t>
        </is>
      </c>
      <c r="G1674" s="49">
        <f>E1674&amp;" - "&amp;F1674</f>
        <v/>
      </c>
      <c r="H1674" s="36" t="inlineStr">
        <is>
          <t>RAS</t>
        </is>
      </c>
      <c r="I1674" s="45" t="inlineStr"/>
      <c r="J1674" s="45" t="inlineStr">
        <is>
          <t>RNCP38878</t>
        </is>
      </c>
      <c r="K1674" s="45" t="inlineStr">
        <is>
          <t>Métiers de l'électricité et de ses environnements connectés</t>
        </is>
      </c>
      <c r="L1674" s="45" t="inlineStr">
        <is>
          <t>31/08/2029</t>
        </is>
      </c>
      <c r="M1674" s="45" t="inlineStr">
        <is>
          <t>24054 (Électricité) ; 22499 (Immotique) ; 24396 (Matériel électronique sécurité)</t>
        </is>
      </c>
      <c r="N1674" s="50" t="inlineStr">
        <is>
          <t>NON</t>
        </is>
      </c>
      <c r="O1674" s="45" t="inlineStr"/>
    </row>
    <row r="1675" customFormat="1" s="3">
      <c r="A1675" s="51" t="n"/>
      <c r="B1675" s="52" t="inlineStr">
        <is>
          <t>24027</t>
        </is>
      </c>
      <c r="C1675" s="52">
        <f>LEFT(Tableau1[[#This Row],[Formacode]],3)</f>
        <v/>
      </c>
      <c r="D1675" s="53" t="n">
        <v>39192</v>
      </c>
      <c r="E1675" s="54">
        <f>"RNCP"&amp;D1675</f>
        <v/>
      </c>
      <c r="F1675" s="54" t="inlineStr">
        <is>
          <t>CS - Technicien ascensoriste (service et modernisation)</t>
        </is>
      </c>
      <c r="G1675" s="55">
        <f>E1675&amp;" - "&amp;F1675</f>
        <v/>
      </c>
      <c r="H1675" s="37" t="inlineStr">
        <is>
          <t>À vérifier</t>
        </is>
      </c>
      <c r="I1675" s="51" t="inlineStr">
        <is>
          <t>Échéance le 31/12/2026 (dans 166 j)</t>
        </is>
      </c>
      <c r="J1675" s="51" t="inlineStr">
        <is>
          <t>RNCP39192</t>
        </is>
      </c>
      <c r="K1675" s="51" t="inlineStr">
        <is>
          <t>Technicien ascensoriste (service et modernisation)</t>
        </is>
      </c>
      <c r="L1675" s="51" t="inlineStr">
        <is>
          <t>31/12/2026</t>
        </is>
      </c>
      <c r="M1675" s="51" t="inlineStr">
        <is>
          <t>22493 (Ascenseur) ; 24054 (Électricité)</t>
        </is>
      </c>
      <c r="N1675" s="62" t="inlineStr">
        <is>
          <t>NON</t>
        </is>
      </c>
      <c r="O1675" s="51" t="inlineStr"/>
    </row>
    <row r="1676" customFormat="1" s="3">
      <c r="A1676" s="45" t="n"/>
      <c r="B1676" s="46" t="inlineStr">
        <is>
          <t>24027</t>
        </is>
      </c>
      <c r="C1676" s="46">
        <f>LEFT(Tableau1[[#This Row],[Formacode]],3)</f>
        <v/>
      </c>
      <c r="D1676" s="47" t="n">
        <v>41007</v>
      </c>
      <c r="E1676" s="48">
        <f>"RNCP"&amp;D1676</f>
        <v/>
      </c>
      <c r="F1676" s="48" t="inlineStr">
        <is>
          <t>BTS - Electrotechnique</t>
        </is>
      </c>
      <c r="G1676" s="49">
        <f>E1676&amp;" - "&amp;F1676</f>
        <v/>
      </c>
      <c r="H1676" s="36" t="inlineStr">
        <is>
          <t>RAS</t>
        </is>
      </c>
      <c r="I1676" s="45" t="inlineStr"/>
      <c r="J1676" s="45" t="inlineStr">
        <is>
          <t>RNCP41007</t>
        </is>
      </c>
      <c r="K1676" s="45" t="inlineStr">
        <is>
          <t>Electrotechnique</t>
        </is>
      </c>
      <c r="L1676" s="45" t="inlineStr">
        <is>
          <t>31/08/2030</t>
        </is>
      </c>
      <c r="M1676" s="45" t="inlineStr">
        <is>
          <t>24054 (Électricité)</t>
        </is>
      </c>
      <c r="N1676" s="50" t="inlineStr">
        <is>
          <t>NON</t>
        </is>
      </c>
      <c r="O1676" s="45" t="inlineStr"/>
    </row>
    <row r="1677" customFormat="1" s="3">
      <c r="A1677" s="45" t="n"/>
      <c r="B1677" s="46" t="inlineStr">
        <is>
          <t>24052</t>
        </is>
      </c>
      <c r="C1677" s="46">
        <f>LEFT(Tableau1[[#This Row],[Formacode]],3)</f>
        <v/>
      </c>
      <c r="D1677" s="47" t="n">
        <v>37276</v>
      </c>
      <c r="E1677" s="48">
        <f>"RNCP"&amp;D1677</f>
        <v/>
      </c>
      <c r="F1677" s="48" t="inlineStr">
        <is>
          <t>TP - Electromécanicien de maintenance industrielle</t>
        </is>
      </c>
      <c r="G1677" s="49">
        <f>E1677&amp;" - "&amp;F1677</f>
        <v/>
      </c>
      <c r="H1677" s="36" t="inlineStr">
        <is>
          <t>RAS</t>
        </is>
      </c>
      <c r="I1677" s="45" t="inlineStr"/>
      <c r="J1677" s="45" t="inlineStr">
        <is>
          <t>RNCP37276</t>
        </is>
      </c>
      <c r="K1677" s="45" t="inlineStr">
        <is>
          <t>Electromécanicien de maintenance industrielle</t>
        </is>
      </c>
      <c r="L1677" s="45" t="inlineStr">
        <is>
          <t>22/02/2028</t>
        </is>
      </c>
      <c r="M1677" s="45" t="inlineStr">
        <is>
          <t>31624 (Maintenance industrielle) ; 23684 (Entretien mécanique industrielle) ; 24069 (Maintenance installation électrique) ; 24052 (Électromécanique)</t>
        </is>
      </c>
      <c r="N1677" s="50" t="inlineStr">
        <is>
          <t>NON</t>
        </is>
      </c>
      <c r="O1677" s="45" t="inlineStr"/>
    </row>
    <row r="1678" customFormat="1" s="3">
      <c r="A1678" s="45" t="n"/>
      <c r="B1678" s="46" t="inlineStr">
        <is>
          <t>24052</t>
        </is>
      </c>
      <c r="C1678" s="46">
        <f>LEFT(Tableau1[[#This Row],[Formacode]],3)</f>
        <v/>
      </c>
      <c r="D1678" s="47" t="n">
        <v>38878</v>
      </c>
      <c r="E1678" s="48">
        <f>"RNCP"&amp;D1678</f>
        <v/>
      </c>
      <c r="F1678" s="48" t="inlineStr">
        <is>
          <t>BAC PRO - Métiers de l'électricité et de ses environnements connectés</t>
        </is>
      </c>
      <c r="G1678" s="49">
        <f>E1678&amp;" - "&amp;F1678</f>
        <v/>
      </c>
      <c r="H1678" s="36" t="inlineStr">
        <is>
          <t>RAS</t>
        </is>
      </c>
      <c r="I1678" s="45" t="inlineStr"/>
      <c r="J1678" s="45" t="inlineStr">
        <is>
          <t>RNCP38878</t>
        </is>
      </c>
      <c r="K1678" s="45" t="inlineStr">
        <is>
          <t>Métiers de l'électricité et de ses environnements connectés</t>
        </is>
      </c>
      <c r="L1678" s="45" t="inlineStr">
        <is>
          <t>31/08/2029</t>
        </is>
      </c>
      <c r="M1678" s="45" t="inlineStr">
        <is>
          <t>24054 (Électricité) ; 22499 (Immotique) ; 24396 (Matériel électronique sécurité)</t>
        </is>
      </c>
      <c r="N1678" s="50" t="inlineStr">
        <is>
          <t>NON</t>
        </is>
      </c>
      <c r="O1678" s="45" t="inlineStr"/>
    </row>
    <row r="1679" customFormat="1" s="3">
      <c r="A1679" s="51" t="n"/>
      <c r="B1679" s="52" t="inlineStr">
        <is>
          <t>24052</t>
        </is>
      </c>
      <c r="C1679" s="52">
        <f>LEFT(Tableau1[[#This Row],[Formacode]],3)</f>
        <v/>
      </c>
      <c r="D1679" s="53" t="n">
        <v>39192</v>
      </c>
      <c r="E1679" s="54">
        <f>"RNCP"&amp;D1679</f>
        <v/>
      </c>
      <c r="F1679" s="54" t="inlineStr">
        <is>
          <t>CS - Technicien ascensoriste (service et modernisation)</t>
        </is>
      </c>
      <c r="G1679" s="55">
        <f>E1679&amp;" - "&amp;F1679</f>
        <v/>
      </c>
      <c r="H1679" s="37" t="inlineStr">
        <is>
          <t>À vérifier</t>
        </is>
      </c>
      <c r="I1679" s="51" t="inlineStr">
        <is>
          <t>Échéance le 31/12/2026 (dans 166 j)</t>
        </is>
      </c>
      <c r="J1679" s="51" t="inlineStr">
        <is>
          <t>RNCP39192</t>
        </is>
      </c>
      <c r="K1679" s="51" t="inlineStr">
        <is>
          <t>Technicien ascensoriste (service et modernisation)</t>
        </is>
      </c>
      <c r="L1679" s="51" t="inlineStr">
        <is>
          <t>31/12/2026</t>
        </is>
      </c>
      <c r="M1679" s="51" t="inlineStr">
        <is>
          <t>22493 (Ascenseur) ; 24054 (Électricité)</t>
        </is>
      </c>
      <c r="N1679" s="62" t="inlineStr">
        <is>
          <t>NON</t>
        </is>
      </c>
      <c r="O1679" s="51" t="inlineStr"/>
    </row>
    <row r="1680" customFormat="1" s="3">
      <c r="A1680" s="45" t="n"/>
      <c r="B1680" s="46" t="inlineStr">
        <is>
          <t>24052</t>
        </is>
      </c>
      <c r="C1680" s="46">
        <f>LEFT(Tableau1[[#This Row],[Formacode]],3)</f>
        <v/>
      </c>
      <c r="D1680" s="47" t="n">
        <v>39344</v>
      </c>
      <c r="E1680" s="48">
        <f>"RNCP"&amp;D1680</f>
        <v/>
      </c>
      <c r="F1680" s="48" t="inlineStr">
        <is>
          <t>CQP Technicien en machines tournantes sous pression</t>
        </is>
      </c>
      <c r="G1680" s="49">
        <f>E1680&amp;" - "&amp;F1680</f>
        <v/>
      </c>
      <c r="H1680" s="36" t="inlineStr">
        <is>
          <t>RAS</t>
        </is>
      </c>
      <c r="I1680" s="45" t="inlineStr"/>
      <c r="J1680" s="45" t="inlineStr">
        <is>
          <t>RNCP39344</t>
        </is>
      </c>
      <c r="K1680" s="45" t="inlineStr">
        <is>
          <t>CQP Technicien en machines tournantes sous pression</t>
        </is>
      </c>
      <c r="L1680" s="45" t="inlineStr">
        <is>
          <t>19/07/2028</t>
        </is>
      </c>
      <c r="M1680" s="45" t="inlineStr">
        <is>
          <t>24052 (Électromécanique) ; 24154 (Énergie) ; 31624 (Maintenance industrielle)</t>
        </is>
      </c>
      <c r="N1680" s="50" t="inlineStr">
        <is>
          <t>NON</t>
        </is>
      </c>
      <c r="O1680" s="45" t="inlineStr"/>
    </row>
    <row r="1681" customFormat="1" s="3">
      <c r="A1681" s="45" t="n"/>
      <c r="B1681" s="46" t="inlineStr">
        <is>
          <t>24052</t>
        </is>
      </c>
      <c r="C1681" s="46">
        <f>LEFT(Tableau1[[#This Row],[Formacode]],3)</f>
        <v/>
      </c>
      <c r="D1681" s="47" t="n">
        <v>39952</v>
      </c>
      <c r="E1681" s="48">
        <f>"RNCP"&amp;D1681</f>
        <v/>
      </c>
      <c r="F1681" s="48" t="inlineStr">
        <is>
          <t>CQP Technicien expert de maintenance de batteries de véhicules électriques</t>
        </is>
      </c>
      <c r="G1681" s="49">
        <f>E1681&amp;" - "&amp;F1681</f>
        <v/>
      </c>
      <c r="H1681" s="36" t="inlineStr">
        <is>
          <t>RAS</t>
        </is>
      </c>
      <c r="I1681" s="45" t="inlineStr"/>
      <c r="J1681" s="45" t="inlineStr">
        <is>
          <t>RNCP39952</t>
        </is>
      </c>
      <c r="K1681" s="45" t="inlineStr">
        <is>
          <t>CQP Technicien expert de maintenance de batteries de véhicules électriques</t>
        </is>
      </c>
      <c r="L1681" s="45" t="inlineStr">
        <is>
          <t>18/12/2027</t>
        </is>
      </c>
      <c r="M1681" s="45" t="inlineStr">
        <is>
          <t>23651 (Construction maintenance véhicule propre) ; 23637 (Mécanique automobile) ; 24070 (Moteur électrique)</t>
        </is>
      </c>
      <c r="N1681" s="50" t="inlineStr">
        <is>
          <t>NON</t>
        </is>
      </c>
      <c r="O1681" s="45" t="inlineStr"/>
    </row>
    <row r="1682" customFormat="1" s="3">
      <c r="A1682" s="45" t="n"/>
      <c r="B1682" s="46" t="inlineStr">
        <is>
          <t>24052</t>
        </is>
      </c>
      <c r="C1682" s="46">
        <f>LEFT(Tableau1[[#This Row],[Formacode]],3)</f>
        <v/>
      </c>
      <c r="D1682" s="47" t="n">
        <v>39979</v>
      </c>
      <c r="E1682" s="48">
        <f>"RNCP"&amp;D1682</f>
        <v/>
      </c>
      <c r="F1682" s="48" t="inlineStr">
        <is>
          <t>CQP Technicien de maintenance de batteries de véhicules électriques</t>
        </is>
      </c>
      <c r="G1682" s="49">
        <f>E1682&amp;" - "&amp;F1682</f>
        <v/>
      </c>
      <c r="H1682" s="36" t="inlineStr">
        <is>
          <t>RAS</t>
        </is>
      </c>
      <c r="I1682" s="45" t="inlineStr"/>
      <c r="J1682" s="45" t="inlineStr">
        <is>
          <t>RNCP39979</t>
        </is>
      </c>
      <c r="K1682" s="45" t="inlineStr">
        <is>
          <t>CQP Technicien de maintenance de batteries de véhicules électriques</t>
        </is>
      </c>
      <c r="L1682" s="45" t="inlineStr">
        <is>
          <t>18/12/2027</t>
        </is>
      </c>
      <c r="M1682" s="45" t="inlineStr">
        <is>
          <t>23651 (Construction maintenance véhicule propre) ; 23637 (Mécanique automobile) ; 24070 (Moteur électrique)</t>
        </is>
      </c>
      <c r="N1682" s="50" t="inlineStr">
        <is>
          <t>NON</t>
        </is>
      </c>
      <c r="O1682" s="45" t="inlineStr"/>
    </row>
    <row r="1683" customFormat="1" s="3">
      <c r="A1683" s="45" t="n"/>
      <c r="B1683" s="46" t="inlineStr">
        <is>
          <t>24052</t>
        </is>
      </c>
      <c r="C1683" s="46">
        <f>LEFT(Tableau1[[#This Row],[Formacode]],3)</f>
        <v/>
      </c>
      <c r="D1683" s="47" t="n">
        <v>39984</v>
      </c>
      <c r="E1683" s="48">
        <f>"RNCP"&amp;D1683</f>
        <v/>
      </c>
      <c r="F1683" s="48" t="inlineStr">
        <is>
          <t>CQP Technicien démonteur de batteries de véhicules électriques</t>
        </is>
      </c>
      <c r="G1683" s="49">
        <f>E1683&amp;" - "&amp;F1683</f>
        <v/>
      </c>
      <c r="H1683" s="36" t="inlineStr">
        <is>
          <t>RAS</t>
        </is>
      </c>
      <c r="I1683" s="45" t="inlineStr"/>
      <c r="J1683" s="45" t="inlineStr">
        <is>
          <t>RNCP39984</t>
        </is>
      </c>
      <c r="K1683" s="45" t="inlineStr">
        <is>
          <t>CQP Technicien démonteur de batteries de véhicules électriques</t>
        </is>
      </c>
      <c r="L1683" s="45" t="inlineStr">
        <is>
          <t>18/12/2027</t>
        </is>
      </c>
      <c r="M1683" s="45" t="inlineStr">
        <is>
          <t>23651 (Construction maintenance véhicule propre) ; 23637 (Mécanique automobile) ; 24070 (Moteur électrique)</t>
        </is>
      </c>
      <c r="N1683" s="50" t="inlineStr">
        <is>
          <t>NON</t>
        </is>
      </c>
      <c r="O1683" s="45" t="inlineStr"/>
    </row>
    <row r="1684" customFormat="1" s="3">
      <c r="A1684" s="45" t="n"/>
      <c r="B1684" s="46" t="inlineStr">
        <is>
          <t>24052</t>
        </is>
      </c>
      <c r="C1684" s="46">
        <f>LEFT(Tableau1[[#This Row],[Formacode]],3)</f>
        <v/>
      </c>
      <c r="D1684" s="47" t="n">
        <v>41007</v>
      </c>
      <c r="E1684" s="48">
        <f>"RNCP"&amp;D1684</f>
        <v/>
      </c>
      <c r="F1684" s="48" t="inlineStr">
        <is>
          <t>BTS - Electrotechnique</t>
        </is>
      </c>
      <c r="G1684" s="49">
        <f>E1684&amp;" - "&amp;F1684</f>
        <v/>
      </c>
      <c r="H1684" s="36" t="inlineStr">
        <is>
          <t>RAS</t>
        </is>
      </c>
      <c r="I1684" s="45" t="inlineStr"/>
      <c r="J1684" s="45" t="inlineStr">
        <is>
          <t>RNCP41007</t>
        </is>
      </c>
      <c r="K1684" s="45" t="inlineStr">
        <is>
          <t>Electrotechnique</t>
        </is>
      </c>
      <c r="L1684" s="45" t="inlineStr">
        <is>
          <t>31/08/2030</t>
        </is>
      </c>
      <c r="M1684" s="45" t="inlineStr">
        <is>
          <t>24054 (Électricité)</t>
        </is>
      </c>
      <c r="N1684" s="50" t="inlineStr">
        <is>
          <t>NON</t>
        </is>
      </c>
      <c r="O1684" s="45" t="inlineStr"/>
    </row>
    <row r="1685" customFormat="1" s="3">
      <c r="A1685" s="45" t="n"/>
      <c r="B1685" s="46" t="inlineStr">
        <is>
          <t>24052</t>
        </is>
      </c>
      <c r="C1685" s="46">
        <f>LEFT(Tableau1[[#This Row],[Formacode]],3)</f>
        <v/>
      </c>
      <c r="D1685" s="47" t="n">
        <v>41127</v>
      </c>
      <c r="E1685" s="48">
        <f>"RNCP"&amp;D1685</f>
        <v/>
      </c>
      <c r="F1685" s="48" t="inlineStr">
        <is>
          <t>CQP Opérateur en bobinage</t>
        </is>
      </c>
      <c r="G1685" s="49">
        <f>E1685&amp;" - "&amp;F1685</f>
        <v/>
      </c>
      <c r="H1685" s="36" t="inlineStr">
        <is>
          <t>RAS</t>
        </is>
      </c>
      <c r="I1685" s="45" t="inlineStr"/>
      <c r="J1685" s="45" t="inlineStr">
        <is>
          <t>RNCP41127</t>
        </is>
      </c>
      <c r="K1685" s="45" t="inlineStr">
        <is>
          <t>CQP Opérateur en bobinage</t>
        </is>
      </c>
      <c r="L1685" s="45" t="inlineStr">
        <is>
          <t>18/07/2030</t>
        </is>
      </c>
      <c r="M1685" s="45" t="inlineStr">
        <is>
          <t>24070 (Moteur électrique)</t>
        </is>
      </c>
      <c r="N1685" s="50" t="inlineStr">
        <is>
          <t>NON</t>
        </is>
      </c>
      <c r="O1685" s="45" t="inlineStr"/>
    </row>
    <row r="1686" customFormat="1" s="3">
      <c r="A1686" s="63" t="n"/>
      <c r="B1686" s="64" t="inlineStr">
        <is>
          <t>24066</t>
        </is>
      </c>
      <c r="C1686" s="64">
        <f>LEFT(Tableau1[[#This Row],[Formacode]],3)</f>
        <v/>
      </c>
      <c r="D1686" s="65" t="n">
        <v>35330</v>
      </c>
      <c r="E1686" s="66">
        <f>"RNCP"&amp;D1686</f>
        <v/>
      </c>
      <c r="F1686" s="66" t="inlineStr">
        <is>
          <t>TP - Technicien du bâtiment communicant et connecté</t>
        </is>
      </c>
      <c r="G1686" s="67">
        <f>E1686&amp;" - "&amp;F1686</f>
        <v/>
      </c>
      <c r="H1686" s="38" t="inlineStr">
        <is>
          <t>Expiré / remplacé</t>
        </is>
      </c>
      <c r="I1686" s="63" t="inlineStr">
        <is>
          <t>Fiche inactive — remplacée par RNCP42141 (Technicien en électricité du bâtiment communicant et connecté)</t>
        </is>
      </c>
      <c r="J1686" s="63" t="inlineStr">
        <is>
          <t>RNCP42141</t>
        </is>
      </c>
      <c r="K1686" s="63" t="inlineStr">
        <is>
          <t>Technicien en électricité du bâtiment communicant et connecté</t>
        </is>
      </c>
      <c r="L1686" s="63" t="inlineStr">
        <is>
          <t>02/06/2026</t>
        </is>
      </c>
      <c r="M1686" s="63" t="inlineStr">
        <is>
          <t>24095 (Basse tension) ; 22499 (Immotique)</t>
        </is>
      </c>
      <c r="N1686" s="68" t="inlineStr">
        <is>
          <t>NON</t>
        </is>
      </c>
      <c r="O1686" s="63" t="inlineStr"/>
    </row>
    <row r="1687" customFormat="1" s="3">
      <c r="A1687" s="63" t="n"/>
      <c r="B1687" s="64" t="inlineStr">
        <is>
          <t>24066</t>
        </is>
      </c>
      <c r="C1687" s="64">
        <f>LEFT(Tableau1[[#This Row],[Formacode]],3)</f>
        <v/>
      </c>
      <c r="D1687" s="65" t="n">
        <v>35530</v>
      </c>
      <c r="E1687" s="66">
        <f>"RNCP"&amp;D1687</f>
        <v/>
      </c>
      <c r="F1687" s="66" t="inlineStr">
        <is>
          <t>TP - Technicien de bureau d'études en électricité des bâtiments</t>
        </is>
      </c>
      <c r="G1687" s="67">
        <f>E1687&amp;" - "&amp;F1687</f>
        <v/>
      </c>
      <c r="H1687" s="38" t="inlineStr">
        <is>
          <t>Expiré / remplacé</t>
        </is>
      </c>
      <c r="I1687" s="63" t="inlineStr">
        <is>
          <t>Fiche inactive (échéance 17/05/2026) — aucun successeur publié</t>
        </is>
      </c>
      <c r="J1687" s="63" t="inlineStr">
        <is>
          <t>RNCP35530</t>
        </is>
      </c>
      <c r="K1687" s="63" t="inlineStr">
        <is>
          <t>Technicien de bureau d'études en électricité des bâtiments</t>
        </is>
      </c>
      <c r="L1687" s="63" t="inlineStr">
        <is>
          <t>17/05/2026</t>
        </is>
      </c>
      <c r="M1687" s="63" t="inlineStr">
        <is>
          <t>22252 (Dessin BTP) ; 24066 (Installation électrique) ; 24027 (Schéma électrique) ; 71111 (Logiciel Autocad)</t>
        </is>
      </c>
      <c r="N1687" s="68" t="inlineStr">
        <is>
          <t>NON</t>
        </is>
      </c>
      <c r="O1687" s="63" t="inlineStr"/>
    </row>
    <row r="1688" customFormat="1" s="3">
      <c r="A1688" s="51" t="n"/>
      <c r="B1688" s="52" t="inlineStr">
        <is>
          <t>24066</t>
        </is>
      </c>
      <c r="C1688" s="52">
        <f>LEFT(Tableau1[[#This Row],[Formacode]],3)</f>
        <v/>
      </c>
      <c r="D1688" s="53" t="n">
        <v>35825</v>
      </c>
      <c r="E1688" s="54">
        <f>"RNCP"&amp;D1688</f>
        <v/>
      </c>
      <c r="F1688" s="54" t="inlineStr">
        <is>
          <t>TP - Chargé de travaux en réseaux électriques aériens et souterrains</t>
        </is>
      </c>
      <c r="G1688" s="55">
        <f>E1688&amp;" - "&amp;F1688</f>
        <v/>
      </c>
      <c r="H1688" s="37" t="inlineStr">
        <is>
          <t>À vérifier</t>
        </is>
      </c>
      <c r="I1688" s="51" t="inlineStr">
        <is>
          <t>Échéance le 20/11/2026 (dans 125 j)</t>
        </is>
      </c>
      <c r="J1688" s="51" t="inlineStr">
        <is>
          <t>RNCP35825</t>
        </is>
      </c>
      <c r="K1688" s="51" t="inlineStr">
        <is>
          <t>Chargé de travaux en réseaux électriques aériens et souterrains</t>
        </is>
      </c>
      <c r="L1688" s="51" t="inlineStr">
        <is>
          <t>20/11/2026</t>
        </is>
      </c>
      <c r="M1688" s="51" t="inlineStr">
        <is>
          <t>24158 (Énergie électrique) ; 24086 (Distribution électricité) ; 24089 (Éclairage public)</t>
        </is>
      </c>
      <c r="N1688" s="62" t="inlineStr">
        <is>
          <t>NON</t>
        </is>
      </c>
      <c r="O1688" s="51" t="inlineStr"/>
    </row>
    <row r="1689" customFormat="1" s="3">
      <c r="A1689" s="51" t="n"/>
      <c r="B1689" s="52" t="inlineStr">
        <is>
          <t>24066</t>
        </is>
      </c>
      <c r="C1689" s="52">
        <f>LEFT(Tableau1[[#This Row],[Formacode]],3)</f>
        <v/>
      </c>
      <c r="D1689" s="53" t="n">
        <v>35828</v>
      </c>
      <c r="E1689" s="54">
        <f>"RNCP"&amp;D1689</f>
        <v/>
      </c>
      <c r="F1689" s="54" t="inlineStr">
        <is>
          <t>TP - Monteur de réseaux électriques aéro-souterrains</t>
        </is>
      </c>
      <c r="G1689" s="55">
        <f>E1689&amp;" - "&amp;F1689</f>
        <v/>
      </c>
      <c r="H1689" s="37" t="inlineStr">
        <is>
          <t>À vérifier</t>
        </is>
      </c>
      <c r="I1689" s="51" t="inlineStr">
        <is>
          <t>Échéance le 31/08/2026 (dans 44 j)</t>
        </is>
      </c>
      <c r="J1689" s="51" t="inlineStr">
        <is>
          <t>RNCP35828</t>
        </is>
      </c>
      <c r="K1689" s="51" t="inlineStr">
        <is>
          <t>Monteur de réseaux électriques aéro-souterrains</t>
        </is>
      </c>
      <c r="L1689" s="51" t="inlineStr">
        <is>
          <t>31/08/2026</t>
        </is>
      </c>
      <c r="M1689" s="51" t="inlineStr">
        <is>
          <t>24086 (Distribution électricité)</t>
        </is>
      </c>
      <c r="N1689" s="62" t="inlineStr">
        <is>
          <t>NON</t>
        </is>
      </c>
      <c r="O1689" s="51" t="inlineStr"/>
    </row>
    <row r="1690" customFormat="1" s="3">
      <c r="A1690" s="45" t="n"/>
      <c r="B1690" s="46" t="inlineStr">
        <is>
          <t>24066</t>
        </is>
      </c>
      <c r="C1690" s="46">
        <f>LEFT(Tableau1[[#This Row],[Formacode]],3)</f>
        <v/>
      </c>
      <c r="D1690" s="47" t="n">
        <v>36171</v>
      </c>
      <c r="E1690" s="48">
        <f>"RNCP"&amp;D1690</f>
        <v/>
      </c>
      <c r="F1690" s="48" t="inlineStr">
        <is>
          <t>TP - Agent d'assemblage et de maintenance de batteries d'accumulateurs</t>
        </is>
      </c>
      <c r="G1690" s="49">
        <f>E1690&amp;" - "&amp;F1690</f>
        <v/>
      </c>
      <c r="H1690" s="36" t="inlineStr">
        <is>
          <t>RAS</t>
        </is>
      </c>
      <c r="I1690" s="45" t="inlineStr"/>
      <c r="J1690" s="45" t="inlineStr">
        <is>
          <t>RNCP36171</t>
        </is>
      </c>
      <c r="K1690" s="45" t="inlineStr">
        <is>
          <t>Agent d'assemblage et de maintenance de batteries d'accumulateurs</t>
        </is>
      </c>
      <c r="L1690" s="45" t="inlineStr">
        <is>
          <t>30/01/2027</t>
        </is>
      </c>
      <c r="M1690" s="45" t="inlineStr">
        <is>
          <t>24322 (Montage câblage électronique) ; 24069 (Maintenance installation électrique) ; 24016 (Montage câblage électrique)</t>
        </is>
      </c>
      <c r="N1690" s="50" t="inlineStr">
        <is>
          <t>NON</t>
        </is>
      </c>
      <c r="O1690" s="45" t="inlineStr"/>
    </row>
    <row r="1691" customFormat="1" s="3">
      <c r="A1691" s="45" t="n"/>
      <c r="B1691" s="46" t="inlineStr">
        <is>
          <t>24066</t>
        </is>
      </c>
      <c r="C1691" s="46">
        <f>LEFT(Tableau1[[#This Row],[Formacode]],3)</f>
        <v/>
      </c>
      <c r="D1691" s="47" t="n">
        <v>37235</v>
      </c>
      <c r="E1691" s="48">
        <f>"RNCP"&amp;D1691</f>
        <v/>
      </c>
      <c r="F1691" s="48" t="inlineStr">
        <is>
          <t>CS - Technicien en réseaux électriques</t>
        </is>
      </c>
      <c r="G1691" s="49">
        <f>E1691&amp;" - "&amp;F1691</f>
        <v/>
      </c>
      <c r="H1691" s="36" t="inlineStr">
        <is>
          <t>RAS</t>
        </is>
      </c>
      <c r="I1691" s="45" t="inlineStr"/>
      <c r="J1691" s="45" t="inlineStr">
        <is>
          <t>RNCP37235</t>
        </is>
      </c>
      <c r="K1691" s="45" t="inlineStr">
        <is>
          <t>Technicien en réseaux électriques</t>
        </is>
      </c>
      <c r="L1691" s="45" t="inlineStr">
        <is>
          <t>31/08/2027</t>
        </is>
      </c>
      <c r="M1691" s="45" t="inlineStr">
        <is>
          <t>24086 (Distribution électricité)</t>
        </is>
      </c>
      <c r="N1691" s="50" t="inlineStr">
        <is>
          <t>NON</t>
        </is>
      </c>
      <c r="O1691" s="45" t="inlineStr"/>
    </row>
    <row r="1692" customFormat="1" s="3">
      <c r="A1692" s="45" t="n"/>
      <c r="B1692" s="46" t="inlineStr">
        <is>
          <t>24066</t>
        </is>
      </c>
      <c r="C1692" s="46">
        <f>LEFT(Tableau1[[#This Row],[Formacode]],3)</f>
        <v/>
      </c>
      <c r="D1692" s="47" t="n">
        <v>37276</v>
      </c>
      <c r="E1692" s="48">
        <f>"RNCP"&amp;D1692</f>
        <v/>
      </c>
      <c r="F1692" s="48" t="inlineStr">
        <is>
          <t>TP - Electromécanicien de maintenance industrielle</t>
        </is>
      </c>
      <c r="G1692" s="49">
        <f>E1692&amp;" - "&amp;F1692</f>
        <v/>
      </c>
      <c r="H1692" s="36" t="inlineStr">
        <is>
          <t>RAS</t>
        </is>
      </c>
      <c r="I1692" s="45" t="inlineStr"/>
      <c r="J1692" s="45" t="inlineStr">
        <is>
          <t>RNCP37276</t>
        </is>
      </c>
      <c r="K1692" s="45" t="inlineStr">
        <is>
          <t>Electromécanicien de maintenance industrielle</t>
        </is>
      </c>
      <c r="L1692" s="45" t="inlineStr">
        <is>
          <t>22/02/2028</t>
        </is>
      </c>
      <c r="M1692" s="45" t="inlineStr">
        <is>
          <t>31624 (Maintenance industrielle) ; 23684 (Entretien mécanique industrielle) ; 24069 (Maintenance installation électrique) ; 24052 (Électromécanique)</t>
        </is>
      </c>
      <c r="N1692" s="50" t="inlineStr">
        <is>
          <t>NON</t>
        </is>
      </c>
      <c r="O1692" s="45" t="inlineStr"/>
    </row>
    <row r="1693" customFormat="1" s="3">
      <c r="A1693" s="45" t="n"/>
      <c r="B1693" s="46" t="inlineStr">
        <is>
          <t>24066</t>
        </is>
      </c>
      <c r="C1693" s="46">
        <f>LEFT(Tableau1[[#This Row],[Formacode]],3)</f>
        <v/>
      </c>
      <c r="D1693" s="47" t="n">
        <v>37442</v>
      </c>
      <c r="E1693" s="48">
        <f>"RNCP"&amp;D1693</f>
        <v/>
      </c>
      <c r="F1693" s="48" t="inlineStr">
        <is>
          <t>TP - Electricien d'équipement du bâtiment</t>
        </is>
      </c>
      <c r="G1693" s="49">
        <f>E1693&amp;" - "&amp;F1693</f>
        <v/>
      </c>
      <c r="H1693" s="36" t="inlineStr">
        <is>
          <t>RAS</t>
        </is>
      </c>
      <c r="I1693" s="45" t="inlineStr"/>
      <c r="J1693" s="45" t="inlineStr">
        <is>
          <t>RNCP37442</t>
        </is>
      </c>
      <c r="K1693" s="45" t="inlineStr">
        <is>
          <t>Electricien d'équipement du bâtiment</t>
        </is>
      </c>
      <c r="L1693" s="45" t="inlineStr">
        <is>
          <t>02/09/2028</t>
        </is>
      </c>
      <c r="M1693" s="45" t="inlineStr">
        <is>
          <t>24066 (Installation électrique) ; 22211 (Performance énergétique bâtiment) ; 22485 (Rénovation bâtiment)</t>
        </is>
      </c>
      <c r="N1693" s="50" t="inlineStr">
        <is>
          <t>NON</t>
        </is>
      </c>
      <c r="O1693" s="45" t="inlineStr"/>
    </row>
    <row r="1694" customFormat="1" s="3">
      <c r="A1694" s="45" t="n"/>
      <c r="B1694" s="46" t="inlineStr">
        <is>
          <t>24066</t>
        </is>
      </c>
      <c r="C1694" s="46">
        <f>LEFT(Tableau1[[#This Row],[Formacode]],3)</f>
        <v/>
      </c>
      <c r="D1694" s="47" t="n">
        <v>37446</v>
      </c>
      <c r="E1694" s="48">
        <f>"RNCP"&amp;D1694</f>
        <v/>
      </c>
      <c r="F1694" s="48" t="inlineStr">
        <is>
          <t>TP - Technicien d'équipement et d'exploitation en électricité</t>
        </is>
      </c>
      <c r="G1694" s="49">
        <f>E1694&amp;" - "&amp;F1694</f>
        <v/>
      </c>
      <c r="H1694" s="36" t="inlineStr">
        <is>
          <t>RAS</t>
        </is>
      </c>
      <c r="I1694" s="45" t="inlineStr"/>
      <c r="J1694" s="45" t="inlineStr">
        <is>
          <t>RNCP37446</t>
        </is>
      </c>
      <c r="K1694" s="45" t="inlineStr">
        <is>
          <t>Technicien d'équipement et d'exploitation en électricité</t>
        </is>
      </c>
      <c r="L1694" s="45" t="inlineStr">
        <is>
          <t>08/05/2028</t>
        </is>
      </c>
      <c r="M1694" s="45" t="inlineStr">
        <is>
          <t>24066 (Installation électrique) ; 22211 (Performance énergétique bâtiment)</t>
        </is>
      </c>
      <c r="N1694" s="50" t="inlineStr">
        <is>
          <t>NON</t>
        </is>
      </c>
      <c r="O1694" s="45" t="inlineStr"/>
    </row>
    <row r="1695" customFormat="1" s="3">
      <c r="A1695" s="45" t="n"/>
      <c r="B1695" s="46" t="inlineStr">
        <is>
          <t>24066</t>
        </is>
      </c>
      <c r="C1695" s="46">
        <f>LEFT(Tableau1[[#This Row],[Formacode]],3)</f>
        <v/>
      </c>
      <c r="D1695" s="47" t="n">
        <v>37531</v>
      </c>
      <c r="E1695" s="48">
        <f>"RNCP"&amp;D1695</f>
        <v/>
      </c>
      <c r="F1695" s="48" t="inlineStr">
        <is>
          <t>Installateur en équipements électriques (BM)</t>
        </is>
      </c>
      <c r="G1695" s="49">
        <f>E1695&amp;" - "&amp;F1695</f>
        <v/>
      </c>
      <c r="H1695" s="36" t="inlineStr">
        <is>
          <t>RAS</t>
        </is>
      </c>
      <c r="I1695" s="45" t="inlineStr"/>
      <c r="J1695" s="45" t="inlineStr">
        <is>
          <t>RNCP37531</t>
        </is>
      </c>
      <c r="K1695" s="45" t="inlineStr">
        <is>
          <t>Installateur en équipements électriques (BM)</t>
        </is>
      </c>
      <c r="L1695" s="45" t="inlineStr">
        <is>
          <t>24/04/2028</t>
        </is>
      </c>
      <c r="M1695" s="45" t="inlineStr">
        <is>
          <t>24066 (Installation électrique) ; 24016 (Montage câblage électrique)</t>
        </is>
      </c>
      <c r="N1695" s="50" t="inlineStr">
        <is>
          <t>NON</t>
        </is>
      </c>
      <c r="O1695" s="45" t="inlineStr"/>
    </row>
    <row r="1696" customFormat="1" s="3">
      <c r="A1696" s="45" t="n"/>
      <c r="B1696" s="46" t="inlineStr">
        <is>
          <t>24066</t>
        </is>
      </c>
      <c r="C1696" s="46">
        <f>LEFT(Tableau1[[#This Row],[Formacode]],3)</f>
        <v/>
      </c>
      <c r="D1696" s="47" t="n">
        <v>37848</v>
      </c>
      <c r="E1696" s="48">
        <f>"RNCP"&amp;D1696</f>
        <v/>
      </c>
      <c r="F1696" s="48" t="inlineStr">
        <is>
          <t>CQP Electricien du spectacle</t>
        </is>
      </c>
      <c r="G1696" s="49">
        <f>E1696&amp;" - "&amp;F1696</f>
        <v/>
      </c>
      <c r="H1696" s="36" t="inlineStr">
        <is>
          <t>RAS</t>
        </is>
      </c>
      <c r="I1696" s="45" t="inlineStr"/>
      <c r="J1696" s="45" t="inlineStr">
        <is>
          <t>RNCP37848</t>
        </is>
      </c>
      <c r="K1696" s="45" t="inlineStr">
        <is>
          <t>CQP Electricien du spectacle</t>
        </is>
      </c>
      <c r="L1696" s="45" t="inlineStr">
        <is>
          <t>19/07/2028</t>
        </is>
      </c>
      <c r="M1696" s="45" t="inlineStr">
        <is>
          <t>45042 (Technique spectacle) ; 24066 (Installation électrique)</t>
        </is>
      </c>
      <c r="N1696" s="50" t="inlineStr">
        <is>
          <t>NON</t>
        </is>
      </c>
      <c r="O1696" s="45" t="inlineStr"/>
    </row>
    <row r="1697" customFormat="1" s="3">
      <c r="A1697" s="45" t="n"/>
      <c r="B1697" s="46" t="inlineStr">
        <is>
          <t>24066</t>
        </is>
      </c>
      <c r="C1697" s="46">
        <f>LEFT(Tableau1[[#This Row],[Formacode]],3)</f>
        <v/>
      </c>
      <c r="D1697" s="47" t="n">
        <v>38401</v>
      </c>
      <c r="E1697" s="48">
        <f>"RNCP"&amp;D1697</f>
        <v/>
      </c>
      <c r="F1697" s="48" t="inlineStr">
        <is>
          <t>CAP - Electricien</t>
        </is>
      </c>
      <c r="G1697" s="49">
        <f>E1697&amp;" - "&amp;F1697</f>
        <v/>
      </c>
      <c r="H1697" s="36" t="inlineStr">
        <is>
          <t>RAS</t>
        </is>
      </c>
      <c r="I1697" s="45" t="inlineStr"/>
      <c r="J1697" s="45" t="inlineStr">
        <is>
          <t>RNCP38401</t>
        </is>
      </c>
      <c r="K1697" s="45" t="inlineStr">
        <is>
          <t>Electricien</t>
        </is>
      </c>
      <c r="L1697" s="45" t="inlineStr">
        <is>
          <t>31/12/2028</t>
        </is>
      </c>
      <c r="M1697" s="45" t="inlineStr">
        <is>
          <t>24066 (Installation électrique)</t>
        </is>
      </c>
      <c r="N1697" s="50" t="inlineStr">
        <is>
          <t>NON</t>
        </is>
      </c>
      <c r="O1697" s="45" t="inlineStr"/>
    </row>
    <row r="1698" customFormat="1" s="3">
      <c r="A1698" s="45" t="n"/>
      <c r="B1698" s="46" t="inlineStr">
        <is>
          <t>24066</t>
        </is>
      </c>
      <c r="C1698" s="46">
        <f>LEFT(Tableau1[[#This Row],[Formacode]],3)</f>
        <v/>
      </c>
      <c r="D1698" s="47" t="n">
        <v>38878</v>
      </c>
      <c r="E1698" s="48">
        <f>"RNCP"&amp;D1698</f>
        <v/>
      </c>
      <c r="F1698" s="48" t="inlineStr">
        <is>
          <t>BAC PRO - Métiers de l'électricité et de ses environnements connectés</t>
        </is>
      </c>
      <c r="G1698" s="49">
        <f>E1698&amp;" - "&amp;F1698</f>
        <v/>
      </c>
      <c r="H1698" s="36" t="inlineStr">
        <is>
          <t>RAS</t>
        </is>
      </c>
      <c r="I1698" s="45" t="inlineStr"/>
      <c r="J1698" s="45" t="inlineStr">
        <is>
          <t>RNCP38878</t>
        </is>
      </c>
      <c r="K1698" s="45" t="inlineStr">
        <is>
          <t>Métiers de l'électricité et de ses environnements connectés</t>
        </is>
      </c>
      <c r="L1698" s="45" t="inlineStr">
        <is>
          <t>31/08/2029</t>
        </is>
      </c>
      <c r="M1698" s="45" t="inlineStr">
        <is>
          <t>24054 (Électricité) ; 22499 (Immotique) ; 24396 (Matériel électronique sécurité)</t>
        </is>
      </c>
      <c r="N1698" s="50" t="inlineStr">
        <is>
          <t>NON</t>
        </is>
      </c>
      <c r="O1698" s="45" t="inlineStr"/>
    </row>
    <row r="1699" customFormat="1" s="3">
      <c r="A1699" s="45" t="n"/>
      <c r="B1699" s="46" t="inlineStr">
        <is>
          <t>24066</t>
        </is>
      </c>
      <c r="C1699" s="46">
        <f>LEFT(Tableau1[[#This Row],[Formacode]],3)</f>
        <v/>
      </c>
      <c r="D1699" s="47" t="n">
        <v>38880</v>
      </c>
      <c r="E1699" s="48">
        <f>"RNCP"&amp;D1699</f>
        <v/>
      </c>
      <c r="F1699" s="48" t="inlineStr">
        <is>
          <t>BP - Electricien</t>
        </is>
      </c>
      <c r="G1699" s="49">
        <f>E1699&amp;" - "&amp;F1699</f>
        <v/>
      </c>
      <c r="H1699" s="36" t="inlineStr">
        <is>
          <t>RAS</t>
        </is>
      </c>
      <c r="I1699" s="45" t="inlineStr"/>
      <c r="J1699" s="45" t="inlineStr">
        <is>
          <t>RNCP38880</t>
        </is>
      </c>
      <c r="K1699" s="45" t="inlineStr">
        <is>
          <t>Electricien</t>
        </is>
      </c>
      <c r="L1699" s="45" t="inlineStr">
        <is>
          <t>31/08/2029</t>
        </is>
      </c>
      <c r="M1699" s="45" t="inlineStr">
        <is>
          <t>24066 (Installation électrique)</t>
        </is>
      </c>
      <c r="N1699" s="50" t="inlineStr">
        <is>
          <t>NON</t>
        </is>
      </c>
      <c r="O1699" s="45" t="inlineStr"/>
    </row>
    <row r="1700" customFormat="1" s="3">
      <c r="A1700" s="51" t="n"/>
      <c r="B1700" s="52" t="inlineStr">
        <is>
          <t>24066</t>
        </is>
      </c>
      <c r="C1700" s="52">
        <f>LEFT(Tableau1[[#This Row],[Formacode]],3)</f>
        <v/>
      </c>
      <c r="D1700" s="53" t="n">
        <v>39192</v>
      </c>
      <c r="E1700" s="54">
        <f>"RNCP"&amp;D1700</f>
        <v/>
      </c>
      <c r="F1700" s="54" t="inlineStr">
        <is>
          <t>CS - Technicien ascensoriste (service et modernisation)</t>
        </is>
      </c>
      <c r="G1700" s="55">
        <f>E1700&amp;" - "&amp;F1700</f>
        <v/>
      </c>
      <c r="H1700" s="37" t="inlineStr">
        <is>
          <t>À vérifier</t>
        </is>
      </c>
      <c r="I1700" s="51" t="inlineStr">
        <is>
          <t>Échéance le 31/12/2026 (dans 166 j)</t>
        </is>
      </c>
      <c r="J1700" s="51" t="inlineStr">
        <is>
          <t>RNCP39192</t>
        </is>
      </c>
      <c r="K1700" s="51" t="inlineStr">
        <is>
          <t>Technicien ascensoriste (service et modernisation)</t>
        </is>
      </c>
      <c r="L1700" s="51" t="inlineStr">
        <is>
          <t>31/12/2026</t>
        </is>
      </c>
      <c r="M1700" s="51" t="inlineStr">
        <is>
          <t>22493 (Ascenseur) ; 24054 (Électricité)</t>
        </is>
      </c>
      <c r="N1700" s="62" t="inlineStr">
        <is>
          <t>NON</t>
        </is>
      </c>
      <c r="O1700" s="51" t="inlineStr"/>
    </row>
    <row r="1701" customFormat="1" s="3">
      <c r="A1701" s="45" t="n"/>
      <c r="B1701" s="46" t="inlineStr">
        <is>
          <t>24066</t>
        </is>
      </c>
      <c r="C1701" s="46">
        <f>LEFT(Tableau1[[#This Row],[Formacode]],3)</f>
        <v/>
      </c>
      <c r="D1701" s="47" t="n">
        <v>39215</v>
      </c>
      <c r="E1701" s="48">
        <f>"RNCP"&amp;D1701</f>
        <v/>
      </c>
      <c r="F1701" s="48" t="inlineStr">
        <is>
          <t>CQP Inspecteur en vérification périodique d’installations électriques</t>
        </is>
      </c>
      <c r="G1701" s="49">
        <f>E1701&amp;" - "&amp;F1701</f>
        <v/>
      </c>
      <c r="H1701" s="36" t="inlineStr">
        <is>
          <t>RAS</t>
        </is>
      </c>
      <c r="I1701" s="45" t="inlineStr"/>
      <c r="J1701" s="45" t="inlineStr">
        <is>
          <t>RNCP39215</t>
        </is>
      </c>
      <c r="K1701" s="45" t="inlineStr">
        <is>
          <t>CQP Inspecteur en vérification périodique d’installations électriques</t>
        </is>
      </c>
      <c r="L1701" s="45" t="inlineStr">
        <is>
          <t>27/06/2029</t>
        </is>
      </c>
      <c r="M1701" s="45" t="inlineStr">
        <is>
          <t>24047 (Sécurité électrique)</t>
        </is>
      </c>
      <c r="N1701" s="50" t="inlineStr">
        <is>
          <t>NON</t>
        </is>
      </c>
      <c r="O1701" s="45" t="inlineStr"/>
    </row>
    <row r="1702" customFormat="1" s="3">
      <c r="A1702" s="45" t="n"/>
      <c r="B1702" s="46" t="inlineStr">
        <is>
          <t>24066</t>
        </is>
      </c>
      <c r="C1702" s="46">
        <f>LEFT(Tableau1[[#This Row],[Formacode]],3)</f>
        <v/>
      </c>
      <c r="D1702" s="47" t="n">
        <v>39839</v>
      </c>
      <c r="E1702" s="48">
        <f>"RNCP"&amp;D1702</f>
        <v/>
      </c>
      <c r="F1702" s="48" t="inlineStr">
        <is>
          <t>CQP Technicien monteur d'équipement industriel</t>
        </is>
      </c>
      <c r="G1702" s="49">
        <f>E1702&amp;" - "&amp;F1702</f>
        <v/>
      </c>
      <c r="H1702" s="36" t="inlineStr">
        <is>
          <t>RAS</t>
        </is>
      </c>
      <c r="I1702" s="45" t="inlineStr"/>
      <c r="J1702" s="45" t="inlineStr">
        <is>
          <t>RNCP39839</t>
        </is>
      </c>
      <c r="K1702" s="45" t="inlineStr">
        <is>
          <t>CQP Technicien monteur d'équipement industriel</t>
        </is>
      </c>
      <c r="L1702" s="45" t="inlineStr">
        <is>
          <t>28/11/2027</t>
        </is>
      </c>
      <c r="M1702" s="45" t="inlineStr">
        <is>
          <t>24016 (Montage câblage électrique) ; 24099 (Électricité équipement industriel)</t>
        </is>
      </c>
      <c r="N1702" s="50" t="inlineStr">
        <is>
          <t>NON</t>
        </is>
      </c>
      <c r="O1702" s="45" t="inlineStr"/>
    </row>
    <row r="1703" customFormat="1" s="3">
      <c r="A1703" s="45" t="n"/>
      <c r="B1703" s="46" t="inlineStr">
        <is>
          <t>24066</t>
        </is>
      </c>
      <c r="C1703" s="46">
        <f>LEFT(Tableau1[[#This Row],[Formacode]],3)</f>
        <v/>
      </c>
      <c r="D1703" s="47" t="n">
        <v>41007</v>
      </c>
      <c r="E1703" s="48">
        <f>"RNCP"&amp;D1703</f>
        <v/>
      </c>
      <c r="F1703" s="48" t="inlineStr">
        <is>
          <t>BTS - Electrotechnique</t>
        </is>
      </c>
      <c r="G1703" s="49">
        <f>E1703&amp;" - "&amp;F1703</f>
        <v/>
      </c>
      <c r="H1703" s="36" t="inlineStr">
        <is>
          <t>RAS</t>
        </is>
      </c>
      <c r="I1703" s="45" t="inlineStr"/>
      <c r="J1703" s="45" t="inlineStr">
        <is>
          <t>RNCP41007</t>
        </is>
      </c>
      <c r="K1703" s="45" t="inlineStr">
        <is>
          <t>Electrotechnique</t>
        </is>
      </c>
      <c r="L1703" s="45" t="inlineStr">
        <is>
          <t>31/08/2030</t>
        </is>
      </c>
      <c r="M1703" s="45" t="inlineStr">
        <is>
          <t>24054 (Électricité)</t>
        </is>
      </c>
      <c r="N1703" s="50" t="inlineStr">
        <is>
          <t>NON</t>
        </is>
      </c>
      <c r="O1703" s="45" t="inlineStr"/>
    </row>
    <row r="1704" customFormat="1" s="3">
      <c r="A1704" s="45" t="n"/>
      <c r="B1704" s="46" t="inlineStr">
        <is>
          <t>24066</t>
        </is>
      </c>
      <c r="C1704" s="46">
        <f>LEFT(Tableau1[[#This Row],[Formacode]],3)</f>
        <v/>
      </c>
      <c r="D1704" s="47" t="n">
        <v>41367</v>
      </c>
      <c r="E1704" s="48">
        <f>"RNCP"&amp;D1704</f>
        <v/>
      </c>
      <c r="F1704" s="48" t="inlineStr">
        <is>
          <t>TP - Technicien en systèmes de sûreté</t>
        </is>
      </c>
      <c r="G1704" s="49">
        <f>E1704&amp;" - "&amp;F1704</f>
        <v/>
      </c>
      <c r="H1704" s="36" t="inlineStr">
        <is>
          <t>RAS</t>
        </is>
      </c>
      <c r="I1704" s="45" t="inlineStr"/>
      <c r="J1704" s="45" t="inlineStr">
        <is>
          <t>RNCP41367</t>
        </is>
      </c>
      <c r="K1704" s="45" t="inlineStr">
        <is>
          <t>Technicien en systèmes de sûreté</t>
        </is>
      </c>
      <c r="L1704" s="45" t="inlineStr">
        <is>
          <t>27/12/2030</t>
        </is>
      </c>
      <c r="M1704" s="45" t="inlineStr">
        <is>
          <t>24066 (Installation électrique) ; 24396 (Matériel électronique sécurité)</t>
        </is>
      </c>
      <c r="N1704" s="50" t="inlineStr">
        <is>
          <t>NON</t>
        </is>
      </c>
      <c r="O1704" s="45" t="inlineStr"/>
    </row>
    <row r="1705" customFormat="1" s="3">
      <c r="A1705" s="45" t="n"/>
      <c r="B1705" s="46" t="inlineStr">
        <is>
          <t>24072</t>
        </is>
      </c>
      <c r="C1705" s="46">
        <f>LEFT(Tableau1[[#This Row],[Formacode]],3)</f>
        <v/>
      </c>
      <c r="D1705" s="47" t="n">
        <v>38878</v>
      </c>
      <c r="E1705" s="48">
        <f>"RNCP"&amp;D1705</f>
        <v/>
      </c>
      <c r="F1705" s="48" t="inlineStr">
        <is>
          <t>BAC PRO - Métiers de l'électricité et de ses environnements connectés</t>
        </is>
      </c>
      <c r="G1705" s="49">
        <f>E1705&amp;" - "&amp;F1705</f>
        <v/>
      </c>
      <c r="H1705" s="36" t="inlineStr">
        <is>
          <t>RAS</t>
        </is>
      </c>
      <c r="I1705" s="45" t="inlineStr"/>
      <c r="J1705" s="45" t="inlineStr">
        <is>
          <t>RNCP38878</t>
        </is>
      </c>
      <c r="K1705" s="45" t="inlineStr">
        <is>
          <t>Métiers de l'électricité et de ses environnements connectés</t>
        </is>
      </c>
      <c r="L1705" s="45" t="inlineStr">
        <is>
          <t>31/08/2029</t>
        </is>
      </c>
      <c r="M1705" s="45" t="inlineStr">
        <is>
          <t>24054 (Électricité) ; 22499 (Immotique) ; 24396 (Matériel électronique sécurité)</t>
        </is>
      </c>
      <c r="N1705" s="50" t="inlineStr">
        <is>
          <t>NON</t>
        </is>
      </c>
      <c r="O1705" s="45" t="inlineStr"/>
    </row>
    <row r="1706" customFormat="1" s="3">
      <c r="A1706" s="51" t="n"/>
      <c r="B1706" s="52" t="inlineStr">
        <is>
          <t>24072</t>
        </is>
      </c>
      <c r="C1706" s="52">
        <f>LEFT(Tableau1[[#This Row],[Formacode]],3)</f>
        <v/>
      </c>
      <c r="D1706" s="53" t="n">
        <v>39192</v>
      </c>
      <c r="E1706" s="54">
        <f>"RNCP"&amp;D1706</f>
        <v/>
      </c>
      <c r="F1706" s="54" t="inlineStr">
        <is>
          <t>CS - Technicien ascensoriste (service et modernisation)</t>
        </is>
      </c>
      <c r="G1706" s="55">
        <f>E1706&amp;" - "&amp;F1706</f>
        <v/>
      </c>
      <c r="H1706" s="37" t="inlineStr">
        <is>
          <t>À vérifier</t>
        </is>
      </c>
      <c r="I1706" s="51" t="inlineStr">
        <is>
          <t>Échéance le 31/12/2026 (dans 166 j)</t>
        </is>
      </c>
      <c r="J1706" s="51" t="inlineStr">
        <is>
          <t>RNCP39192</t>
        </is>
      </c>
      <c r="K1706" s="51" t="inlineStr">
        <is>
          <t>Technicien ascensoriste (service et modernisation)</t>
        </is>
      </c>
      <c r="L1706" s="51" t="inlineStr">
        <is>
          <t>31/12/2026</t>
        </is>
      </c>
      <c r="M1706" s="51" t="inlineStr">
        <is>
          <t>22493 (Ascenseur) ; 24054 (Électricité)</t>
        </is>
      </c>
      <c r="N1706" s="62" t="inlineStr">
        <is>
          <t>NON</t>
        </is>
      </c>
      <c r="O1706" s="51" t="inlineStr"/>
    </row>
    <row r="1707" customFormat="1" s="3">
      <c r="A1707" s="45" t="n"/>
      <c r="B1707" s="46" t="inlineStr">
        <is>
          <t>24072</t>
        </is>
      </c>
      <c r="C1707" s="46">
        <f>LEFT(Tableau1[[#This Row],[Formacode]],3)</f>
        <v/>
      </c>
      <c r="D1707" s="47" t="n">
        <v>41007</v>
      </c>
      <c r="E1707" s="48">
        <f>"RNCP"&amp;D1707</f>
        <v/>
      </c>
      <c r="F1707" s="48" t="inlineStr">
        <is>
          <t>BTS - Electrotechnique</t>
        </is>
      </c>
      <c r="G1707" s="49">
        <f>E1707&amp;" - "&amp;F1707</f>
        <v/>
      </c>
      <c r="H1707" s="36" t="inlineStr">
        <is>
          <t>RAS</t>
        </is>
      </c>
      <c r="I1707" s="45" t="inlineStr"/>
      <c r="J1707" s="45" t="inlineStr">
        <is>
          <t>RNCP41007</t>
        </is>
      </c>
      <c r="K1707" s="45" t="inlineStr">
        <is>
          <t>Electrotechnique</t>
        </is>
      </c>
      <c r="L1707" s="45" t="inlineStr">
        <is>
          <t>31/08/2030</t>
        </is>
      </c>
      <c r="M1707" s="45" t="inlineStr">
        <is>
          <t>24054 (Électricité)</t>
        </is>
      </c>
      <c r="N1707" s="50" t="inlineStr">
        <is>
          <t>NON</t>
        </is>
      </c>
      <c r="O1707" s="45" t="inlineStr"/>
    </row>
    <row r="1708" customFormat="1" s="3">
      <c r="A1708" s="45" t="n"/>
      <c r="B1708" s="46" t="inlineStr">
        <is>
          <t>24109</t>
        </is>
      </c>
      <c r="C1708" s="46">
        <f>LEFT(Tableau1[[#This Row],[Formacode]],3)</f>
        <v/>
      </c>
      <c r="D1708" s="47" t="n">
        <v>39225</v>
      </c>
      <c r="E1708" s="48">
        <f>"RNCP"&amp;D1708</f>
        <v/>
      </c>
      <c r="F1708" s="48" t="inlineStr">
        <is>
          <t>Technicien chef de projet en rénovation énergétique</t>
        </is>
      </c>
      <c r="G1708" s="49">
        <f>E1708&amp;" - "&amp;F1708</f>
        <v/>
      </c>
      <c r="H1708" s="36" t="inlineStr">
        <is>
          <t>RAS</t>
        </is>
      </c>
      <c r="I1708" s="45" t="inlineStr"/>
      <c r="J1708" s="45" t="inlineStr">
        <is>
          <t>RNCP39225</t>
        </is>
      </c>
      <c r="K1708" s="45" t="inlineStr">
        <is>
          <t>Technicien chef de projet en rénovation énergétique</t>
        </is>
      </c>
      <c r="L1708" s="45" t="inlineStr">
        <is>
          <t>27/06/2027</t>
        </is>
      </c>
      <c r="M1708" s="45" t="inlineStr">
        <is>
          <t>24154 (Énergie) ; 22215 (Audit énergétique bâtiment) ; 22210 (Réglementation thermique bâtiment) ; 22485 (Rénovation bâtiment)</t>
        </is>
      </c>
      <c r="N1708" s="50" t="inlineStr">
        <is>
          <t>NON</t>
        </is>
      </c>
      <c r="O1708" s="45" t="inlineStr"/>
    </row>
    <row r="1709" customFormat="1" s="3">
      <c r="A1709" s="45" t="n"/>
      <c r="B1709" s="46" t="inlineStr">
        <is>
          <t>24109</t>
        </is>
      </c>
      <c r="C1709" s="46">
        <f>LEFT(Tableau1[[#This Row],[Formacode]],3)</f>
        <v/>
      </c>
      <c r="D1709" s="47" t="n">
        <v>39344</v>
      </c>
      <c r="E1709" s="48">
        <f>"RNCP"&amp;D1709</f>
        <v/>
      </c>
      <c r="F1709" s="48" t="inlineStr">
        <is>
          <t>CQP Technicien en machines tournantes sous pression</t>
        </is>
      </c>
      <c r="G1709" s="49">
        <f>E1709&amp;" - "&amp;F1709</f>
        <v/>
      </c>
      <c r="H1709" s="36" t="inlineStr">
        <is>
          <t>RAS</t>
        </is>
      </c>
      <c r="I1709" s="45" t="inlineStr"/>
      <c r="J1709" s="45" t="inlineStr">
        <is>
          <t>RNCP39344</t>
        </is>
      </c>
      <c r="K1709" s="45" t="inlineStr">
        <is>
          <t>CQP Technicien en machines tournantes sous pression</t>
        </is>
      </c>
      <c r="L1709" s="45" t="inlineStr">
        <is>
          <t>19/07/2028</t>
        </is>
      </c>
      <c r="M1709" s="45" t="inlineStr">
        <is>
          <t>24052 (Électromécanique) ; 24154 (Énergie) ; 31624 (Maintenance industrielle)</t>
        </is>
      </c>
      <c r="N1709" s="50" t="inlineStr">
        <is>
          <t>NON</t>
        </is>
      </c>
      <c r="O1709" s="45" t="inlineStr"/>
    </row>
    <row r="1710" customFormat="1" s="3">
      <c r="A1710" s="45" t="n"/>
      <c r="B1710" s="46" t="inlineStr">
        <is>
          <t>24134</t>
        </is>
      </c>
      <c r="C1710" s="46">
        <f>LEFT(Tableau1[[#This Row],[Formacode]],3)</f>
        <v/>
      </c>
      <c r="D1710" s="47" t="n">
        <v>38573</v>
      </c>
      <c r="E1710" s="48">
        <f>"RNCP"&amp;D1710</f>
        <v/>
      </c>
      <c r="F1710" s="48" t="inlineStr">
        <is>
          <t>BAC PRO - Techniques d'interventions sur installations nucléaires</t>
        </is>
      </c>
      <c r="G1710" s="49">
        <f>E1710&amp;" - "&amp;F1710</f>
        <v/>
      </c>
      <c r="H1710" s="36" t="inlineStr">
        <is>
          <t>RAS</t>
        </is>
      </c>
      <c r="I1710" s="45" t="inlineStr"/>
      <c r="J1710" s="45" t="inlineStr">
        <is>
          <t>RNCP38573</t>
        </is>
      </c>
      <c r="K1710" s="45" t="inlineStr">
        <is>
          <t>Techniques d'interventions sur installations nucléaires</t>
        </is>
      </c>
      <c r="L1710" s="45" t="inlineStr">
        <is>
          <t>31/12/2028</t>
        </is>
      </c>
      <c r="M1710" s="45" t="inlineStr">
        <is>
          <t>24134 (Énergie nucléaire) ; 31624 (Maintenance industrielle)</t>
        </is>
      </c>
      <c r="N1710" s="50" t="inlineStr">
        <is>
          <t>NON</t>
        </is>
      </c>
      <c r="O1710" s="45" t="inlineStr"/>
    </row>
    <row r="1711" customFormat="1" s="3">
      <c r="A1711" s="45" t="n"/>
      <c r="B1711" s="46" t="inlineStr">
        <is>
          <t>24134</t>
        </is>
      </c>
      <c r="C1711" s="46">
        <f>LEFT(Tableau1[[#This Row],[Formacode]],3)</f>
        <v/>
      </c>
      <c r="D1711" s="47" t="n">
        <v>39225</v>
      </c>
      <c r="E1711" s="48">
        <f>"RNCP"&amp;D1711</f>
        <v/>
      </c>
      <c r="F1711" s="48" t="inlineStr">
        <is>
          <t>Technicien chef de projet en rénovation énergétique</t>
        </is>
      </c>
      <c r="G1711" s="49">
        <f>E1711&amp;" - "&amp;F1711</f>
        <v/>
      </c>
      <c r="H1711" s="36" t="inlineStr">
        <is>
          <t>RAS</t>
        </is>
      </c>
      <c r="I1711" s="45" t="inlineStr"/>
      <c r="J1711" s="45" t="inlineStr">
        <is>
          <t>RNCP39225</t>
        </is>
      </c>
      <c r="K1711" s="45" t="inlineStr">
        <is>
          <t>Technicien chef de projet en rénovation énergétique</t>
        </is>
      </c>
      <c r="L1711" s="45" t="inlineStr">
        <is>
          <t>27/06/2027</t>
        </is>
      </c>
      <c r="M1711" s="45" t="inlineStr">
        <is>
          <t>24154 (Énergie) ; 22215 (Audit énergétique bâtiment) ; 22210 (Réglementation thermique bâtiment) ; 22485 (Rénovation bâtiment)</t>
        </is>
      </c>
      <c r="N1711" s="50" t="inlineStr">
        <is>
          <t>NON</t>
        </is>
      </c>
      <c r="O1711" s="45" t="inlineStr"/>
    </row>
    <row r="1712" customFormat="1" s="3">
      <c r="A1712" s="45" t="n"/>
      <c r="B1712" s="46" t="inlineStr">
        <is>
          <t>24134</t>
        </is>
      </c>
      <c r="C1712" s="46">
        <f>LEFT(Tableau1[[#This Row],[Formacode]],3)</f>
        <v/>
      </c>
      <c r="D1712" s="47" t="n">
        <v>39344</v>
      </c>
      <c r="E1712" s="48">
        <f>"RNCP"&amp;D1712</f>
        <v/>
      </c>
      <c r="F1712" s="48" t="inlineStr">
        <is>
          <t>CQP Technicien en machines tournantes sous pression</t>
        </is>
      </c>
      <c r="G1712" s="49">
        <f>E1712&amp;" - "&amp;F1712</f>
        <v/>
      </c>
      <c r="H1712" s="36" t="inlineStr">
        <is>
          <t>RAS</t>
        </is>
      </c>
      <c r="I1712" s="45" t="inlineStr"/>
      <c r="J1712" s="45" t="inlineStr">
        <is>
          <t>RNCP39344</t>
        </is>
      </c>
      <c r="K1712" s="45" t="inlineStr">
        <is>
          <t>CQP Technicien en machines tournantes sous pression</t>
        </is>
      </c>
      <c r="L1712" s="45" t="inlineStr">
        <is>
          <t>19/07/2028</t>
        </is>
      </c>
      <c r="M1712" s="45" t="inlineStr">
        <is>
          <t>24052 (Électromécanique) ; 24154 (Énergie) ; 31624 (Maintenance industrielle)</t>
        </is>
      </c>
      <c r="N1712" s="50" t="inlineStr">
        <is>
          <t>NON</t>
        </is>
      </c>
      <c r="O1712" s="45" t="inlineStr"/>
    </row>
    <row r="1713" customFormat="1" s="3">
      <c r="A1713" s="45" t="n"/>
      <c r="B1713" s="46" t="inlineStr">
        <is>
          <t>24134</t>
        </is>
      </c>
      <c r="C1713" s="46">
        <f>LEFT(Tableau1[[#This Row],[Formacode]],3)</f>
        <v/>
      </c>
      <c r="D1713" s="47" t="n">
        <v>39718</v>
      </c>
      <c r="E1713" s="48">
        <f>"RNCP"&amp;D1713</f>
        <v/>
      </c>
      <c r="F1713" s="48" t="inlineStr">
        <is>
          <t>CQP Opérateur d'intervention en milieu sensible</t>
        </is>
      </c>
      <c r="G1713" s="49">
        <f>E1713&amp;" - "&amp;F1713</f>
        <v/>
      </c>
      <c r="H1713" s="36" t="inlineStr">
        <is>
          <t>RAS</t>
        </is>
      </c>
      <c r="I1713" s="45" t="inlineStr"/>
      <c r="J1713" s="45" t="inlineStr">
        <is>
          <t>RNCP39718</t>
        </is>
      </c>
      <c r="K1713" s="45" t="inlineStr">
        <is>
          <t>CQP Opérateur d'intervention en milieu sensible</t>
        </is>
      </c>
      <c r="L1713" s="45" t="inlineStr">
        <is>
          <t>31/10/2029</t>
        </is>
      </c>
      <c r="M1713" s="45" t="inlineStr">
        <is>
          <t>22201 (Risque sanitaire bâtiment) ; 12592 (Gestion déchet industriel) ; 24114 (Retraitement combustible irradié) ; 12541 (Assainissement)</t>
        </is>
      </c>
      <c r="N1713" s="50" t="inlineStr">
        <is>
          <t>NON</t>
        </is>
      </c>
      <c r="O1713" s="45" t="inlineStr"/>
    </row>
    <row r="1714" customFormat="1" s="3">
      <c r="A1714" s="45" t="n"/>
      <c r="B1714" s="46" t="inlineStr">
        <is>
          <t>24134</t>
        </is>
      </c>
      <c r="C1714" s="46">
        <f>LEFT(Tableau1[[#This Row],[Formacode]],3)</f>
        <v/>
      </c>
      <c r="D1714" s="47" t="n">
        <v>39719</v>
      </c>
      <c r="E1714" s="48">
        <f>"RNCP"&amp;D1714</f>
        <v/>
      </c>
      <c r="F1714" s="48" t="inlineStr">
        <is>
          <t>CQP Technicien d'intervention sur sites nucléaires</t>
        </is>
      </c>
      <c r="G1714" s="49">
        <f>E1714&amp;" - "&amp;F1714</f>
        <v/>
      </c>
      <c r="H1714" s="36" t="inlineStr">
        <is>
          <t>RAS</t>
        </is>
      </c>
      <c r="I1714" s="45" t="inlineStr"/>
      <c r="J1714" s="45" t="inlineStr">
        <is>
          <t>RNCP39719</t>
        </is>
      </c>
      <c r="K1714" s="45" t="inlineStr">
        <is>
          <t>CQP Technicien d'intervention sur sites nucléaires</t>
        </is>
      </c>
      <c r="L1714" s="45" t="inlineStr">
        <is>
          <t>31/10/2029</t>
        </is>
      </c>
      <c r="M1714" s="45" t="inlineStr">
        <is>
          <t>24132 (Prévention sécurité nucléaire)</t>
        </is>
      </c>
      <c r="N1714" s="50" t="inlineStr">
        <is>
          <t>NON</t>
        </is>
      </c>
      <c r="O1714" s="45" t="inlineStr"/>
    </row>
    <row r="1715" customFormat="1" s="3">
      <c r="A1715" s="45" t="n"/>
      <c r="B1715" s="46" t="inlineStr">
        <is>
          <t>24134</t>
        </is>
      </c>
      <c r="C1715" s="46">
        <f>LEFT(Tableau1[[#This Row],[Formacode]],3)</f>
        <v/>
      </c>
      <c r="D1715" s="47" t="n">
        <v>39720</v>
      </c>
      <c r="E1715" s="48">
        <f>"RNCP"&amp;D1715</f>
        <v/>
      </c>
      <c r="F1715" s="48" t="inlineStr">
        <is>
          <t>CQP Chargé de travaux en milieu nucléaire</t>
        </is>
      </c>
      <c r="G1715" s="49">
        <f>E1715&amp;" - "&amp;F1715</f>
        <v/>
      </c>
      <c r="H1715" s="36" t="inlineStr">
        <is>
          <t>RAS</t>
        </is>
      </c>
      <c r="I1715" s="45" t="inlineStr"/>
      <c r="J1715" s="45" t="inlineStr">
        <is>
          <t>RNCP39720</t>
        </is>
      </c>
      <c r="K1715" s="45" t="inlineStr">
        <is>
          <t>CQP Chargé de travaux en milieu nucléaire</t>
        </is>
      </c>
      <c r="L1715" s="45" t="inlineStr">
        <is>
          <t>31/10/2027</t>
        </is>
      </c>
      <c r="M1715" s="45" t="inlineStr">
        <is>
          <t>12592 (Gestion déchet industriel) ; 24134 (Énergie nucléaire)</t>
        </is>
      </c>
      <c r="N1715" s="50" t="inlineStr">
        <is>
          <t>NON</t>
        </is>
      </c>
      <c r="O1715" s="45" t="inlineStr"/>
    </row>
    <row r="1716" customFormat="1" s="3">
      <c r="A1716" s="45" t="n"/>
      <c r="B1716" s="46" t="inlineStr">
        <is>
          <t>24134</t>
        </is>
      </c>
      <c r="C1716" s="46">
        <f>LEFT(Tableau1[[#This Row],[Formacode]],3)</f>
        <v/>
      </c>
      <c r="D1716" s="47" t="n">
        <v>40078</v>
      </c>
      <c r="E1716" s="48">
        <f>"RNCP"&amp;D1716</f>
        <v/>
      </c>
      <c r="F1716" s="48" t="inlineStr">
        <is>
          <t>BTS - Environnement nucléaire</t>
        </is>
      </c>
      <c r="G1716" s="49">
        <f>E1716&amp;" - "&amp;F1716</f>
        <v/>
      </c>
      <c r="H1716" s="36" t="inlineStr">
        <is>
          <t>RAS</t>
        </is>
      </c>
      <c r="I1716" s="45" t="inlineStr"/>
      <c r="J1716" s="45" t="inlineStr">
        <is>
          <t>RNCP40078</t>
        </is>
      </c>
      <c r="K1716" s="45" t="inlineStr">
        <is>
          <t>Environnement nucléaire</t>
        </is>
      </c>
      <c r="L1716" s="45" t="inlineStr">
        <is>
          <t>31/08/2029</t>
        </is>
      </c>
      <c r="M1716" s="45" t="inlineStr">
        <is>
          <t>24134 (Énergie nucléaire)</t>
        </is>
      </c>
      <c r="N1716" s="50" t="inlineStr">
        <is>
          <t>NON</t>
        </is>
      </c>
      <c r="O1716" s="45" t="inlineStr"/>
    </row>
    <row r="1717" customFormat="1" s="3">
      <c r="A1717" s="45" t="n"/>
      <c r="B1717" s="46" t="inlineStr">
        <is>
          <t>24141</t>
        </is>
      </c>
      <c r="C1717" s="46">
        <f>LEFT(Tableau1[[#This Row],[Formacode]],3)</f>
        <v/>
      </c>
      <c r="D1717" s="47" t="n">
        <v>39225</v>
      </c>
      <c r="E1717" s="48">
        <f>"RNCP"&amp;D1717</f>
        <v/>
      </c>
      <c r="F1717" s="48" t="inlineStr">
        <is>
          <t>Technicien chef de projet en rénovation énergétique</t>
        </is>
      </c>
      <c r="G1717" s="49">
        <f>E1717&amp;" - "&amp;F1717</f>
        <v/>
      </c>
      <c r="H1717" s="36" t="inlineStr">
        <is>
          <t>RAS</t>
        </is>
      </c>
      <c r="I1717" s="45" t="inlineStr"/>
      <c r="J1717" s="45" t="inlineStr">
        <is>
          <t>RNCP39225</t>
        </is>
      </c>
      <c r="K1717" s="45" t="inlineStr">
        <is>
          <t>Technicien chef de projet en rénovation énergétique</t>
        </is>
      </c>
      <c r="L1717" s="45" t="inlineStr">
        <is>
          <t>27/06/2027</t>
        </is>
      </c>
      <c r="M1717" s="45" t="inlineStr">
        <is>
          <t>24154 (Énergie) ; 22215 (Audit énergétique bâtiment) ; 22210 (Réglementation thermique bâtiment) ; 22485 (Rénovation bâtiment)</t>
        </is>
      </c>
      <c r="N1717" s="50" t="inlineStr">
        <is>
          <t>NON</t>
        </is>
      </c>
      <c r="O1717" s="45" t="inlineStr"/>
    </row>
    <row r="1718" customFormat="1" s="3">
      <c r="A1718" s="45" t="n"/>
      <c r="B1718" s="46" t="inlineStr">
        <is>
          <t>24141</t>
        </is>
      </c>
      <c r="C1718" s="46">
        <f>LEFT(Tableau1[[#This Row],[Formacode]],3)</f>
        <v/>
      </c>
      <c r="D1718" s="47" t="n">
        <v>39344</v>
      </c>
      <c r="E1718" s="48">
        <f>"RNCP"&amp;D1718</f>
        <v/>
      </c>
      <c r="F1718" s="48" t="inlineStr">
        <is>
          <t>CQP Technicien en machines tournantes sous pression</t>
        </is>
      </c>
      <c r="G1718" s="49">
        <f>E1718&amp;" - "&amp;F1718</f>
        <v/>
      </c>
      <c r="H1718" s="36" t="inlineStr">
        <is>
          <t>RAS</t>
        </is>
      </c>
      <c r="I1718" s="45" t="inlineStr"/>
      <c r="J1718" s="45" t="inlineStr">
        <is>
          <t>RNCP39344</t>
        </is>
      </c>
      <c r="K1718" s="45" t="inlineStr">
        <is>
          <t>CQP Technicien en machines tournantes sous pression</t>
        </is>
      </c>
      <c r="L1718" s="45" t="inlineStr">
        <is>
          <t>19/07/2028</t>
        </is>
      </c>
      <c r="M1718" s="45" t="inlineStr">
        <is>
          <t>24052 (Électromécanique) ; 24154 (Énergie) ; 31624 (Maintenance industrielle)</t>
        </is>
      </c>
      <c r="N1718" s="50" t="inlineStr">
        <is>
          <t>NON</t>
        </is>
      </c>
      <c r="O1718" s="45" t="inlineStr"/>
    </row>
    <row r="1719" customFormat="1" s="3">
      <c r="A1719" s="63" t="n"/>
      <c r="B1719" s="64" t="inlineStr">
        <is>
          <t>24147</t>
        </is>
      </c>
      <c r="C1719" s="64">
        <f>LEFT(Tableau1[[#This Row],[Formacode]],3)</f>
        <v/>
      </c>
      <c r="D1719" s="65" t="n">
        <v>35231</v>
      </c>
      <c r="E1719" s="66">
        <f>"RNCP"&amp;D1719</f>
        <v/>
      </c>
      <c r="F1719" s="66" t="inlineStr">
        <is>
          <t>TP - Technicien d'installation en équipements de confort climatique</t>
        </is>
      </c>
      <c r="G1719" s="67">
        <f>E1719&amp;" - "&amp;F1719</f>
        <v/>
      </c>
      <c r="H1719" s="38" t="inlineStr">
        <is>
          <t>Expiré / remplacé</t>
        </is>
      </c>
      <c r="I1719" s="63" t="inlineStr">
        <is>
          <t>Fiche inactive — remplacée par RNCP41911 (Technicien d’intervention en chauffage, climatisation, sanitaire et énergies renouvelables)</t>
        </is>
      </c>
      <c r="J1719" s="63" t="inlineStr">
        <is>
          <t>RNCP41911</t>
        </is>
      </c>
      <c r="K1719" s="63" t="inlineStr">
        <is>
          <t>Technicien d’intervention en chauffage, climatisation, sanitaire et énergies renouvelables</t>
        </is>
      </c>
      <c r="L1719" s="63" t="inlineStr">
        <is>
          <t>03/03/2026</t>
        </is>
      </c>
      <c r="M1719" s="63" t="inlineStr">
        <is>
          <t>22685 (Installation thermique sanitaire) ; 22635 (Climatisation) ; 24147 (Énergie renouvelable) ; 22211 (Performance énergétique bâtiment) ; 22485 (Rénovation bâtiment)</t>
        </is>
      </c>
      <c r="N1719" s="68" t="inlineStr">
        <is>
          <t>NON</t>
        </is>
      </c>
      <c r="O1719" s="63" t="inlineStr"/>
    </row>
    <row r="1720" customFormat="1" s="3">
      <c r="A1720" s="51" t="n"/>
      <c r="B1720" s="52" t="inlineStr">
        <is>
          <t>24147</t>
        </is>
      </c>
      <c r="C1720" s="52">
        <f>LEFT(Tableau1[[#This Row],[Formacode]],3)</f>
        <v/>
      </c>
      <c r="D1720" s="53" t="n">
        <v>35846</v>
      </c>
      <c r="E1720" s="54">
        <f>"RNCP"&amp;D1720</f>
        <v/>
      </c>
      <c r="F1720" s="54" t="inlineStr">
        <is>
          <t>BAC PRO - Métiers du Froid et des Energies Renouvelables</t>
        </is>
      </c>
      <c r="G1720" s="55">
        <f>E1720&amp;" - "&amp;F1720</f>
        <v/>
      </c>
      <c r="H1720" s="37" t="inlineStr">
        <is>
          <t>À vérifier</t>
        </is>
      </c>
      <c r="I1720" s="51" t="inlineStr">
        <is>
          <t>Successeur déjà publié : RNCP42119 (Métiers du Froid et des Energies Renouvelables) — préparer la bascule de l'offre CPF | Échéance le 31/08/2026 (dans 44 j)</t>
        </is>
      </c>
      <c r="J1720" s="51" t="inlineStr">
        <is>
          <t>RNCP42119</t>
        </is>
      </c>
      <c r="K1720" s="51" t="inlineStr">
        <is>
          <t>Métiers du Froid et des Energies Renouvelables</t>
        </is>
      </c>
      <c r="L1720" s="51" t="inlineStr">
        <is>
          <t>31/08/2026</t>
        </is>
      </c>
      <c r="M1720" s="51" t="inlineStr">
        <is>
          <t>22604 (Froid commercial) ; 22605 (Froid industriel) ; 24147 (Énergie renouvelable)</t>
        </is>
      </c>
      <c r="N1720" s="62" t="inlineStr">
        <is>
          <t>NON</t>
        </is>
      </c>
      <c r="O1720" s="51" t="inlineStr"/>
    </row>
    <row r="1721" customFormat="1" s="3">
      <c r="A1721" s="45" t="n"/>
      <c r="B1721" s="46" t="inlineStr">
        <is>
          <t>24147</t>
        </is>
      </c>
      <c r="C1721" s="46">
        <f>LEFT(Tableau1[[#This Row],[Formacode]],3)</f>
        <v/>
      </c>
      <c r="D1721" s="47" t="n">
        <v>37644</v>
      </c>
      <c r="E1721" s="48">
        <f>"RNCP"&amp;D1721</f>
        <v/>
      </c>
      <c r="F1721" s="48" t="inlineStr">
        <is>
          <t>CQP Installateur mainteneur en systèmes solaires thermiques et photovoltaïques</t>
        </is>
      </c>
      <c r="G1721" s="49">
        <f>E1721&amp;" - "&amp;F1721</f>
        <v/>
      </c>
      <c r="H1721" s="36" t="inlineStr">
        <is>
          <t>RAS</t>
        </is>
      </c>
      <c r="I1721" s="45" t="inlineStr"/>
      <c r="J1721" s="45" t="inlineStr">
        <is>
          <t>RNCP37644</t>
        </is>
      </c>
      <c r="K1721" s="45" t="inlineStr">
        <is>
          <t>CQP Installateur mainteneur en systèmes solaires thermiques et photovoltaïques</t>
        </is>
      </c>
      <c r="L1721" s="45" t="inlineStr">
        <is>
          <t>31/05/2028</t>
        </is>
      </c>
      <c r="M1721" s="45" t="inlineStr">
        <is>
          <t>24146 (Énergie solaire photovoltaïque) ; 24148 (Énergie solaire thermique)</t>
        </is>
      </c>
      <c r="N1721" s="50" t="inlineStr">
        <is>
          <t>NON</t>
        </is>
      </c>
      <c r="O1721" s="45" t="inlineStr"/>
    </row>
    <row r="1722" customFormat="1" s="3">
      <c r="A1722" s="51" t="n"/>
      <c r="B1722" s="52" t="inlineStr">
        <is>
          <t>24147</t>
        </is>
      </c>
      <c r="C1722" s="52">
        <f>LEFT(Tableau1[[#This Row],[Formacode]],3)</f>
        <v/>
      </c>
      <c r="D1722" s="53" t="n">
        <v>37986</v>
      </c>
      <c r="E1722" s="54">
        <f>"RNCP"&amp;D1722</f>
        <v/>
      </c>
      <c r="F1722" s="54" t="inlineStr">
        <is>
          <t>Expert de la transition énergétique</t>
        </is>
      </c>
      <c r="G1722" s="55">
        <f>E1722&amp;" - "&amp;F1722</f>
        <v/>
      </c>
      <c r="H1722" s="37" t="inlineStr">
        <is>
          <t>À vérifier</t>
        </is>
      </c>
      <c r="I1722" s="51" t="inlineStr">
        <is>
          <t>Échéance le 20/09/2026 (dans 64 j)</t>
        </is>
      </c>
      <c r="J1722" s="51" t="inlineStr">
        <is>
          <t>RNCP37986</t>
        </is>
      </c>
      <c r="K1722" s="51" t="inlineStr">
        <is>
          <t>Expert de la transition énergétique</t>
        </is>
      </c>
      <c r="L1722" s="51" t="inlineStr">
        <is>
          <t>20/09/2026</t>
        </is>
      </c>
      <c r="M1722" s="51" t="inlineStr">
        <is>
          <t>22485 (Rénovation bâtiment) ; 22250 (Éco-construction) ; 22279 (Maîtrise d'oeuvre BTP) ; 22269 (Maîtrise d'ouvrage BTP) ; 24147 (Énergie renouvelable)</t>
        </is>
      </c>
      <c r="N1722" s="62" t="inlineStr">
        <is>
          <t>NON</t>
        </is>
      </c>
      <c r="O1722" s="51" t="inlineStr"/>
    </row>
    <row r="1723" customFormat="1" s="3">
      <c r="A1723" s="45" t="n"/>
      <c r="B1723" s="46" t="inlineStr">
        <is>
          <t>24147</t>
        </is>
      </c>
      <c r="C1723" s="46">
        <f>LEFT(Tableau1[[#This Row],[Formacode]],3)</f>
        <v/>
      </c>
      <c r="D1723" s="47" t="n">
        <v>38336</v>
      </c>
      <c r="E1723" s="48">
        <f>"RNCP"&amp;D1723</f>
        <v/>
      </c>
      <c r="F1723" s="48" t="inlineStr">
        <is>
          <t>CS - Responsable d'une unité de méthanisation agricole</t>
        </is>
      </c>
      <c r="G1723" s="49">
        <f>E1723&amp;" - "&amp;F1723</f>
        <v/>
      </c>
      <c r="H1723" s="36" t="inlineStr">
        <is>
          <t>RAS</t>
        </is>
      </c>
      <c r="I1723" s="45" t="inlineStr"/>
      <c r="J1723" s="45" t="inlineStr">
        <is>
          <t>RNCP38336</t>
        </is>
      </c>
      <c r="K1723" s="45" t="inlineStr">
        <is>
          <t>Responsable d'une unité de méthanisation agricole</t>
        </is>
      </c>
      <c r="L1723" s="45" t="inlineStr">
        <is>
          <t>01/01/2029</t>
        </is>
      </c>
      <c r="M1723" s="45" t="inlineStr">
        <is>
          <t>24128 (Biogaz)</t>
        </is>
      </c>
      <c r="N1723" s="50" t="inlineStr">
        <is>
          <t>NON</t>
        </is>
      </c>
      <c r="O1723" s="45" t="inlineStr"/>
    </row>
    <row r="1724" customFormat="1" s="3">
      <c r="A1724" s="45" t="n"/>
      <c r="B1724" s="46" t="inlineStr">
        <is>
          <t>24147</t>
        </is>
      </c>
      <c r="C1724" s="46">
        <f>LEFT(Tableau1[[#This Row],[Formacode]],3)</f>
        <v/>
      </c>
      <c r="D1724" s="47" t="n">
        <v>39225</v>
      </c>
      <c r="E1724" s="48">
        <f>"RNCP"&amp;D1724</f>
        <v/>
      </c>
      <c r="F1724" s="48" t="inlineStr">
        <is>
          <t>Technicien chef de projet en rénovation énergétique</t>
        </is>
      </c>
      <c r="G1724" s="49">
        <f>E1724&amp;" - "&amp;F1724</f>
        <v/>
      </c>
      <c r="H1724" s="36" t="inlineStr">
        <is>
          <t>RAS</t>
        </is>
      </c>
      <c r="I1724" s="45" t="inlineStr"/>
      <c r="J1724" s="45" t="inlineStr">
        <is>
          <t>RNCP39225</t>
        </is>
      </c>
      <c r="K1724" s="45" t="inlineStr">
        <is>
          <t>Technicien chef de projet en rénovation énergétique</t>
        </is>
      </c>
      <c r="L1724" s="45" t="inlineStr">
        <is>
          <t>27/06/2027</t>
        </is>
      </c>
      <c r="M1724" s="45" t="inlineStr">
        <is>
          <t>24154 (Énergie) ; 22215 (Audit énergétique bâtiment) ; 22210 (Réglementation thermique bâtiment) ; 22485 (Rénovation bâtiment)</t>
        </is>
      </c>
      <c r="N1724" s="50" t="inlineStr">
        <is>
          <t>NON</t>
        </is>
      </c>
      <c r="O1724" s="45" t="inlineStr"/>
    </row>
    <row r="1725" customFormat="1" s="3">
      <c r="A1725" s="45" t="n"/>
      <c r="B1725" s="46" t="inlineStr">
        <is>
          <t>24147</t>
        </is>
      </c>
      <c r="C1725" s="46">
        <f>LEFT(Tableau1[[#This Row],[Formacode]],3)</f>
        <v/>
      </c>
      <c r="D1725" s="47" t="n">
        <v>39297</v>
      </c>
      <c r="E1725" s="48">
        <f>"RNCP"&amp;D1725</f>
        <v/>
      </c>
      <c r="F1725" s="48" t="inlineStr">
        <is>
          <t>CS - Technicien en énergies renouvelables</t>
        </is>
      </c>
      <c r="G1725" s="49">
        <f>E1725&amp;" - "&amp;F1725</f>
        <v/>
      </c>
      <c r="H1725" s="36" t="inlineStr">
        <is>
          <t>RAS</t>
        </is>
      </c>
      <c r="I1725" s="45" t="inlineStr"/>
      <c r="J1725" s="45" t="inlineStr">
        <is>
          <t>RNCP39297</t>
        </is>
      </c>
      <c r="K1725" s="45" t="inlineStr">
        <is>
          <t>Technicien en énergies renouvelables</t>
        </is>
      </c>
      <c r="L1725" s="45" t="inlineStr">
        <is>
          <t>31/08/2028</t>
        </is>
      </c>
      <c r="M1725" s="45" t="inlineStr">
        <is>
          <t>24147 (Énergie renouvelable)</t>
        </is>
      </c>
      <c r="N1725" s="50" t="inlineStr">
        <is>
          <t>NON</t>
        </is>
      </c>
      <c r="O1725" s="45" t="inlineStr"/>
    </row>
    <row r="1726" customFormat="1" s="3">
      <c r="A1726" s="45" t="n"/>
      <c r="B1726" s="46" t="inlineStr">
        <is>
          <t>24147</t>
        </is>
      </c>
      <c r="C1726" s="46">
        <f>LEFT(Tableau1[[#This Row],[Formacode]],3)</f>
        <v/>
      </c>
      <c r="D1726" s="47" t="n">
        <v>39344</v>
      </c>
      <c r="E1726" s="48">
        <f>"RNCP"&amp;D1726</f>
        <v/>
      </c>
      <c r="F1726" s="48" t="inlineStr">
        <is>
          <t>CQP Technicien en machines tournantes sous pression</t>
        </is>
      </c>
      <c r="G1726" s="49">
        <f>E1726&amp;" - "&amp;F1726</f>
        <v/>
      </c>
      <c r="H1726" s="36" t="inlineStr">
        <is>
          <t>RAS</t>
        </is>
      </c>
      <c r="I1726" s="45" t="inlineStr"/>
      <c r="J1726" s="45" t="inlineStr">
        <is>
          <t>RNCP39344</t>
        </is>
      </c>
      <c r="K1726" s="45" t="inlineStr">
        <is>
          <t>CQP Technicien en machines tournantes sous pression</t>
        </is>
      </c>
      <c r="L1726" s="45" t="inlineStr">
        <is>
          <t>19/07/2028</t>
        </is>
      </c>
      <c r="M1726" s="45" t="inlineStr">
        <is>
          <t>24052 (Électromécanique) ; 24154 (Énergie) ; 31624 (Maintenance industrielle)</t>
        </is>
      </c>
      <c r="N1726" s="50" t="inlineStr">
        <is>
          <t>NON</t>
        </is>
      </c>
      <c r="O1726" s="45" t="inlineStr"/>
    </row>
    <row r="1727" customFormat="1" s="3">
      <c r="A1727" s="45" t="n"/>
      <c r="B1727" s="46" t="inlineStr">
        <is>
          <t>24147</t>
        </is>
      </c>
      <c r="C1727" s="46">
        <f>LEFT(Tableau1[[#This Row],[Formacode]],3)</f>
        <v/>
      </c>
      <c r="D1727" s="47" t="n">
        <v>39748</v>
      </c>
      <c r="E1727" s="48">
        <f>"RNCP"&amp;D1727</f>
        <v/>
      </c>
      <c r="F1727" s="48" t="inlineStr">
        <is>
          <t>Chargé de projet énergie et bâtiment durables</t>
        </is>
      </c>
      <c r="G1727" s="49">
        <f>E1727&amp;" - "&amp;F1727</f>
        <v/>
      </c>
      <c r="H1727" s="36" t="inlineStr">
        <is>
          <t>RAS</t>
        </is>
      </c>
      <c r="I1727" s="45" t="inlineStr"/>
      <c r="J1727" s="45" t="inlineStr">
        <is>
          <t>RNCP39748</t>
        </is>
      </c>
      <c r="K1727" s="45" t="inlineStr">
        <is>
          <t>Chargé de projet énergie et bâtiment durables</t>
        </is>
      </c>
      <c r="L1727" s="45" t="inlineStr">
        <is>
          <t>31/10/2027</t>
        </is>
      </c>
      <c r="M1727" s="45" t="inlineStr">
        <is>
          <t>32135 (Conduite projet) ; 24170 (Conseil énergie) ; 22411 (Enveloppe bâtiment) ; 22485 (Rénovation bâtiment) ; 24147 (Énergie renouvelable)</t>
        </is>
      </c>
      <c r="N1727" s="50" t="inlineStr">
        <is>
          <t>NON</t>
        </is>
      </c>
      <c r="O1727" s="45" t="inlineStr"/>
    </row>
    <row r="1728" customFormat="1" s="3">
      <c r="A1728" s="45" t="n"/>
      <c r="B1728" s="46" t="inlineStr">
        <is>
          <t>24147</t>
        </is>
      </c>
      <c r="C1728" s="46">
        <f>LEFT(Tableau1[[#This Row],[Formacode]],3)</f>
        <v/>
      </c>
      <c r="D1728" s="47" t="n">
        <v>40384</v>
      </c>
      <c r="E1728" s="48">
        <f>"RNCP"&amp;D1728</f>
        <v/>
      </c>
      <c r="F1728" s="48" t="inlineStr">
        <is>
          <t>CQP Technicien de maintenance en hydraulique</t>
        </is>
      </c>
      <c r="G1728" s="49">
        <f>E1728&amp;" - "&amp;F1728</f>
        <v/>
      </c>
      <c r="H1728" s="36" t="inlineStr">
        <is>
          <t>RAS</t>
        </is>
      </c>
      <c r="I1728" s="45" t="inlineStr"/>
      <c r="J1728" s="45" t="inlineStr">
        <is>
          <t>RNCP40384</t>
        </is>
      </c>
      <c r="K1728" s="45" t="inlineStr">
        <is>
          <t>CQP Technicien de maintenance en hydraulique</t>
        </is>
      </c>
      <c r="L1728" s="45" t="inlineStr">
        <is>
          <t>28/03/2030</t>
        </is>
      </c>
      <c r="M1728" s="45" t="inlineStr">
        <is>
          <t>23551 (Hydraulique) ; 24447 (Automatisme hydraulique) ; 24139 (Énergie hydraulique) ; 31604 (Maintenance corrective) ; 31603 (Maintenance préventive)</t>
        </is>
      </c>
      <c r="N1728" s="50" t="inlineStr">
        <is>
          <t>NON</t>
        </is>
      </c>
      <c r="O1728" s="45" t="inlineStr"/>
    </row>
    <row r="1729" ht="28.8" customFormat="1" customHeight="1" s="3">
      <c r="A1729" s="45" t="n"/>
      <c r="B1729" s="46" t="inlineStr">
        <is>
          <t>24147</t>
        </is>
      </c>
      <c r="C1729" s="46">
        <f>LEFT(Tableau1[[#This Row],[Formacode]],3)</f>
        <v/>
      </c>
      <c r="D1729" s="47" t="n">
        <v>40673</v>
      </c>
      <c r="E1729" s="48">
        <f>"RNCP"&amp;D1729</f>
        <v/>
      </c>
      <c r="F1729" s="48" t="inlineStr">
        <is>
          <t>Technicien d'installation et de maintenance de systèmes énergétiques, option solaire ou photovoltaïque, option bois</t>
        </is>
      </c>
      <c r="G1729" s="49">
        <f>E1729&amp;" - "&amp;F1729</f>
        <v/>
      </c>
      <c r="H1729" s="36" t="inlineStr">
        <is>
          <t>RAS</t>
        </is>
      </c>
      <c r="I1729" s="45" t="inlineStr"/>
      <c r="J1729" s="45" t="inlineStr">
        <is>
          <t>RNCP40673</t>
        </is>
      </c>
      <c r="K1729" s="45" t="inlineStr">
        <is>
          <t>Technicien d'installation et de maintenance de systèmes énergétiques, option solaire ou photovoltaïque, option bois</t>
        </is>
      </c>
      <c r="L1729" s="45" t="inlineStr">
        <is>
          <t>23/05/2028</t>
        </is>
      </c>
      <c r="M1729" s="45" t="inlineStr">
        <is>
          <t>22685 (Installation thermique sanitaire) ; 24146 (Énergie solaire photovoltaïque) ; 22672 (Chauffage bois) ; 22635 (Climatisation)</t>
        </is>
      </c>
      <c r="N1729" s="50" t="inlineStr">
        <is>
          <t>NON</t>
        </is>
      </c>
      <c r="O1729" s="45" t="inlineStr"/>
    </row>
    <row r="1730" customFormat="1" s="3">
      <c r="A1730" s="45" t="n"/>
      <c r="B1730" s="46" t="inlineStr">
        <is>
          <t>24147</t>
        </is>
      </c>
      <c r="C1730" s="46">
        <f>LEFT(Tableau1[[#This Row],[Formacode]],3)</f>
        <v/>
      </c>
      <c r="D1730" s="47" t="n">
        <v>40676</v>
      </c>
      <c r="E1730" s="48">
        <f>"RNCP"&amp;D1730</f>
        <v/>
      </c>
      <c r="F1730" s="48" t="inlineStr">
        <is>
          <t>CQP Poseur de panneaux solaires photovoltaïques</t>
        </is>
      </c>
      <c r="G1730" s="49">
        <f>E1730&amp;" - "&amp;F1730</f>
        <v/>
      </c>
      <c r="H1730" s="36" t="inlineStr">
        <is>
          <t>RAS</t>
        </is>
      </c>
      <c r="I1730" s="45" t="inlineStr"/>
      <c r="J1730" s="45" t="inlineStr">
        <is>
          <t>RNCP40676</t>
        </is>
      </c>
      <c r="K1730" s="45" t="inlineStr">
        <is>
          <t>CQP Poseur de panneaux solaires photovoltaïques</t>
        </is>
      </c>
      <c r="L1730" s="45" t="inlineStr">
        <is>
          <t>23/05/2028</t>
        </is>
      </c>
      <c r="M1730" s="45" t="inlineStr">
        <is>
          <t>24146 (Énergie solaire photovoltaïque) ; 24148 (Énergie solaire thermique)</t>
        </is>
      </c>
      <c r="N1730" s="50" t="inlineStr">
        <is>
          <t>NON</t>
        </is>
      </c>
      <c r="O1730" s="45" t="inlineStr"/>
    </row>
    <row r="1731" customFormat="1" s="3">
      <c r="A1731" s="51" t="n"/>
      <c r="B1731" s="52" t="inlineStr">
        <is>
          <t>24158</t>
        </is>
      </c>
      <c r="C1731" s="52">
        <f>LEFT(Tableau1[[#This Row],[Formacode]],3)</f>
        <v/>
      </c>
      <c r="D1731" s="53" t="n">
        <v>35825</v>
      </c>
      <c r="E1731" s="54">
        <f>"RNCP"&amp;D1731</f>
        <v/>
      </c>
      <c r="F1731" s="54" t="inlineStr">
        <is>
          <t>TP - Chargé de travaux en réseaux électriques aériens et souterrains</t>
        </is>
      </c>
      <c r="G1731" s="55">
        <f>E1731&amp;" - "&amp;F1731</f>
        <v/>
      </c>
      <c r="H1731" s="37" t="inlineStr">
        <is>
          <t>À vérifier</t>
        </is>
      </c>
      <c r="I1731" s="51" t="inlineStr">
        <is>
          <t>Échéance le 20/11/2026 (dans 125 j)</t>
        </is>
      </c>
      <c r="J1731" s="51" t="inlineStr">
        <is>
          <t>RNCP35825</t>
        </is>
      </c>
      <c r="K1731" s="51" t="inlineStr">
        <is>
          <t>Chargé de travaux en réseaux électriques aériens et souterrains</t>
        </is>
      </c>
      <c r="L1731" s="51" t="inlineStr">
        <is>
          <t>20/11/2026</t>
        </is>
      </c>
      <c r="M1731" s="51" t="inlineStr">
        <is>
          <t>24158 (Énergie électrique) ; 24086 (Distribution électricité) ; 24089 (Éclairage public)</t>
        </is>
      </c>
      <c r="N1731" s="62" t="inlineStr">
        <is>
          <t>NON</t>
        </is>
      </c>
      <c r="O1731" s="51" t="inlineStr"/>
    </row>
    <row r="1732" customFormat="1" s="3">
      <c r="A1732" s="45" t="n"/>
      <c r="B1732" s="46" t="inlineStr">
        <is>
          <t>24158</t>
        </is>
      </c>
      <c r="C1732" s="46">
        <f>LEFT(Tableau1[[#This Row],[Formacode]],3)</f>
        <v/>
      </c>
      <c r="D1732" s="47" t="n">
        <v>39225</v>
      </c>
      <c r="E1732" s="48">
        <f>"RNCP"&amp;D1732</f>
        <v/>
      </c>
      <c r="F1732" s="48" t="inlineStr">
        <is>
          <t>Technicien chef de projet en rénovation énergétique</t>
        </is>
      </c>
      <c r="G1732" s="49">
        <f>E1732&amp;" - "&amp;F1732</f>
        <v/>
      </c>
      <c r="H1732" s="36" t="inlineStr">
        <is>
          <t>RAS</t>
        </is>
      </c>
      <c r="I1732" s="45" t="inlineStr"/>
      <c r="J1732" s="45" t="inlineStr">
        <is>
          <t>RNCP39225</t>
        </is>
      </c>
      <c r="K1732" s="45" t="inlineStr">
        <is>
          <t>Technicien chef de projet en rénovation énergétique</t>
        </is>
      </c>
      <c r="L1732" s="45" t="inlineStr">
        <is>
          <t>27/06/2027</t>
        </is>
      </c>
      <c r="M1732" s="45" t="inlineStr">
        <is>
          <t>24154 (Énergie) ; 22215 (Audit énergétique bâtiment) ; 22210 (Réglementation thermique bâtiment) ; 22485 (Rénovation bâtiment)</t>
        </is>
      </c>
      <c r="N1732" s="50" t="inlineStr">
        <is>
          <t>NON</t>
        </is>
      </c>
      <c r="O1732" s="45" t="inlineStr"/>
    </row>
    <row r="1733" customFormat="1" s="3">
      <c r="A1733" s="45" t="n"/>
      <c r="B1733" s="46" t="inlineStr">
        <is>
          <t>24158</t>
        </is>
      </c>
      <c r="C1733" s="46">
        <f>LEFT(Tableau1[[#This Row],[Formacode]],3)</f>
        <v/>
      </c>
      <c r="D1733" s="47" t="n">
        <v>39344</v>
      </c>
      <c r="E1733" s="48">
        <f>"RNCP"&amp;D1733</f>
        <v/>
      </c>
      <c r="F1733" s="48" t="inlineStr">
        <is>
          <t>CQP Technicien en machines tournantes sous pression</t>
        </is>
      </c>
      <c r="G1733" s="49">
        <f>E1733&amp;" - "&amp;F1733</f>
        <v/>
      </c>
      <c r="H1733" s="36" t="inlineStr">
        <is>
          <t>RAS</t>
        </is>
      </c>
      <c r="I1733" s="45" t="inlineStr"/>
      <c r="J1733" s="45" t="inlineStr">
        <is>
          <t>RNCP39344</t>
        </is>
      </c>
      <c r="K1733" s="45" t="inlineStr">
        <is>
          <t>CQP Technicien en machines tournantes sous pression</t>
        </is>
      </c>
      <c r="L1733" s="45" t="inlineStr">
        <is>
          <t>19/07/2028</t>
        </is>
      </c>
      <c r="M1733" s="45" t="inlineStr">
        <is>
          <t>24052 (Électromécanique) ; 24154 (Énergie) ; 31624 (Maintenance industrielle)</t>
        </is>
      </c>
      <c r="N1733" s="50" t="inlineStr">
        <is>
          <t>NON</t>
        </is>
      </c>
      <c r="O1733" s="45" t="inlineStr"/>
    </row>
    <row r="1734" customFormat="1" s="3">
      <c r="A1734" s="51" t="n"/>
      <c r="B1734" s="52" t="inlineStr">
        <is>
          <t>24162</t>
        </is>
      </c>
      <c r="C1734" s="52">
        <f>LEFT(Tableau1[[#This Row],[Formacode]],3)</f>
        <v/>
      </c>
      <c r="D1734" s="53" t="n">
        <v>35844</v>
      </c>
      <c r="E1734" s="54">
        <f>"RNCP"&amp;D1734</f>
        <v/>
      </c>
      <c r="F1734" s="54" t="inlineStr">
        <is>
          <t>BAC PRO - Maintenance et Efficacité Energétique</t>
        </is>
      </c>
      <c r="G1734" s="55">
        <f>E1734&amp;" - "&amp;F1734</f>
        <v/>
      </c>
      <c r="H1734" s="37" t="inlineStr">
        <is>
          <t>À vérifier</t>
        </is>
      </c>
      <c r="I1734" s="51" t="inlineStr">
        <is>
          <t>Échéance le 31/08/2026 (dans 44 j)</t>
        </is>
      </c>
      <c r="J1734" s="51" t="inlineStr">
        <is>
          <t>RNCP35844</t>
        </is>
      </c>
      <c r="K1734" s="51" t="inlineStr">
        <is>
          <t>Maintenance et Efficacité Energétique</t>
        </is>
      </c>
      <c r="L1734" s="51" t="inlineStr">
        <is>
          <t>31/08/2026</t>
        </is>
      </c>
      <c r="M1734" s="51" t="inlineStr">
        <is>
          <t>24162 (Gestion énergie) ; 22635 (Climatisation) ; 22624 (Installation frigorifique)</t>
        </is>
      </c>
      <c r="N1734" s="62" t="inlineStr">
        <is>
          <t>NON</t>
        </is>
      </c>
      <c r="O1734" s="51" t="inlineStr"/>
    </row>
    <row r="1735" customFormat="1" s="3">
      <c r="A1735" s="51" t="n"/>
      <c r="B1735" s="52" t="inlineStr">
        <is>
          <t>24162</t>
        </is>
      </c>
      <c r="C1735" s="52">
        <f>LEFT(Tableau1[[#This Row],[Formacode]],3)</f>
        <v/>
      </c>
      <c r="D1735" s="53" t="n">
        <v>36334</v>
      </c>
      <c r="E1735" s="54">
        <f>"RNCP"&amp;D1735</f>
        <v/>
      </c>
      <c r="F1735" s="54" t="inlineStr">
        <is>
          <t>CS - Technicien des services à l'énergie</t>
        </is>
      </c>
      <c r="G1735" s="55">
        <f>E1735&amp;" - "&amp;F1735</f>
        <v/>
      </c>
      <c r="H1735" s="37" t="inlineStr">
        <is>
          <t>À vérifier</t>
        </is>
      </c>
      <c r="I1735" s="51" t="inlineStr">
        <is>
          <t>Successeur déjà publié : RNCP42138 (Technicien des services à l'énergie) — préparer la bascule de l'offre CPF | Échéance le 31/08/2026 (dans 44 j)</t>
        </is>
      </c>
      <c r="J1735" s="51" t="inlineStr">
        <is>
          <t>RNCP42138</t>
        </is>
      </c>
      <c r="K1735" s="51" t="inlineStr">
        <is>
          <t>Technicien des services à l'énergie</t>
        </is>
      </c>
      <c r="L1735" s="51" t="inlineStr">
        <is>
          <t>31/08/2026</t>
        </is>
      </c>
      <c r="M1735" s="51" t="inlineStr">
        <is>
          <t>24162 (Gestion énergie)</t>
        </is>
      </c>
      <c r="N1735" s="62" t="inlineStr">
        <is>
          <t>NON</t>
        </is>
      </c>
      <c r="O1735" s="51" t="inlineStr"/>
    </row>
    <row r="1736" customFormat="1" s="3">
      <c r="A1736" s="45" t="n"/>
      <c r="B1736" s="46" t="inlineStr">
        <is>
          <t>24162</t>
        </is>
      </c>
      <c r="C1736" s="46">
        <f>LEFT(Tableau1[[#This Row],[Formacode]],3)</f>
        <v/>
      </c>
      <c r="D1736" s="47" t="n">
        <v>38748</v>
      </c>
      <c r="E1736" s="48">
        <f>"RNCP"&amp;D1736</f>
        <v/>
      </c>
      <c r="F1736" s="48" t="inlineStr">
        <is>
          <t>TP - Technicien de maintenance CVC</t>
        </is>
      </c>
      <c r="G1736" s="49">
        <f>E1736&amp;" - "&amp;F1736</f>
        <v/>
      </c>
      <c r="H1736" s="36" t="inlineStr">
        <is>
          <t>RAS</t>
        </is>
      </c>
      <c r="I1736" s="45" t="inlineStr"/>
      <c r="J1736" s="45" t="inlineStr">
        <is>
          <t>RNCP38748</t>
        </is>
      </c>
      <c r="K1736" s="45" t="inlineStr">
        <is>
          <t>Technicien de maintenance CVC</t>
        </is>
      </c>
      <c r="L1736" s="45" t="inlineStr">
        <is>
          <t>05/08/2029</t>
        </is>
      </c>
      <c r="M1736" s="45" t="inlineStr">
        <is>
          <t>22642 (Génie thermique) ; 22636 (Régulation génie climatique) ; 22635 (Climatisation) ; 24162 (Gestion énergie)</t>
        </is>
      </c>
      <c r="N1736" s="50" t="inlineStr">
        <is>
          <t>NON</t>
        </is>
      </c>
      <c r="O1736" s="45" t="inlineStr"/>
    </row>
    <row r="1737" customFormat="1" s="3">
      <c r="A1737" s="45" t="n"/>
      <c r="B1737" s="46" t="inlineStr">
        <is>
          <t>24162</t>
        </is>
      </c>
      <c r="C1737" s="46">
        <f>LEFT(Tableau1[[#This Row],[Formacode]],3)</f>
        <v/>
      </c>
      <c r="D1737" s="47" t="n">
        <v>39217</v>
      </c>
      <c r="E1737" s="48">
        <f>"RNCP"&amp;D1737</f>
        <v/>
      </c>
      <c r="F1737" s="48" t="inlineStr">
        <is>
          <t>Expert en digitalisation et exploitation des bâtiments</t>
        </is>
      </c>
      <c r="G1737" s="49">
        <f>E1737&amp;" - "&amp;F1737</f>
        <v/>
      </c>
      <c r="H1737" s="36" t="inlineStr">
        <is>
          <t>RAS</t>
        </is>
      </c>
      <c r="I1737" s="45" t="inlineStr"/>
      <c r="J1737" s="45" t="inlineStr">
        <is>
          <t>RNCP39217</t>
        </is>
      </c>
      <c r="K1737" s="45" t="inlineStr">
        <is>
          <t>Expert en digitalisation et exploitation des bâtiments</t>
        </is>
      </c>
      <c r="L1737" s="45" t="inlineStr">
        <is>
          <t>27/06/2027</t>
        </is>
      </c>
      <c r="M1737" s="45" t="inlineStr">
        <is>
          <t>22211 (Performance énergétique bâtiment) ; 24162 (Gestion énergie) ; 70954 (Logiciel gestion projet) ; 22279 (Maîtrise d'oeuvre BTP) ; 31009 (Architecture système information)</t>
        </is>
      </c>
      <c r="N1737" s="50" t="inlineStr">
        <is>
          <t>NON</t>
        </is>
      </c>
      <c r="O1737" s="45" t="inlineStr"/>
    </row>
    <row r="1738" customFormat="1" s="3">
      <c r="A1738" s="45" t="n"/>
      <c r="B1738" s="46" t="inlineStr">
        <is>
          <t>24162</t>
        </is>
      </c>
      <c r="C1738" s="46">
        <f>LEFT(Tableau1[[#This Row],[Formacode]],3)</f>
        <v/>
      </c>
      <c r="D1738" s="47" t="n">
        <v>39225</v>
      </c>
      <c r="E1738" s="48">
        <f>"RNCP"&amp;D1738</f>
        <v/>
      </c>
      <c r="F1738" s="48" t="inlineStr">
        <is>
          <t>Technicien chef de projet en rénovation énergétique</t>
        </is>
      </c>
      <c r="G1738" s="49">
        <f>E1738&amp;" - "&amp;F1738</f>
        <v/>
      </c>
      <c r="H1738" s="36" t="inlineStr">
        <is>
          <t>RAS</t>
        </is>
      </c>
      <c r="I1738" s="45" t="inlineStr"/>
      <c r="J1738" s="45" t="inlineStr">
        <is>
          <t>RNCP39225</t>
        </is>
      </c>
      <c r="K1738" s="45" t="inlineStr">
        <is>
          <t>Technicien chef de projet en rénovation énergétique</t>
        </is>
      </c>
      <c r="L1738" s="45" t="inlineStr">
        <is>
          <t>27/06/2027</t>
        </is>
      </c>
      <c r="M1738" s="45" t="inlineStr">
        <is>
          <t>24154 (Énergie) ; 22215 (Audit énergétique bâtiment) ; 22210 (Réglementation thermique bâtiment) ; 22485 (Rénovation bâtiment)</t>
        </is>
      </c>
      <c r="N1738" s="50" t="inlineStr">
        <is>
          <t>NON</t>
        </is>
      </c>
      <c r="O1738" s="45" t="inlineStr"/>
    </row>
    <row r="1739" customFormat="1" s="3">
      <c r="A1739" s="45" t="n"/>
      <c r="B1739" s="46" t="inlineStr">
        <is>
          <t>24162</t>
        </is>
      </c>
      <c r="C1739" s="46">
        <f>LEFT(Tableau1[[#This Row],[Formacode]],3)</f>
        <v/>
      </c>
      <c r="D1739" s="47" t="n">
        <v>39259</v>
      </c>
      <c r="E1739" s="48">
        <f>"RNCP"&amp;D1739</f>
        <v/>
      </c>
      <c r="F1739" s="48" t="inlineStr">
        <is>
          <t>Chargé d'études en rénovation énergétique</t>
        </is>
      </c>
      <c r="G1739" s="49">
        <f>E1739&amp;" - "&amp;F1739</f>
        <v/>
      </c>
      <c r="H1739" s="36" t="inlineStr">
        <is>
          <t>RAS</t>
        </is>
      </c>
      <c r="I1739" s="45" t="inlineStr"/>
      <c r="J1739" s="45" t="inlineStr">
        <is>
          <t>RNCP39259</t>
        </is>
      </c>
      <c r="K1739" s="45" t="inlineStr">
        <is>
          <t>Chargé d'études en rénovation énergétique</t>
        </is>
      </c>
      <c r="L1739" s="45" t="inlineStr">
        <is>
          <t>27/06/2027</t>
        </is>
      </c>
      <c r="M1739" s="45" t="inlineStr">
        <is>
          <t>24170 (Conseil énergie) ; 42105 (Diagnostic performance énergétique) ; 22215 (Audit énergétique bâtiment)</t>
        </is>
      </c>
      <c r="N1739" s="50" t="inlineStr">
        <is>
          <t>NON</t>
        </is>
      </c>
      <c r="O1739" s="45" t="inlineStr"/>
    </row>
    <row r="1740" customFormat="1" s="3">
      <c r="A1740" s="45" t="n"/>
      <c r="B1740" s="46" t="inlineStr">
        <is>
          <t>24162</t>
        </is>
      </c>
      <c r="C1740" s="46">
        <f>LEFT(Tableau1[[#This Row],[Formacode]],3)</f>
        <v/>
      </c>
      <c r="D1740" s="47" t="n">
        <v>39344</v>
      </c>
      <c r="E1740" s="48">
        <f>"RNCP"&amp;D1740</f>
        <v/>
      </c>
      <c r="F1740" s="48" t="inlineStr">
        <is>
          <t>CQP Technicien en machines tournantes sous pression</t>
        </is>
      </c>
      <c r="G1740" s="49">
        <f>E1740&amp;" - "&amp;F1740</f>
        <v/>
      </c>
      <c r="H1740" s="36" t="inlineStr">
        <is>
          <t>RAS</t>
        </is>
      </c>
      <c r="I1740" s="45" t="inlineStr"/>
      <c r="J1740" s="45" t="inlineStr">
        <is>
          <t>RNCP39344</t>
        </is>
      </c>
      <c r="K1740" s="45" t="inlineStr">
        <is>
          <t>CQP Technicien en machines tournantes sous pression</t>
        </is>
      </c>
      <c r="L1740" s="45" t="inlineStr">
        <is>
          <t>19/07/2028</t>
        </is>
      </c>
      <c r="M1740" s="45" t="inlineStr">
        <is>
          <t>24052 (Électromécanique) ; 24154 (Énergie) ; 31624 (Maintenance industrielle)</t>
        </is>
      </c>
      <c r="N1740" s="50" t="inlineStr">
        <is>
          <t>NON</t>
        </is>
      </c>
      <c r="O1740" s="45" t="inlineStr"/>
    </row>
    <row r="1741" customFormat="1" s="3">
      <c r="A1741" s="45" t="n"/>
      <c r="B1741" s="46" t="inlineStr">
        <is>
          <t>24162</t>
        </is>
      </c>
      <c r="C1741" s="46">
        <f>LEFT(Tableau1[[#This Row],[Formacode]],3)</f>
        <v/>
      </c>
      <c r="D1741" s="47" t="n">
        <v>39748</v>
      </c>
      <c r="E1741" s="48">
        <f>"RNCP"&amp;D1741</f>
        <v/>
      </c>
      <c r="F1741" s="48" t="inlineStr">
        <is>
          <t>Chargé de projet énergie et bâtiment durables</t>
        </is>
      </c>
      <c r="G1741" s="49">
        <f>E1741&amp;" - "&amp;F1741</f>
        <v/>
      </c>
      <c r="H1741" s="36" t="inlineStr">
        <is>
          <t>RAS</t>
        </is>
      </c>
      <c r="I1741" s="45" t="inlineStr"/>
      <c r="J1741" s="45" t="inlineStr">
        <is>
          <t>RNCP39748</t>
        </is>
      </c>
      <c r="K1741" s="45" t="inlineStr">
        <is>
          <t>Chargé de projet énergie et bâtiment durables</t>
        </is>
      </c>
      <c r="L1741" s="45" t="inlineStr">
        <is>
          <t>31/10/2027</t>
        </is>
      </c>
      <c r="M1741" s="45" t="inlineStr">
        <is>
          <t>32135 (Conduite projet) ; 24170 (Conseil énergie) ; 22411 (Enveloppe bâtiment) ; 22485 (Rénovation bâtiment) ; 24147 (Énergie renouvelable)</t>
        </is>
      </c>
      <c r="N1741" s="50" t="inlineStr">
        <is>
          <t>NON</t>
        </is>
      </c>
      <c r="O1741" s="45" t="inlineStr"/>
    </row>
    <row r="1742" customFormat="1" s="3">
      <c r="A1742" s="45" t="n"/>
      <c r="B1742" s="46" t="inlineStr">
        <is>
          <t>24162</t>
        </is>
      </c>
      <c r="C1742" s="46">
        <f>LEFT(Tableau1[[#This Row],[Formacode]],3)</f>
        <v/>
      </c>
      <c r="D1742" s="47" t="n">
        <v>39880</v>
      </c>
      <c r="E1742" s="48">
        <f>"RNCP"&amp;D1742</f>
        <v/>
      </c>
      <c r="F1742" s="48" t="inlineStr">
        <is>
          <t>Expert en digitalisation et exploitation des bâtiments</t>
        </is>
      </c>
      <c r="G1742" s="49">
        <f>E1742&amp;" - "&amp;F1742</f>
        <v/>
      </c>
      <c r="H1742" s="36" t="inlineStr">
        <is>
          <t>RAS</t>
        </is>
      </c>
      <c r="I1742" s="45" t="inlineStr"/>
      <c r="J1742" s="45" t="inlineStr">
        <is>
          <t>RNCP39880</t>
        </is>
      </c>
      <c r="K1742" s="45" t="inlineStr">
        <is>
          <t>Expert en digitalisation et exploitation des bâtiments</t>
        </is>
      </c>
      <c r="L1742" s="45" t="inlineStr">
        <is>
          <t>28/11/2027</t>
        </is>
      </c>
      <c r="M1742" s="45" t="inlineStr">
        <is>
          <t>22211 (Performance énergétique bâtiment) ; 24162 (Gestion énergie) ; 31042 (Internet des objets)</t>
        </is>
      </c>
      <c r="N1742" s="50" t="inlineStr">
        <is>
          <t>NON</t>
        </is>
      </c>
      <c r="O1742" s="45" t="inlineStr"/>
    </row>
    <row r="1743" customFormat="1" s="3">
      <c r="A1743" s="45" t="n"/>
      <c r="B1743" s="46" t="inlineStr">
        <is>
          <t>24162</t>
        </is>
      </c>
      <c r="C1743" s="46">
        <f>LEFT(Tableau1[[#This Row],[Formacode]],3)</f>
        <v/>
      </c>
      <c r="D1743" s="47" t="n">
        <v>41482</v>
      </c>
      <c r="E1743" s="48">
        <f>"RNCP"&amp;D1743</f>
        <v/>
      </c>
      <c r="F1743" s="48" t="inlineStr">
        <is>
          <t>CQP Chargé d’affaires en ingénierie énergétique</t>
        </is>
      </c>
      <c r="G1743" s="49">
        <f>E1743&amp;" - "&amp;F1743</f>
        <v/>
      </c>
      <c r="H1743" s="36" t="inlineStr">
        <is>
          <t>RAS</t>
        </is>
      </c>
      <c r="I1743" s="45" t="inlineStr"/>
      <c r="J1743" s="45" t="inlineStr">
        <is>
          <t>RNCP41482</t>
        </is>
      </c>
      <c r="K1743" s="45" t="inlineStr">
        <is>
          <t>CQP Chargé d’affaires en ingénierie énergétique</t>
        </is>
      </c>
      <c r="L1743" s="45" t="inlineStr">
        <is>
          <t>27/10/2030</t>
        </is>
      </c>
      <c r="M1743" s="45" t="inlineStr">
        <is>
          <t>24162 (Gestion énergie)</t>
        </is>
      </c>
      <c r="N1743" s="50" t="inlineStr">
        <is>
          <t>NON</t>
        </is>
      </c>
      <c r="O1743" s="45" t="inlineStr"/>
    </row>
    <row r="1744" customFormat="1" s="3">
      <c r="A1744" s="45" t="n"/>
      <c r="B1744" s="46" t="inlineStr">
        <is>
          <t>24167</t>
        </is>
      </c>
      <c r="C1744" s="46">
        <f>LEFT(Tableau1[[#This Row],[Formacode]],3)</f>
        <v/>
      </c>
      <c r="D1744" s="47" t="n">
        <v>39225</v>
      </c>
      <c r="E1744" s="48">
        <f>"RNCP"&amp;D1744</f>
        <v/>
      </c>
      <c r="F1744" s="48" t="inlineStr">
        <is>
          <t>Technicien chef de projet en rénovation énergétique</t>
        </is>
      </c>
      <c r="G1744" s="49">
        <f>E1744&amp;" - "&amp;F1744</f>
        <v/>
      </c>
      <c r="H1744" s="36" t="inlineStr">
        <is>
          <t>RAS</t>
        </is>
      </c>
      <c r="I1744" s="45" t="inlineStr"/>
      <c r="J1744" s="45" t="inlineStr">
        <is>
          <t>RNCP39225</t>
        </is>
      </c>
      <c r="K1744" s="45" t="inlineStr">
        <is>
          <t>Technicien chef de projet en rénovation énergétique</t>
        </is>
      </c>
      <c r="L1744" s="45" t="inlineStr">
        <is>
          <t>27/06/2027</t>
        </is>
      </c>
      <c r="M1744" s="45" t="inlineStr">
        <is>
          <t>24154 (Énergie) ; 22215 (Audit énergétique bâtiment) ; 22210 (Réglementation thermique bâtiment) ; 22485 (Rénovation bâtiment)</t>
        </is>
      </c>
      <c r="N1744" s="50" t="inlineStr">
        <is>
          <t>NON</t>
        </is>
      </c>
      <c r="O1744" s="45" t="inlineStr"/>
    </row>
    <row r="1745" customFormat="1" s="3">
      <c r="A1745" s="45" t="n"/>
      <c r="B1745" s="46" t="inlineStr">
        <is>
          <t>24167</t>
        </is>
      </c>
      <c r="C1745" s="46">
        <f>LEFT(Tableau1[[#This Row],[Formacode]],3)</f>
        <v/>
      </c>
      <c r="D1745" s="47" t="n">
        <v>39344</v>
      </c>
      <c r="E1745" s="48">
        <f>"RNCP"&amp;D1745</f>
        <v/>
      </c>
      <c r="F1745" s="48" t="inlineStr">
        <is>
          <t>CQP Technicien en machines tournantes sous pression</t>
        </is>
      </c>
      <c r="G1745" s="49">
        <f>E1745&amp;" - "&amp;F1745</f>
        <v/>
      </c>
      <c r="H1745" s="36" t="inlineStr">
        <is>
          <t>RAS</t>
        </is>
      </c>
      <c r="I1745" s="45" t="inlineStr"/>
      <c r="J1745" s="45" t="inlineStr">
        <is>
          <t>RNCP39344</t>
        </is>
      </c>
      <c r="K1745" s="45" t="inlineStr">
        <is>
          <t>CQP Technicien en machines tournantes sous pression</t>
        </is>
      </c>
      <c r="L1745" s="45" t="inlineStr">
        <is>
          <t>19/07/2028</t>
        </is>
      </c>
      <c r="M1745" s="45" t="inlineStr">
        <is>
          <t>24052 (Électromécanique) ; 24154 (Énergie) ; 31624 (Maintenance industrielle)</t>
        </is>
      </c>
      <c r="N1745" s="50" t="inlineStr">
        <is>
          <t>NON</t>
        </is>
      </c>
      <c r="O1745" s="45" t="inlineStr"/>
    </row>
    <row r="1746" customFormat="1" s="3">
      <c r="A1746" s="45" t="n"/>
      <c r="B1746" s="46" t="inlineStr">
        <is>
          <t>24167</t>
        </is>
      </c>
      <c r="C1746" s="46">
        <f>LEFT(Tableau1[[#This Row],[Formacode]],3)</f>
        <v/>
      </c>
      <c r="D1746" s="47" t="n">
        <v>40437</v>
      </c>
      <c r="E1746" s="48">
        <f>"RNCP"&amp;D1746</f>
        <v/>
      </c>
      <c r="F1746" s="48" t="inlineStr">
        <is>
          <t>BAC PRO - Technicien en transport et distribution des gaz</t>
        </is>
      </c>
      <c r="G1746" s="49">
        <f>E1746&amp;" - "&amp;F1746</f>
        <v/>
      </c>
      <c r="H1746" s="36" t="inlineStr">
        <is>
          <t>RAS</t>
        </is>
      </c>
      <c r="I1746" s="45" t="inlineStr"/>
      <c r="J1746" s="45" t="inlineStr">
        <is>
          <t>RNCP40437</t>
        </is>
      </c>
      <c r="K1746" s="45" t="inlineStr">
        <is>
          <t>Technicien en transport et distribution des gaz</t>
        </is>
      </c>
      <c r="L1746" s="45" t="inlineStr">
        <is>
          <t>31/08/2030</t>
        </is>
      </c>
      <c r="M1746" s="45" t="inlineStr">
        <is>
          <t>22694 (Installation gaz) ; 24189 (Gaz) ; 31624 (Maintenance industrielle) ; 22650 (Chauffage gaz)</t>
        </is>
      </c>
      <c r="N1746" s="50" t="inlineStr">
        <is>
          <t>NON</t>
        </is>
      </c>
      <c r="O1746" s="45" t="inlineStr"/>
    </row>
    <row r="1747" customFormat="1" s="3">
      <c r="A1747" s="45" t="n"/>
      <c r="B1747" s="46" t="inlineStr">
        <is>
          <t>24246</t>
        </is>
      </c>
      <c r="C1747" s="46">
        <f>LEFT(Tableau1[[#This Row],[Formacode]],3)</f>
        <v/>
      </c>
      <c r="D1747" s="47" t="n">
        <v>37443</v>
      </c>
      <c r="E1747" s="48">
        <f>"RNCP"&amp;D1747</f>
        <v/>
      </c>
      <c r="F1747" s="48" t="inlineStr">
        <is>
          <t>TP - Installateur de réseaux de télécommunications en fibre optique</t>
        </is>
      </c>
      <c r="G1747" s="49">
        <f>E1747&amp;" - "&amp;F1747</f>
        <v/>
      </c>
      <c r="H1747" s="36" t="inlineStr">
        <is>
          <t>RAS</t>
        </is>
      </c>
      <c r="I1747" s="45" t="inlineStr"/>
      <c r="J1747" s="45" t="inlineStr">
        <is>
          <t>RNCP37443</t>
        </is>
      </c>
      <c r="K1747" s="45" t="inlineStr">
        <is>
          <t>Installateur de réseaux de télécommunications en fibre optique</t>
        </is>
      </c>
      <c r="L1747" s="45" t="inlineStr">
        <is>
          <t>29/07/2028</t>
        </is>
      </c>
      <c r="M1747" s="45" t="inlineStr">
        <is>
          <t>24260 (Installation réseau téléphonique) ; 24231 (Réseau informatique) ; 24270 (Équipement télécom) ; 24229 (Transmission fibre optique)</t>
        </is>
      </c>
      <c r="N1747" s="50" t="inlineStr">
        <is>
          <t>NON</t>
        </is>
      </c>
      <c r="O1747" s="45" t="inlineStr"/>
    </row>
    <row r="1748" customFormat="1" s="3">
      <c r="A1748" s="45" t="n"/>
      <c r="B1748" s="46" t="inlineStr">
        <is>
          <t>24246</t>
        </is>
      </c>
      <c r="C1748" s="46">
        <f>LEFT(Tableau1[[#This Row],[Formacode]],3)</f>
        <v/>
      </c>
      <c r="D1748" s="47" t="n">
        <v>37445</v>
      </c>
      <c r="E1748" s="48">
        <f>"RNCP"&amp;D1748</f>
        <v/>
      </c>
      <c r="F1748" s="48" t="inlineStr">
        <is>
          <t>TP - Technicien d'intervention de réseaux de télécommunications en fibre optique</t>
        </is>
      </c>
      <c r="G1748" s="49">
        <f>E1748&amp;" - "&amp;F1748</f>
        <v/>
      </c>
      <c r="H1748" s="36" t="inlineStr">
        <is>
          <t>RAS</t>
        </is>
      </c>
      <c r="I1748" s="45" t="inlineStr"/>
      <c r="J1748" s="45" t="inlineStr">
        <is>
          <t>RNCP37445</t>
        </is>
      </c>
      <c r="K1748" s="45" t="inlineStr">
        <is>
          <t>Technicien d'intervention de réseaux de télécommunications en fibre optique</t>
        </is>
      </c>
      <c r="L1748" s="45" t="inlineStr">
        <is>
          <t>29/07/2028</t>
        </is>
      </c>
      <c r="M1748" s="45" t="inlineStr">
        <is>
          <t>24229 (Transmission fibre optique) ; 22254 (BTP conception organisation)</t>
        </is>
      </c>
      <c r="N1748" s="50" t="inlineStr">
        <is>
          <t>NON</t>
        </is>
      </c>
      <c r="O1748" s="45" t="inlineStr"/>
    </row>
    <row r="1749" customFormat="1" s="3">
      <c r="A1749" s="45" t="n"/>
      <c r="B1749" s="46" t="inlineStr">
        <is>
          <t>24246</t>
        </is>
      </c>
      <c r="C1749" s="46">
        <f>LEFT(Tableau1[[#This Row],[Formacode]],3)</f>
        <v/>
      </c>
      <c r="D1749" s="47" t="n">
        <v>37490</v>
      </c>
      <c r="E1749" s="48">
        <f>"RNCP"&amp;D1749</f>
        <v/>
      </c>
      <c r="F1749" s="48" t="inlineStr">
        <is>
          <t>BAC PRO - Optique Photonique : Technologies de la Lumière</t>
        </is>
      </c>
      <c r="G1749" s="49">
        <f>E1749&amp;" - "&amp;F1749</f>
        <v/>
      </c>
      <c r="H1749" s="36" t="inlineStr">
        <is>
          <t>RAS</t>
        </is>
      </c>
      <c r="I1749" s="45" t="inlineStr"/>
      <c r="J1749" s="45" t="inlineStr">
        <is>
          <t>RNCP37490</t>
        </is>
      </c>
      <c r="K1749" s="45" t="inlineStr">
        <is>
          <t>Optique Photonique : Technologies de la Lumière</t>
        </is>
      </c>
      <c r="L1749" s="45" t="inlineStr">
        <is>
          <t>31/08/2028</t>
        </is>
      </c>
      <c r="M1749" s="45" t="inlineStr">
        <is>
          <t>11481 (Photonique) ; 11467 (Optique) ; 24314 (Opto-électronique) ; 24229 (Transmission fibre optique)</t>
        </is>
      </c>
      <c r="N1749" s="50" t="inlineStr">
        <is>
          <t>NON</t>
        </is>
      </c>
      <c r="O1749" s="45" t="inlineStr"/>
    </row>
    <row r="1750" customFormat="1" s="3">
      <c r="A1750" s="51" t="n"/>
      <c r="B1750" s="52" t="inlineStr">
        <is>
          <t>24246</t>
        </is>
      </c>
      <c r="C1750" s="52">
        <f>LEFT(Tableau1[[#This Row],[Formacode]],3)</f>
        <v/>
      </c>
      <c r="D1750" s="53" t="n">
        <v>37572</v>
      </c>
      <c r="E1750" s="54">
        <f>"RNCP"&amp;D1750</f>
        <v/>
      </c>
      <c r="F1750" s="54" t="inlineStr">
        <is>
          <t>Grade_Licence - Sciences et Ingénierie - Transformation Numérique des Entreprises</t>
        </is>
      </c>
      <c r="G1750" s="55">
        <f>E1750&amp;" - "&amp;F1750</f>
        <v/>
      </c>
      <c r="H1750" s="37" t="inlineStr">
        <is>
          <t>À vérifier</t>
        </is>
      </c>
      <c r="I1750" s="51" t="inlineStr">
        <is>
          <t>Successeur déjà publié : RNCP42302 (Sciences et Ingénierie - Informatique et systèmes numériques) — préparer la bascule de l'offre CPF | Échéance le 31/08/2026 (dans 44 j)</t>
        </is>
      </c>
      <c r="J1750" s="51" t="inlineStr">
        <is>
          <t>RNCP42302</t>
        </is>
      </c>
      <c r="K1750" s="51" t="inlineStr">
        <is>
          <t>Sciences et Ingénierie - Informatique et systèmes numériques</t>
        </is>
      </c>
      <c r="L1750" s="51" t="inlineStr">
        <is>
          <t>31/08/2026</t>
        </is>
      </c>
      <c r="M1750" s="51" t="inlineStr">
        <is>
          <t>31054 (Informatique - Systèmes d’information et numérique) ; 24231 (Réseau informatique) ; 24454 (Automatisme informatique industrielle)</t>
        </is>
      </c>
      <c r="N1750" s="62" t="inlineStr">
        <is>
          <t>NON</t>
        </is>
      </c>
      <c r="O1750" s="51" t="inlineStr"/>
    </row>
    <row r="1751" customFormat="1" s="3">
      <c r="A1751" s="45" t="n"/>
      <c r="B1751" s="46" t="inlineStr">
        <is>
          <t>24246</t>
        </is>
      </c>
      <c r="C1751" s="46">
        <f>LEFT(Tableau1[[#This Row],[Formacode]],3)</f>
        <v/>
      </c>
      <c r="D1751" s="47" t="n">
        <v>38543</v>
      </c>
      <c r="E1751" s="48">
        <f>"RNCP"&amp;D1751</f>
        <v/>
      </c>
      <c r="F1751" s="48" t="inlineStr">
        <is>
          <t>BTS - Photonique : Technologies et Sciences de la Lumière</t>
        </is>
      </c>
      <c r="G1751" s="49">
        <f>E1751&amp;" - "&amp;F1751</f>
        <v/>
      </c>
      <c r="H1751" s="36" t="inlineStr">
        <is>
          <t>RAS</t>
        </is>
      </c>
      <c r="I1751" s="45" t="inlineStr"/>
      <c r="J1751" s="45" t="inlineStr">
        <is>
          <t>RNCP38543</t>
        </is>
      </c>
      <c r="K1751" s="45" t="inlineStr">
        <is>
          <t>Photonique : Technologies et Sciences de la Lumière</t>
        </is>
      </c>
      <c r="L1751" s="45" t="inlineStr">
        <is>
          <t>31/08/2029</t>
        </is>
      </c>
      <c r="M1751" s="45" t="inlineStr">
        <is>
          <t>24229 (Transmission fibre optique) ; 11481 (Photonique) ; 24314 (Opto-électronique) ; 11467 (Optique)</t>
        </is>
      </c>
      <c r="N1751" s="50" t="inlineStr">
        <is>
          <t>NON</t>
        </is>
      </c>
      <c r="O1751" s="45" t="inlineStr"/>
    </row>
    <row r="1752" customFormat="1" s="3">
      <c r="A1752" s="63" t="n"/>
      <c r="B1752" s="64" t="inlineStr">
        <is>
          <t>24252</t>
        </is>
      </c>
      <c r="C1752" s="64">
        <f>LEFT(Tableau1[[#This Row],[Formacode]],3)</f>
        <v/>
      </c>
      <c r="D1752" s="65" t="n">
        <v>35295</v>
      </c>
      <c r="E1752" s="66">
        <f>"RNCP"&amp;D1752</f>
        <v/>
      </c>
      <c r="F1752" s="66" t="inlineStr">
        <is>
          <t>TP - Technicien réseaux IP</t>
        </is>
      </c>
      <c r="G1752" s="67">
        <f>E1752&amp;" - "&amp;F1752</f>
        <v/>
      </c>
      <c r="H1752" s="38" t="inlineStr">
        <is>
          <t>Expiré / remplacé</t>
        </is>
      </c>
      <c r="I1752" s="63" t="inlineStr">
        <is>
          <t>Fiche inactive (échéance 13/05/2026) — aucun successeur publié</t>
        </is>
      </c>
      <c r="J1752" s="63" t="inlineStr">
        <is>
          <t>RNCP35295</t>
        </is>
      </c>
      <c r="K1752" s="63" t="inlineStr">
        <is>
          <t>Technicien réseaux IP</t>
        </is>
      </c>
      <c r="L1752" s="63" t="inlineStr">
        <is>
          <t>13/05/2026</t>
        </is>
      </c>
      <c r="M1752" s="63" t="inlineStr">
        <is>
          <t>24260 (Installation réseau téléphonique) ; 24231 (Réseau informatique)</t>
        </is>
      </c>
      <c r="N1752" s="68" t="inlineStr">
        <is>
          <t>NON</t>
        </is>
      </c>
      <c r="O1752" s="63" t="inlineStr"/>
    </row>
    <row r="1753" customFormat="1" s="3">
      <c r="A1753" s="45" t="n"/>
      <c r="B1753" s="46" t="inlineStr">
        <is>
          <t>24252</t>
        </is>
      </c>
      <c r="C1753" s="46">
        <f>LEFT(Tableau1[[#This Row],[Formacode]],3)</f>
        <v/>
      </c>
      <c r="D1753" s="47" t="n">
        <v>36163</v>
      </c>
      <c r="E1753" s="48">
        <f>"RNCP"&amp;D1753</f>
        <v/>
      </c>
      <c r="F1753" s="48" t="inlineStr">
        <is>
          <t>TP - Administrateur réseau NetOps</t>
        </is>
      </c>
      <c r="G1753" s="49">
        <f>E1753&amp;" - "&amp;F1753</f>
        <v/>
      </c>
      <c r="H1753" s="36" t="inlineStr">
        <is>
          <t>RAS</t>
        </is>
      </c>
      <c r="I1753" s="45" t="inlineStr"/>
      <c r="J1753" s="45" t="inlineStr">
        <is>
          <t>RNCP36163</t>
        </is>
      </c>
      <c r="K1753" s="45" t="inlineStr">
        <is>
          <t>Administrateur réseau NetOps</t>
        </is>
      </c>
      <c r="L1753" s="45" t="inlineStr">
        <is>
          <t>31/01/2027</t>
        </is>
      </c>
      <c r="M1753" s="45" t="inlineStr">
        <is>
          <t>24220 (Gestion réseau informatique)</t>
        </is>
      </c>
      <c r="N1753" s="50" t="inlineStr">
        <is>
          <t>NON</t>
        </is>
      </c>
      <c r="O1753" s="45" t="inlineStr"/>
    </row>
    <row r="1754" customFormat="1" s="3">
      <c r="A1754" s="45" t="n"/>
      <c r="B1754" s="46" t="inlineStr">
        <is>
          <t>24252</t>
        </is>
      </c>
      <c r="C1754" s="46">
        <f>LEFT(Tableau1[[#This Row],[Formacode]],3)</f>
        <v/>
      </c>
      <c r="D1754" s="47" t="n">
        <v>36656</v>
      </c>
      <c r="E1754" s="48">
        <f>"RNCP"&amp;D1754</f>
        <v/>
      </c>
      <c r="F1754" s="48" t="inlineStr">
        <is>
          <t>CQP Monteur raccordeur fibre optique</t>
        </is>
      </c>
      <c r="G1754" s="49">
        <f>E1754&amp;" - "&amp;F1754</f>
        <v/>
      </c>
      <c r="H1754" s="36" t="inlineStr">
        <is>
          <t>RAS</t>
        </is>
      </c>
      <c r="I1754" s="45" t="inlineStr"/>
      <c r="J1754" s="45" t="inlineStr">
        <is>
          <t>RNCP36656</t>
        </is>
      </c>
      <c r="K1754" s="45" t="inlineStr">
        <is>
          <t>CQP Monteur raccordeur fibre optique</t>
        </is>
      </c>
      <c r="L1754" s="45" t="inlineStr">
        <is>
          <t>01/07/2027</t>
        </is>
      </c>
      <c r="M1754" s="45" t="inlineStr">
        <is>
          <t>24270 (Équipement télécom)</t>
        </is>
      </c>
      <c r="N1754" s="50" t="inlineStr">
        <is>
          <t>NON</t>
        </is>
      </c>
      <c r="O1754" s="45" t="inlineStr"/>
    </row>
    <row r="1755" customFormat="1" s="3">
      <c r="A1755" s="45" t="n"/>
      <c r="B1755" s="46" t="inlineStr">
        <is>
          <t>24252</t>
        </is>
      </c>
      <c r="C1755" s="46">
        <f>LEFT(Tableau1[[#This Row],[Formacode]],3)</f>
        <v/>
      </c>
      <c r="D1755" s="47" t="n">
        <v>37101</v>
      </c>
      <c r="E1755" s="48">
        <f>"RNCP"&amp;D1755</f>
        <v/>
      </c>
      <c r="F1755" s="48" t="inlineStr">
        <is>
          <t>TP - Opérateur en détection de réseaux</t>
        </is>
      </c>
      <c r="G1755" s="49">
        <f>E1755&amp;" - "&amp;F1755</f>
        <v/>
      </c>
      <c r="H1755" s="36" t="inlineStr">
        <is>
          <t>RAS</t>
        </is>
      </c>
      <c r="I1755" s="45" t="inlineStr"/>
      <c r="J1755" s="45" t="inlineStr">
        <is>
          <t>RNCP37101</t>
        </is>
      </c>
      <c r="K1755" s="45" t="inlineStr">
        <is>
          <t>Opérateur en détection de réseaux</t>
        </is>
      </c>
      <c r="L1755" s="45" t="inlineStr">
        <is>
          <t>02/01/2028</t>
        </is>
      </c>
      <c r="M1755" s="45" t="inlineStr">
        <is>
          <t>24277 (Télédétection) ; 12232 (Géomatique) ; 12225 (Topographie) ; 24252 (Réseau télécom)</t>
        </is>
      </c>
      <c r="N1755" s="50" t="inlineStr">
        <is>
          <t>NON</t>
        </is>
      </c>
      <c r="O1755" s="45" t="inlineStr"/>
    </row>
    <row r="1756" ht="28.8" customFormat="1" customHeight="1" s="3">
      <c r="A1756" s="45" t="n"/>
      <c r="B1756" s="46" t="inlineStr">
        <is>
          <t>24252</t>
        </is>
      </c>
      <c r="C1756" s="46">
        <f>LEFT(Tableau1[[#This Row],[Formacode]],3)</f>
        <v/>
      </c>
      <c r="D1756" s="47" t="n">
        <v>37391</v>
      </c>
      <c r="E1756" s="48">
        <f>"RNCP"&amp;D1756</f>
        <v/>
      </c>
      <c r="F1756" s="48" t="inlineStr">
        <is>
          <t>BTS - Cybersécurité, Informatique et réseaux, Électronique  - Option A : « Informatique et réseaux », Option B : « Électronique et réseaux »</t>
        </is>
      </c>
      <c r="G1756" s="49">
        <f>E1756&amp;" - "&amp;F1756</f>
        <v/>
      </c>
      <c r="H1756" s="36" t="inlineStr">
        <is>
          <t>RAS</t>
        </is>
      </c>
      <c r="I1756" s="45" t="inlineStr"/>
      <c r="J1756" s="45" t="inlineStr">
        <is>
          <t>RNCP37391</t>
        </is>
      </c>
      <c r="K1756" s="45" t="inlineStr">
        <is>
          <t>Cybersécurité, Informatique et réseaux, Électronique - Option A : « Informatique et réseaux », Option B : « Électronique et réseaux »</t>
        </is>
      </c>
      <c r="L1756" s="45" t="inlineStr">
        <is>
          <t>31/08/2028</t>
        </is>
      </c>
      <c r="M1756" s="45" t="inlineStr">
        <is>
          <t>24231 (Réseau informatique) ; 31045 (Cybersécurité) ; 24491 (Programmation informatique industrielle) ; 24340 (Maintenance électronique) ; 24392 (Électronique numérique)</t>
        </is>
      </c>
      <c r="N1756" s="50" t="inlineStr">
        <is>
          <t>NON</t>
        </is>
      </c>
      <c r="O1756" s="45" t="inlineStr"/>
    </row>
    <row r="1757" customFormat="1" s="3">
      <c r="A1757" s="45" t="n"/>
      <c r="B1757" s="46" t="inlineStr">
        <is>
          <t>24252</t>
        </is>
      </c>
      <c r="C1757" s="46">
        <f>LEFT(Tableau1[[#This Row],[Formacode]],3)</f>
        <v/>
      </c>
      <c r="D1757" s="47" t="n">
        <v>37443</v>
      </c>
      <c r="E1757" s="48">
        <f>"RNCP"&amp;D1757</f>
        <v/>
      </c>
      <c r="F1757" s="48" t="inlineStr">
        <is>
          <t>TP - Installateur de réseaux de télécommunications en fibre optique</t>
        </is>
      </c>
      <c r="G1757" s="49">
        <f>E1757&amp;" - "&amp;F1757</f>
        <v/>
      </c>
      <c r="H1757" s="36" t="inlineStr">
        <is>
          <t>RAS</t>
        </is>
      </c>
      <c r="I1757" s="45" t="inlineStr"/>
      <c r="J1757" s="45" t="inlineStr">
        <is>
          <t>RNCP37443</t>
        </is>
      </c>
      <c r="K1757" s="45" t="inlineStr">
        <is>
          <t>Installateur de réseaux de télécommunications en fibre optique</t>
        </is>
      </c>
      <c r="L1757" s="45" t="inlineStr">
        <is>
          <t>29/07/2028</t>
        </is>
      </c>
      <c r="M1757" s="45" t="inlineStr">
        <is>
          <t>24260 (Installation réseau téléphonique) ; 24231 (Réseau informatique) ; 24270 (Équipement télécom) ; 24229 (Transmission fibre optique)</t>
        </is>
      </c>
      <c r="N1757" s="50" t="inlineStr">
        <is>
          <t>NON</t>
        </is>
      </c>
      <c r="O1757" s="45" t="inlineStr"/>
    </row>
    <row r="1758" customFormat="1" s="3">
      <c r="A1758" s="45" t="n"/>
      <c r="B1758" s="46" t="inlineStr">
        <is>
          <t>24252</t>
        </is>
      </c>
      <c r="C1758" s="46">
        <f>LEFT(Tableau1[[#This Row],[Formacode]],3)</f>
        <v/>
      </c>
      <c r="D1758" s="47" t="n">
        <v>37489</v>
      </c>
      <c r="E1758" s="48">
        <f>"RNCP"&amp;D1758</f>
        <v/>
      </c>
      <c r="F1758" s="48" t="inlineStr">
        <is>
          <t>BAC PRO - Cybersécurité, Informatique et réseaux, Electronique</t>
        </is>
      </c>
      <c r="G1758" s="49">
        <f>E1758&amp;" - "&amp;F1758</f>
        <v/>
      </c>
      <c r="H1758" s="36" t="inlineStr">
        <is>
          <t>RAS</t>
        </is>
      </c>
      <c r="I1758" s="45" t="inlineStr"/>
      <c r="J1758" s="45" t="inlineStr">
        <is>
          <t>RNCP37489</t>
        </is>
      </c>
      <c r="K1758" s="45" t="inlineStr">
        <is>
          <t>Cybersécurité, Informatique et réseaux, Electronique</t>
        </is>
      </c>
      <c r="L1758" s="45" t="inlineStr">
        <is>
          <t>31/08/2028</t>
        </is>
      </c>
      <c r="M1758" s="45" t="inlineStr">
        <is>
          <t>24340 (Maintenance électronique) ; 31045 (Cybersécurité) ; 24252 (Réseau télécom)</t>
        </is>
      </c>
      <c r="N1758" s="50" t="inlineStr">
        <is>
          <t>NON</t>
        </is>
      </c>
      <c r="O1758" s="45" t="inlineStr"/>
    </row>
    <row r="1759" customFormat="1" s="3">
      <c r="A1759" s="51" t="n"/>
      <c r="B1759" s="52" t="inlineStr">
        <is>
          <t>24252</t>
        </is>
      </c>
      <c r="C1759" s="52">
        <f>LEFT(Tableau1[[#This Row],[Formacode]],3)</f>
        <v/>
      </c>
      <c r="D1759" s="53" t="n">
        <v>37572</v>
      </c>
      <c r="E1759" s="54">
        <f>"RNCP"&amp;D1759</f>
        <v/>
      </c>
      <c r="F1759" s="54" t="inlineStr">
        <is>
          <t>Grade_Licence - Sciences et Ingénierie - Transformation Numérique des Entreprises</t>
        </is>
      </c>
      <c r="G1759" s="55">
        <f>E1759&amp;" - "&amp;F1759</f>
        <v/>
      </c>
      <c r="H1759" s="37" t="inlineStr">
        <is>
          <t>À vérifier</t>
        </is>
      </c>
      <c r="I1759" s="51" t="inlineStr">
        <is>
          <t>Successeur déjà publié : RNCP42302 (Sciences et Ingénierie - Informatique et systèmes numériques) — préparer la bascule de l'offre CPF | Échéance le 31/08/2026 (dans 44 j)</t>
        </is>
      </c>
      <c r="J1759" s="51" t="inlineStr">
        <is>
          <t>RNCP42302</t>
        </is>
      </c>
      <c r="K1759" s="51" t="inlineStr">
        <is>
          <t>Sciences et Ingénierie - Informatique et systèmes numériques</t>
        </is>
      </c>
      <c r="L1759" s="51" t="inlineStr">
        <is>
          <t>31/08/2026</t>
        </is>
      </c>
      <c r="M1759" s="51" t="inlineStr">
        <is>
          <t>31054 (Informatique - Systèmes d’information et numérique) ; 24231 (Réseau informatique) ; 24454 (Automatisme informatique industrielle)</t>
        </is>
      </c>
      <c r="N1759" s="62" t="inlineStr">
        <is>
          <t>NON</t>
        </is>
      </c>
      <c r="O1759" s="51" t="inlineStr"/>
    </row>
    <row r="1760" customFormat="1" s="3">
      <c r="A1760" s="45" t="n"/>
      <c r="B1760" s="46" t="inlineStr">
        <is>
          <t>24252</t>
        </is>
      </c>
      <c r="C1760" s="46">
        <f>LEFT(Tableau1[[#This Row],[Formacode]],3)</f>
        <v/>
      </c>
      <c r="D1760" s="47" t="n">
        <v>37680</v>
      </c>
      <c r="E1760" s="48">
        <f>"RNCP"&amp;D1760</f>
        <v/>
      </c>
      <c r="F1760" s="48" t="inlineStr">
        <is>
          <t>TP - Administrateur d'infrastructures sécurisées</t>
        </is>
      </c>
      <c r="G1760" s="49">
        <f>E1760&amp;" - "&amp;F1760</f>
        <v/>
      </c>
      <c r="H1760" s="36" t="inlineStr">
        <is>
          <t>RAS</t>
        </is>
      </c>
      <c r="I1760" s="45" t="inlineStr"/>
      <c r="J1760" s="45" t="inlineStr">
        <is>
          <t>RNCP37680</t>
        </is>
      </c>
      <c r="K1760" s="45" t="inlineStr">
        <is>
          <t>Administrateur d'infrastructures sécurisées</t>
        </is>
      </c>
      <c r="L1760" s="45" t="inlineStr">
        <is>
          <t>28/02/2027</t>
        </is>
      </c>
      <c r="M1760" s="45" t="inlineStr">
        <is>
          <t>31015 (Virtualisation) ; 31006 (Sécurité informatique) ; 24273 (Architecture réseau) ; 31034 (Administration système)</t>
        </is>
      </c>
      <c r="N1760" s="50" t="inlineStr">
        <is>
          <t>NON</t>
        </is>
      </c>
      <c r="O1760" s="45" t="inlineStr"/>
    </row>
    <row r="1761" customFormat="1" s="3">
      <c r="A1761" s="51" t="n"/>
      <c r="B1761" s="52" t="inlineStr">
        <is>
          <t>24252</t>
        </is>
      </c>
      <c r="C1761" s="52">
        <f>LEFT(Tableau1[[#This Row],[Formacode]],3)</f>
        <v/>
      </c>
      <c r="D1761" s="53" t="n">
        <v>37682</v>
      </c>
      <c r="E1761" s="54">
        <f>"RNCP"&amp;D1761</f>
        <v/>
      </c>
      <c r="F1761" s="54" t="inlineStr">
        <is>
          <t>TP - Technicien supérieur systèmes et réseaux</t>
        </is>
      </c>
      <c r="G1761" s="55">
        <f>E1761&amp;" - "&amp;F1761</f>
        <v/>
      </c>
      <c r="H1761" s="37" t="inlineStr">
        <is>
          <t>À vérifier</t>
        </is>
      </c>
      <c r="I1761" s="51" t="inlineStr">
        <is>
          <t>Successeur déjà publié : RNCP42463 (Technicien supérieur systèmes et réseaux) — préparer la bascule de l'offre CPF | Échéance le 01/09/2026 (dans 45 j)</t>
        </is>
      </c>
      <c r="J1761" s="51" t="inlineStr">
        <is>
          <t>RNCP42463</t>
        </is>
      </c>
      <c r="K1761" s="51" t="inlineStr">
        <is>
          <t>Technicien supérieur systèmes et réseaux</t>
        </is>
      </c>
      <c r="L1761" s="51" t="inlineStr">
        <is>
          <t>01/09/2026</t>
        </is>
      </c>
      <c r="M1761" s="51" t="inlineStr">
        <is>
          <t>31008 (Système information) ; 24231 (Réseau informatique)</t>
        </is>
      </c>
      <c r="N1761" s="62" t="inlineStr">
        <is>
          <t>NON</t>
        </is>
      </c>
      <c r="O1761" s="51" t="inlineStr"/>
    </row>
    <row r="1762" customFormat="1" s="3">
      <c r="A1762" s="51" t="n"/>
      <c r="B1762" s="52" t="inlineStr">
        <is>
          <t>24252</t>
        </is>
      </c>
      <c r="C1762" s="52">
        <f>LEFT(Tableau1[[#This Row],[Formacode]],3)</f>
        <v/>
      </c>
      <c r="D1762" s="53" t="n">
        <v>37796</v>
      </c>
      <c r="E1762" s="54">
        <f>"RNCP"&amp;D1762</f>
        <v/>
      </c>
      <c r="F1762" s="54" t="inlineStr">
        <is>
          <t>Gestionnaire de la sécurité des données, des réseaux et des systèmes</t>
        </is>
      </c>
      <c r="G1762" s="55">
        <f>E1762&amp;" - "&amp;F1762</f>
        <v/>
      </c>
      <c r="H1762" s="37" t="inlineStr">
        <is>
          <t>À vérifier</t>
        </is>
      </c>
      <c r="I1762" s="51" t="inlineStr">
        <is>
          <t>Successeur déjà publié : RNCP42345 (Expert cybersécurité) — préparer la bascule de l'offre CPF | Échéance le 19/07/2026 (dans 1 j)</t>
        </is>
      </c>
      <c r="J1762" s="51" t="inlineStr">
        <is>
          <t>RNCP42345</t>
        </is>
      </c>
      <c r="K1762" s="51" t="inlineStr">
        <is>
          <t>Expert cybersécurité</t>
        </is>
      </c>
      <c r="L1762" s="51" t="inlineStr">
        <is>
          <t>19/07/2026</t>
        </is>
      </c>
      <c r="M1762" s="51" t="inlineStr">
        <is>
          <t>31045 (Cybersécurité) ; 31038 (Audit informatique) ; 24231 (Réseau informatique) ; 31094 (Gestion projet informatique)</t>
        </is>
      </c>
      <c r="N1762" s="62" t="inlineStr">
        <is>
          <t>NON</t>
        </is>
      </c>
      <c r="O1762" s="51" t="inlineStr"/>
    </row>
    <row r="1763" customFormat="1" s="3">
      <c r="A1763" s="45" t="n"/>
      <c r="B1763" s="46" t="inlineStr">
        <is>
          <t>24252</t>
        </is>
      </c>
      <c r="C1763" s="46">
        <f>LEFT(Tableau1[[#This Row],[Formacode]],3)</f>
        <v/>
      </c>
      <c r="D1763" s="47" t="n">
        <v>38108</v>
      </c>
      <c r="E1763" s="48">
        <f>"RNCP"&amp;D1763</f>
        <v/>
      </c>
      <c r="F1763" s="48" t="inlineStr">
        <is>
          <t>Administrateur de systèmes et réseaux sécurisés</t>
        </is>
      </c>
      <c r="G1763" s="49">
        <f>E1763&amp;" - "&amp;F1763</f>
        <v/>
      </c>
      <c r="H1763" s="36" t="inlineStr">
        <is>
          <t>RAS</t>
        </is>
      </c>
      <c r="I1763" s="45" t="inlineStr"/>
      <c r="J1763" s="45" t="inlineStr">
        <is>
          <t>RNCP38108</t>
        </is>
      </c>
      <c r="K1763" s="45" t="inlineStr">
        <is>
          <t>Administrateur de systèmes et réseaux sécurisés</t>
        </is>
      </c>
      <c r="L1763" s="45" t="inlineStr">
        <is>
          <t>18/10/2028</t>
        </is>
      </c>
      <c r="M1763" s="45" t="inlineStr">
        <is>
          <t>31034 (Administration système) ; 24273 (Architecture réseau) ; 24220 (Gestion réseau informatique) ; 31008 (Système information) ; 31006 (Sécurité informatique)</t>
        </is>
      </c>
      <c r="N1763" s="50" t="inlineStr">
        <is>
          <t>NON</t>
        </is>
      </c>
      <c r="O1763" s="45" t="inlineStr"/>
    </row>
    <row r="1764" customFormat="1" s="3">
      <c r="A1764" s="45" t="n"/>
      <c r="B1764" s="46" t="inlineStr">
        <is>
          <t>24252</t>
        </is>
      </c>
      <c r="C1764" s="46">
        <f>LEFT(Tableau1[[#This Row],[Formacode]],3)</f>
        <v/>
      </c>
      <c r="D1764" s="47" t="n">
        <v>38117</v>
      </c>
      <c r="E1764" s="48">
        <f>"RNCP"&amp;D1764</f>
        <v/>
      </c>
      <c r="F1764" s="48" t="inlineStr">
        <is>
          <t>Ingénieur systèmes, réseaux et cybersécurité</t>
        </is>
      </c>
      <c r="G1764" s="49">
        <f>E1764&amp;" - "&amp;F1764</f>
        <v/>
      </c>
      <c r="H1764" s="36" t="inlineStr">
        <is>
          <t>RAS</t>
        </is>
      </c>
      <c r="I1764" s="45" t="inlineStr"/>
      <c r="J1764" s="45" t="inlineStr">
        <is>
          <t>RNCP38117</t>
        </is>
      </c>
      <c r="K1764" s="45" t="inlineStr">
        <is>
          <t>Ingénieur systèmes, réseaux et cybersécurité</t>
        </is>
      </c>
      <c r="L1764" s="45" t="inlineStr">
        <is>
          <t>18/10/2028</t>
        </is>
      </c>
      <c r="M1764" s="45" t="inlineStr">
        <is>
          <t>31034 (Administration système) ; 24231 (Réseau informatique) ; 31006 (Sécurité informatique) ; 31094 (Gestion projet informatique) ; 31009 (Architecture système information)</t>
        </is>
      </c>
      <c r="N1764" s="50" t="inlineStr">
        <is>
          <t>NON</t>
        </is>
      </c>
      <c r="O1764" s="45" t="inlineStr"/>
    </row>
    <row r="1765" customFormat="1" s="3">
      <c r="A1765" s="45" t="n"/>
      <c r="B1765" s="46" t="inlineStr">
        <is>
          <t>24252</t>
        </is>
      </c>
      <c r="C1765" s="46">
        <f>LEFT(Tableau1[[#This Row],[Formacode]],3)</f>
        <v/>
      </c>
      <c r="D1765" s="47" t="n">
        <v>38509</v>
      </c>
      <c r="E1765" s="48">
        <f>"RNCP"&amp;D1765</f>
        <v/>
      </c>
      <c r="F1765" s="48" t="inlineStr">
        <is>
          <t>Technicien des réseaux spécialisé</t>
        </is>
      </c>
      <c r="G1765" s="49">
        <f>E1765&amp;" - "&amp;F1765</f>
        <v/>
      </c>
      <c r="H1765" s="36" t="inlineStr">
        <is>
          <t>RAS</t>
        </is>
      </c>
      <c r="I1765" s="45" t="inlineStr"/>
      <c r="J1765" s="45" t="inlineStr">
        <is>
          <t>RNCP38509</t>
        </is>
      </c>
      <c r="K1765" s="45" t="inlineStr">
        <is>
          <t>Technicien des réseaux spécialisé</t>
        </is>
      </c>
      <c r="L1765" s="45" t="inlineStr">
        <is>
          <t>21/12/2028</t>
        </is>
      </c>
      <c r="M1765" s="45" t="inlineStr">
        <is>
          <t>24270 (Équipement télécom) ; 22892 (Fibre optique)</t>
        </is>
      </c>
      <c r="N1765" s="50" t="inlineStr">
        <is>
          <t>NON</t>
        </is>
      </c>
      <c r="O1765" s="45" t="inlineStr"/>
    </row>
    <row r="1766" customFormat="1" s="3">
      <c r="A1766" s="45" t="n"/>
      <c r="B1766" s="46" t="inlineStr">
        <is>
          <t>24252</t>
        </is>
      </c>
      <c r="C1766" s="46">
        <f>LEFT(Tableau1[[#This Row],[Formacode]],3)</f>
        <v/>
      </c>
      <c r="D1766" s="47" t="n">
        <v>38906</v>
      </c>
      <c r="E1766" s="48">
        <f>"RNCP"&amp;D1766</f>
        <v/>
      </c>
      <c r="F1766" s="48" t="inlineStr">
        <is>
          <t>Architecte internet des objets</t>
        </is>
      </c>
      <c r="G1766" s="49">
        <f>E1766&amp;" - "&amp;F1766</f>
        <v/>
      </c>
      <c r="H1766" s="36" t="inlineStr">
        <is>
          <t>RAS</t>
        </is>
      </c>
      <c r="I1766" s="45" t="inlineStr"/>
      <c r="J1766" s="45" t="inlineStr">
        <is>
          <t>RNCP38906</t>
        </is>
      </c>
      <c r="K1766" s="45" t="inlineStr">
        <is>
          <t>Architecte internet des objets</t>
        </is>
      </c>
      <c r="L1766" s="45" t="inlineStr">
        <is>
          <t>26/04/2027</t>
        </is>
      </c>
      <c r="M1766" s="45" t="inlineStr">
        <is>
          <t>31009 (Architecture système information) ; 31082 (Intégration informatique) ; 24231 (Réseau informatique)</t>
        </is>
      </c>
      <c r="N1766" s="50" t="inlineStr">
        <is>
          <t>NON</t>
        </is>
      </c>
      <c r="O1766" s="45" t="inlineStr"/>
    </row>
    <row r="1767" customFormat="1" s="3">
      <c r="A1767" s="45" t="n"/>
      <c r="B1767" s="46" t="inlineStr">
        <is>
          <t>24252</t>
        </is>
      </c>
      <c r="C1767" s="46">
        <f>LEFT(Tableau1[[#This Row],[Formacode]],3)</f>
        <v/>
      </c>
      <c r="D1767" s="47" t="n">
        <v>40356</v>
      </c>
      <c r="E1767" s="48">
        <f>"RNCP"&amp;D1767</f>
        <v/>
      </c>
      <c r="F1767" s="48" t="inlineStr">
        <is>
          <t>Administrateur systèmes, réseaux et cybersécurité</t>
        </is>
      </c>
      <c r="G1767" s="49">
        <f>E1767&amp;" - "&amp;F1767</f>
        <v/>
      </c>
      <c r="H1767" s="36" t="inlineStr">
        <is>
          <t>RAS</t>
        </is>
      </c>
      <c r="I1767" s="45" t="inlineStr"/>
      <c r="J1767" s="45" t="inlineStr">
        <is>
          <t>RNCP40356</t>
        </is>
      </c>
      <c r="K1767" s="45" t="inlineStr">
        <is>
          <t>Administrateur systèmes, réseaux et cybersécurité</t>
        </is>
      </c>
      <c r="L1767" s="45" t="inlineStr">
        <is>
          <t>28/03/2030</t>
        </is>
      </c>
      <c r="M1767" s="45" t="inlineStr">
        <is>
          <t>31034 (Administration système) ; 31032 (Système exploitation informatique) ; 31006 (Sécurité informatique) ; 24231 (Réseau informatique) ; 31008 (Système information)</t>
        </is>
      </c>
      <c r="N1767" s="50" t="inlineStr">
        <is>
          <t>NON</t>
        </is>
      </c>
      <c r="O1767" s="45" t="inlineStr"/>
    </row>
    <row r="1768" customFormat="1" s="3">
      <c r="A1768" s="45" t="n"/>
      <c r="B1768" s="46" t="inlineStr">
        <is>
          <t>24252</t>
        </is>
      </c>
      <c r="C1768" s="46">
        <f>LEFT(Tableau1[[#This Row],[Formacode]],3)</f>
        <v/>
      </c>
      <c r="D1768" s="47" t="n">
        <v>40357</v>
      </c>
      <c r="E1768" s="48">
        <f>"RNCP"&amp;D1768</f>
        <v/>
      </c>
      <c r="F1768" s="48" t="inlineStr">
        <is>
          <t>Technicien informatique en installation, maintenance et support</t>
        </is>
      </c>
      <c r="G1768" s="49">
        <f>E1768&amp;" - "&amp;F1768</f>
        <v/>
      </c>
      <c r="H1768" s="36" t="inlineStr">
        <is>
          <t>RAS</t>
        </is>
      </c>
      <c r="I1768" s="45" t="inlineStr"/>
      <c r="J1768" s="45" t="inlineStr">
        <is>
          <t>RNCP40357</t>
        </is>
      </c>
      <c r="K1768" s="45" t="inlineStr">
        <is>
          <t>Technicien informatique en installation, maintenance et support</t>
        </is>
      </c>
      <c r="L1768" s="45" t="inlineStr">
        <is>
          <t>28/03/2030</t>
        </is>
      </c>
      <c r="M1768" s="45" t="inlineStr">
        <is>
          <t>31081 (Gestion parc informatique) ; 31032 (Système exploitation informatique) ; 24220 (Gestion réseau informatique)</t>
        </is>
      </c>
      <c r="N1768" s="50" t="inlineStr">
        <is>
          <t>NON</t>
        </is>
      </c>
      <c r="O1768" s="45" t="inlineStr"/>
    </row>
    <row r="1769" customFormat="1" s="3">
      <c r="A1769" s="45" t="n"/>
      <c r="B1769" s="46" t="inlineStr">
        <is>
          <t>24252</t>
        </is>
      </c>
      <c r="C1769" s="46">
        <f>LEFT(Tableau1[[#This Row],[Formacode]],3)</f>
        <v/>
      </c>
      <c r="D1769" s="47" t="n">
        <v>40572</v>
      </c>
      <c r="E1769" s="48">
        <f>"RNCP"&amp;D1769</f>
        <v/>
      </c>
      <c r="F1769" s="48" t="inlineStr">
        <is>
          <t>Architecte Internet des objets (IoT)</t>
        </is>
      </c>
      <c r="G1769" s="49">
        <f>E1769&amp;" - "&amp;F1769</f>
        <v/>
      </c>
      <c r="H1769" s="36" t="inlineStr">
        <is>
          <t>RAS</t>
        </is>
      </c>
      <c r="I1769" s="45" t="inlineStr"/>
      <c r="J1769" s="45" t="inlineStr">
        <is>
          <t>RNCP40572</t>
        </is>
      </c>
      <c r="K1769" s="45" t="inlineStr">
        <is>
          <t>Architecte Internet des objets (IoT)</t>
        </is>
      </c>
      <c r="L1769" s="45" t="inlineStr">
        <is>
          <t>30/04/2028</t>
        </is>
      </c>
      <c r="M1769" s="45" t="inlineStr">
        <is>
          <t>31009 (Architecture système information) ; 31082 (Intégration informatique) ; 24231 (Réseau informatique)</t>
        </is>
      </c>
      <c r="N1769" s="50" t="inlineStr">
        <is>
          <t>NON</t>
        </is>
      </c>
      <c r="O1769" s="45" t="inlineStr"/>
    </row>
    <row r="1770" customFormat="1" s="3">
      <c r="A1770" s="45" t="n"/>
      <c r="B1770" s="46" t="inlineStr">
        <is>
          <t>24252</t>
        </is>
      </c>
      <c r="C1770" s="46">
        <f>LEFT(Tableau1[[#This Row],[Formacode]],3)</f>
        <v/>
      </c>
      <c r="D1770" s="47" t="n">
        <v>40658</v>
      </c>
      <c r="E1770" s="48">
        <f>"RNCP"&amp;D1770</f>
        <v/>
      </c>
      <c r="F1770" s="48" t="inlineStr">
        <is>
          <t>Architecte des systèmes d'information dans les processus industriels</t>
        </is>
      </c>
      <c r="G1770" s="49">
        <f>E1770&amp;" - "&amp;F1770</f>
        <v/>
      </c>
      <c r="H1770" s="36" t="inlineStr">
        <is>
          <t>RAS</t>
        </is>
      </c>
      <c r="I1770" s="45" t="inlineStr"/>
      <c r="J1770" s="45" t="inlineStr">
        <is>
          <t>RNCP40658</t>
        </is>
      </c>
      <c r="K1770" s="45" t="inlineStr">
        <is>
          <t>Architecte des systèmes d'information dans les processus industriels</t>
        </is>
      </c>
      <c r="L1770" s="45" t="inlineStr">
        <is>
          <t>23/05/2028</t>
        </is>
      </c>
      <c r="M1770" s="45" t="inlineStr">
        <is>
          <t>31009 (Architecture système information) ; 24426 (Informatique industrielle) ; 31006 (Sécurité informatique) ; 24231 (Réseau informatique) ; 24491 (Programmation informatique industrielle)</t>
        </is>
      </c>
      <c r="N1770" s="50" t="inlineStr">
        <is>
          <t>NON</t>
        </is>
      </c>
      <c r="O1770" s="45" t="inlineStr"/>
    </row>
    <row r="1771" ht="28.8" customFormat="1" customHeight="1" s="3">
      <c r="A1771" s="45" t="n"/>
      <c r="B1771" s="46" t="inlineStr">
        <is>
          <t>24252</t>
        </is>
      </c>
      <c r="C1771" s="46">
        <f>LEFT(Tableau1[[#This Row],[Formacode]],3)</f>
        <v/>
      </c>
      <c r="D1771" s="47" t="n">
        <v>40792</v>
      </c>
      <c r="E1771" s="48">
        <f>"RNCP"&amp;D1771</f>
        <v/>
      </c>
      <c r="F1771" s="48" t="inlineStr">
        <is>
          <t>BTS - Services informatiques aux organisations, Option A : « Solutions d’infrastructure, systèmes et réseaux » ; Option B : « Solutions logicielles et applications métiers »</t>
        </is>
      </c>
      <c r="G1771" s="49">
        <f>E1771&amp;" - "&amp;F1771</f>
        <v/>
      </c>
      <c r="H1771" s="36" t="inlineStr">
        <is>
          <t>RAS</t>
        </is>
      </c>
      <c r="I1771" s="45" t="inlineStr"/>
      <c r="J1771" s="45" t="inlineStr">
        <is>
          <t>RNCP40792</t>
        </is>
      </c>
      <c r="K1771" s="45" t="inlineStr">
        <is>
          <t>Services informatiques aux organisations, Option A : « Solutions d’infrastructure, systèmes et réseaux » ; Option B : « Solutions logicielles et applications métiers »</t>
        </is>
      </c>
      <c r="L1771" s="45" t="inlineStr">
        <is>
          <t>31/08/2028</t>
        </is>
      </c>
      <c r="M1771" s="45" t="inlineStr">
        <is>
          <t>24220 (Gestion réseau informatique) ; 31084 (Informatique de gestion)</t>
        </is>
      </c>
      <c r="N1771" s="50" t="inlineStr">
        <is>
          <t>NON</t>
        </is>
      </c>
      <c r="O1771" s="45" t="inlineStr"/>
    </row>
    <row r="1772" customFormat="1" s="3">
      <c r="A1772" s="45" t="n"/>
      <c r="B1772" s="46" t="inlineStr">
        <is>
          <t>24252</t>
        </is>
      </c>
      <c r="C1772" s="46">
        <f>LEFT(Tableau1[[#This Row],[Formacode]],3)</f>
        <v/>
      </c>
      <c r="D1772" s="47" t="n">
        <v>40799</v>
      </c>
      <c r="E1772" s="48">
        <f>"RNCP"&amp;D1772</f>
        <v/>
      </c>
      <c r="F1772" s="48" t="inlineStr">
        <is>
          <t>TP - Technicien informatique de proximité</t>
        </is>
      </c>
      <c r="G1772" s="49">
        <f>E1772&amp;" - "&amp;F1772</f>
        <v/>
      </c>
      <c r="H1772" s="36" t="inlineStr">
        <is>
          <t>RAS</t>
        </is>
      </c>
      <c r="I1772" s="45" t="inlineStr"/>
      <c r="J1772" s="45" t="inlineStr">
        <is>
          <t>RNCP40799</t>
        </is>
      </c>
      <c r="K1772" s="45" t="inlineStr">
        <is>
          <t>Technicien informatique de proximité</t>
        </is>
      </c>
      <c r="L1772" s="45" t="inlineStr">
        <is>
          <t>01/09/2030</t>
        </is>
      </c>
      <c r="M1772" s="45" t="inlineStr">
        <is>
          <t>31051 (Maintenance assistance informatique) ; 31080 (Matériel informatique) ; 31016 (Architecture mobile) ; 24231 (Réseau informatique)</t>
        </is>
      </c>
      <c r="N1772" s="50" t="inlineStr">
        <is>
          <t>NON</t>
        </is>
      </c>
      <c r="O1772" s="45" t="inlineStr"/>
    </row>
    <row r="1773" customFormat="1" s="3">
      <c r="A1773" s="45" t="n"/>
      <c r="B1773" s="46" t="inlineStr">
        <is>
          <t>24252</t>
        </is>
      </c>
      <c r="C1773" s="46">
        <f>LEFT(Tableau1[[#This Row],[Formacode]],3)</f>
        <v/>
      </c>
      <c r="D1773" s="47" t="n">
        <v>41030</v>
      </c>
      <c r="E1773" s="48">
        <f>"RNCP"&amp;D1773</f>
        <v/>
      </c>
      <c r="F1773" s="48" t="inlineStr">
        <is>
          <t>Titre ingénieur - Diplôme d'ingénieur d'Efrei Paris (Université Paris- Panthéon Assas)</t>
        </is>
      </c>
      <c r="G1773" s="49">
        <f>E1773&amp;" - "&amp;F1773</f>
        <v/>
      </c>
      <c r="H1773" s="36" t="inlineStr">
        <is>
          <t>RAS</t>
        </is>
      </c>
      <c r="I1773" s="45" t="inlineStr"/>
      <c r="J1773" s="45" t="inlineStr">
        <is>
          <t>RNCP41030</t>
        </is>
      </c>
      <c r="K1773" s="45" t="inlineStr">
        <is>
          <t>Diplôme d'ingénieur d'Efrei Paris (Université Paris- Panthéon Assas)</t>
        </is>
      </c>
      <c r="L1773" s="45" t="inlineStr">
        <is>
          <t>01/09/2030</t>
        </is>
      </c>
      <c r="M1773" s="45" t="inlineStr">
        <is>
          <t>24354 (Électronique) ; 24231 (Réseau informatique) ; 31057 (Génie logiciel) ; 11014 (Algorithme) ; 32062 (Recherche développement)</t>
        </is>
      </c>
      <c r="N1773" s="50" t="inlineStr">
        <is>
          <t>NON</t>
        </is>
      </c>
      <c r="O1773" s="45" t="inlineStr"/>
    </row>
    <row r="1774" customFormat="1" s="3">
      <c r="A1774" s="51" t="n"/>
      <c r="B1774" s="52" t="inlineStr">
        <is>
          <t>24276</t>
        </is>
      </c>
      <c r="C1774" s="52">
        <f>LEFT(Tableau1[[#This Row],[Formacode]],3)</f>
        <v/>
      </c>
      <c r="D1774" s="53" t="n">
        <v>37572</v>
      </c>
      <c r="E1774" s="54">
        <f>"RNCP"&amp;D1774</f>
        <v/>
      </c>
      <c r="F1774" s="54" t="inlineStr">
        <is>
          <t>Grade_Licence - Sciences et Ingénierie - Transformation Numérique des Entreprises</t>
        </is>
      </c>
      <c r="G1774" s="55">
        <f>E1774&amp;" - "&amp;F1774</f>
        <v/>
      </c>
      <c r="H1774" s="37" t="inlineStr">
        <is>
          <t>À vérifier</t>
        </is>
      </c>
      <c r="I1774" s="51" t="inlineStr">
        <is>
          <t>Successeur déjà publié : RNCP42302 (Sciences et Ingénierie - Informatique et systèmes numériques) — préparer la bascule de l'offre CPF | Échéance le 31/08/2026 (dans 44 j)</t>
        </is>
      </c>
      <c r="J1774" s="51" t="inlineStr">
        <is>
          <t>RNCP42302</t>
        </is>
      </c>
      <c r="K1774" s="51" t="inlineStr">
        <is>
          <t>Sciences et Ingénierie - Informatique et systèmes numériques</t>
        </is>
      </c>
      <c r="L1774" s="51" t="inlineStr">
        <is>
          <t>31/08/2026</t>
        </is>
      </c>
      <c r="M1774" s="51" t="inlineStr">
        <is>
          <t>31054 (Informatique - Systèmes d’information et numérique) ; 24231 (Réseau informatique) ; 24454 (Automatisme informatique industrielle)</t>
        </is>
      </c>
      <c r="N1774" s="62" t="inlineStr">
        <is>
          <t>NON</t>
        </is>
      </c>
      <c r="O1774" s="51" t="inlineStr"/>
    </row>
    <row r="1775" customFormat="1" s="3">
      <c r="A1775" s="45" t="n"/>
      <c r="B1775" s="46" t="inlineStr">
        <is>
          <t>24277</t>
        </is>
      </c>
      <c r="C1775" s="46">
        <f>LEFT(Tableau1[[#This Row],[Formacode]],3)</f>
        <v/>
      </c>
      <c r="D1775" s="47" t="n">
        <v>37101</v>
      </c>
      <c r="E1775" s="48">
        <f>"RNCP"&amp;D1775</f>
        <v/>
      </c>
      <c r="F1775" s="48" t="inlineStr">
        <is>
          <t>TP - Opérateur en détection de réseaux</t>
        </is>
      </c>
      <c r="G1775" s="49">
        <f>E1775&amp;" - "&amp;F1775</f>
        <v/>
      </c>
      <c r="H1775" s="36" t="inlineStr">
        <is>
          <t>RAS</t>
        </is>
      </c>
      <c r="I1775" s="45" t="inlineStr"/>
      <c r="J1775" s="45" t="inlineStr">
        <is>
          <t>RNCP37101</t>
        </is>
      </c>
      <c r="K1775" s="45" t="inlineStr">
        <is>
          <t>Opérateur en détection de réseaux</t>
        </is>
      </c>
      <c r="L1775" s="45" t="inlineStr">
        <is>
          <t>02/01/2028</t>
        </is>
      </c>
      <c r="M1775" s="45" t="inlineStr">
        <is>
          <t>24277 (Télédétection) ; 12232 (Géomatique) ; 12225 (Topographie) ; 24252 (Réseau télécom)</t>
        </is>
      </c>
      <c r="N1775" s="50" t="inlineStr">
        <is>
          <t>NON</t>
        </is>
      </c>
      <c r="O1775" s="45" t="inlineStr"/>
    </row>
    <row r="1776" customFormat="1" s="3">
      <c r="A1776" s="45" t="n"/>
      <c r="B1776" s="46" t="inlineStr">
        <is>
          <t>24277</t>
        </is>
      </c>
      <c r="C1776" s="46">
        <f>LEFT(Tableau1[[#This Row],[Formacode]],3)</f>
        <v/>
      </c>
      <c r="D1776" s="47" t="n">
        <v>37102</v>
      </c>
      <c r="E1776" s="48">
        <f>"RNCP"&amp;D1776</f>
        <v/>
      </c>
      <c r="F1776" s="48" t="inlineStr">
        <is>
          <t>TP - Technicien en détection et géoréférencement de réseaux</t>
        </is>
      </c>
      <c r="G1776" s="49">
        <f>E1776&amp;" - "&amp;F1776</f>
        <v/>
      </c>
      <c r="H1776" s="36" t="inlineStr">
        <is>
          <t>RAS</t>
        </is>
      </c>
      <c r="I1776" s="45" t="inlineStr"/>
      <c r="J1776" s="45" t="inlineStr">
        <is>
          <t>RNCP37102</t>
        </is>
      </c>
      <c r="K1776" s="45" t="inlineStr">
        <is>
          <t>Technicien en détection et géoréférencement de réseaux</t>
        </is>
      </c>
      <c r="L1776" s="45" t="inlineStr">
        <is>
          <t>02/01/2028</t>
        </is>
      </c>
      <c r="M1776" s="45" t="inlineStr">
        <is>
          <t>12232 (Géomatique) ; 24277 (Télédétection) ; 12225 (Topographie)</t>
        </is>
      </c>
      <c r="N1776" s="50" t="inlineStr">
        <is>
          <t>NON</t>
        </is>
      </c>
      <c r="O1776" s="45" t="inlineStr"/>
    </row>
    <row r="1777" customFormat="1" s="3">
      <c r="A1777" s="51" t="n"/>
      <c r="B1777" s="52" t="inlineStr">
        <is>
          <t>24277</t>
        </is>
      </c>
      <c r="C1777" s="52">
        <f>LEFT(Tableau1[[#This Row],[Formacode]],3)</f>
        <v/>
      </c>
      <c r="D1777" s="53" t="n">
        <v>37572</v>
      </c>
      <c r="E1777" s="54">
        <f>"RNCP"&amp;D1777</f>
        <v/>
      </c>
      <c r="F1777" s="54" t="inlineStr">
        <is>
          <t>Grade_Licence - Sciences et Ingénierie - Transformation Numérique des Entreprises</t>
        </is>
      </c>
      <c r="G1777" s="55">
        <f>E1777&amp;" - "&amp;F1777</f>
        <v/>
      </c>
      <c r="H1777" s="37" t="inlineStr">
        <is>
          <t>À vérifier</t>
        </is>
      </c>
      <c r="I1777" s="51" t="inlineStr">
        <is>
          <t>Successeur déjà publié : RNCP42302 (Sciences et Ingénierie - Informatique et systèmes numériques) — préparer la bascule de l'offre CPF | Échéance le 31/08/2026 (dans 44 j)</t>
        </is>
      </c>
      <c r="J1777" s="51" t="inlineStr">
        <is>
          <t>RNCP42302</t>
        </is>
      </c>
      <c r="K1777" s="51" t="inlineStr">
        <is>
          <t>Sciences et Ingénierie - Informatique et systèmes numériques</t>
        </is>
      </c>
      <c r="L1777" s="51" t="inlineStr">
        <is>
          <t>31/08/2026</t>
        </is>
      </c>
      <c r="M1777" s="51" t="inlineStr">
        <is>
          <t>31054 (Informatique - Systèmes d’information et numérique) ; 24231 (Réseau informatique) ; 24454 (Automatisme informatique industrielle)</t>
        </is>
      </c>
      <c r="N1777" s="62" t="inlineStr">
        <is>
          <t>NON</t>
        </is>
      </c>
      <c r="O1777" s="51" t="inlineStr"/>
    </row>
    <row r="1778" customFormat="1" s="3">
      <c r="A1778" s="51" t="n"/>
      <c r="B1778" s="52" t="inlineStr">
        <is>
          <t>24277</t>
        </is>
      </c>
      <c r="C1778" s="52">
        <f>LEFT(Tableau1[[#This Row],[Formacode]],3)</f>
        <v/>
      </c>
      <c r="D1778" s="53" t="n">
        <v>37707</v>
      </c>
      <c r="E1778" s="54">
        <f>"RNCP"&amp;D1778</f>
        <v/>
      </c>
      <c r="F1778" s="54" t="inlineStr">
        <is>
          <t>BTS - Métiers du géomètre-topographe et de la modélisation numérique</t>
        </is>
      </c>
      <c r="G1778" s="55">
        <f>E1778&amp;" - "&amp;F1778</f>
        <v/>
      </c>
      <c r="H1778" s="37" t="inlineStr">
        <is>
          <t>À vérifier</t>
        </is>
      </c>
      <c r="I1778" s="51" t="inlineStr">
        <is>
          <t>Successeur déjà publié : RNCP41848 (Métiers du géomètre-topographe et de la modélisation numérique) — préparer la bascule de l'offre CPF | Échéance le 31/08/2026 (dans 44 j)</t>
        </is>
      </c>
      <c r="J1778" s="51" t="inlineStr">
        <is>
          <t>RNCP41848</t>
        </is>
      </c>
      <c r="K1778" s="51" t="inlineStr">
        <is>
          <t>Métiers du géomètre-topographe et de la modélisation numérique</t>
        </is>
      </c>
      <c r="L1778" s="51" t="inlineStr">
        <is>
          <t>31/08/2026</t>
        </is>
      </c>
      <c r="M1778" s="51" t="inlineStr">
        <is>
          <t>11067 (Géométrie) ; 12225 (Topographie) ; 24289 (Photo interprétation)</t>
        </is>
      </c>
      <c r="N1778" s="62" t="inlineStr">
        <is>
          <t>NON</t>
        </is>
      </c>
      <c r="O1778" s="51" t="inlineStr"/>
    </row>
    <row r="1779" customFormat="1" s="3">
      <c r="A1779" s="51" t="n"/>
      <c r="B1779" s="52" t="inlineStr">
        <is>
          <t>24286</t>
        </is>
      </c>
      <c r="C1779" s="52">
        <f>LEFT(Tableau1[[#This Row],[Formacode]],3)</f>
        <v/>
      </c>
      <c r="D1779" s="53" t="n">
        <v>37572</v>
      </c>
      <c r="E1779" s="54">
        <f>"RNCP"&amp;D1779</f>
        <v/>
      </c>
      <c r="F1779" s="54" t="inlineStr">
        <is>
          <t>Grade_Licence - Sciences et Ingénierie - Transformation Numérique des Entreprises</t>
        </is>
      </c>
      <c r="G1779" s="55">
        <f>E1779&amp;" - "&amp;F1779</f>
        <v/>
      </c>
      <c r="H1779" s="37" t="inlineStr">
        <is>
          <t>À vérifier</t>
        </is>
      </c>
      <c r="I1779" s="51" t="inlineStr">
        <is>
          <t>Successeur déjà publié : RNCP42302 (Sciences et Ingénierie - Informatique et systèmes numériques) — préparer la bascule de l'offre CPF | Échéance le 31/08/2026 (dans 44 j)</t>
        </is>
      </c>
      <c r="J1779" s="51" t="inlineStr">
        <is>
          <t>RNCP42302</t>
        </is>
      </c>
      <c r="K1779" s="51" t="inlineStr">
        <is>
          <t>Sciences et Ingénierie - Informatique et systèmes numériques</t>
        </is>
      </c>
      <c r="L1779" s="51" t="inlineStr">
        <is>
          <t>31/08/2026</t>
        </is>
      </c>
      <c r="M1779" s="51" t="inlineStr">
        <is>
          <t>31054 (Informatique - Systèmes d’information et numérique) ; 24231 (Réseau informatique) ; 24454 (Automatisme informatique industrielle)</t>
        </is>
      </c>
      <c r="N1779" s="62" t="inlineStr">
        <is>
          <t>NON</t>
        </is>
      </c>
      <c r="O1779" s="51" t="inlineStr"/>
    </row>
    <row r="1780" customFormat="1" s="3">
      <c r="A1780" s="51" t="n"/>
      <c r="B1780" s="52" t="inlineStr">
        <is>
          <t>24293</t>
        </is>
      </c>
      <c r="C1780" s="52">
        <f>LEFT(Tableau1[[#This Row],[Formacode]],3)</f>
        <v/>
      </c>
      <c r="D1780" s="53" t="n">
        <v>37572</v>
      </c>
      <c r="E1780" s="54">
        <f>"RNCP"&amp;D1780</f>
        <v/>
      </c>
      <c r="F1780" s="54" t="inlineStr">
        <is>
          <t>Grade_Licence - Sciences et Ingénierie - Transformation Numérique des Entreprises</t>
        </is>
      </c>
      <c r="G1780" s="55">
        <f>E1780&amp;" - "&amp;F1780</f>
        <v/>
      </c>
      <c r="H1780" s="37" t="inlineStr">
        <is>
          <t>À vérifier</t>
        </is>
      </c>
      <c r="I1780" s="51" t="inlineStr">
        <is>
          <t>Successeur déjà publié : RNCP42302 (Sciences et Ingénierie - Informatique et systèmes numériques) — préparer la bascule de l'offre CPF | Échéance le 31/08/2026 (dans 44 j)</t>
        </is>
      </c>
      <c r="J1780" s="51" t="inlineStr">
        <is>
          <t>RNCP42302</t>
        </is>
      </c>
      <c r="K1780" s="51" t="inlineStr">
        <is>
          <t>Sciences et Ingénierie - Informatique et systèmes numériques</t>
        </is>
      </c>
      <c r="L1780" s="51" t="inlineStr">
        <is>
          <t>31/08/2026</t>
        </is>
      </c>
      <c r="M1780" s="51" t="inlineStr">
        <is>
          <t>31054 (Informatique - Systèmes d’information et numérique) ; 24231 (Réseau informatique) ; 24454 (Automatisme informatique industrielle)</t>
        </is>
      </c>
      <c r="N1780" s="62" t="inlineStr">
        <is>
          <t>NON</t>
        </is>
      </c>
      <c r="O1780" s="51" t="inlineStr"/>
    </row>
    <row r="1781" customFormat="1" s="3">
      <c r="A1781" s="51" t="n"/>
      <c r="B1781" s="52" t="inlineStr">
        <is>
          <t>24296</t>
        </is>
      </c>
      <c r="C1781" s="52">
        <f>LEFT(Tableau1[[#This Row],[Formacode]],3)</f>
        <v/>
      </c>
      <c r="D1781" s="53" t="n">
        <v>37572</v>
      </c>
      <c r="E1781" s="54">
        <f>"RNCP"&amp;D1781</f>
        <v/>
      </c>
      <c r="F1781" s="54" t="inlineStr">
        <is>
          <t>Grade_Licence - Sciences et Ingénierie - Transformation Numérique des Entreprises</t>
        </is>
      </c>
      <c r="G1781" s="55">
        <f>E1781&amp;" - "&amp;F1781</f>
        <v/>
      </c>
      <c r="H1781" s="37" t="inlineStr">
        <is>
          <t>À vérifier</t>
        </is>
      </c>
      <c r="I1781" s="51" t="inlineStr">
        <is>
          <t>Successeur déjà publié : RNCP42302 (Sciences et Ingénierie - Informatique et systèmes numériques) — préparer la bascule de l'offre CPF | Échéance le 31/08/2026 (dans 44 j)</t>
        </is>
      </c>
      <c r="J1781" s="51" t="inlineStr">
        <is>
          <t>RNCP42302</t>
        </is>
      </c>
      <c r="K1781" s="51" t="inlineStr">
        <is>
          <t>Sciences et Ingénierie - Informatique et systèmes numériques</t>
        </is>
      </c>
      <c r="L1781" s="51" t="inlineStr">
        <is>
          <t>31/08/2026</t>
        </is>
      </c>
      <c r="M1781" s="51" t="inlineStr">
        <is>
          <t>31054 (Informatique - Systèmes d’information et numérique) ; 24231 (Réseau informatique) ; 24454 (Automatisme informatique industrielle)</t>
        </is>
      </c>
      <c r="N1781" s="62" t="inlineStr">
        <is>
          <t>NON</t>
        </is>
      </c>
      <c r="O1781" s="51" t="inlineStr"/>
    </row>
    <row r="1782" customFormat="1" s="3">
      <c r="A1782" s="45" t="n"/>
      <c r="B1782" s="46" t="inlineStr">
        <is>
          <t>24314</t>
        </is>
      </c>
      <c r="C1782" s="46">
        <f>LEFT(Tableau1[[#This Row],[Formacode]],3)</f>
        <v/>
      </c>
      <c r="D1782" s="47" t="n">
        <v>37490</v>
      </c>
      <c r="E1782" s="48">
        <f>"RNCP"&amp;D1782</f>
        <v/>
      </c>
      <c r="F1782" s="48" t="inlineStr">
        <is>
          <t>BAC PRO - Optique Photonique : Technologies de la Lumière</t>
        </is>
      </c>
      <c r="G1782" s="49">
        <f>E1782&amp;" - "&amp;F1782</f>
        <v/>
      </c>
      <c r="H1782" s="36" t="inlineStr">
        <is>
          <t>RAS</t>
        </is>
      </c>
      <c r="I1782" s="45" t="inlineStr"/>
      <c r="J1782" s="45" t="inlineStr">
        <is>
          <t>RNCP37490</t>
        </is>
      </c>
      <c r="K1782" s="45" t="inlineStr">
        <is>
          <t>Optique Photonique : Technologies de la Lumière</t>
        </is>
      </c>
      <c r="L1782" s="45" t="inlineStr">
        <is>
          <t>31/08/2028</t>
        </is>
      </c>
      <c r="M1782" s="45" t="inlineStr">
        <is>
          <t>11481 (Photonique) ; 11467 (Optique) ; 24314 (Opto-électronique) ; 24229 (Transmission fibre optique)</t>
        </is>
      </c>
      <c r="N1782" s="50" t="inlineStr">
        <is>
          <t>NON</t>
        </is>
      </c>
      <c r="O1782" s="45" t="inlineStr"/>
    </row>
    <row r="1783" customFormat="1" s="3">
      <c r="A1783" s="51" t="n"/>
      <c r="B1783" s="52" t="inlineStr">
        <is>
          <t>24314</t>
        </is>
      </c>
      <c r="C1783" s="52">
        <f>LEFT(Tableau1[[#This Row],[Formacode]],3)</f>
        <v/>
      </c>
      <c r="D1783" s="53" t="n">
        <v>37572</v>
      </c>
      <c r="E1783" s="54">
        <f>"RNCP"&amp;D1783</f>
        <v/>
      </c>
      <c r="F1783" s="54" t="inlineStr">
        <is>
          <t>Grade_Licence - Sciences et Ingénierie - Transformation Numérique des Entreprises</t>
        </is>
      </c>
      <c r="G1783" s="55">
        <f>E1783&amp;" - "&amp;F1783</f>
        <v/>
      </c>
      <c r="H1783" s="37" t="inlineStr">
        <is>
          <t>À vérifier</t>
        </is>
      </c>
      <c r="I1783" s="51" t="inlineStr">
        <is>
          <t>Successeur déjà publié : RNCP42302 (Sciences et Ingénierie - Informatique et systèmes numériques) — préparer la bascule de l'offre CPF | Échéance le 31/08/2026 (dans 44 j)</t>
        </is>
      </c>
      <c r="J1783" s="51" t="inlineStr">
        <is>
          <t>RNCP42302</t>
        </is>
      </c>
      <c r="K1783" s="51" t="inlineStr">
        <is>
          <t>Sciences et Ingénierie - Informatique et systèmes numériques</t>
        </is>
      </c>
      <c r="L1783" s="51" t="inlineStr">
        <is>
          <t>31/08/2026</t>
        </is>
      </c>
      <c r="M1783" s="51" t="inlineStr">
        <is>
          <t>31054 (Informatique - Systèmes d’information et numérique) ; 24231 (Réseau informatique) ; 24454 (Automatisme informatique industrielle)</t>
        </is>
      </c>
      <c r="N1783" s="62" t="inlineStr">
        <is>
          <t>NON</t>
        </is>
      </c>
      <c r="O1783" s="51" t="inlineStr"/>
    </row>
    <row r="1784" customFormat="1" s="3">
      <c r="A1784" s="45" t="n"/>
      <c r="B1784" s="46" t="inlineStr">
        <is>
          <t>24314</t>
        </is>
      </c>
      <c r="C1784" s="46">
        <f>LEFT(Tableau1[[#This Row],[Formacode]],3)</f>
        <v/>
      </c>
      <c r="D1784" s="47" t="n">
        <v>38543</v>
      </c>
      <c r="E1784" s="48">
        <f>"RNCP"&amp;D1784</f>
        <v/>
      </c>
      <c r="F1784" s="48" t="inlineStr">
        <is>
          <t>BTS - Photonique : Technologies et Sciences de la Lumière</t>
        </is>
      </c>
      <c r="G1784" s="49">
        <f>E1784&amp;" - "&amp;F1784</f>
        <v/>
      </c>
      <c r="H1784" s="36" t="inlineStr">
        <is>
          <t>RAS</t>
        </is>
      </c>
      <c r="I1784" s="45" t="inlineStr"/>
      <c r="J1784" s="45" t="inlineStr">
        <is>
          <t>RNCP38543</t>
        </is>
      </c>
      <c r="K1784" s="45" t="inlineStr">
        <is>
          <t>Photonique : Technologies et Sciences de la Lumière</t>
        </is>
      </c>
      <c r="L1784" s="45" t="inlineStr">
        <is>
          <t>31/08/2029</t>
        </is>
      </c>
      <c r="M1784" s="45" t="inlineStr">
        <is>
          <t>24229 (Transmission fibre optique) ; 11481 (Photonique) ; 24314 (Opto-électronique) ; 11467 (Optique)</t>
        </is>
      </c>
      <c r="N1784" s="50" t="inlineStr">
        <is>
          <t>NON</t>
        </is>
      </c>
      <c r="O1784" s="45" t="inlineStr"/>
    </row>
    <row r="1785" customFormat="1" s="3">
      <c r="A1785" s="45" t="n"/>
      <c r="B1785" s="46" t="inlineStr">
        <is>
          <t>24314</t>
        </is>
      </c>
      <c r="C1785" s="46">
        <f>LEFT(Tableau1[[#This Row],[Formacode]],3)</f>
        <v/>
      </c>
      <c r="D1785" s="47" t="n">
        <v>39445</v>
      </c>
      <c r="E1785" s="48">
        <f>"RNCP"&amp;D1785</f>
        <v/>
      </c>
      <c r="F1785" s="48" t="inlineStr">
        <is>
          <t>Titre ingénieur - Ingénieur diplômé de l'Institut supérieur d'électronique de Paris</t>
        </is>
      </c>
      <c r="G1785" s="49">
        <f>E1785&amp;" - "&amp;F1785</f>
        <v/>
      </c>
      <c r="H1785" s="36" t="inlineStr">
        <is>
          <t>RAS</t>
        </is>
      </c>
      <c r="I1785" s="45" t="inlineStr"/>
      <c r="J1785" s="45" t="inlineStr">
        <is>
          <t>RNCP39445</t>
        </is>
      </c>
      <c r="K1785" s="45" t="inlineStr">
        <is>
          <t>Ingénieur diplômé de l'Institut supérieur d'électronique de Paris</t>
        </is>
      </c>
      <c r="L1785" s="45" t="inlineStr">
        <is>
          <t>31/08/2029</t>
        </is>
      </c>
      <c r="M1785" s="45" t="inlineStr">
        <is>
          <t>24354 (Électronique) ; 31054 (Informatique - Systèmes d’information et numérique) ; 32062 (Recherche développement) ; 15099 (Résolution problème)</t>
        </is>
      </c>
      <c r="N1785" s="50" t="inlineStr">
        <is>
          <t>NON</t>
        </is>
      </c>
      <c r="O1785" s="45" t="inlineStr"/>
    </row>
    <row r="1786" customFormat="1" s="3">
      <c r="A1786" s="45" t="n"/>
      <c r="B1786" s="46" t="inlineStr">
        <is>
          <t>24314</t>
        </is>
      </c>
      <c r="C1786" s="46">
        <f>LEFT(Tableau1[[#This Row],[Formacode]],3)</f>
        <v/>
      </c>
      <c r="D1786" s="47" t="n">
        <v>41030</v>
      </c>
      <c r="E1786" s="48">
        <f>"RNCP"&amp;D1786</f>
        <v/>
      </c>
      <c r="F1786" s="48" t="inlineStr">
        <is>
          <t>Titre ingénieur - Diplôme d'ingénieur d'Efrei Paris (Université Paris- Panthéon Assas)</t>
        </is>
      </c>
      <c r="G1786" s="49">
        <f>E1786&amp;" - "&amp;F1786</f>
        <v/>
      </c>
      <c r="H1786" s="36" t="inlineStr">
        <is>
          <t>RAS</t>
        </is>
      </c>
      <c r="I1786" s="45" t="inlineStr"/>
      <c r="J1786" s="45" t="inlineStr">
        <is>
          <t>RNCP41030</t>
        </is>
      </c>
      <c r="K1786" s="45" t="inlineStr">
        <is>
          <t>Diplôme d'ingénieur d'Efrei Paris (Université Paris- Panthéon Assas)</t>
        </is>
      </c>
      <c r="L1786" s="45" t="inlineStr">
        <is>
          <t>01/09/2030</t>
        </is>
      </c>
      <c r="M1786" s="45" t="inlineStr">
        <is>
          <t>24354 (Électronique) ; 24231 (Réseau informatique) ; 31057 (Génie logiciel) ; 11014 (Algorithme) ; 32062 (Recherche développement)</t>
        </is>
      </c>
      <c r="N1786" s="50" t="inlineStr">
        <is>
          <t>NON</t>
        </is>
      </c>
      <c r="O1786" s="45" t="inlineStr"/>
    </row>
    <row r="1787" customFormat="1" s="3">
      <c r="A1787" s="63" t="n"/>
      <c r="B1787" s="64" t="inlineStr">
        <is>
          <t>24335</t>
        </is>
      </c>
      <c r="C1787" s="64">
        <f>LEFT(Tableau1[[#This Row],[Formacode]],3)</f>
        <v/>
      </c>
      <c r="D1787" s="65" t="n">
        <v>35307</v>
      </c>
      <c r="E1787" s="66">
        <f>"RNCP"&amp;D1787</f>
        <v/>
      </c>
      <c r="F1787" s="66" t="inlineStr">
        <is>
          <t>TP - Electronicien de tests et développement</t>
        </is>
      </c>
      <c r="G1787" s="67">
        <f>E1787&amp;" - "&amp;F1787</f>
        <v/>
      </c>
      <c r="H1787" s="38" t="inlineStr">
        <is>
          <t>Expiré / remplacé</t>
        </is>
      </c>
      <c r="I1787" s="63" t="inlineStr">
        <is>
          <t>Fiche inactive (échéance 07/06/2026) — aucun successeur publié</t>
        </is>
      </c>
      <c r="J1787" s="63" t="inlineStr">
        <is>
          <t>RNCP35307</t>
        </is>
      </c>
      <c r="K1787" s="63" t="inlineStr">
        <is>
          <t>Electronicien de tests et développement</t>
        </is>
      </c>
      <c r="L1787" s="63" t="inlineStr">
        <is>
          <t>07/06/2026</t>
        </is>
      </c>
      <c r="M1787" s="63" t="inlineStr">
        <is>
          <t>24335 (Circuit électronique) ; 24391 (Électronique analogique) ; 24392 (Électronique numérique) ; 24387 (Électronique puissance) ; 24351 (Mesure électronique)</t>
        </is>
      </c>
      <c r="N1787" s="68" t="inlineStr">
        <is>
          <t>NON</t>
        </is>
      </c>
      <c r="O1787" s="63" t="inlineStr"/>
    </row>
    <row r="1788" customFormat="1" s="3">
      <c r="A1788" s="45" t="n"/>
      <c r="B1788" s="46" t="inlineStr">
        <is>
          <t>24335</t>
        </is>
      </c>
      <c r="C1788" s="46">
        <f>LEFT(Tableau1[[#This Row],[Formacode]],3)</f>
        <v/>
      </c>
      <c r="D1788" s="47" t="n">
        <v>36171</v>
      </c>
      <c r="E1788" s="48">
        <f>"RNCP"&amp;D1788</f>
        <v/>
      </c>
      <c r="F1788" s="48" t="inlineStr">
        <is>
          <t>TP - Agent d'assemblage et de maintenance de batteries d'accumulateurs</t>
        </is>
      </c>
      <c r="G1788" s="49">
        <f>E1788&amp;" - "&amp;F1788</f>
        <v/>
      </c>
      <c r="H1788" s="36" t="inlineStr">
        <is>
          <t>RAS</t>
        </is>
      </c>
      <c r="I1788" s="45" t="inlineStr"/>
      <c r="J1788" s="45" t="inlineStr">
        <is>
          <t>RNCP36171</t>
        </is>
      </c>
      <c r="K1788" s="45" t="inlineStr">
        <is>
          <t>Agent d'assemblage et de maintenance de batteries d'accumulateurs</t>
        </is>
      </c>
      <c r="L1788" s="45" t="inlineStr">
        <is>
          <t>30/01/2027</t>
        </is>
      </c>
      <c r="M1788" s="45" t="inlineStr">
        <is>
          <t>24322 (Montage câblage électronique) ; 24069 (Maintenance installation électrique) ; 24016 (Montage câblage électrique)</t>
        </is>
      </c>
      <c r="N1788" s="50" t="inlineStr">
        <is>
          <t>NON</t>
        </is>
      </c>
      <c r="O1788" s="45" t="inlineStr"/>
    </row>
    <row r="1789" customFormat="1" s="3">
      <c r="A1789" s="63" t="n"/>
      <c r="B1789" s="64" t="inlineStr">
        <is>
          <t>24335</t>
        </is>
      </c>
      <c r="C1789" s="64">
        <f>LEFT(Tableau1[[#This Row],[Formacode]],3)</f>
        <v/>
      </c>
      <c r="D1789" s="65" t="n">
        <v>37416</v>
      </c>
      <c r="E1789" s="66">
        <f>"RNCP"&amp;D1789</f>
        <v/>
      </c>
      <c r="F1789" s="66" t="inlineStr">
        <is>
          <t>Réparateur de produits nomades</t>
        </is>
      </c>
      <c r="G1789" s="67">
        <f>E1789&amp;" - "&amp;F1789</f>
        <v/>
      </c>
      <c r="H1789" s="38" t="inlineStr">
        <is>
          <t>Expiré / remplacé</t>
        </is>
      </c>
      <c r="I1789" s="63" t="inlineStr">
        <is>
          <t>Fiche inactive — remplacée par RNCP41732 (Réparateur de produits électroniques nomades)</t>
        </is>
      </c>
      <c r="J1789" s="63" t="inlineStr">
        <is>
          <t>RNCP41732</t>
        </is>
      </c>
      <c r="K1789" s="63" t="inlineStr">
        <is>
          <t>Réparateur de produits électroniques nomades</t>
        </is>
      </c>
      <c r="L1789" s="63" t="inlineStr">
        <is>
          <t>27/03/2026</t>
        </is>
      </c>
      <c r="M1789" s="63" t="inlineStr">
        <is>
          <t>24340 (Maintenance électronique) ; 24336 (Composant électronique)</t>
        </is>
      </c>
      <c r="N1789" s="68" t="inlineStr">
        <is>
          <t>NON</t>
        </is>
      </c>
      <c r="O1789" s="63" t="inlineStr"/>
    </row>
    <row r="1790" customFormat="1" s="3">
      <c r="A1790" s="45" t="n"/>
      <c r="B1790" s="46" t="inlineStr">
        <is>
          <t>24335</t>
        </is>
      </c>
      <c r="C1790" s="46">
        <f>LEFT(Tableau1[[#This Row],[Formacode]],3)</f>
        <v/>
      </c>
      <c r="D1790" s="47" t="n">
        <v>37569</v>
      </c>
      <c r="E1790" s="48">
        <f>"RNCP"&amp;D1790</f>
        <v/>
      </c>
      <c r="F1790" s="48" t="inlineStr">
        <is>
          <t>CS - Production et réparation de produits électroniques</t>
        </is>
      </c>
      <c r="G1790" s="49">
        <f>E1790&amp;" - "&amp;F1790</f>
        <v/>
      </c>
      <c r="H1790" s="36" t="inlineStr">
        <is>
          <t>RAS</t>
        </is>
      </c>
      <c r="I1790" s="45" t="inlineStr"/>
      <c r="J1790" s="45" t="inlineStr">
        <is>
          <t>RNCP37569</t>
        </is>
      </c>
      <c r="K1790" s="45" t="inlineStr">
        <is>
          <t>Production et réparation de produits électroniques</t>
        </is>
      </c>
      <c r="L1790" s="45" t="inlineStr">
        <is>
          <t>31/08/2028</t>
        </is>
      </c>
      <c r="M1790" s="45" t="inlineStr">
        <is>
          <t>24340 (Maintenance électronique) ; 24326 (Microélectronique)</t>
        </is>
      </c>
      <c r="N1790" s="50" t="inlineStr">
        <is>
          <t>NON</t>
        </is>
      </c>
      <c r="O1790" s="45" t="inlineStr"/>
    </row>
    <row r="1791" customFormat="1" s="3">
      <c r="A1791" s="51" t="n"/>
      <c r="B1791" s="52" t="inlineStr">
        <is>
          <t>24335</t>
        </is>
      </c>
      <c r="C1791" s="52">
        <f>LEFT(Tableau1[[#This Row],[Formacode]],3)</f>
        <v/>
      </c>
      <c r="D1791" s="53" t="n">
        <v>37572</v>
      </c>
      <c r="E1791" s="54">
        <f>"RNCP"&amp;D1791</f>
        <v/>
      </c>
      <c r="F1791" s="54" t="inlineStr">
        <is>
          <t>Grade_Licence - Sciences et Ingénierie - Transformation Numérique des Entreprises</t>
        </is>
      </c>
      <c r="G1791" s="55">
        <f>E1791&amp;" - "&amp;F1791</f>
        <v/>
      </c>
      <c r="H1791" s="37" t="inlineStr">
        <is>
          <t>À vérifier</t>
        </is>
      </c>
      <c r="I1791" s="51" t="inlineStr">
        <is>
          <t>Successeur déjà publié : RNCP42302 (Sciences et Ingénierie - Informatique et systèmes numériques) — préparer la bascule de l'offre CPF | Échéance le 31/08/2026 (dans 44 j)</t>
        </is>
      </c>
      <c r="J1791" s="51" t="inlineStr">
        <is>
          <t>RNCP42302</t>
        </is>
      </c>
      <c r="K1791" s="51" t="inlineStr">
        <is>
          <t>Sciences et Ingénierie - Informatique et systèmes numériques</t>
        </is>
      </c>
      <c r="L1791" s="51" t="inlineStr">
        <is>
          <t>31/08/2026</t>
        </is>
      </c>
      <c r="M1791" s="51" t="inlineStr">
        <is>
          <t>31054 (Informatique - Systèmes d’information et numérique) ; 24231 (Réseau informatique) ; 24454 (Automatisme informatique industrielle)</t>
        </is>
      </c>
      <c r="N1791" s="62" t="inlineStr">
        <is>
          <t>NON</t>
        </is>
      </c>
      <c r="O1791" s="51" t="inlineStr"/>
    </row>
    <row r="1792" customFormat="1" s="3">
      <c r="A1792" s="45" t="n"/>
      <c r="B1792" s="46" t="inlineStr">
        <is>
          <t>24335</t>
        </is>
      </c>
      <c r="C1792" s="46">
        <f>LEFT(Tableau1[[#This Row],[Formacode]],3)</f>
        <v/>
      </c>
      <c r="D1792" s="47" t="n">
        <v>38664</v>
      </c>
      <c r="E1792" s="48">
        <f>"RNCP"&amp;D1792</f>
        <v/>
      </c>
      <c r="F1792" s="48" t="inlineStr">
        <is>
          <t>TP - Agent de montage et de câblage en électronique</t>
        </is>
      </c>
      <c r="G1792" s="49">
        <f>E1792&amp;" - "&amp;F1792</f>
        <v/>
      </c>
      <c r="H1792" s="36" t="inlineStr">
        <is>
          <t>RAS</t>
        </is>
      </c>
      <c r="I1792" s="45" t="inlineStr"/>
      <c r="J1792" s="45" t="inlineStr">
        <is>
          <t>RNCP38664</t>
        </is>
      </c>
      <c r="K1792" s="45" t="inlineStr">
        <is>
          <t>Agent de montage et de câblage en électronique</t>
        </is>
      </c>
      <c r="L1792" s="45" t="inlineStr">
        <is>
          <t>07/02/2029</t>
        </is>
      </c>
      <c r="M1792" s="45" t="inlineStr">
        <is>
          <t>24322 (Montage câblage électronique)</t>
        </is>
      </c>
      <c r="N1792" s="50" t="inlineStr">
        <is>
          <t>NON</t>
        </is>
      </c>
      <c r="O1792" s="45" t="inlineStr"/>
    </row>
    <row r="1793" customFormat="1" s="3">
      <c r="A1793" s="45" t="n"/>
      <c r="B1793" s="46" t="inlineStr">
        <is>
          <t>24335</t>
        </is>
      </c>
      <c r="C1793" s="46">
        <f>LEFT(Tableau1[[#This Row],[Formacode]],3)</f>
        <v/>
      </c>
      <c r="D1793" s="47" t="n">
        <v>39445</v>
      </c>
      <c r="E1793" s="48">
        <f>"RNCP"&amp;D1793</f>
        <v/>
      </c>
      <c r="F1793" s="48" t="inlineStr">
        <is>
          <t>Titre ingénieur - Ingénieur diplômé de l'Institut supérieur d'électronique de Paris</t>
        </is>
      </c>
      <c r="G1793" s="49">
        <f>E1793&amp;" - "&amp;F1793</f>
        <v/>
      </c>
      <c r="H1793" s="36" t="inlineStr">
        <is>
          <t>RAS</t>
        </is>
      </c>
      <c r="I1793" s="45" t="inlineStr"/>
      <c r="J1793" s="45" t="inlineStr">
        <is>
          <t>RNCP39445</t>
        </is>
      </c>
      <c r="K1793" s="45" t="inlineStr">
        <is>
          <t>Ingénieur diplômé de l'Institut supérieur d'électronique de Paris</t>
        </is>
      </c>
      <c r="L1793" s="45" t="inlineStr">
        <is>
          <t>31/08/2029</t>
        </is>
      </c>
      <c r="M1793" s="45" t="inlineStr">
        <is>
          <t>24354 (Électronique) ; 31054 (Informatique - Systèmes d’information et numérique) ; 32062 (Recherche développement) ; 15099 (Résolution problème)</t>
        </is>
      </c>
      <c r="N1793" s="50" t="inlineStr">
        <is>
          <t>NON</t>
        </is>
      </c>
      <c r="O1793" s="45" t="inlineStr"/>
    </row>
    <row r="1794" customFormat="1" s="3">
      <c r="A1794" s="45" t="n"/>
      <c r="B1794" s="46" t="inlineStr">
        <is>
          <t>24335</t>
        </is>
      </c>
      <c r="C1794" s="46">
        <f>LEFT(Tableau1[[#This Row],[Formacode]],3)</f>
        <v/>
      </c>
      <c r="D1794" s="47" t="n">
        <v>40405</v>
      </c>
      <c r="E1794" s="48">
        <f>"RNCP"&amp;D1794</f>
        <v/>
      </c>
      <c r="F1794" s="48" t="inlineStr">
        <is>
          <t>Technicien en électronique (tests, essais, dépannages)</t>
        </is>
      </c>
      <c r="G1794" s="49">
        <f>E1794&amp;" - "&amp;F1794</f>
        <v/>
      </c>
      <c r="H1794" s="36" t="inlineStr">
        <is>
          <t>RAS</t>
        </is>
      </c>
      <c r="I1794" s="45" t="inlineStr"/>
      <c r="J1794" s="45" t="inlineStr">
        <is>
          <t>RNCP40405</t>
        </is>
      </c>
      <c r="K1794" s="45" t="inlineStr">
        <is>
          <t>Technicien en électronique (tests, essais, dépannages)</t>
        </is>
      </c>
      <c r="L1794" s="45" t="inlineStr">
        <is>
          <t>28/03/2028</t>
        </is>
      </c>
      <c r="M1794" s="45" t="inlineStr">
        <is>
          <t>24340 (Maintenance électronique) ; 24351 (Mesure électronique) ; 24360 (Qualité électronique) ; 24322 (Montage câblage électronique)</t>
        </is>
      </c>
      <c r="N1794" s="50" t="inlineStr">
        <is>
          <t>NON</t>
        </is>
      </c>
      <c r="O1794" s="45" t="inlineStr"/>
    </row>
    <row r="1795" customFormat="1" s="3">
      <c r="A1795" s="45" t="n"/>
      <c r="B1795" s="46" t="inlineStr">
        <is>
          <t>24335</t>
        </is>
      </c>
      <c r="C1795" s="46">
        <f>LEFT(Tableau1[[#This Row],[Formacode]],3)</f>
        <v/>
      </c>
      <c r="D1795" s="47" t="n">
        <v>40406</v>
      </c>
      <c r="E1795" s="48">
        <f>"RNCP"&amp;D1795</f>
        <v/>
      </c>
      <c r="F1795" s="48" t="inlineStr">
        <is>
          <t>CQP Technicien d’études et développement en conception électronique</t>
        </is>
      </c>
      <c r="G1795" s="49">
        <f>E1795&amp;" - "&amp;F1795</f>
        <v/>
      </c>
      <c r="H1795" s="36" t="inlineStr">
        <is>
          <t>RAS</t>
        </is>
      </c>
      <c r="I1795" s="45" t="inlineStr"/>
      <c r="J1795" s="45" t="inlineStr">
        <is>
          <t>RNCP40406</t>
        </is>
      </c>
      <c r="K1795" s="45" t="inlineStr">
        <is>
          <t>CQP Technicien d’études et développement en conception électronique</t>
        </is>
      </c>
      <c r="L1795" s="45" t="inlineStr">
        <is>
          <t>28/03/2028</t>
        </is>
      </c>
      <c r="M1795" s="45" t="inlineStr">
        <is>
          <t>24323 (Conception circuit électronique)</t>
        </is>
      </c>
      <c r="N1795" s="50" t="inlineStr">
        <is>
          <t>NON</t>
        </is>
      </c>
      <c r="O1795" s="45" t="inlineStr"/>
    </row>
    <row r="1796" customFormat="1" s="3">
      <c r="A1796" s="45" t="n"/>
      <c r="B1796" s="46" t="inlineStr">
        <is>
          <t>24335</t>
        </is>
      </c>
      <c r="C1796" s="46">
        <f>LEFT(Tableau1[[#This Row],[Formacode]],3)</f>
        <v/>
      </c>
      <c r="D1796" s="47" t="n">
        <v>40669</v>
      </c>
      <c r="E1796" s="48">
        <f>"RNCP"&amp;D1796</f>
        <v/>
      </c>
      <c r="F1796" s="48" t="inlineStr">
        <is>
          <t>Monteur-câbleur de circuit imprimé équipé</t>
        </is>
      </c>
      <c r="G1796" s="49">
        <f>E1796&amp;" - "&amp;F1796</f>
        <v/>
      </c>
      <c r="H1796" s="36" t="inlineStr">
        <is>
          <t>RAS</t>
        </is>
      </c>
      <c r="I1796" s="45" t="inlineStr"/>
      <c r="J1796" s="45" t="inlineStr">
        <is>
          <t>RNCP40669</t>
        </is>
      </c>
      <c r="K1796" s="45" t="inlineStr">
        <is>
          <t>Monteur-câbleur de circuit imprimé équipé</t>
        </is>
      </c>
      <c r="L1796" s="45" t="inlineStr">
        <is>
          <t>23/05/2030</t>
        </is>
      </c>
      <c r="M1796" s="45" t="inlineStr">
        <is>
          <t>24335 (Circuit électronique)</t>
        </is>
      </c>
      <c r="N1796" s="50" t="inlineStr">
        <is>
          <t>NON</t>
        </is>
      </c>
      <c r="O1796" s="45" t="inlineStr"/>
    </row>
    <row r="1797" customFormat="1" s="3">
      <c r="A1797" s="45" t="n"/>
      <c r="B1797" s="46" t="inlineStr">
        <is>
          <t>24335</t>
        </is>
      </c>
      <c r="C1797" s="46">
        <f>LEFT(Tableau1[[#This Row],[Formacode]],3)</f>
        <v/>
      </c>
      <c r="D1797" s="47" t="n">
        <v>41030</v>
      </c>
      <c r="E1797" s="48">
        <f>"RNCP"&amp;D1797</f>
        <v/>
      </c>
      <c r="F1797" s="48" t="inlineStr">
        <is>
          <t>Titre ingénieur - Diplôme d'ingénieur d'Efrei Paris (Université Paris- Panthéon Assas)</t>
        </is>
      </c>
      <c r="G1797" s="49">
        <f>E1797&amp;" - "&amp;F1797</f>
        <v/>
      </c>
      <c r="H1797" s="36" t="inlineStr">
        <is>
          <t>RAS</t>
        </is>
      </c>
      <c r="I1797" s="45" t="inlineStr"/>
      <c r="J1797" s="45" t="inlineStr">
        <is>
          <t>RNCP41030</t>
        </is>
      </c>
      <c r="K1797" s="45" t="inlineStr">
        <is>
          <t>Diplôme d'ingénieur d'Efrei Paris (Université Paris- Panthéon Assas)</t>
        </is>
      </c>
      <c r="L1797" s="45" t="inlineStr">
        <is>
          <t>01/09/2030</t>
        </is>
      </c>
      <c r="M1797" s="45" t="inlineStr">
        <is>
          <t>24354 (Électronique) ; 24231 (Réseau informatique) ; 31057 (Génie logiciel) ; 11014 (Algorithme) ; 32062 (Recherche développement)</t>
        </is>
      </c>
      <c r="N1797" s="50" t="inlineStr">
        <is>
          <t>NON</t>
        </is>
      </c>
      <c r="O1797" s="45" t="inlineStr"/>
    </row>
    <row r="1798" customFormat="1" s="3">
      <c r="A1798" s="45" t="n"/>
      <c r="B1798" s="46" t="inlineStr">
        <is>
          <t>24335</t>
        </is>
      </c>
      <c r="C1798" s="46">
        <f>LEFT(Tableau1[[#This Row],[Formacode]],3)</f>
        <v/>
      </c>
      <c r="D1798" s="47" t="n">
        <v>41632</v>
      </c>
      <c r="E1798" s="48">
        <f>"RNCP"&amp;D1798</f>
        <v/>
      </c>
      <c r="F1798" s="48" t="inlineStr">
        <is>
          <t>TP - Technicien en électronique de montage, de contrôle et de maintenance</t>
        </is>
      </c>
      <c r="G1798" s="49">
        <f>E1798&amp;" - "&amp;F1798</f>
        <v/>
      </c>
      <c r="H1798" s="36" t="inlineStr">
        <is>
          <t>RAS</t>
        </is>
      </c>
      <c r="I1798" s="45" t="inlineStr"/>
      <c r="J1798" s="45" t="inlineStr">
        <is>
          <t>RNCP41632</t>
        </is>
      </c>
      <c r="K1798" s="45" t="inlineStr">
        <is>
          <t>Technicien en électronique de montage, de contrôle et de maintenance</t>
        </is>
      </c>
      <c r="L1798" s="45" t="inlineStr">
        <is>
          <t>26/10/2030</t>
        </is>
      </c>
      <c r="M1798" s="45" t="inlineStr">
        <is>
          <t>24340 (Maintenance électronique) ; 24360 (Qualité électronique) ; 24351 (Mesure électronique) ; 24322 (Montage câblage électronique)</t>
        </is>
      </c>
      <c r="N1798" s="50" t="inlineStr">
        <is>
          <t>NON</t>
        </is>
      </c>
      <c r="O1798" s="45" t="inlineStr"/>
    </row>
    <row r="1799" ht="28.8" customFormat="1" customHeight="1" s="3">
      <c r="A1799" s="45" t="n"/>
      <c r="B1799" s="46" t="inlineStr">
        <is>
          <t>24340</t>
        </is>
      </c>
      <c r="C1799" s="46">
        <f>LEFT(Tableau1[[#This Row],[Formacode]],3)</f>
        <v/>
      </c>
      <c r="D1799" s="47" t="n">
        <v>37391</v>
      </c>
      <c r="E1799" s="48">
        <f>"RNCP"&amp;D1799</f>
        <v/>
      </c>
      <c r="F1799" s="48" t="inlineStr">
        <is>
          <t>BTS - Cybersécurité, Informatique et réseaux, Électronique  - Option A : « Informatique et réseaux », Option B : « Électronique et réseaux »</t>
        </is>
      </c>
      <c r="G1799" s="49">
        <f>E1799&amp;" - "&amp;F1799</f>
        <v/>
      </c>
      <c r="H1799" s="36" t="inlineStr">
        <is>
          <t>RAS</t>
        </is>
      </c>
      <c r="I1799" s="45" t="inlineStr"/>
      <c r="J1799" s="45" t="inlineStr">
        <is>
          <t>RNCP37391</t>
        </is>
      </c>
      <c r="K1799" s="45" t="inlineStr">
        <is>
          <t>Cybersécurité, Informatique et réseaux, Électronique - Option A : « Informatique et réseaux », Option B : « Électronique et réseaux »</t>
        </is>
      </c>
      <c r="L1799" s="45" t="inlineStr">
        <is>
          <t>31/08/2028</t>
        </is>
      </c>
      <c r="M1799" s="45" t="inlineStr">
        <is>
          <t>24231 (Réseau informatique) ; 31045 (Cybersécurité) ; 24491 (Programmation informatique industrielle) ; 24340 (Maintenance électronique) ; 24392 (Électronique numérique)</t>
        </is>
      </c>
      <c r="N1799" s="50" t="inlineStr">
        <is>
          <t>NON</t>
        </is>
      </c>
      <c r="O1799" s="45" t="inlineStr"/>
    </row>
    <row r="1800" customFormat="1" s="3">
      <c r="A1800" s="63" t="n"/>
      <c r="B1800" s="64" t="inlineStr">
        <is>
          <t>24340</t>
        </is>
      </c>
      <c r="C1800" s="64">
        <f>LEFT(Tableau1[[#This Row],[Formacode]],3)</f>
        <v/>
      </c>
      <c r="D1800" s="65" t="n">
        <v>37416</v>
      </c>
      <c r="E1800" s="66">
        <f>"RNCP"&amp;D1800</f>
        <v/>
      </c>
      <c r="F1800" s="66" t="inlineStr">
        <is>
          <t>Réparateur de produits nomades</t>
        </is>
      </c>
      <c r="G1800" s="67">
        <f>E1800&amp;" - "&amp;F1800</f>
        <v/>
      </c>
      <c r="H1800" s="38" t="inlineStr">
        <is>
          <t>Expiré / remplacé</t>
        </is>
      </c>
      <c r="I1800" s="63" t="inlineStr">
        <is>
          <t>Fiche inactive — remplacée par RNCP41732 (Réparateur de produits électroniques nomades)</t>
        </is>
      </c>
      <c r="J1800" s="63" t="inlineStr">
        <is>
          <t>RNCP41732</t>
        </is>
      </c>
      <c r="K1800" s="63" t="inlineStr">
        <is>
          <t>Réparateur de produits électroniques nomades</t>
        </is>
      </c>
      <c r="L1800" s="63" t="inlineStr">
        <is>
          <t>27/03/2026</t>
        </is>
      </c>
      <c r="M1800" s="63" t="inlineStr">
        <is>
          <t>24340 (Maintenance électronique) ; 24336 (Composant électronique)</t>
        </is>
      </c>
      <c r="N1800" s="68" t="inlineStr">
        <is>
          <t>NON</t>
        </is>
      </c>
      <c r="O1800" s="63" t="inlineStr"/>
    </row>
    <row r="1801" customFormat="1" s="3">
      <c r="A1801" s="45" t="n"/>
      <c r="B1801" s="46" t="inlineStr">
        <is>
          <t>24340</t>
        </is>
      </c>
      <c r="C1801" s="46">
        <f>LEFT(Tableau1[[#This Row],[Formacode]],3)</f>
        <v/>
      </c>
      <c r="D1801" s="47" t="n">
        <v>37489</v>
      </c>
      <c r="E1801" s="48">
        <f>"RNCP"&amp;D1801</f>
        <v/>
      </c>
      <c r="F1801" s="48" t="inlineStr">
        <is>
          <t>BAC PRO - Cybersécurité, Informatique et réseaux, Electronique</t>
        </is>
      </c>
      <c r="G1801" s="49">
        <f>E1801&amp;" - "&amp;F1801</f>
        <v/>
      </c>
      <c r="H1801" s="36" t="inlineStr">
        <is>
          <t>RAS</t>
        </is>
      </c>
      <c r="I1801" s="45" t="inlineStr"/>
      <c r="J1801" s="45" t="inlineStr">
        <is>
          <t>RNCP37489</t>
        </is>
      </c>
      <c r="K1801" s="45" t="inlineStr">
        <is>
          <t>Cybersécurité, Informatique et réseaux, Electronique</t>
        </is>
      </c>
      <c r="L1801" s="45" t="inlineStr">
        <is>
          <t>31/08/2028</t>
        </is>
      </c>
      <c r="M1801" s="45" t="inlineStr">
        <is>
          <t>24340 (Maintenance électronique) ; 31045 (Cybersécurité) ; 24252 (Réseau télécom)</t>
        </is>
      </c>
      <c r="N1801" s="50" t="inlineStr">
        <is>
          <t>NON</t>
        </is>
      </c>
      <c r="O1801" s="45" t="inlineStr"/>
    </row>
    <row r="1802" customFormat="1" s="3">
      <c r="A1802" s="45" t="n"/>
      <c r="B1802" s="46" t="inlineStr">
        <is>
          <t>24340</t>
        </is>
      </c>
      <c r="C1802" s="46">
        <f>LEFT(Tableau1[[#This Row],[Formacode]],3)</f>
        <v/>
      </c>
      <c r="D1802" s="47" t="n">
        <v>37569</v>
      </c>
      <c r="E1802" s="48">
        <f>"RNCP"&amp;D1802</f>
        <v/>
      </c>
      <c r="F1802" s="48" t="inlineStr">
        <is>
          <t>CS - Production et réparation de produits électroniques</t>
        </is>
      </c>
      <c r="G1802" s="49">
        <f>E1802&amp;" - "&amp;F1802</f>
        <v/>
      </c>
      <c r="H1802" s="36" t="inlineStr">
        <is>
          <t>RAS</t>
        </is>
      </c>
      <c r="I1802" s="45" t="inlineStr"/>
      <c r="J1802" s="45" t="inlineStr">
        <is>
          <t>RNCP37569</t>
        </is>
      </c>
      <c r="K1802" s="45" t="inlineStr">
        <is>
          <t>Production et réparation de produits électroniques</t>
        </is>
      </c>
      <c r="L1802" s="45" t="inlineStr">
        <is>
          <t>31/08/2028</t>
        </is>
      </c>
      <c r="M1802" s="45" t="inlineStr">
        <is>
          <t>24340 (Maintenance électronique) ; 24326 (Microélectronique)</t>
        </is>
      </c>
      <c r="N1802" s="50" t="inlineStr">
        <is>
          <t>NON</t>
        </is>
      </c>
      <c r="O1802" s="45" t="inlineStr"/>
    </row>
    <row r="1803" customFormat="1" s="3">
      <c r="A1803" s="51" t="n"/>
      <c r="B1803" s="52" t="inlineStr">
        <is>
          <t>24340</t>
        </is>
      </c>
      <c r="C1803" s="52">
        <f>LEFT(Tableau1[[#This Row],[Formacode]],3)</f>
        <v/>
      </c>
      <c r="D1803" s="53" t="n">
        <v>37572</v>
      </c>
      <c r="E1803" s="54">
        <f>"RNCP"&amp;D1803</f>
        <v/>
      </c>
      <c r="F1803" s="54" t="inlineStr">
        <is>
          <t>Grade_Licence - Sciences et Ingénierie - Transformation Numérique des Entreprises</t>
        </is>
      </c>
      <c r="G1803" s="55">
        <f>E1803&amp;" - "&amp;F1803</f>
        <v/>
      </c>
      <c r="H1803" s="37" t="inlineStr">
        <is>
          <t>À vérifier</t>
        </is>
      </c>
      <c r="I1803" s="51" t="inlineStr">
        <is>
          <t>Successeur déjà publié : RNCP42302 (Sciences et Ingénierie - Informatique et systèmes numériques) — préparer la bascule de l'offre CPF | Échéance le 31/08/2026 (dans 44 j)</t>
        </is>
      </c>
      <c r="J1803" s="51" t="inlineStr">
        <is>
          <t>RNCP42302</t>
        </is>
      </c>
      <c r="K1803" s="51" t="inlineStr">
        <is>
          <t>Sciences et Ingénierie - Informatique et systèmes numériques</t>
        </is>
      </c>
      <c r="L1803" s="51" t="inlineStr">
        <is>
          <t>31/08/2026</t>
        </is>
      </c>
      <c r="M1803" s="51" t="inlineStr">
        <is>
          <t>31054 (Informatique - Systèmes d’information et numérique) ; 24231 (Réseau informatique) ; 24454 (Automatisme informatique industrielle)</t>
        </is>
      </c>
      <c r="N1803" s="62" t="inlineStr">
        <is>
          <t>NON</t>
        </is>
      </c>
      <c r="O1803" s="51" t="inlineStr"/>
    </row>
    <row r="1804" customFormat="1" s="3">
      <c r="A1804" s="45" t="n"/>
      <c r="B1804" s="46" t="inlineStr">
        <is>
          <t>24340</t>
        </is>
      </c>
      <c r="C1804" s="46">
        <f>LEFT(Tableau1[[#This Row],[Formacode]],3)</f>
        <v/>
      </c>
      <c r="D1804" s="47" t="n">
        <v>38718</v>
      </c>
      <c r="E1804" s="48">
        <f>"RNCP"&amp;D1804</f>
        <v/>
      </c>
      <c r="F1804" s="48" t="inlineStr">
        <is>
          <t>TP - Agent de reconditionnement numérique</t>
        </is>
      </c>
      <c r="G1804" s="49">
        <f>E1804&amp;" - "&amp;F1804</f>
        <v/>
      </c>
      <c r="H1804" s="36" t="inlineStr">
        <is>
          <t>RAS</t>
        </is>
      </c>
      <c r="I1804" s="45" t="inlineStr"/>
      <c r="J1804" s="45" t="inlineStr">
        <is>
          <t>RNCP38718</t>
        </is>
      </c>
      <c r="K1804" s="45" t="inlineStr">
        <is>
          <t>Agent de reconditionnement numérique</t>
        </is>
      </c>
      <c r="L1804" s="45" t="inlineStr">
        <is>
          <t>23/06/2029</t>
        </is>
      </c>
      <c r="M1804" s="45" t="inlineStr">
        <is>
          <t>31080 (Matériel informatique) ; 24340 (Maintenance électronique) ; 31002 (Informatique verte)</t>
        </is>
      </c>
      <c r="N1804" s="50" t="inlineStr">
        <is>
          <t>NON</t>
        </is>
      </c>
      <c r="O1804" s="45" t="inlineStr"/>
    </row>
    <row r="1805" customFormat="1" s="3">
      <c r="A1805" s="45" t="n"/>
      <c r="B1805" s="46" t="inlineStr">
        <is>
          <t>24340</t>
        </is>
      </c>
      <c r="C1805" s="46">
        <f>LEFT(Tableau1[[#This Row],[Formacode]],3)</f>
        <v/>
      </c>
      <c r="D1805" s="47" t="n">
        <v>39445</v>
      </c>
      <c r="E1805" s="48">
        <f>"RNCP"&amp;D1805</f>
        <v/>
      </c>
      <c r="F1805" s="48" t="inlineStr">
        <is>
          <t>Titre ingénieur - Ingénieur diplômé de l'Institut supérieur d'électronique de Paris</t>
        </is>
      </c>
      <c r="G1805" s="49">
        <f>E1805&amp;" - "&amp;F1805</f>
        <v/>
      </c>
      <c r="H1805" s="36" t="inlineStr">
        <is>
          <t>RAS</t>
        </is>
      </c>
      <c r="I1805" s="45" t="inlineStr"/>
      <c r="J1805" s="45" t="inlineStr">
        <is>
          <t>RNCP39445</t>
        </is>
      </c>
      <c r="K1805" s="45" t="inlineStr">
        <is>
          <t>Ingénieur diplômé de l'Institut supérieur d'électronique de Paris</t>
        </is>
      </c>
      <c r="L1805" s="45" t="inlineStr">
        <is>
          <t>31/08/2029</t>
        </is>
      </c>
      <c r="M1805" s="45" t="inlineStr">
        <is>
          <t>24354 (Électronique) ; 31054 (Informatique - Systèmes d’information et numérique) ; 32062 (Recherche développement) ; 15099 (Résolution problème)</t>
        </is>
      </c>
      <c r="N1805" s="50" t="inlineStr">
        <is>
          <t>NON</t>
        </is>
      </c>
      <c r="O1805" s="45" t="inlineStr"/>
    </row>
    <row r="1806" customFormat="1" s="3">
      <c r="A1806" s="45" t="n"/>
      <c r="B1806" s="46" t="inlineStr">
        <is>
          <t>24340</t>
        </is>
      </c>
      <c r="C1806" s="46">
        <f>LEFT(Tableau1[[#This Row],[Formacode]],3)</f>
        <v/>
      </c>
      <c r="D1806" s="47" t="n">
        <v>40405</v>
      </c>
      <c r="E1806" s="48">
        <f>"RNCP"&amp;D1806</f>
        <v/>
      </c>
      <c r="F1806" s="48" t="inlineStr">
        <is>
          <t>Technicien en électronique (tests, essais, dépannages)</t>
        </is>
      </c>
      <c r="G1806" s="49">
        <f>E1806&amp;" - "&amp;F1806</f>
        <v/>
      </c>
      <c r="H1806" s="36" t="inlineStr">
        <is>
          <t>RAS</t>
        </is>
      </c>
      <c r="I1806" s="45" t="inlineStr"/>
      <c r="J1806" s="45" t="inlineStr">
        <is>
          <t>RNCP40405</t>
        </is>
      </c>
      <c r="K1806" s="45" t="inlineStr">
        <is>
          <t>Technicien en électronique (tests, essais, dépannages)</t>
        </is>
      </c>
      <c r="L1806" s="45" t="inlineStr">
        <is>
          <t>28/03/2028</t>
        </is>
      </c>
      <c r="M1806" s="45" t="inlineStr">
        <is>
          <t>24340 (Maintenance électronique) ; 24351 (Mesure électronique) ; 24360 (Qualité électronique) ; 24322 (Montage câblage électronique)</t>
        </is>
      </c>
      <c r="N1806" s="50" t="inlineStr">
        <is>
          <t>NON</t>
        </is>
      </c>
      <c r="O1806" s="45" t="inlineStr"/>
    </row>
    <row r="1807" customFormat="1" s="3">
      <c r="A1807" s="45" t="n"/>
      <c r="B1807" s="46" t="inlineStr">
        <is>
          <t>24340</t>
        </is>
      </c>
      <c r="C1807" s="46">
        <f>LEFT(Tableau1[[#This Row],[Formacode]],3)</f>
        <v/>
      </c>
      <c r="D1807" s="47" t="n">
        <v>41030</v>
      </c>
      <c r="E1807" s="48">
        <f>"RNCP"&amp;D1807</f>
        <v/>
      </c>
      <c r="F1807" s="48" t="inlineStr">
        <is>
          <t>Titre ingénieur - Diplôme d'ingénieur d'Efrei Paris (Université Paris- Panthéon Assas)</t>
        </is>
      </c>
      <c r="G1807" s="49">
        <f>E1807&amp;" - "&amp;F1807</f>
        <v/>
      </c>
      <c r="H1807" s="36" t="inlineStr">
        <is>
          <t>RAS</t>
        </is>
      </c>
      <c r="I1807" s="45" t="inlineStr"/>
      <c r="J1807" s="45" t="inlineStr">
        <is>
          <t>RNCP41030</t>
        </is>
      </c>
      <c r="K1807" s="45" t="inlineStr">
        <is>
          <t>Diplôme d'ingénieur d'Efrei Paris (Université Paris- Panthéon Assas)</t>
        </is>
      </c>
      <c r="L1807" s="45" t="inlineStr">
        <is>
          <t>01/09/2030</t>
        </is>
      </c>
      <c r="M1807" s="45" t="inlineStr">
        <is>
          <t>24354 (Électronique) ; 24231 (Réseau informatique) ; 31057 (Génie logiciel) ; 11014 (Algorithme) ; 32062 (Recherche développement)</t>
        </is>
      </c>
      <c r="N1807" s="50" t="inlineStr">
        <is>
          <t>NON</t>
        </is>
      </c>
      <c r="O1807" s="45" t="inlineStr"/>
    </row>
    <row r="1808" customFormat="1" s="3">
      <c r="A1808" s="45" t="n"/>
      <c r="B1808" s="46" t="inlineStr">
        <is>
          <t>24340</t>
        </is>
      </c>
      <c r="C1808" s="46">
        <f>LEFT(Tableau1[[#This Row],[Formacode]],3)</f>
        <v/>
      </c>
      <c r="D1808" s="47" t="n">
        <v>41632</v>
      </c>
      <c r="E1808" s="48">
        <f>"RNCP"&amp;D1808</f>
        <v/>
      </c>
      <c r="F1808" s="48" t="inlineStr">
        <is>
          <t>TP - Technicien en électronique de montage, de contrôle et de maintenance</t>
        </is>
      </c>
      <c r="G1808" s="49">
        <f>E1808&amp;" - "&amp;F1808</f>
        <v/>
      </c>
      <c r="H1808" s="36" t="inlineStr">
        <is>
          <t>RAS</t>
        </is>
      </c>
      <c r="I1808" s="45" t="inlineStr"/>
      <c r="J1808" s="45" t="inlineStr">
        <is>
          <t>RNCP41632</t>
        </is>
      </c>
      <c r="K1808" s="45" t="inlineStr">
        <is>
          <t>Technicien en électronique de montage, de contrôle et de maintenance</t>
        </is>
      </c>
      <c r="L1808" s="45" t="inlineStr">
        <is>
          <t>26/10/2030</t>
        </is>
      </c>
      <c r="M1808" s="45" t="inlineStr">
        <is>
          <t>24340 (Maintenance électronique) ; 24360 (Qualité électronique) ; 24351 (Mesure électronique) ; 24322 (Montage câblage électronique)</t>
        </is>
      </c>
      <c r="N1808" s="50" t="inlineStr">
        <is>
          <t>NON</t>
        </is>
      </c>
      <c r="O1808" s="45" t="inlineStr"/>
    </row>
    <row r="1809" customFormat="1" s="3">
      <c r="A1809" s="51" t="n"/>
      <c r="B1809" s="52" t="inlineStr">
        <is>
          <t>24346</t>
        </is>
      </c>
      <c r="C1809" s="52">
        <f>LEFT(Tableau1[[#This Row],[Formacode]],3)</f>
        <v/>
      </c>
      <c r="D1809" s="53" t="n">
        <v>37572</v>
      </c>
      <c r="E1809" s="54">
        <f>"RNCP"&amp;D1809</f>
        <v/>
      </c>
      <c r="F1809" s="54" t="inlineStr">
        <is>
          <t>Grade_Licence - Sciences et Ingénierie - Transformation Numérique des Entreprises</t>
        </is>
      </c>
      <c r="G1809" s="55">
        <f>E1809&amp;" - "&amp;F1809</f>
        <v/>
      </c>
      <c r="H1809" s="37" t="inlineStr">
        <is>
          <t>À vérifier</t>
        </is>
      </c>
      <c r="I1809" s="51" t="inlineStr">
        <is>
          <t>Successeur déjà publié : RNCP42302 (Sciences et Ingénierie - Informatique et systèmes numériques) — préparer la bascule de l'offre CPF | Échéance le 31/08/2026 (dans 44 j)</t>
        </is>
      </c>
      <c r="J1809" s="51" t="inlineStr">
        <is>
          <t>RNCP42302</t>
        </is>
      </c>
      <c r="K1809" s="51" t="inlineStr">
        <is>
          <t>Sciences et Ingénierie - Informatique et systèmes numériques</t>
        </is>
      </c>
      <c r="L1809" s="51" t="inlineStr">
        <is>
          <t>31/08/2026</t>
        </is>
      </c>
      <c r="M1809" s="51" t="inlineStr">
        <is>
          <t>31054 (Informatique - Systèmes d’information et numérique) ; 24231 (Réseau informatique) ; 24454 (Automatisme informatique industrielle)</t>
        </is>
      </c>
      <c r="N1809" s="62" t="inlineStr">
        <is>
          <t>NON</t>
        </is>
      </c>
      <c r="O1809" s="51" t="inlineStr"/>
    </row>
    <row r="1810" customFormat="1" s="3">
      <c r="A1810" s="45" t="n"/>
      <c r="B1810" s="46" t="inlineStr">
        <is>
          <t>24346</t>
        </is>
      </c>
      <c r="C1810" s="46">
        <f>LEFT(Tableau1[[#This Row],[Formacode]],3)</f>
        <v/>
      </c>
      <c r="D1810" s="47" t="n">
        <v>37700</v>
      </c>
      <c r="E1810" s="48">
        <f>"RNCP"&amp;D1810</f>
        <v/>
      </c>
      <c r="F1810" s="48" t="inlineStr">
        <is>
          <t>CAP - Aéronautique options Avionique, Structure et Systèmes</t>
        </is>
      </c>
      <c r="G1810" s="49">
        <f>E1810&amp;" - "&amp;F1810</f>
        <v/>
      </c>
      <c r="H1810" s="36" t="inlineStr">
        <is>
          <t>RAS</t>
        </is>
      </c>
      <c r="I1810" s="45" t="inlineStr"/>
      <c r="J1810" s="45" t="inlineStr">
        <is>
          <t>RNCP37700</t>
        </is>
      </c>
      <c r="K1810" s="45" t="inlineStr">
        <is>
          <t>Aéronautique options Avionique, Structure et Systèmes</t>
        </is>
      </c>
      <c r="L1810" s="45" t="inlineStr">
        <is>
          <t>31/08/2028</t>
        </is>
      </c>
      <c r="M1810" s="45" t="inlineStr">
        <is>
          <t>23613 (Construction aéronautique) ; 24346 (Électronique embarquée)</t>
        </is>
      </c>
      <c r="N1810" s="50" t="inlineStr">
        <is>
          <t>NON</t>
        </is>
      </c>
      <c r="O1810" s="45" t="inlineStr"/>
    </row>
    <row r="1811" ht="28.8" customFormat="1" customHeight="1" s="3">
      <c r="A1811" s="45" t="n"/>
      <c r="B1811" s="46" t="inlineStr">
        <is>
          <t>24346</t>
        </is>
      </c>
      <c r="C1811" s="46">
        <f>LEFT(Tableau1[[#This Row],[Formacode]],3)</f>
        <v/>
      </c>
      <c r="D1811" s="47" t="n">
        <v>37924</v>
      </c>
      <c r="E1811" s="48">
        <f>"RNCP"&amp;D1811</f>
        <v/>
      </c>
      <c r="F1811" s="48" t="inlineStr">
        <is>
          <t>CS - Aéronautique options Avionique, Avions à moteurs à pistons, Avions à moteurs à turbines, Hélicoptères à moteurs à pistons, Hélicoptères à moteurs à turbines</t>
        </is>
      </c>
      <c r="G1811" s="49">
        <f>E1811&amp;" - "&amp;F1811</f>
        <v/>
      </c>
      <c r="H1811" s="36" t="inlineStr">
        <is>
          <t>RAS</t>
        </is>
      </c>
      <c r="I1811" s="45" t="inlineStr"/>
      <c r="J1811" s="45" t="inlineStr">
        <is>
          <t>RNCP37924</t>
        </is>
      </c>
      <c r="K1811" s="45" t="inlineStr">
        <is>
          <t>Aéronautique options Avionique, Avions à moteurs à pistons, Avions à moteurs à turbines, Hélicoptères à moteurs à pistons, Hélicoptères à moteurs à turbines</t>
        </is>
      </c>
      <c r="L1811" s="45" t="inlineStr">
        <is>
          <t>31/08/2028</t>
        </is>
      </c>
      <c r="M1811" s="45" t="inlineStr">
        <is>
          <t>23613 (Construction aéronautique) ; 24346 (Électronique embarquée)</t>
        </is>
      </c>
      <c r="N1811" s="50" t="inlineStr">
        <is>
          <t>NON</t>
        </is>
      </c>
      <c r="O1811" s="45" t="inlineStr"/>
    </row>
    <row r="1812" customFormat="1" s="3">
      <c r="A1812" s="45" t="n"/>
      <c r="B1812" s="46" t="inlineStr">
        <is>
          <t>24346</t>
        </is>
      </c>
      <c r="C1812" s="46">
        <f>LEFT(Tableau1[[#This Row],[Formacode]],3)</f>
        <v/>
      </c>
      <c r="D1812" s="47" t="n">
        <v>37928</v>
      </c>
      <c r="E1812" s="48">
        <f>"RNCP"&amp;D1812</f>
        <v/>
      </c>
      <c r="F1812" s="48" t="inlineStr">
        <is>
          <t>BAC PRO - Aéronautique options Avionique,  Structure, Systèmes</t>
        </is>
      </c>
      <c r="G1812" s="49">
        <f>E1812&amp;" - "&amp;F1812</f>
        <v/>
      </c>
      <c r="H1812" s="36" t="inlineStr">
        <is>
          <t>RAS</t>
        </is>
      </c>
      <c r="I1812" s="45" t="inlineStr"/>
      <c r="J1812" s="45" t="inlineStr">
        <is>
          <t>RNCP37928</t>
        </is>
      </c>
      <c r="K1812" s="45" t="inlineStr">
        <is>
          <t>Aéronautique options Avionique, Structure, Systèmes</t>
        </is>
      </c>
      <c r="L1812" s="45" t="inlineStr">
        <is>
          <t>31/08/2028</t>
        </is>
      </c>
      <c r="M1812" s="45" t="inlineStr">
        <is>
          <t>23624 (Construction aérospatiale) ; 23613 (Construction aéronautique) ; 24346 (Électronique embarquée)</t>
        </is>
      </c>
      <c r="N1812" s="50" t="inlineStr">
        <is>
          <t>NON</t>
        </is>
      </c>
      <c r="O1812" s="45" t="inlineStr"/>
    </row>
    <row r="1813" customFormat="1" s="3">
      <c r="A1813" s="45" t="n"/>
      <c r="B1813" s="46" t="inlineStr">
        <is>
          <t>24346</t>
        </is>
      </c>
      <c r="C1813" s="46">
        <f>LEFT(Tableau1[[#This Row],[Formacode]],3)</f>
        <v/>
      </c>
      <c r="D1813" s="47" t="n">
        <v>39445</v>
      </c>
      <c r="E1813" s="48">
        <f>"RNCP"&amp;D1813</f>
        <v/>
      </c>
      <c r="F1813" s="48" t="inlineStr">
        <is>
          <t>Titre ingénieur - Ingénieur diplômé de l'Institut supérieur d'électronique de Paris</t>
        </is>
      </c>
      <c r="G1813" s="49">
        <f>E1813&amp;" - "&amp;F1813</f>
        <v/>
      </c>
      <c r="H1813" s="36" t="inlineStr">
        <is>
          <t>RAS</t>
        </is>
      </c>
      <c r="I1813" s="45" t="inlineStr"/>
      <c r="J1813" s="45" t="inlineStr">
        <is>
          <t>RNCP39445</t>
        </is>
      </c>
      <c r="K1813" s="45" t="inlineStr">
        <is>
          <t>Ingénieur diplômé de l'Institut supérieur d'électronique de Paris</t>
        </is>
      </c>
      <c r="L1813" s="45" t="inlineStr">
        <is>
          <t>31/08/2029</t>
        </is>
      </c>
      <c r="M1813" s="45" t="inlineStr">
        <is>
          <t>24354 (Électronique) ; 31054 (Informatique - Systèmes d’information et numérique) ; 32062 (Recherche développement) ; 15099 (Résolution problème)</t>
        </is>
      </c>
      <c r="N1813" s="50" t="inlineStr">
        <is>
          <t>NON</t>
        </is>
      </c>
      <c r="O1813" s="45" t="inlineStr"/>
    </row>
    <row r="1814" customFormat="1" s="3">
      <c r="A1814" s="45" t="n"/>
      <c r="B1814" s="46" t="inlineStr">
        <is>
          <t>24346</t>
        </is>
      </c>
      <c r="C1814" s="46">
        <f>LEFT(Tableau1[[#This Row],[Formacode]],3)</f>
        <v/>
      </c>
      <c r="D1814" s="47" t="n">
        <v>39766</v>
      </c>
      <c r="E1814" s="48">
        <f>"RNCP"&amp;D1814</f>
        <v/>
      </c>
      <c r="F1814" s="48" t="inlineStr">
        <is>
          <t>Chef de projets systèmes embarqués</t>
        </is>
      </c>
      <c r="G1814" s="49">
        <f>E1814&amp;" - "&amp;F1814</f>
        <v/>
      </c>
      <c r="H1814" s="36" t="inlineStr">
        <is>
          <t>RAS</t>
        </is>
      </c>
      <c r="I1814" s="45" t="inlineStr"/>
      <c r="J1814" s="45" t="inlineStr">
        <is>
          <t>RNCP39766</t>
        </is>
      </c>
      <c r="K1814" s="45" t="inlineStr">
        <is>
          <t>Chef de projets systèmes embarqués</t>
        </is>
      </c>
      <c r="L1814" s="45" t="inlineStr">
        <is>
          <t>31/10/2029</t>
        </is>
      </c>
      <c r="M1814" s="45" t="inlineStr">
        <is>
          <t>71654 (Logiciel système gestion bases données) ; 24346 (Électronique embarquée)</t>
        </is>
      </c>
      <c r="N1814" s="50" t="inlineStr">
        <is>
          <t>NON</t>
        </is>
      </c>
      <c r="O1814" s="45" t="inlineStr"/>
    </row>
    <row r="1815" customFormat="1" s="3">
      <c r="A1815" s="45" t="n"/>
      <c r="B1815" s="46" t="inlineStr">
        <is>
          <t>24346</t>
        </is>
      </c>
      <c r="C1815" s="46">
        <f>LEFT(Tableau1[[#This Row],[Formacode]],3)</f>
        <v/>
      </c>
      <c r="D1815" s="47" t="n">
        <v>41030</v>
      </c>
      <c r="E1815" s="48">
        <f>"RNCP"&amp;D1815</f>
        <v/>
      </c>
      <c r="F1815" s="48" t="inlineStr">
        <is>
          <t>Titre ingénieur - Diplôme d'ingénieur d'Efrei Paris (Université Paris- Panthéon Assas)</t>
        </is>
      </c>
      <c r="G1815" s="49">
        <f>E1815&amp;" - "&amp;F1815</f>
        <v/>
      </c>
      <c r="H1815" s="36" t="inlineStr">
        <is>
          <t>RAS</t>
        </is>
      </c>
      <c r="I1815" s="45" t="inlineStr"/>
      <c r="J1815" s="45" t="inlineStr">
        <is>
          <t>RNCP41030</t>
        </is>
      </c>
      <c r="K1815" s="45" t="inlineStr">
        <is>
          <t>Diplôme d'ingénieur d'Efrei Paris (Université Paris- Panthéon Assas)</t>
        </is>
      </c>
      <c r="L1815" s="45" t="inlineStr">
        <is>
          <t>01/09/2030</t>
        </is>
      </c>
      <c r="M1815" s="45" t="inlineStr">
        <is>
          <t>24354 (Électronique) ; 24231 (Réseau informatique) ; 31057 (Génie logiciel) ; 11014 (Algorithme) ; 32062 (Recherche développement)</t>
        </is>
      </c>
      <c r="N1815" s="50" t="inlineStr">
        <is>
          <t>NON</t>
        </is>
      </c>
      <c r="O1815" s="45" t="inlineStr"/>
    </row>
    <row r="1816" customFormat="1" s="3">
      <c r="A1816" s="63" t="n"/>
      <c r="B1816" s="64" t="inlineStr">
        <is>
          <t>24351</t>
        </is>
      </c>
      <c r="C1816" s="64">
        <f>LEFT(Tableau1[[#This Row],[Formacode]],3)</f>
        <v/>
      </c>
      <c r="D1816" s="65" t="n">
        <v>35307</v>
      </c>
      <c r="E1816" s="66">
        <f>"RNCP"&amp;D1816</f>
        <v/>
      </c>
      <c r="F1816" s="66" t="inlineStr">
        <is>
          <t>TP - Electronicien de tests et développement</t>
        </is>
      </c>
      <c r="G1816" s="67">
        <f>E1816&amp;" - "&amp;F1816</f>
        <v/>
      </c>
      <c r="H1816" s="38" t="inlineStr">
        <is>
          <t>Expiré / remplacé</t>
        </is>
      </c>
      <c r="I1816" s="63" t="inlineStr">
        <is>
          <t>Fiche inactive (échéance 07/06/2026) — aucun successeur publié</t>
        </is>
      </c>
      <c r="J1816" s="63" t="inlineStr">
        <is>
          <t>RNCP35307</t>
        </is>
      </c>
      <c r="K1816" s="63" t="inlineStr">
        <is>
          <t>Electronicien de tests et développement</t>
        </is>
      </c>
      <c r="L1816" s="63" t="inlineStr">
        <is>
          <t>07/06/2026</t>
        </is>
      </c>
      <c r="M1816" s="63" t="inlineStr">
        <is>
          <t>24335 (Circuit électronique) ; 24391 (Électronique analogique) ; 24392 (Électronique numérique) ; 24387 (Électronique puissance) ; 24351 (Mesure électronique)</t>
        </is>
      </c>
      <c r="N1816" s="68" t="inlineStr">
        <is>
          <t>NON</t>
        </is>
      </c>
      <c r="O1816" s="63" t="inlineStr"/>
    </row>
    <row r="1817" customFormat="1" s="3">
      <c r="A1817" s="51" t="n"/>
      <c r="B1817" s="52" t="inlineStr">
        <is>
          <t>24351</t>
        </is>
      </c>
      <c r="C1817" s="52">
        <f>LEFT(Tableau1[[#This Row],[Formacode]],3)</f>
        <v/>
      </c>
      <c r="D1817" s="53" t="n">
        <v>35803</v>
      </c>
      <c r="E1817" s="54">
        <f>"RNCP"&amp;D1817</f>
        <v/>
      </c>
      <c r="F1817" s="54" t="inlineStr">
        <is>
          <t>BTS - Métiers de la mesure</t>
        </is>
      </c>
      <c r="G1817" s="55">
        <f>E1817&amp;" - "&amp;F1817</f>
        <v/>
      </c>
      <c r="H1817" s="37" t="inlineStr">
        <is>
          <t>À vérifier</t>
        </is>
      </c>
      <c r="I1817" s="51" t="inlineStr">
        <is>
          <t>Successeur déjà publié : RNCP41832 (Métiers de la mesure) — préparer la bascule de l'offre CPF | Échéance le 31/08/2026 (dans 44 j)</t>
        </is>
      </c>
      <c r="J1817" s="51" t="inlineStr">
        <is>
          <t>RNCP41832</t>
        </is>
      </c>
      <c r="K1817" s="51" t="inlineStr">
        <is>
          <t>Métiers de la mesure</t>
        </is>
      </c>
      <c r="L1817" s="51" t="inlineStr">
        <is>
          <t>31/08/2026</t>
        </is>
      </c>
      <c r="M1817" s="51" t="inlineStr">
        <is>
          <t>11523 (Analyse chimique) ; 11421 (Thermométrie) ; 24351 (Mesure électronique)</t>
        </is>
      </c>
      <c r="N1817" s="62" t="inlineStr">
        <is>
          <t>NON</t>
        </is>
      </c>
      <c r="O1817" s="51" t="inlineStr"/>
    </row>
    <row r="1818" customFormat="1" s="3">
      <c r="A1818" s="51" t="n"/>
      <c r="B1818" s="52" t="inlineStr">
        <is>
          <t>24351</t>
        </is>
      </c>
      <c r="C1818" s="52">
        <f>LEFT(Tableau1[[#This Row],[Formacode]],3)</f>
        <v/>
      </c>
      <c r="D1818" s="53" t="n">
        <v>37572</v>
      </c>
      <c r="E1818" s="54">
        <f>"RNCP"&amp;D1818</f>
        <v/>
      </c>
      <c r="F1818" s="54" t="inlineStr">
        <is>
          <t>Grade_Licence - Sciences et Ingénierie - Transformation Numérique des Entreprises</t>
        </is>
      </c>
      <c r="G1818" s="55">
        <f>E1818&amp;" - "&amp;F1818</f>
        <v/>
      </c>
      <c r="H1818" s="37" t="inlineStr">
        <is>
          <t>À vérifier</t>
        </is>
      </c>
      <c r="I1818" s="51" t="inlineStr">
        <is>
          <t>Successeur déjà publié : RNCP42302 (Sciences et Ingénierie - Informatique et systèmes numériques) — préparer la bascule de l'offre CPF | Échéance le 31/08/2026 (dans 44 j)</t>
        </is>
      </c>
      <c r="J1818" s="51" t="inlineStr">
        <is>
          <t>RNCP42302</t>
        </is>
      </c>
      <c r="K1818" s="51" t="inlineStr">
        <is>
          <t>Sciences et Ingénierie - Informatique et systèmes numériques</t>
        </is>
      </c>
      <c r="L1818" s="51" t="inlineStr">
        <is>
          <t>31/08/2026</t>
        </is>
      </c>
      <c r="M1818" s="51" t="inlineStr">
        <is>
          <t>31054 (Informatique - Systèmes d’information et numérique) ; 24231 (Réseau informatique) ; 24454 (Automatisme informatique industrielle)</t>
        </is>
      </c>
      <c r="N1818" s="62" t="inlineStr">
        <is>
          <t>NON</t>
        </is>
      </c>
      <c r="O1818" s="51" t="inlineStr"/>
    </row>
    <row r="1819" customFormat="1" s="3">
      <c r="A1819" s="45" t="n"/>
      <c r="B1819" s="46" t="inlineStr">
        <is>
          <t>24351</t>
        </is>
      </c>
      <c r="C1819" s="46">
        <f>LEFT(Tableau1[[#This Row],[Formacode]],3)</f>
        <v/>
      </c>
      <c r="D1819" s="47" t="n">
        <v>39445</v>
      </c>
      <c r="E1819" s="48">
        <f>"RNCP"&amp;D1819</f>
        <v/>
      </c>
      <c r="F1819" s="48" t="inlineStr">
        <is>
          <t>Titre ingénieur - Ingénieur diplômé de l'Institut supérieur d'électronique de Paris</t>
        </is>
      </c>
      <c r="G1819" s="49">
        <f>E1819&amp;" - "&amp;F1819</f>
        <v/>
      </c>
      <c r="H1819" s="36" t="inlineStr">
        <is>
          <t>RAS</t>
        </is>
      </c>
      <c r="I1819" s="45" t="inlineStr"/>
      <c r="J1819" s="45" t="inlineStr">
        <is>
          <t>RNCP39445</t>
        </is>
      </c>
      <c r="K1819" s="45" t="inlineStr">
        <is>
          <t>Ingénieur diplômé de l'Institut supérieur d'électronique de Paris</t>
        </is>
      </c>
      <c r="L1819" s="45" t="inlineStr">
        <is>
          <t>31/08/2029</t>
        </is>
      </c>
      <c r="M1819" s="45" t="inlineStr">
        <is>
          <t>24354 (Électronique) ; 31054 (Informatique - Systèmes d’information et numérique) ; 32062 (Recherche développement) ; 15099 (Résolution problème)</t>
        </is>
      </c>
      <c r="N1819" s="50" t="inlineStr">
        <is>
          <t>NON</t>
        </is>
      </c>
      <c r="O1819" s="45" t="inlineStr"/>
    </row>
    <row r="1820" customFormat="1" s="3">
      <c r="A1820" s="45" t="n"/>
      <c r="B1820" s="46" t="inlineStr">
        <is>
          <t>24351</t>
        </is>
      </c>
      <c r="C1820" s="46">
        <f>LEFT(Tableau1[[#This Row],[Formacode]],3)</f>
        <v/>
      </c>
      <c r="D1820" s="47" t="n">
        <v>40405</v>
      </c>
      <c r="E1820" s="48">
        <f>"RNCP"&amp;D1820</f>
        <v/>
      </c>
      <c r="F1820" s="48" t="inlineStr">
        <is>
          <t>Technicien en électronique (tests, essais, dépannages)</t>
        </is>
      </c>
      <c r="G1820" s="49">
        <f>E1820&amp;" - "&amp;F1820</f>
        <v/>
      </c>
      <c r="H1820" s="36" t="inlineStr">
        <is>
          <t>RAS</t>
        </is>
      </c>
      <c r="I1820" s="45" t="inlineStr"/>
      <c r="J1820" s="45" t="inlineStr">
        <is>
          <t>RNCP40405</t>
        </is>
      </c>
      <c r="K1820" s="45" t="inlineStr">
        <is>
          <t>Technicien en électronique (tests, essais, dépannages)</t>
        </is>
      </c>
      <c r="L1820" s="45" t="inlineStr">
        <is>
          <t>28/03/2028</t>
        </is>
      </c>
      <c r="M1820" s="45" t="inlineStr">
        <is>
          <t>24340 (Maintenance électronique) ; 24351 (Mesure électronique) ; 24360 (Qualité électronique) ; 24322 (Montage câblage électronique)</t>
        </is>
      </c>
      <c r="N1820" s="50" t="inlineStr">
        <is>
          <t>NON</t>
        </is>
      </c>
      <c r="O1820" s="45" t="inlineStr"/>
    </row>
    <row r="1821" customFormat="1" s="3">
      <c r="A1821" s="45" t="n"/>
      <c r="B1821" s="46" t="inlineStr">
        <is>
          <t>24351</t>
        </is>
      </c>
      <c r="C1821" s="46">
        <f>LEFT(Tableau1[[#This Row],[Formacode]],3)</f>
        <v/>
      </c>
      <c r="D1821" s="47" t="n">
        <v>41030</v>
      </c>
      <c r="E1821" s="48">
        <f>"RNCP"&amp;D1821</f>
        <v/>
      </c>
      <c r="F1821" s="48" t="inlineStr">
        <is>
          <t>Titre ingénieur - Diplôme d'ingénieur d'Efrei Paris (Université Paris- Panthéon Assas)</t>
        </is>
      </c>
      <c r="G1821" s="49">
        <f>E1821&amp;" - "&amp;F1821</f>
        <v/>
      </c>
      <c r="H1821" s="36" t="inlineStr">
        <is>
          <t>RAS</t>
        </is>
      </c>
      <c r="I1821" s="45" t="inlineStr"/>
      <c r="J1821" s="45" t="inlineStr">
        <is>
          <t>RNCP41030</t>
        </is>
      </c>
      <c r="K1821" s="45" t="inlineStr">
        <is>
          <t>Diplôme d'ingénieur d'Efrei Paris (Université Paris- Panthéon Assas)</t>
        </is>
      </c>
      <c r="L1821" s="45" t="inlineStr">
        <is>
          <t>01/09/2030</t>
        </is>
      </c>
      <c r="M1821" s="45" t="inlineStr">
        <is>
          <t>24354 (Électronique) ; 24231 (Réseau informatique) ; 31057 (Génie logiciel) ; 11014 (Algorithme) ; 32062 (Recherche développement)</t>
        </is>
      </c>
      <c r="N1821" s="50" t="inlineStr">
        <is>
          <t>NON</t>
        </is>
      </c>
      <c r="O1821" s="45" t="inlineStr"/>
    </row>
    <row r="1822" customFormat="1" s="3">
      <c r="A1822" s="45" t="n"/>
      <c r="B1822" s="46" t="inlineStr">
        <is>
          <t>24351</t>
        </is>
      </c>
      <c r="C1822" s="46">
        <f>LEFT(Tableau1[[#This Row],[Formacode]],3)</f>
        <v/>
      </c>
      <c r="D1822" s="47" t="n">
        <v>41632</v>
      </c>
      <c r="E1822" s="48">
        <f>"RNCP"&amp;D1822</f>
        <v/>
      </c>
      <c r="F1822" s="48" t="inlineStr">
        <is>
          <t>TP - Technicien en électronique de montage, de contrôle et de maintenance</t>
        </is>
      </c>
      <c r="G1822" s="49">
        <f>E1822&amp;" - "&amp;F1822</f>
        <v/>
      </c>
      <c r="H1822" s="36" t="inlineStr">
        <is>
          <t>RAS</t>
        </is>
      </c>
      <c r="I1822" s="45" t="inlineStr"/>
      <c r="J1822" s="45" t="inlineStr">
        <is>
          <t>RNCP41632</t>
        </is>
      </c>
      <c r="K1822" s="45" t="inlineStr">
        <is>
          <t>Technicien en électronique de montage, de contrôle et de maintenance</t>
        </is>
      </c>
      <c r="L1822" s="45" t="inlineStr">
        <is>
          <t>26/10/2030</t>
        </is>
      </c>
      <c r="M1822" s="45" t="inlineStr">
        <is>
          <t>24340 (Maintenance électronique) ; 24360 (Qualité électronique) ; 24351 (Mesure électronique) ; 24322 (Montage câblage électronique)</t>
        </is>
      </c>
      <c r="N1822" s="50" t="inlineStr">
        <is>
          <t>NON</t>
        </is>
      </c>
      <c r="O1822" s="45" t="inlineStr"/>
    </row>
    <row r="1823" customFormat="1" s="3">
      <c r="A1823" s="51" t="n"/>
      <c r="B1823" s="52" t="inlineStr">
        <is>
          <t>24356</t>
        </is>
      </c>
      <c r="C1823" s="52">
        <f>LEFT(Tableau1[[#This Row],[Formacode]],3)</f>
        <v/>
      </c>
      <c r="D1823" s="53" t="n">
        <v>37572</v>
      </c>
      <c r="E1823" s="54">
        <f>"RNCP"&amp;D1823</f>
        <v/>
      </c>
      <c r="F1823" s="54" t="inlineStr">
        <is>
          <t>Grade_Licence - Sciences et Ingénierie - Transformation Numérique des Entreprises</t>
        </is>
      </c>
      <c r="G1823" s="55">
        <f>E1823&amp;" - "&amp;F1823</f>
        <v/>
      </c>
      <c r="H1823" s="37" t="inlineStr">
        <is>
          <t>À vérifier</t>
        </is>
      </c>
      <c r="I1823" s="51" t="inlineStr">
        <is>
          <t>Successeur déjà publié : RNCP42302 (Sciences et Ingénierie - Informatique et systèmes numériques) — préparer la bascule de l'offre CPF | Échéance le 31/08/2026 (dans 44 j)</t>
        </is>
      </c>
      <c r="J1823" s="51" t="inlineStr">
        <is>
          <t>RNCP42302</t>
        </is>
      </c>
      <c r="K1823" s="51" t="inlineStr">
        <is>
          <t>Sciences et Ingénierie - Informatique et systèmes numériques</t>
        </is>
      </c>
      <c r="L1823" s="51" t="inlineStr">
        <is>
          <t>31/08/2026</t>
        </is>
      </c>
      <c r="M1823" s="51" t="inlineStr">
        <is>
          <t>31054 (Informatique - Systèmes d’information et numérique) ; 24231 (Réseau informatique) ; 24454 (Automatisme informatique industrielle)</t>
        </is>
      </c>
      <c r="N1823" s="62" t="inlineStr">
        <is>
          <t>NON</t>
        </is>
      </c>
      <c r="O1823" s="51" t="inlineStr"/>
    </row>
    <row r="1824" customFormat="1" s="3">
      <c r="A1824" s="45" t="n"/>
      <c r="B1824" s="46" t="inlineStr">
        <is>
          <t>24356</t>
        </is>
      </c>
      <c r="C1824" s="46">
        <f>LEFT(Tableau1[[#This Row],[Formacode]],3)</f>
        <v/>
      </c>
      <c r="D1824" s="47" t="n">
        <v>39445</v>
      </c>
      <c r="E1824" s="48">
        <f>"RNCP"&amp;D1824</f>
        <v/>
      </c>
      <c r="F1824" s="48" t="inlineStr">
        <is>
          <t>Titre ingénieur - Ingénieur diplômé de l'Institut supérieur d'électronique de Paris</t>
        </is>
      </c>
      <c r="G1824" s="49">
        <f>E1824&amp;" - "&amp;F1824</f>
        <v/>
      </c>
      <c r="H1824" s="36" t="inlineStr">
        <is>
          <t>RAS</t>
        </is>
      </c>
      <c r="I1824" s="45" t="inlineStr"/>
      <c r="J1824" s="45" t="inlineStr">
        <is>
          <t>RNCP39445</t>
        </is>
      </c>
      <c r="K1824" s="45" t="inlineStr">
        <is>
          <t>Ingénieur diplômé de l'Institut supérieur d'électronique de Paris</t>
        </is>
      </c>
      <c r="L1824" s="45" t="inlineStr">
        <is>
          <t>31/08/2029</t>
        </is>
      </c>
      <c r="M1824" s="45" t="inlineStr">
        <is>
          <t>24354 (Électronique) ; 31054 (Informatique - Systèmes d’information et numérique) ; 32062 (Recherche développement) ; 15099 (Résolution problème)</t>
        </is>
      </c>
      <c r="N1824" s="50" t="inlineStr">
        <is>
          <t>NON</t>
        </is>
      </c>
      <c r="O1824" s="45" t="inlineStr"/>
    </row>
    <row r="1825" customFormat="1" s="3">
      <c r="A1825" s="45" t="n"/>
      <c r="B1825" s="46" t="inlineStr">
        <is>
          <t>24356</t>
        </is>
      </c>
      <c r="C1825" s="46">
        <f>LEFT(Tableau1[[#This Row],[Formacode]],3)</f>
        <v/>
      </c>
      <c r="D1825" s="47" t="n">
        <v>41030</v>
      </c>
      <c r="E1825" s="48">
        <f>"RNCP"&amp;D1825</f>
        <v/>
      </c>
      <c r="F1825" s="48" t="inlineStr">
        <is>
          <t>Titre ingénieur - Diplôme d'ingénieur d'Efrei Paris (Université Paris- Panthéon Assas)</t>
        </is>
      </c>
      <c r="G1825" s="49">
        <f>E1825&amp;" - "&amp;F1825</f>
        <v/>
      </c>
      <c r="H1825" s="36" t="inlineStr">
        <is>
          <t>RAS</t>
        </is>
      </c>
      <c r="I1825" s="45" t="inlineStr"/>
      <c r="J1825" s="45" t="inlineStr">
        <is>
          <t>RNCP41030</t>
        </is>
      </c>
      <c r="K1825" s="45" t="inlineStr">
        <is>
          <t>Diplôme d'ingénieur d'Efrei Paris (Université Paris- Panthéon Assas)</t>
        </is>
      </c>
      <c r="L1825" s="45" t="inlineStr">
        <is>
          <t>01/09/2030</t>
        </is>
      </c>
      <c r="M1825" s="45" t="inlineStr">
        <is>
          <t>24354 (Électronique) ; 24231 (Réseau informatique) ; 31057 (Génie logiciel) ; 11014 (Algorithme) ; 32062 (Recherche développement)</t>
        </is>
      </c>
      <c r="N1825" s="50" t="inlineStr">
        <is>
          <t>NON</t>
        </is>
      </c>
      <c r="O1825" s="45" t="inlineStr"/>
    </row>
    <row r="1826" customFormat="1" s="3">
      <c r="A1826" s="51" t="n"/>
      <c r="B1826" s="52" t="inlineStr">
        <is>
          <t>24360</t>
        </is>
      </c>
      <c r="C1826" s="52">
        <f>LEFT(Tableau1[[#This Row],[Formacode]],3)</f>
        <v/>
      </c>
      <c r="D1826" s="53" t="n">
        <v>37572</v>
      </c>
      <c r="E1826" s="54">
        <f>"RNCP"&amp;D1826</f>
        <v/>
      </c>
      <c r="F1826" s="54" t="inlineStr">
        <is>
          <t>Grade_Licence - Sciences et Ingénierie - Transformation Numérique des Entreprises</t>
        </is>
      </c>
      <c r="G1826" s="55">
        <f>E1826&amp;" - "&amp;F1826</f>
        <v/>
      </c>
      <c r="H1826" s="37" t="inlineStr">
        <is>
          <t>À vérifier</t>
        </is>
      </c>
      <c r="I1826" s="51" t="inlineStr">
        <is>
          <t>Successeur déjà publié : RNCP42302 (Sciences et Ingénierie - Informatique et systèmes numériques) — préparer la bascule de l'offre CPF | Échéance le 31/08/2026 (dans 44 j)</t>
        </is>
      </c>
      <c r="J1826" s="51" t="inlineStr">
        <is>
          <t>RNCP42302</t>
        </is>
      </c>
      <c r="K1826" s="51" t="inlineStr">
        <is>
          <t>Sciences et Ingénierie - Informatique et systèmes numériques</t>
        </is>
      </c>
      <c r="L1826" s="51" t="inlineStr">
        <is>
          <t>31/08/2026</t>
        </is>
      </c>
      <c r="M1826" s="51" t="inlineStr">
        <is>
          <t>31054 (Informatique - Systèmes d’information et numérique) ; 24231 (Réseau informatique) ; 24454 (Automatisme informatique industrielle)</t>
        </is>
      </c>
      <c r="N1826" s="62" t="inlineStr">
        <is>
          <t>NON</t>
        </is>
      </c>
      <c r="O1826" s="51" t="inlineStr"/>
    </row>
    <row r="1827" customFormat="1" s="3">
      <c r="A1827" s="45" t="n"/>
      <c r="B1827" s="46" t="inlineStr">
        <is>
          <t>24360</t>
        </is>
      </c>
      <c r="C1827" s="46">
        <f>LEFT(Tableau1[[#This Row],[Formacode]],3)</f>
        <v/>
      </c>
      <c r="D1827" s="47" t="n">
        <v>39445</v>
      </c>
      <c r="E1827" s="48">
        <f>"RNCP"&amp;D1827</f>
        <v/>
      </c>
      <c r="F1827" s="48" t="inlineStr">
        <is>
          <t>Titre ingénieur - Ingénieur diplômé de l'Institut supérieur d'électronique de Paris</t>
        </is>
      </c>
      <c r="G1827" s="49">
        <f>E1827&amp;" - "&amp;F1827</f>
        <v/>
      </c>
      <c r="H1827" s="36" t="inlineStr">
        <is>
          <t>RAS</t>
        </is>
      </c>
      <c r="I1827" s="45" t="inlineStr"/>
      <c r="J1827" s="45" t="inlineStr">
        <is>
          <t>RNCP39445</t>
        </is>
      </c>
      <c r="K1827" s="45" t="inlineStr">
        <is>
          <t>Ingénieur diplômé de l'Institut supérieur d'électronique de Paris</t>
        </is>
      </c>
      <c r="L1827" s="45" t="inlineStr">
        <is>
          <t>31/08/2029</t>
        </is>
      </c>
      <c r="M1827" s="45" t="inlineStr">
        <is>
          <t>24354 (Électronique) ; 31054 (Informatique - Systèmes d’information et numérique) ; 32062 (Recherche développement) ; 15099 (Résolution problème)</t>
        </is>
      </c>
      <c r="N1827" s="50" t="inlineStr">
        <is>
          <t>NON</t>
        </is>
      </c>
      <c r="O1827" s="45" t="inlineStr"/>
    </row>
    <row r="1828" customFormat="1" s="3">
      <c r="A1828" s="45" t="n"/>
      <c r="B1828" s="46" t="inlineStr">
        <is>
          <t>24360</t>
        </is>
      </c>
      <c r="C1828" s="46">
        <f>LEFT(Tableau1[[#This Row],[Formacode]],3)</f>
        <v/>
      </c>
      <c r="D1828" s="47" t="n">
        <v>40405</v>
      </c>
      <c r="E1828" s="48">
        <f>"RNCP"&amp;D1828</f>
        <v/>
      </c>
      <c r="F1828" s="48" t="inlineStr">
        <is>
          <t>Technicien en électronique (tests, essais, dépannages)</t>
        </is>
      </c>
      <c r="G1828" s="49">
        <f>E1828&amp;" - "&amp;F1828</f>
        <v/>
      </c>
      <c r="H1828" s="36" t="inlineStr">
        <is>
          <t>RAS</t>
        </is>
      </c>
      <c r="I1828" s="45" t="inlineStr"/>
      <c r="J1828" s="45" t="inlineStr">
        <is>
          <t>RNCP40405</t>
        </is>
      </c>
      <c r="K1828" s="45" t="inlineStr">
        <is>
          <t>Technicien en électronique (tests, essais, dépannages)</t>
        </is>
      </c>
      <c r="L1828" s="45" t="inlineStr">
        <is>
          <t>28/03/2028</t>
        </is>
      </c>
      <c r="M1828" s="45" t="inlineStr">
        <is>
          <t>24340 (Maintenance électronique) ; 24351 (Mesure électronique) ; 24360 (Qualité électronique) ; 24322 (Montage câblage électronique)</t>
        </is>
      </c>
      <c r="N1828" s="50" t="inlineStr">
        <is>
          <t>NON</t>
        </is>
      </c>
      <c r="O1828" s="45" t="inlineStr"/>
    </row>
    <row r="1829" customFormat="1" s="3">
      <c r="A1829" s="45" t="n"/>
      <c r="B1829" s="46" t="inlineStr">
        <is>
          <t>24360</t>
        </is>
      </c>
      <c r="C1829" s="46">
        <f>LEFT(Tableau1[[#This Row],[Formacode]],3)</f>
        <v/>
      </c>
      <c r="D1829" s="47" t="n">
        <v>41030</v>
      </c>
      <c r="E1829" s="48">
        <f>"RNCP"&amp;D1829</f>
        <v/>
      </c>
      <c r="F1829" s="48" t="inlineStr">
        <is>
          <t>Titre ingénieur - Diplôme d'ingénieur d'Efrei Paris (Université Paris- Panthéon Assas)</t>
        </is>
      </c>
      <c r="G1829" s="49">
        <f>E1829&amp;" - "&amp;F1829</f>
        <v/>
      </c>
      <c r="H1829" s="36" t="inlineStr">
        <is>
          <t>RAS</t>
        </is>
      </c>
      <c r="I1829" s="45" t="inlineStr"/>
      <c r="J1829" s="45" t="inlineStr">
        <is>
          <t>RNCP41030</t>
        </is>
      </c>
      <c r="K1829" s="45" t="inlineStr">
        <is>
          <t>Diplôme d'ingénieur d'Efrei Paris (Université Paris- Panthéon Assas)</t>
        </is>
      </c>
      <c r="L1829" s="45" t="inlineStr">
        <is>
          <t>01/09/2030</t>
        </is>
      </c>
      <c r="M1829" s="45" t="inlineStr">
        <is>
          <t>24354 (Électronique) ; 24231 (Réseau informatique) ; 31057 (Génie logiciel) ; 11014 (Algorithme) ; 32062 (Recherche développement)</t>
        </is>
      </c>
      <c r="N1829" s="50" t="inlineStr">
        <is>
          <t>NON</t>
        </is>
      </c>
      <c r="O1829" s="45" t="inlineStr"/>
    </row>
    <row r="1830" customFormat="1" s="3">
      <c r="A1830" s="45" t="n"/>
      <c r="B1830" s="46" t="inlineStr">
        <is>
          <t>24360</t>
        </is>
      </c>
      <c r="C1830" s="46">
        <f>LEFT(Tableau1[[#This Row],[Formacode]],3)</f>
        <v/>
      </c>
      <c r="D1830" s="47" t="n">
        <v>41632</v>
      </c>
      <c r="E1830" s="48">
        <f>"RNCP"&amp;D1830</f>
        <v/>
      </c>
      <c r="F1830" s="48" t="inlineStr">
        <is>
          <t>TP - Technicien en électronique de montage, de contrôle et de maintenance</t>
        </is>
      </c>
      <c r="G1830" s="49">
        <f>E1830&amp;" - "&amp;F1830</f>
        <v/>
      </c>
      <c r="H1830" s="36" t="inlineStr">
        <is>
          <t>RAS</t>
        </is>
      </c>
      <c r="I1830" s="45" t="inlineStr"/>
      <c r="J1830" s="45" t="inlineStr">
        <is>
          <t>RNCP41632</t>
        </is>
      </c>
      <c r="K1830" s="45" t="inlineStr">
        <is>
          <t>Technicien en électronique de montage, de contrôle et de maintenance</t>
        </is>
      </c>
      <c r="L1830" s="45" t="inlineStr">
        <is>
          <t>26/10/2030</t>
        </is>
      </c>
      <c r="M1830" s="45" t="inlineStr">
        <is>
          <t>24340 (Maintenance électronique) ; 24360 (Qualité électronique) ; 24351 (Mesure électronique) ; 24322 (Montage câblage électronique)</t>
        </is>
      </c>
      <c r="N1830" s="50" t="inlineStr">
        <is>
          <t>NON</t>
        </is>
      </c>
      <c r="O1830" s="45" t="inlineStr"/>
    </row>
    <row r="1831" customFormat="1" s="3">
      <c r="A1831" s="45" t="n"/>
      <c r="B1831" s="46" t="inlineStr">
        <is>
          <t>24374</t>
        </is>
      </c>
      <c r="C1831" s="46">
        <f>LEFT(Tableau1[[#This Row],[Formacode]],3)</f>
        <v/>
      </c>
      <c r="D1831" s="47" t="n">
        <v>36594</v>
      </c>
      <c r="E1831" s="48">
        <f>"RNCP"&amp;D1831</f>
        <v/>
      </c>
      <c r="F1831" s="48" t="inlineStr">
        <is>
          <t>Technicien d’exploitation des équipements audiovisuels</t>
        </is>
      </c>
      <c r="G1831" s="49">
        <f>E1831&amp;" - "&amp;F1831</f>
        <v/>
      </c>
      <c r="H1831" s="36" t="inlineStr">
        <is>
          <t>RAS</t>
        </is>
      </c>
      <c r="I1831" s="45" t="inlineStr"/>
      <c r="J1831" s="45" t="inlineStr">
        <is>
          <t>RNCP36594</t>
        </is>
      </c>
      <c r="K1831" s="45" t="inlineStr">
        <is>
          <t>Technicien d’exploitation des équipements audiovisuels</t>
        </is>
      </c>
      <c r="L1831" s="45" t="inlineStr">
        <is>
          <t>01/07/2027</t>
        </is>
      </c>
      <c r="M1831" s="45" t="inlineStr">
        <is>
          <t>24374 (Maintenance audiovisuelle) ; 46233 (Équipement audiovisuel)</t>
        </is>
      </c>
      <c r="N1831" s="50" t="inlineStr">
        <is>
          <t>NON</t>
        </is>
      </c>
      <c r="O1831" s="45" t="inlineStr"/>
    </row>
    <row r="1832" customFormat="1" s="3">
      <c r="A1832" s="51" t="n"/>
      <c r="B1832" s="52" t="inlineStr">
        <is>
          <t>24374</t>
        </is>
      </c>
      <c r="C1832" s="52">
        <f>LEFT(Tableau1[[#This Row],[Formacode]],3)</f>
        <v/>
      </c>
      <c r="D1832" s="53" t="n">
        <v>37572</v>
      </c>
      <c r="E1832" s="54">
        <f>"RNCP"&amp;D1832</f>
        <v/>
      </c>
      <c r="F1832" s="54" t="inlineStr">
        <is>
          <t>Grade_Licence - Sciences et Ingénierie - Transformation Numérique des Entreprises</t>
        </is>
      </c>
      <c r="G1832" s="55">
        <f>E1832&amp;" - "&amp;F1832</f>
        <v/>
      </c>
      <c r="H1832" s="37" t="inlineStr">
        <is>
          <t>À vérifier</t>
        </is>
      </c>
      <c r="I1832" s="51" t="inlineStr">
        <is>
          <t>Successeur déjà publié : RNCP42302 (Sciences et Ingénierie - Informatique et systèmes numériques) — préparer la bascule de l'offre CPF | Échéance le 31/08/2026 (dans 44 j)</t>
        </is>
      </c>
      <c r="J1832" s="51" t="inlineStr">
        <is>
          <t>RNCP42302</t>
        </is>
      </c>
      <c r="K1832" s="51" t="inlineStr">
        <is>
          <t>Sciences et Ingénierie - Informatique et systèmes numériques</t>
        </is>
      </c>
      <c r="L1832" s="51" t="inlineStr">
        <is>
          <t>31/08/2026</t>
        </is>
      </c>
      <c r="M1832" s="51" t="inlineStr">
        <is>
          <t>31054 (Informatique - Systèmes d’information et numérique) ; 24231 (Réseau informatique) ; 24454 (Automatisme informatique industrielle)</t>
        </is>
      </c>
      <c r="N1832" s="62" t="inlineStr">
        <is>
          <t>NON</t>
        </is>
      </c>
      <c r="O1832" s="51" t="inlineStr"/>
    </row>
    <row r="1833" customFormat="1" s="3">
      <c r="A1833" s="45" t="n"/>
      <c r="B1833" s="46" t="inlineStr">
        <is>
          <t>24374</t>
        </is>
      </c>
      <c r="C1833" s="46">
        <f>LEFT(Tableau1[[#This Row],[Formacode]],3)</f>
        <v/>
      </c>
      <c r="D1833" s="47" t="n">
        <v>39177</v>
      </c>
      <c r="E1833" s="48">
        <f>"RNCP"&amp;D1833</f>
        <v/>
      </c>
      <c r="F1833" s="48" t="inlineStr">
        <is>
          <t>TP - Technicien d'après-vente en électroménager et audiovisuel</t>
        </is>
      </c>
      <c r="G1833" s="49">
        <f>E1833&amp;" - "&amp;F1833</f>
        <v/>
      </c>
      <c r="H1833" s="36" t="inlineStr">
        <is>
          <t>RAS</t>
        </is>
      </c>
      <c r="I1833" s="45" t="inlineStr"/>
      <c r="J1833" s="45" t="inlineStr">
        <is>
          <t>RNCP39177</t>
        </is>
      </c>
      <c r="K1833" s="45" t="inlineStr">
        <is>
          <t>Technicien d'après-vente en électroménager et audiovisuel</t>
        </is>
      </c>
      <c r="L1833" s="45" t="inlineStr">
        <is>
          <t>30/06/2029</t>
        </is>
      </c>
      <c r="M1833" s="45" t="inlineStr">
        <is>
          <t>24021 (Électroménager) ; 24374 (Maintenance audiovisuelle) ; 34027 (Service après-vente)</t>
        </is>
      </c>
      <c r="N1833" s="50" t="inlineStr">
        <is>
          <t>NON</t>
        </is>
      </c>
      <c r="O1833" s="45" t="inlineStr"/>
    </row>
    <row r="1834" customFormat="1" s="3">
      <c r="A1834" s="45" t="n"/>
      <c r="B1834" s="46" t="inlineStr">
        <is>
          <t>24374</t>
        </is>
      </c>
      <c r="C1834" s="46">
        <f>LEFT(Tableau1[[#This Row],[Formacode]],3)</f>
        <v/>
      </c>
      <c r="D1834" s="47" t="n">
        <v>39445</v>
      </c>
      <c r="E1834" s="48">
        <f>"RNCP"&amp;D1834</f>
        <v/>
      </c>
      <c r="F1834" s="48" t="inlineStr">
        <is>
          <t>Titre ingénieur - Ingénieur diplômé de l'Institut supérieur d'électronique de Paris</t>
        </is>
      </c>
      <c r="G1834" s="49">
        <f>E1834&amp;" - "&amp;F1834</f>
        <v/>
      </c>
      <c r="H1834" s="36" t="inlineStr">
        <is>
          <t>RAS</t>
        </is>
      </c>
      <c r="I1834" s="45" t="inlineStr"/>
      <c r="J1834" s="45" t="inlineStr">
        <is>
          <t>RNCP39445</t>
        </is>
      </c>
      <c r="K1834" s="45" t="inlineStr">
        <is>
          <t>Ingénieur diplômé de l'Institut supérieur d'électronique de Paris</t>
        </is>
      </c>
      <c r="L1834" s="45" t="inlineStr">
        <is>
          <t>31/08/2029</t>
        </is>
      </c>
      <c r="M1834" s="45" t="inlineStr">
        <is>
          <t>24354 (Électronique) ; 31054 (Informatique - Systèmes d’information et numérique) ; 32062 (Recherche développement) ; 15099 (Résolution problème)</t>
        </is>
      </c>
      <c r="N1834" s="50" t="inlineStr">
        <is>
          <t>NON</t>
        </is>
      </c>
      <c r="O1834" s="45" t="inlineStr"/>
    </row>
    <row r="1835" customFormat="1" s="3">
      <c r="A1835" s="45" t="n"/>
      <c r="B1835" s="46" t="inlineStr">
        <is>
          <t>24374</t>
        </is>
      </c>
      <c r="C1835" s="46">
        <f>LEFT(Tableau1[[#This Row],[Formacode]],3)</f>
        <v/>
      </c>
      <c r="D1835" s="47" t="n">
        <v>41030</v>
      </c>
      <c r="E1835" s="48">
        <f>"RNCP"&amp;D1835</f>
        <v/>
      </c>
      <c r="F1835" s="48" t="inlineStr">
        <is>
          <t>Titre ingénieur - Diplôme d'ingénieur d'Efrei Paris (Université Paris- Panthéon Assas)</t>
        </is>
      </c>
      <c r="G1835" s="49">
        <f>E1835&amp;" - "&amp;F1835</f>
        <v/>
      </c>
      <c r="H1835" s="36" t="inlineStr">
        <is>
          <t>RAS</t>
        </is>
      </c>
      <c r="I1835" s="45" t="inlineStr"/>
      <c r="J1835" s="45" t="inlineStr">
        <is>
          <t>RNCP41030</t>
        </is>
      </c>
      <c r="K1835" s="45" t="inlineStr">
        <is>
          <t>Diplôme d'ingénieur d'Efrei Paris (Université Paris- Panthéon Assas)</t>
        </is>
      </c>
      <c r="L1835" s="45" t="inlineStr">
        <is>
          <t>01/09/2030</t>
        </is>
      </c>
      <c r="M1835" s="45" t="inlineStr">
        <is>
          <t>24354 (Électronique) ; 24231 (Réseau informatique) ; 31057 (Génie logiciel) ; 11014 (Algorithme) ; 32062 (Recherche développement)</t>
        </is>
      </c>
      <c r="N1835" s="50" t="inlineStr">
        <is>
          <t>NON</t>
        </is>
      </c>
      <c r="O1835" s="45" t="inlineStr"/>
    </row>
    <row r="1836" customFormat="1" s="3">
      <c r="A1836" s="51" t="n"/>
      <c r="B1836" s="52" t="inlineStr">
        <is>
          <t>24386</t>
        </is>
      </c>
      <c r="C1836" s="52">
        <f>LEFT(Tableau1[[#This Row],[Formacode]],3)</f>
        <v/>
      </c>
      <c r="D1836" s="53" t="n">
        <v>37572</v>
      </c>
      <c r="E1836" s="54">
        <f>"RNCP"&amp;D1836</f>
        <v/>
      </c>
      <c r="F1836" s="54" t="inlineStr">
        <is>
          <t>Grade_Licence - Sciences et Ingénierie - Transformation Numérique des Entreprises</t>
        </is>
      </c>
      <c r="G1836" s="55">
        <f>E1836&amp;" - "&amp;F1836</f>
        <v/>
      </c>
      <c r="H1836" s="37" t="inlineStr">
        <is>
          <t>À vérifier</t>
        </is>
      </c>
      <c r="I1836" s="51" t="inlineStr">
        <is>
          <t>Successeur déjà publié : RNCP42302 (Sciences et Ingénierie - Informatique et systèmes numériques) — préparer la bascule de l'offre CPF | Échéance le 31/08/2026 (dans 44 j)</t>
        </is>
      </c>
      <c r="J1836" s="51" t="inlineStr">
        <is>
          <t>RNCP42302</t>
        </is>
      </c>
      <c r="K1836" s="51" t="inlineStr">
        <is>
          <t>Sciences et Ingénierie - Informatique et systèmes numériques</t>
        </is>
      </c>
      <c r="L1836" s="51" t="inlineStr">
        <is>
          <t>31/08/2026</t>
        </is>
      </c>
      <c r="M1836" s="51" t="inlineStr">
        <is>
          <t>31054 (Informatique - Systèmes d’information et numérique) ; 24231 (Réseau informatique) ; 24454 (Automatisme informatique industrielle)</t>
        </is>
      </c>
      <c r="N1836" s="62" t="inlineStr">
        <is>
          <t>NON</t>
        </is>
      </c>
      <c r="O1836" s="51" t="inlineStr"/>
    </row>
    <row r="1837" customFormat="1" s="3">
      <c r="A1837" s="45" t="n"/>
      <c r="B1837" s="46" t="inlineStr">
        <is>
          <t>24386</t>
        </is>
      </c>
      <c r="C1837" s="46">
        <f>LEFT(Tableau1[[#This Row],[Formacode]],3)</f>
        <v/>
      </c>
      <c r="D1837" s="47" t="n">
        <v>39445</v>
      </c>
      <c r="E1837" s="48">
        <f>"RNCP"&amp;D1837</f>
        <v/>
      </c>
      <c r="F1837" s="48" t="inlineStr">
        <is>
          <t>Titre ingénieur - Ingénieur diplômé de l'Institut supérieur d'électronique de Paris</t>
        </is>
      </c>
      <c r="G1837" s="49">
        <f>E1837&amp;" - "&amp;F1837</f>
        <v/>
      </c>
      <c r="H1837" s="36" t="inlineStr">
        <is>
          <t>RAS</t>
        </is>
      </c>
      <c r="I1837" s="45" t="inlineStr"/>
      <c r="J1837" s="45" t="inlineStr">
        <is>
          <t>RNCP39445</t>
        </is>
      </c>
      <c r="K1837" s="45" t="inlineStr">
        <is>
          <t>Ingénieur diplômé de l'Institut supérieur d'électronique de Paris</t>
        </is>
      </c>
      <c r="L1837" s="45" t="inlineStr">
        <is>
          <t>31/08/2029</t>
        </is>
      </c>
      <c r="M1837" s="45" t="inlineStr">
        <is>
          <t>24354 (Électronique) ; 31054 (Informatique - Systèmes d’information et numérique) ; 32062 (Recherche développement) ; 15099 (Résolution problème)</t>
        </is>
      </c>
      <c r="N1837" s="50" t="inlineStr">
        <is>
          <t>NON</t>
        </is>
      </c>
      <c r="O1837" s="45" t="inlineStr"/>
    </row>
    <row r="1838" customFormat="1" s="3">
      <c r="A1838" s="45" t="n"/>
      <c r="B1838" s="46" t="inlineStr">
        <is>
          <t>24386</t>
        </is>
      </c>
      <c r="C1838" s="46">
        <f>LEFT(Tableau1[[#This Row],[Formacode]],3)</f>
        <v/>
      </c>
      <c r="D1838" s="47" t="n">
        <v>41030</v>
      </c>
      <c r="E1838" s="48">
        <f>"RNCP"&amp;D1838</f>
        <v/>
      </c>
      <c r="F1838" s="48" t="inlineStr">
        <is>
          <t>Titre ingénieur - Diplôme d'ingénieur d'Efrei Paris (Université Paris- Panthéon Assas)</t>
        </is>
      </c>
      <c r="G1838" s="49">
        <f>E1838&amp;" - "&amp;F1838</f>
        <v/>
      </c>
      <c r="H1838" s="36" t="inlineStr">
        <is>
          <t>RAS</t>
        </is>
      </c>
      <c r="I1838" s="45" t="inlineStr"/>
      <c r="J1838" s="45" t="inlineStr">
        <is>
          <t>RNCP41030</t>
        </is>
      </c>
      <c r="K1838" s="45" t="inlineStr">
        <is>
          <t>Diplôme d'ingénieur d'Efrei Paris (Université Paris- Panthéon Assas)</t>
        </is>
      </c>
      <c r="L1838" s="45" t="inlineStr">
        <is>
          <t>01/09/2030</t>
        </is>
      </c>
      <c r="M1838" s="45" t="inlineStr">
        <is>
          <t>24354 (Électronique) ; 24231 (Réseau informatique) ; 31057 (Génie logiciel) ; 11014 (Algorithme) ; 32062 (Recherche développement)</t>
        </is>
      </c>
      <c r="N1838" s="50" t="inlineStr">
        <is>
          <t>NON</t>
        </is>
      </c>
      <c r="O1838" s="45" t="inlineStr"/>
    </row>
    <row r="1839" customFormat="1" s="3">
      <c r="A1839" s="63" t="n"/>
      <c r="B1839" s="64" t="inlineStr">
        <is>
          <t>24387</t>
        </is>
      </c>
      <c r="C1839" s="64">
        <f>LEFT(Tableau1[[#This Row],[Formacode]],3)</f>
        <v/>
      </c>
      <c r="D1839" s="65" t="n">
        <v>35307</v>
      </c>
      <c r="E1839" s="66">
        <f>"RNCP"&amp;D1839</f>
        <v/>
      </c>
      <c r="F1839" s="66" t="inlineStr">
        <is>
          <t>TP - Electronicien de tests et développement</t>
        </is>
      </c>
      <c r="G1839" s="67">
        <f>E1839&amp;" - "&amp;F1839</f>
        <v/>
      </c>
      <c r="H1839" s="38" t="inlineStr">
        <is>
          <t>Expiré / remplacé</t>
        </is>
      </c>
      <c r="I1839" s="63" t="inlineStr">
        <is>
          <t>Fiche inactive (échéance 07/06/2026) — aucun successeur publié</t>
        </is>
      </c>
      <c r="J1839" s="63" t="inlineStr">
        <is>
          <t>RNCP35307</t>
        </is>
      </c>
      <c r="K1839" s="63" t="inlineStr">
        <is>
          <t>Electronicien de tests et développement</t>
        </is>
      </c>
      <c r="L1839" s="63" t="inlineStr">
        <is>
          <t>07/06/2026</t>
        </is>
      </c>
      <c r="M1839" s="63" t="inlineStr">
        <is>
          <t>24335 (Circuit électronique) ; 24391 (Électronique analogique) ; 24392 (Électronique numérique) ; 24387 (Électronique puissance) ; 24351 (Mesure électronique)</t>
        </is>
      </c>
      <c r="N1839" s="68" t="inlineStr">
        <is>
          <t>NON</t>
        </is>
      </c>
      <c r="O1839" s="63" t="inlineStr"/>
    </row>
    <row r="1840" customFormat="1" s="3">
      <c r="A1840" s="51" t="n"/>
      <c r="B1840" s="52" t="inlineStr">
        <is>
          <t>24387</t>
        </is>
      </c>
      <c r="C1840" s="52">
        <f>LEFT(Tableau1[[#This Row],[Formacode]],3)</f>
        <v/>
      </c>
      <c r="D1840" s="53" t="n">
        <v>37572</v>
      </c>
      <c r="E1840" s="54">
        <f>"RNCP"&amp;D1840</f>
        <v/>
      </c>
      <c r="F1840" s="54" t="inlineStr">
        <is>
          <t>Grade_Licence - Sciences et Ingénierie - Transformation Numérique des Entreprises</t>
        </is>
      </c>
      <c r="G1840" s="55">
        <f>E1840&amp;" - "&amp;F1840</f>
        <v/>
      </c>
      <c r="H1840" s="37" t="inlineStr">
        <is>
          <t>À vérifier</t>
        </is>
      </c>
      <c r="I1840" s="51" t="inlineStr">
        <is>
          <t>Successeur déjà publié : RNCP42302 (Sciences et Ingénierie - Informatique et systèmes numériques) — préparer la bascule de l'offre CPF | Échéance le 31/08/2026 (dans 44 j)</t>
        </is>
      </c>
      <c r="J1840" s="51" t="inlineStr">
        <is>
          <t>RNCP42302</t>
        </is>
      </c>
      <c r="K1840" s="51" t="inlineStr">
        <is>
          <t>Sciences et Ingénierie - Informatique et systèmes numériques</t>
        </is>
      </c>
      <c r="L1840" s="51" t="inlineStr">
        <is>
          <t>31/08/2026</t>
        </is>
      </c>
      <c r="M1840" s="51" t="inlineStr">
        <is>
          <t>31054 (Informatique - Systèmes d’information et numérique) ; 24231 (Réseau informatique) ; 24454 (Automatisme informatique industrielle)</t>
        </is>
      </c>
      <c r="N1840" s="62" t="inlineStr">
        <is>
          <t>NON</t>
        </is>
      </c>
      <c r="O1840" s="51" t="inlineStr"/>
    </row>
    <row r="1841" customFormat="1" s="3">
      <c r="A1841" s="45" t="n"/>
      <c r="B1841" s="46" t="inlineStr">
        <is>
          <t>24387</t>
        </is>
      </c>
      <c r="C1841" s="46">
        <f>LEFT(Tableau1[[#This Row],[Formacode]],3)</f>
        <v/>
      </c>
      <c r="D1841" s="47" t="n">
        <v>39445</v>
      </c>
      <c r="E1841" s="48">
        <f>"RNCP"&amp;D1841</f>
        <v/>
      </c>
      <c r="F1841" s="48" t="inlineStr">
        <is>
          <t>Titre ingénieur - Ingénieur diplômé de l'Institut supérieur d'électronique de Paris</t>
        </is>
      </c>
      <c r="G1841" s="49">
        <f>E1841&amp;" - "&amp;F1841</f>
        <v/>
      </c>
      <c r="H1841" s="36" t="inlineStr">
        <is>
          <t>RAS</t>
        </is>
      </c>
      <c r="I1841" s="45" t="inlineStr"/>
      <c r="J1841" s="45" t="inlineStr">
        <is>
          <t>RNCP39445</t>
        </is>
      </c>
      <c r="K1841" s="45" t="inlineStr">
        <is>
          <t>Ingénieur diplômé de l'Institut supérieur d'électronique de Paris</t>
        </is>
      </c>
      <c r="L1841" s="45" t="inlineStr">
        <is>
          <t>31/08/2029</t>
        </is>
      </c>
      <c r="M1841" s="45" t="inlineStr">
        <is>
          <t>24354 (Électronique) ; 31054 (Informatique - Systèmes d’information et numérique) ; 32062 (Recherche développement) ; 15099 (Résolution problème)</t>
        </is>
      </c>
      <c r="N1841" s="50" t="inlineStr">
        <is>
          <t>NON</t>
        </is>
      </c>
      <c r="O1841" s="45" t="inlineStr"/>
    </row>
    <row r="1842" customFormat="1" s="3">
      <c r="A1842" s="45" t="n"/>
      <c r="B1842" s="46" t="inlineStr">
        <is>
          <t>24387</t>
        </is>
      </c>
      <c r="C1842" s="46">
        <f>LEFT(Tableau1[[#This Row],[Formacode]],3)</f>
        <v/>
      </c>
      <c r="D1842" s="47" t="n">
        <v>41030</v>
      </c>
      <c r="E1842" s="48">
        <f>"RNCP"&amp;D1842</f>
        <v/>
      </c>
      <c r="F1842" s="48" t="inlineStr">
        <is>
          <t>Titre ingénieur - Diplôme d'ingénieur d'Efrei Paris (Université Paris- Panthéon Assas)</t>
        </is>
      </c>
      <c r="G1842" s="49">
        <f>E1842&amp;" - "&amp;F1842</f>
        <v/>
      </c>
      <c r="H1842" s="36" t="inlineStr">
        <is>
          <t>RAS</t>
        </is>
      </c>
      <c r="I1842" s="45" t="inlineStr"/>
      <c r="J1842" s="45" t="inlineStr">
        <is>
          <t>RNCP41030</t>
        </is>
      </c>
      <c r="K1842" s="45" t="inlineStr">
        <is>
          <t>Diplôme d'ingénieur d'Efrei Paris (Université Paris- Panthéon Assas)</t>
        </is>
      </c>
      <c r="L1842" s="45" t="inlineStr">
        <is>
          <t>01/09/2030</t>
        </is>
      </c>
      <c r="M1842" s="45" t="inlineStr">
        <is>
          <t>24354 (Électronique) ; 24231 (Réseau informatique) ; 31057 (Génie logiciel) ; 11014 (Algorithme) ; 32062 (Recherche développement)</t>
        </is>
      </c>
      <c r="N1842" s="50" t="inlineStr">
        <is>
          <t>NON</t>
        </is>
      </c>
      <c r="O1842" s="45" t="inlineStr"/>
    </row>
    <row r="1843" customFormat="1" s="3">
      <c r="A1843" s="63" t="n"/>
      <c r="B1843" s="64" t="inlineStr">
        <is>
          <t>24391</t>
        </is>
      </c>
      <c r="C1843" s="64">
        <f>LEFT(Tableau1[[#This Row],[Formacode]],3)</f>
        <v/>
      </c>
      <c r="D1843" s="65" t="n">
        <v>35307</v>
      </c>
      <c r="E1843" s="66">
        <f>"RNCP"&amp;D1843</f>
        <v/>
      </c>
      <c r="F1843" s="66" t="inlineStr">
        <is>
          <t>TP - Electronicien de tests et développement</t>
        </is>
      </c>
      <c r="G1843" s="67">
        <f>E1843&amp;" - "&amp;F1843</f>
        <v/>
      </c>
      <c r="H1843" s="38" t="inlineStr">
        <is>
          <t>Expiré / remplacé</t>
        </is>
      </c>
      <c r="I1843" s="63" t="inlineStr">
        <is>
          <t>Fiche inactive (échéance 07/06/2026) — aucun successeur publié</t>
        </is>
      </c>
      <c r="J1843" s="63" t="inlineStr">
        <is>
          <t>RNCP35307</t>
        </is>
      </c>
      <c r="K1843" s="63" t="inlineStr">
        <is>
          <t>Electronicien de tests et développement</t>
        </is>
      </c>
      <c r="L1843" s="63" t="inlineStr">
        <is>
          <t>07/06/2026</t>
        </is>
      </c>
      <c r="M1843" s="63" t="inlineStr">
        <is>
          <t>24335 (Circuit électronique) ; 24391 (Électronique analogique) ; 24392 (Électronique numérique) ; 24387 (Électronique puissance) ; 24351 (Mesure électronique)</t>
        </is>
      </c>
      <c r="N1843" s="68" t="inlineStr">
        <is>
          <t>NON</t>
        </is>
      </c>
      <c r="O1843" s="63" t="inlineStr"/>
    </row>
    <row r="1844" customFormat="1" s="3">
      <c r="A1844" s="51" t="n"/>
      <c r="B1844" s="52" t="inlineStr">
        <is>
          <t>24391</t>
        </is>
      </c>
      <c r="C1844" s="52">
        <f>LEFT(Tableau1[[#This Row],[Formacode]],3)</f>
        <v/>
      </c>
      <c r="D1844" s="53" t="n">
        <v>37572</v>
      </c>
      <c r="E1844" s="54">
        <f>"RNCP"&amp;D1844</f>
        <v/>
      </c>
      <c r="F1844" s="54" t="inlineStr">
        <is>
          <t>Grade_Licence - Sciences et Ingénierie - Transformation Numérique des Entreprises</t>
        </is>
      </c>
      <c r="G1844" s="55">
        <f>E1844&amp;" - "&amp;F1844</f>
        <v/>
      </c>
      <c r="H1844" s="37" t="inlineStr">
        <is>
          <t>À vérifier</t>
        </is>
      </c>
      <c r="I1844" s="51" t="inlineStr">
        <is>
          <t>Successeur déjà publié : RNCP42302 (Sciences et Ingénierie - Informatique et systèmes numériques) — préparer la bascule de l'offre CPF | Échéance le 31/08/2026 (dans 44 j)</t>
        </is>
      </c>
      <c r="J1844" s="51" t="inlineStr">
        <is>
          <t>RNCP42302</t>
        </is>
      </c>
      <c r="K1844" s="51" t="inlineStr">
        <is>
          <t>Sciences et Ingénierie - Informatique et systèmes numériques</t>
        </is>
      </c>
      <c r="L1844" s="51" t="inlineStr">
        <is>
          <t>31/08/2026</t>
        </is>
      </c>
      <c r="M1844" s="51" t="inlineStr">
        <is>
          <t>31054 (Informatique - Systèmes d’information et numérique) ; 24231 (Réseau informatique) ; 24454 (Automatisme informatique industrielle)</t>
        </is>
      </c>
      <c r="N1844" s="62" t="inlineStr">
        <is>
          <t>NON</t>
        </is>
      </c>
      <c r="O1844" s="51" t="inlineStr"/>
    </row>
    <row r="1845" customFormat="1" s="3">
      <c r="A1845" s="45" t="n"/>
      <c r="B1845" s="46" t="inlineStr">
        <is>
          <t>24391</t>
        </is>
      </c>
      <c r="C1845" s="46">
        <f>LEFT(Tableau1[[#This Row],[Formacode]],3)</f>
        <v/>
      </c>
      <c r="D1845" s="47" t="n">
        <v>39445</v>
      </c>
      <c r="E1845" s="48">
        <f>"RNCP"&amp;D1845</f>
        <v/>
      </c>
      <c r="F1845" s="48" t="inlineStr">
        <is>
          <t>Titre ingénieur - Ingénieur diplômé de l'Institut supérieur d'électronique de Paris</t>
        </is>
      </c>
      <c r="G1845" s="49">
        <f>E1845&amp;" - "&amp;F1845</f>
        <v/>
      </c>
      <c r="H1845" s="36" t="inlineStr">
        <is>
          <t>RAS</t>
        </is>
      </c>
      <c r="I1845" s="45" t="inlineStr"/>
      <c r="J1845" s="45" t="inlineStr">
        <is>
          <t>RNCP39445</t>
        </is>
      </c>
      <c r="K1845" s="45" t="inlineStr">
        <is>
          <t>Ingénieur diplômé de l'Institut supérieur d'électronique de Paris</t>
        </is>
      </c>
      <c r="L1845" s="45" t="inlineStr">
        <is>
          <t>31/08/2029</t>
        </is>
      </c>
      <c r="M1845" s="45" t="inlineStr">
        <is>
          <t>24354 (Électronique) ; 31054 (Informatique - Systèmes d’information et numérique) ; 32062 (Recherche développement) ; 15099 (Résolution problème)</t>
        </is>
      </c>
      <c r="N1845" s="50" t="inlineStr">
        <is>
          <t>NON</t>
        </is>
      </c>
      <c r="O1845" s="45" t="inlineStr"/>
    </row>
    <row r="1846" customFormat="1" s="3">
      <c r="A1846" s="45" t="n"/>
      <c r="B1846" s="46" t="inlineStr">
        <is>
          <t>24391</t>
        </is>
      </c>
      <c r="C1846" s="46">
        <f>LEFT(Tableau1[[#This Row],[Formacode]],3)</f>
        <v/>
      </c>
      <c r="D1846" s="47" t="n">
        <v>41030</v>
      </c>
      <c r="E1846" s="48">
        <f>"RNCP"&amp;D1846</f>
        <v/>
      </c>
      <c r="F1846" s="48" t="inlineStr">
        <is>
          <t>Titre ingénieur - Diplôme d'ingénieur d'Efrei Paris (Université Paris- Panthéon Assas)</t>
        </is>
      </c>
      <c r="G1846" s="49">
        <f>E1846&amp;" - "&amp;F1846</f>
        <v/>
      </c>
      <c r="H1846" s="36" t="inlineStr">
        <is>
          <t>RAS</t>
        </is>
      </c>
      <c r="I1846" s="45" t="inlineStr"/>
      <c r="J1846" s="45" t="inlineStr">
        <is>
          <t>RNCP41030</t>
        </is>
      </c>
      <c r="K1846" s="45" t="inlineStr">
        <is>
          <t>Diplôme d'ingénieur d'Efrei Paris (Université Paris- Panthéon Assas)</t>
        </is>
      </c>
      <c r="L1846" s="45" t="inlineStr">
        <is>
          <t>01/09/2030</t>
        </is>
      </c>
      <c r="M1846" s="45" t="inlineStr">
        <is>
          <t>24354 (Électronique) ; 24231 (Réseau informatique) ; 31057 (Génie logiciel) ; 11014 (Algorithme) ; 32062 (Recherche développement)</t>
        </is>
      </c>
      <c r="N1846" s="50" t="inlineStr">
        <is>
          <t>NON</t>
        </is>
      </c>
      <c r="O1846" s="45" t="inlineStr"/>
    </row>
    <row r="1847" customFormat="1" s="3">
      <c r="A1847" s="63" t="n"/>
      <c r="B1847" s="64" t="inlineStr">
        <is>
          <t>24392</t>
        </is>
      </c>
      <c r="C1847" s="64">
        <f>LEFT(Tableau1[[#This Row],[Formacode]],3)</f>
        <v/>
      </c>
      <c r="D1847" s="65" t="n">
        <v>35307</v>
      </c>
      <c r="E1847" s="66">
        <f>"RNCP"&amp;D1847</f>
        <v/>
      </c>
      <c r="F1847" s="66" t="inlineStr">
        <is>
          <t>TP - Electronicien de tests et développement</t>
        </is>
      </c>
      <c r="G1847" s="67">
        <f>E1847&amp;" - "&amp;F1847</f>
        <v/>
      </c>
      <c r="H1847" s="38" t="inlineStr">
        <is>
          <t>Expiré / remplacé</t>
        </is>
      </c>
      <c r="I1847" s="63" t="inlineStr">
        <is>
          <t>Fiche inactive (échéance 07/06/2026) — aucun successeur publié</t>
        </is>
      </c>
      <c r="J1847" s="63" t="inlineStr">
        <is>
          <t>RNCP35307</t>
        </is>
      </c>
      <c r="K1847" s="63" t="inlineStr">
        <is>
          <t>Electronicien de tests et développement</t>
        </is>
      </c>
      <c r="L1847" s="63" t="inlineStr">
        <is>
          <t>07/06/2026</t>
        </is>
      </c>
      <c r="M1847" s="63" t="inlineStr">
        <is>
          <t>24335 (Circuit électronique) ; 24391 (Électronique analogique) ; 24392 (Électronique numérique) ; 24387 (Électronique puissance) ; 24351 (Mesure électronique)</t>
        </is>
      </c>
      <c r="N1847" s="68" t="inlineStr">
        <is>
          <t>NON</t>
        </is>
      </c>
      <c r="O1847" s="63" t="inlineStr"/>
    </row>
    <row r="1848" ht="28.8" customFormat="1" customHeight="1" s="3">
      <c r="A1848" s="45" t="n"/>
      <c r="B1848" s="46" t="inlineStr">
        <is>
          <t>24392</t>
        </is>
      </c>
      <c r="C1848" s="46">
        <f>LEFT(Tableau1[[#This Row],[Formacode]],3)</f>
        <v/>
      </c>
      <c r="D1848" s="47" t="n">
        <v>37391</v>
      </c>
      <c r="E1848" s="48">
        <f>"RNCP"&amp;D1848</f>
        <v/>
      </c>
      <c r="F1848" s="48" t="inlineStr">
        <is>
          <t>BTS - Cybersécurité, Informatique et réseaux, Électronique  - Option A : « Informatique et réseaux », Option B : « Électronique et réseaux »</t>
        </is>
      </c>
      <c r="G1848" s="49">
        <f>E1848&amp;" - "&amp;F1848</f>
        <v/>
      </c>
      <c r="H1848" s="36" t="inlineStr">
        <is>
          <t>RAS</t>
        </is>
      </c>
      <c r="I1848" s="45" t="inlineStr"/>
      <c r="J1848" s="45" t="inlineStr">
        <is>
          <t>RNCP37391</t>
        </is>
      </c>
      <c r="K1848" s="45" t="inlineStr">
        <is>
          <t>Cybersécurité, Informatique et réseaux, Électronique - Option A : « Informatique et réseaux », Option B : « Électronique et réseaux »</t>
        </is>
      </c>
      <c r="L1848" s="45" t="inlineStr">
        <is>
          <t>31/08/2028</t>
        </is>
      </c>
      <c r="M1848" s="45" t="inlineStr">
        <is>
          <t>24231 (Réseau informatique) ; 31045 (Cybersécurité) ; 24491 (Programmation informatique industrielle) ; 24340 (Maintenance électronique) ; 24392 (Électronique numérique)</t>
        </is>
      </c>
      <c r="N1848" s="50" t="inlineStr">
        <is>
          <t>NON</t>
        </is>
      </c>
      <c r="O1848" s="45" t="inlineStr"/>
    </row>
    <row r="1849" customFormat="1" s="3">
      <c r="A1849" s="51" t="n"/>
      <c r="B1849" s="52" t="inlineStr">
        <is>
          <t>24392</t>
        </is>
      </c>
      <c r="C1849" s="52">
        <f>LEFT(Tableau1[[#This Row],[Formacode]],3)</f>
        <v/>
      </c>
      <c r="D1849" s="53" t="n">
        <v>37572</v>
      </c>
      <c r="E1849" s="54">
        <f>"RNCP"&amp;D1849</f>
        <v/>
      </c>
      <c r="F1849" s="54" t="inlineStr">
        <is>
          <t>Grade_Licence - Sciences et Ingénierie - Transformation Numérique des Entreprises</t>
        </is>
      </c>
      <c r="G1849" s="55">
        <f>E1849&amp;" - "&amp;F1849</f>
        <v/>
      </c>
      <c r="H1849" s="37" t="inlineStr">
        <is>
          <t>À vérifier</t>
        </is>
      </c>
      <c r="I1849" s="51" t="inlineStr">
        <is>
          <t>Successeur déjà publié : RNCP42302 (Sciences et Ingénierie - Informatique et systèmes numériques) — préparer la bascule de l'offre CPF | Échéance le 31/08/2026 (dans 44 j)</t>
        </is>
      </c>
      <c r="J1849" s="51" t="inlineStr">
        <is>
          <t>RNCP42302</t>
        </is>
      </c>
      <c r="K1849" s="51" t="inlineStr">
        <is>
          <t>Sciences et Ingénierie - Informatique et systèmes numériques</t>
        </is>
      </c>
      <c r="L1849" s="51" t="inlineStr">
        <is>
          <t>31/08/2026</t>
        </is>
      </c>
      <c r="M1849" s="51" t="inlineStr">
        <is>
          <t>31054 (Informatique - Systèmes d’information et numérique) ; 24231 (Réseau informatique) ; 24454 (Automatisme informatique industrielle)</t>
        </is>
      </c>
      <c r="N1849" s="62" t="inlineStr">
        <is>
          <t>NON</t>
        </is>
      </c>
      <c r="O1849" s="51" t="inlineStr"/>
    </row>
    <row r="1850" customFormat="1" s="3">
      <c r="A1850" s="45" t="n"/>
      <c r="B1850" s="46" t="inlineStr">
        <is>
          <t>24392</t>
        </is>
      </c>
      <c r="C1850" s="46">
        <f>LEFT(Tableau1[[#This Row],[Formacode]],3)</f>
        <v/>
      </c>
      <c r="D1850" s="47" t="n">
        <v>39445</v>
      </c>
      <c r="E1850" s="48">
        <f>"RNCP"&amp;D1850</f>
        <v/>
      </c>
      <c r="F1850" s="48" t="inlineStr">
        <is>
          <t>Titre ingénieur - Ingénieur diplômé de l'Institut supérieur d'électronique de Paris</t>
        </is>
      </c>
      <c r="G1850" s="49">
        <f>E1850&amp;" - "&amp;F1850</f>
        <v/>
      </c>
      <c r="H1850" s="36" t="inlineStr">
        <is>
          <t>RAS</t>
        </is>
      </c>
      <c r="I1850" s="45" t="inlineStr"/>
      <c r="J1850" s="45" t="inlineStr">
        <is>
          <t>RNCP39445</t>
        </is>
      </c>
      <c r="K1850" s="45" t="inlineStr">
        <is>
          <t>Ingénieur diplômé de l'Institut supérieur d'électronique de Paris</t>
        </is>
      </c>
      <c r="L1850" s="45" t="inlineStr">
        <is>
          <t>31/08/2029</t>
        </is>
      </c>
      <c r="M1850" s="45" t="inlineStr">
        <is>
          <t>24354 (Électronique) ; 31054 (Informatique - Systèmes d’information et numérique) ; 32062 (Recherche développement) ; 15099 (Résolution problème)</t>
        </is>
      </c>
      <c r="N1850" s="50" t="inlineStr">
        <is>
          <t>NON</t>
        </is>
      </c>
      <c r="O1850" s="45" t="inlineStr"/>
    </row>
    <row r="1851" customFormat="1" s="3">
      <c r="A1851" s="45" t="n"/>
      <c r="B1851" s="46" t="inlineStr">
        <is>
          <t>24392</t>
        </is>
      </c>
      <c r="C1851" s="46">
        <f>LEFT(Tableau1[[#This Row],[Formacode]],3)</f>
        <v/>
      </c>
      <c r="D1851" s="47" t="n">
        <v>41030</v>
      </c>
      <c r="E1851" s="48">
        <f>"RNCP"&amp;D1851</f>
        <v/>
      </c>
      <c r="F1851" s="48" t="inlineStr">
        <is>
          <t>Titre ingénieur - Diplôme d'ingénieur d'Efrei Paris (Université Paris- Panthéon Assas)</t>
        </is>
      </c>
      <c r="G1851" s="49">
        <f>E1851&amp;" - "&amp;F1851</f>
        <v/>
      </c>
      <c r="H1851" s="36" t="inlineStr">
        <is>
          <t>RAS</t>
        </is>
      </c>
      <c r="I1851" s="45" t="inlineStr"/>
      <c r="J1851" s="45" t="inlineStr">
        <is>
          <t>RNCP41030</t>
        </is>
      </c>
      <c r="K1851" s="45" t="inlineStr">
        <is>
          <t>Diplôme d'ingénieur d'Efrei Paris (Université Paris- Panthéon Assas)</t>
        </is>
      </c>
      <c r="L1851" s="45" t="inlineStr">
        <is>
          <t>01/09/2030</t>
        </is>
      </c>
      <c r="M1851" s="45" t="inlineStr">
        <is>
          <t>24354 (Électronique) ; 24231 (Réseau informatique) ; 31057 (Génie logiciel) ; 11014 (Algorithme) ; 32062 (Recherche développement)</t>
        </is>
      </c>
      <c r="N1851" s="50" t="inlineStr">
        <is>
          <t>NON</t>
        </is>
      </c>
      <c r="O1851" s="45" t="inlineStr"/>
    </row>
    <row r="1852" customFormat="1" s="3">
      <c r="A1852" s="45" t="n"/>
      <c r="B1852" s="46" t="inlineStr">
        <is>
          <t>24396</t>
        </is>
      </c>
      <c r="C1852" s="46">
        <f>LEFT(Tableau1[[#This Row],[Formacode]],3)</f>
        <v/>
      </c>
      <c r="D1852" s="47" t="n">
        <v>37294</v>
      </c>
      <c r="E1852" s="48">
        <f>"RNCP"&amp;D1852</f>
        <v/>
      </c>
      <c r="F1852" s="48" t="inlineStr">
        <is>
          <t>TP - Technicien de maintenance et de travaux en systèmes de sécurité incendie</t>
        </is>
      </c>
      <c r="G1852" s="49">
        <f>E1852&amp;" - "&amp;F1852</f>
        <v/>
      </c>
      <c r="H1852" s="36" t="inlineStr">
        <is>
          <t>RAS</t>
        </is>
      </c>
      <c r="I1852" s="45" t="inlineStr"/>
      <c r="J1852" s="45" t="inlineStr">
        <is>
          <t>RNCP37294</t>
        </is>
      </c>
      <c r="K1852" s="45" t="inlineStr">
        <is>
          <t>Technicien de maintenance et de travaux en systèmes de sécurité incendie</t>
        </is>
      </c>
      <c r="L1852" s="45" t="inlineStr">
        <is>
          <t>26/02/2028</t>
        </is>
      </c>
      <c r="M1852" s="45" t="inlineStr">
        <is>
          <t>24396 (Matériel électronique sécurité) ; 31624 (Maintenance industrielle)</t>
        </is>
      </c>
      <c r="N1852" s="50" t="inlineStr">
        <is>
          <t>NON</t>
        </is>
      </c>
      <c r="O1852" s="45" t="inlineStr"/>
    </row>
    <row r="1853" customFormat="1" s="3">
      <c r="A1853" s="51" t="n"/>
      <c r="B1853" s="52" t="inlineStr">
        <is>
          <t>24396</t>
        </is>
      </c>
      <c r="C1853" s="52">
        <f>LEFT(Tableau1[[#This Row],[Formacode]],3)</f>
        <v/>
      </c>
      <c r="D1853" s="53" t="n">
        <v>37572</v>
      </c>
      <c r="E1853" s="54">
        <f>"RNCP"&amp;D1853</f>
        <v/>
      </c>
      <c r="F1853" s="54" t="inlineStr">
        <is>
          <t>Grade_Licence - Sciences et Ingénierie - Transformation Numérique des Entreprises</t>
        </is>
      </c>
      <c r="G1853" s="55">
        <f>E1853&amp;" - "&amp;F1853</f>
        <v/>
      </c>
      <c r="H1853" s="37" t="inlineStr">
        <is>
          <t>À vérifier</t>
        </is>
      </c>
      <c r="I1853" s="51" t="inlineStr">
        <is>
          <t>Successeur déjà publié : RNCP42302 (Sciences et Ingénierie - Informatique et systèmes numériques) — préparer la bascule de l'offre CPF | Échéance le 31/08/2026 (dans 44 j)</t>
        </is>
      </c>
      <c r="J1853" s="51" t="inlineStr">
        <is>
          <t>RNCP42302</t>
        </is>
      </c>
      <c r="K1853" s="51" t="inlineStr">
        <is>
          <t>Sciences et Ingénierie - Informatique et systèmes numériques</t>
        </is>
      </c>
      <c r="L1853" s="51" t="inlineStr">
        <is>
          <t>31/08/2026</t>
        </is>
      </c>
      <c r="M1853" s="51" t="inlineStr">
        <is>
          <t>31054 (Informatique - Systèmes d’information et numérique) ; 24231 (Réseau informatique) ; 24454 (Automatisme informatique industrielle)</t>
        </is>
      </c>
      <c r="N1853" s="62" t="inlineStr">
        <is>
          <t>NON</t>
        </is>
      </c>
      <c r="O1853" s="51" t="inlineStr"/>
    </row>
    <row r="1854" customFormat="1" s="3">
      <c r="A1854" s="45" t="n"/>
      <c r="B1854" s="46" t="inlineStr">
        <is>
          <t>24396</t>
        </is>
      </c>
      <c r="C1854" s="46">
        <f>LEFT(Tableau1[[#This Row],[Formacode]],3)</f>
        <v/>
      </c>
      <c r="D1854" s="47" t="n">
        <v>38878</v>
      </c>
      <c r="E1854" s="48">
        <f>"RNCP"&amp;D1854</f>
        <v/>
      </c>
      <c r="F1854" s="48" t="inlineStr">
        <is>
          <t>BAC PRO - Métiers de l'électricité et de ses environnements connectés</t>
        </is>
      </c>
      <c r="G1854" s="49">
        <f>E1854&amp;" - "&amp;F1854</f>
        <v/>
      </c>
      <c r="H1854" s="36" t="inlineStr">
        <is>
          <t>RAS</t>
        </is>
      </c>
      <c r="I1854" s="45" t="inlineStr"/>
      <c r="J1854" s="45" t="inlineStr">
        <is>
          <t>RNCP38878</t>
        </is>
      </c>
      <c r="K1854" s="45" t="inlineStr">
        <is>
          <t>Métiers de l'électricité et de ses environnements connectés</t>
        </is>
      </c>
      <c r="L1854" s="45" t="inlineStr">
        <is>
          <t>31/08/2029</t>
        </is>
      </c>
      <c r="M1854" s="45" t="inlineStr">
        <is>
          <t>24054 (Électricité) ; 22499 (Immotique) ; 24396 (Matériel électronique sécurité)</t>
        </is>
      </c>
      <c r="N1854" s="50" t="inlineStr">
        <is>
          <t>NON</t>
        </is>
      </c>
      <c r="O1854" s="45" t="inlineStr"/>
    </row>
    <row r="1855" customFormat="1" s="3">
      <c r="A1855" s="45" t="n"/>
      <c r="B1855" s="46" t="inlineStr">
        <is>
          <t>24396</t>
        </is>
      </c>
      <c r="C1855" s="46">
        <f>LEFT(Tableau1[[#This Row],[Formacode]],3)</f>
        <v/>
      </c>
      <c r="D1855" s="47" t="n">
        <v>39445</v>
      </c>
      <c r="E1855" s="48">
        <f>"RNCP"&amp;D1855</f>
        <v/>
      </c>
      <c r="F1855" s="48" t="inlineStr">
        <is>
          <t>Titre ingénieur - Ingénieur diplômé de l'Institut supérieur d'électronique de Paris</t>
        </is>
      </c>
      <c r="G1855" s="49">
        <f>E1855&amp;" - "&amp;F1855</f>
        <v/>
      </c>
      <c r="H1855" s="36" t="inlineStr">
        <is>
          <t>RAS</t>
        </is>
      </c>
      <c r="I1855" s="45" t="inlineStr"/>
      <c r="J1855" s="45" t="inlineStr">
        <is>
          <t>RNCP39445</t>
        </is>
      </c>
      <c r="K1855" s="45" t="inlineStr">
        <is>
          <t>Ingénieur diplômé de l'Institut supérieur d'électronique de Paris</t>
        </is>
      </c>
      <c r="L1855" s="45" t="inlineStr">
        <is>
          <t>31/08/2029</t>
        </is>
      </c>
      <c r="M1855" s="45" t="inlineStr">
        <is>
          <t>24354 (Électronique) ; 31054 (Informatique - Systèmes d’information et numérique) ; 32062 (Recherche développement) ; 15099 (Résolution problème)</t>
        </is>
      </c>
      <c r="N1855" s="50" t="inlineStr">
        <is>
          <t>NON</t>
        </is>
      </c>
      <c r="O1855" s="45" t="inlineStr"/>
    </row>
    <row r="1856" customFormat="1" s="3">
      <c r="A1856" s="45" t="n"/>
      <c r="B1856" s="46" t="inlineStr">
        <is>
          <t>24396</t>
        </is>
      </c>
      <c r="C1856" s="46">
        <f>LEFT(Tableau1[[#This Row],[Formacode]],3)</f>
        <v/>
      </c>
      <c r="D1856" s="47" t="n">
        <v>41030</v>
      </c>
      <c r="E1856" s="48">
        <f>"RNCP"&amp;D1856</f>
        <v/>
      </c>
      <c r="F1856" s="48" t="inlineStr">
        <is>
          <t>Titre ingénieur - Diplôme d'ingénieur d'Efrei Paris (Université Paris- Panthéon Assas)</t>
        </is>
      </c>
      <c r="G1856" s="49">
        <f>E1856&amp;" - "&amp;F1856</f>
        <v/>
      </c>
      <c r="H1856" s="36" t="inlineStr">
        <is>
          <t>RAS</t>
        </is>
      </c>
      <c r="I1856" s="45" t="inlineStr"/>
      <c r="J1856" s="45" t="inlineStr">
        <is>
          <t>RNCP41030</t>
        </is>
      </c>
      <c r="K1856" s="45" t="inlineStr">
        <is>
          <t>Diplôme d'ingénieur d'Efrei Paris (Université Paris- Panthéon Assas)</t>
        </is>
      </c>
      <c r="L1856" s="45" t="inlineStr">
        <is>
          <t>01/09/2030</t>
        </is>
      </c>
      <c r="M1856" s="45" t="inlineStr">
        <is>
          <t>24354 (Électronique) ; 24231 (Réseau informatique) ; 31057 (Génie logiciel) ; 11014 (Algorithme) ; 32062 (Recherche développement)</t>
        </is>
      </c>
      <c r="N1856" s="50" t="inlineStr">
        <is>
          <t>NON</t>
        </is>
      </c>
      <c r="O1856" s="45" t="inlineStr"/>
    </row>
    <row r="1857" customFormat="1" s="3">
      <c r="A1857" s="45" t="n"/>
      <c r="B1857" s="46" t="inlineStr">
        <is>
          <t>24396</t>
        </is>
      </c>
      <c r="C1857" s="46">
        <f>LEFT(Tableau1[[#This Row],[Formacode]],3)</f>
        <v/>
      </c>
      <c r="D1857" s="47" t="n">
        <v>41367</v>
      </c>
      <c r="E1857" s="48">
        <f>"RNCP"&amp;D1857</f>
        <v/>
      </c>
      <c r="F1857" s="48" t="inlineStr">
        <is>
          <t>TP - Technicien en systèmes de sûreté</t>
        </is>
      </c>
      <c r="G1857" s="49">
        <f>E1857&amp;" - "&amp;F1857</f>
        <v/>
      </c>
      <c r="H1857" s="36" t="inlineStr">
        <is>
          <t>RAS</t>
        </is>
      </c>
      <c r="I1857" s="45" t="inlineStr"/>
      <c r="J1857" s="45" t="inlineStr">
        <is>
          <t>RNCP41367</t>
        </is>
      </c>
      <c r="K1857" s="45" t="inlineStr">
        <is>
          <t>Technicien en systèmes de sûreté</t>
        </is>
      </c>
      <c r="L1857" s="45" t="inlineStr">
        <is>
          <t>27/12/2030</t>
        </is>
      </c>
      <c r="M1857" s="45" t="inlineStr">
        <is>
          <t>24066 (Installation électrique) ; 24396 (Matériel électronique sécurité)</t>
        </is>
      </c>
      <c r="N1857" s="50" t="inlineStr">
        <is>
          <t>NON</t>
        </is>
      </c>
      <c r="O1857" s="45" t="inlineStr"/>
    </row>
    <row r="1858" customFormat="1" s="3">
      <c r="A1858" s="51" t="n"/>
      <c r="B1858" s="52" t="inlineStr">
        <is>
          <t>24422</t>
        </is>
      </c>
      <c r="C1858" s="52">
        <f>LEFT(Tableau1[[#This Row],[Formacode]],3)</f>
        <v/>
      </c>
      <c r="D1858" s="53" t="n">
        <v>37572</v>
      </c>
      <c r="E1858" s="54">
        <f>"RNCP"&amp;D1858</f>
        <v/>
      </c>
      <c r="F1858" s="54" t="inlineStr">
        <is>
          <t>Grade_Licence - Sciences et Ingénierie - Transformation Numérique des Entreprises</t>
        </is>
      </c>
      <c r="G1858" s="55">
        <f>E1858&amp;" - "&amp;F1858</f>
        <v/>
      </c>
      <c r="H1858" s="37" t="inlineStr">
        <is>
          <t>À vérifier</t>
        </is>
      </c>
      <c r="I1858" s="51" t="inlineStr">
        <is>
          <t>Successeur déjà publié : RNCP42302 (Sciences et Ingénierie - Informatique et systèmes numériques) — préparer la bascule de l'offre CPF | Échéance le 31/08/2026 (dans 44 j)</t>
        </is>
      </c>
      <c r="J1858" s="51" t="inlineStr">
        <is>
          <t>RNCP42302</t>
        </is>
      </c>
      <c r="K1858" s="51" t="inlineStr">
        <is>
          <t>Sciences et Ingénierie - Informatique et systèmes numériques</t>
        </is>
      </c>
      <c r="L1858" s="51" t="inlineStr">
        <is>
          <t>31/08/2026</t>
        </is>
      </c>
      <c r="M1858" s="51" t="inlineStr">
        <is>
          <t>31054 (Informatique - Systèmes d’information et numérique) ; 24231 (Réseau informatique) ; 24454 (Automatisme informatique industrielle)</t>
        </is>
      </c>
      <c r="N1858" s="62" t="inlineStr">
        <is>
          <t>NON</t>
        </is>
      </c>
      <c r="O1858" s="51" t="inlineStr"/>
    </row>
    <row r="1859" customFormat="1" s="3">
      <c r="A1859" s="45" t="n"/>
      <c r="B1859" s="46" t="inlineStr">
        <is>
          <t>24422</t>
        </is>
      </c>
      <c r="C1859" s="46">
        <f>LEFT(Tableau1[[#This Row],[Formacode]],3)</f>
        <v/>
      </c>
      <c r="D1859" s="47" t="n">
        <v>38713</v>
      </c>
      <c r="E1859" s="48">
        <f>"RNCP"&amp;D1859</f>
        <v/>
      </c>
      <c r="F1859" s="48" t="inlineStr">
        <is>
          <t>TP - Technicien supérieur en automatique et informatique industrielle</t>
        </is>
      </c>
      <c r="G1859" s="49">
        <f>E1859&amp;" - "&amp;F1859</f>
        <v/>
      </c>
      <c r="H1859" s="36" t="inlineStr">
        <is>
          <t>RAS</t>
        </is>
      </c>
      <c r="I1859" s="45" t="inlineStr"/>
      <c r="J1859" s="45" t="inlineStr">
        <is>
          <t>RNCP38713</t>
        </is>
      </c>
      <c r="K1859" s="45" t="inlineStr">
        <is>
          <t>Technicien supérieur en automatique et informatique industrielle</t>
        </is>
      </c>
      <c r="L1859" s="45" t="inlineStr">
        <is>
          <t>04/03/2029</t>
        </is>
      </c>
      <c r="M1859" s="45" t="inlineStr">
        <is>
          <t>24491 (Programmation informatique industrielle) ; 24472 (Automatisation) ; 24429 (Supervision industrielle) ; 24422 (Automate programmable) ; 24478 (Régulation industrielle)</t>
        </is>
      </c>
      <c r="N1859" s="50" t="inlineStr">
        <is>
          <t>NON</t>
        </is>
      </c>
      <c r="O1859" s="45" t="inlineStr"/>
    </row>
    <row r="1860" customFormat="1" s="3">
      <c r="A1860" s="45" t="n"/>
      <c r="B1860" s="46" t="inlineStr">
        <is>
          <t>24422</t>
        </is>
      </c>
      <c r="C1860" s="46">
        <f>LEFT(Tableau1[[#This Row],[Formacode]],3)</f>
        <v/>
      </c>
      <c r="D1860" s="47" t="n">
        <v>38948</v>
      </c>
      <c r="E1860" s="48">
        <f>"RNCP"&amp;D1860</f>
        <v/>
      </c>
      <c r="F1860" s="48" t="inlineStr">
        <is>
          <t>Analyste programmeur en automatisme et informatique industrielle</t>
        </is>
      </c>
      <c r="G1860" s="49">
        <f>E1860&amp;" - "&amp;F1860</f>
        <v/>
      </c>
      <c r="H1860" s="36" t="inlineStr">
        <is>
          <t>RAS</t>
        </is>
      </c>
      <c r="I1860" s="45" t="inlineStr"/>
      <c r="J1860" s="45" t="inlineStr">
        <is>
          <t>RNCP38948</t>
        </is>
      </c>
      <c r="K1860" s="45" t="inlineStr">
        <is>
          <t>Analyste programmeur en automatisme et informatique industrielle</t>
        </is>
      </c>
      <c r="L1860" s="45" t="inlineStr">
        <is>
          <t>26/04/2027</t>
        </is>
      </c>
      <c r="M1860" s="45" t="inlineStr">
        <is>
          <t>24454 (Automatisme informatique industrielle)</t>
        </is>
      </c>
      <c r="N1860" s="50" t="inlineStr">
        <is>
          <t>NON</t>
        </is>
      </c>
      <c r="O1860" s="45" t="inlineStr"/>
    </row>
    <row r="1861" customFormat="1" s="3">
      <c r="A1861" s="51" t="n"/>
      <c r="B1861" s="52" t="inlineStr">
        <is>
          <t>24424</t>
        </is>
      </c>
      <c r="C1861" s="52">
        <f>LEFT(Tableau1[[#This Row],[Formacode]],3)</f>
        <v/>
      </c>
      <c r="D1861" s="53" t="n">
        <v>36969</v>
      </c>
      <c r="E1861" s="54">
        <f>"RNCP"&amp;D1861</f>
        <v/>
      </c>
      <c r="F1861" s="54" t="inlineStr">
        <is>
          <t>BTS - Mécatronique navale</t>
        </is>
      </c>
      <c r="G1861" s="55">
        <f>E1861&amp;" - "&amp;F1861</f>
        <v/>
      </c>
      <c r="H1861" s="37" t="inlineStr">
        <is>
          <t>À vérifier</t>
        </is>
      </c>
      <c r="I1861" s="51" t="inlineStr">
        <is>
          <t>Successeur déjà publié : RNCP42587 (Mécatronique navale) — préparer la bascule de l'offre CPF</t>
        </is>
      </c>
      <c r="J1861" s="51" t="inlineStr">
        <is>
          <t>RNCP42587</t>
        </is>
      </c>
      <c r="K1861" s="51" t="inlineStr">
        <is>
          <t>Mécatronique navale</t>
        </is>
      </c>
      <c r="L1861" s="51" t="inlineStr">
        <is>
          <t>31/08/2027</t>
        </is>
      </c>
      <c r="M1861" s="51" t="inlineStr">
        <is>
          <t>23610 (Mécanique navale) ; 24424 (Mécatronique)</t>
        </is>
      </c>
      <c r="N1861" s="62" t="inlineStr">
        <is>
          <t>NON</t>
        </is>
      </c>
      <c r="O1861" s="51" t="inlineStr"/>
    </row>
    <row r="1862" customFormat="1" s="3">
      <c r="A1862" s="51" t="n"/>
      <c r="B1862" s="52" t="inlineStr">
        <is>
          <t>24424</t>
        </is>
      </c>
      <c r="C1862" s="52">
        <f>LEFT(Tableau1[[#This Row],[Formacode]],3)</f>
        <v/>
      </c>
      <c r="D1862" s="53" t="n">
        <v>37572</v>
      </c>
      <c r="E1862" s="54">
        <f>"RNCP"&amp;D1862</f>
        <v/>
      </c>
      <c r="F1862" s="54" t="inlineStr">
        <is>
          <t>Grade_Licence - Sciences et Ingénierie - Transformation Numérique des Entreprises</t>
        </is>
      </c>
      <c r="G1862" s="55">
        <f>E1862&amp;" - "&amp;F1862</f>
        <v/>
      </c>
      <c r="H1862" s="37" t="inlineStr">
        <is>
          <t>À vérifier</t>
        </is>
      </c>
      <c r="I1862" s="51" t="inlineStr">
        <is>
          <t>Successeur déjà publié : RNCP42302 (Sciences et Ingénierie - Informatique et systèmes numériques) — préparer la bascule de l'offre CPF | Échéance le 31/08/2026 (dans 44 j)</t>
        </is>
      </c>
      <c r="J1862" s="51" t="inlineStr">
        <is>
          <t>RNCP42302</t>
        </is>
      </c>
      <c r="K1862" s="51" t="inlineStr">
        <is>
          <t>Sciences et Ingénierie - Informatique et systèmes numériques</t>
        </is>
      </c>
      <c r="L1862" s="51" t="inlineStr">
        <is>
          <t>31/08/2026</t>
        </is>
      </c>
      <c r="M1862" s="51" t="inlineStr">
        <is>
          <t>31054 (Informatique - Systèmes d’information et numérique) ; 24231 (Réseau informatique) ; 24454 (Automatisme informatique industrielle)</t>
        </is>
      </c>
      <c r="N1862" s="62" t="inlineStr">
        <is>
          <t>NON</t>
        </is>
      </c>
      <c r="O1862" s="51" t="inlineStr"/>
    </row>
    <row r="1863" customFormat="1" s="3">
      <c r="A1863" s="45" t="n"/>
      <c r="B1863" s="46" t="inlineStr">
        <is>
          <t>24424</t>
        </is>
      </c>
      <c r="C1863" s="46">
        <f>LEFT(Tableau1[[#This Row],[Formacode]],3)</f>
        <v/>
      </c>
      <c r="D1863" s="47" t="n">
        <v>38948</v>
      </c>
      <c r="E1863" s="48">
        <f>"RNCP"&amp;D1863</f>
        <v/>
      </c>
      <c r="F1863" s="48" t="inlineStr">
        <is>
          <t>Analyste programmeur en automatisme et informatique industrielle</t>
        </is>
      </c>
      <c r="G1863" s="49">
        <f>E1863&amp;" - "&amp;F1863</f>
        <v/>
      </c>
      <c r="H1863" s="36" t="inlineStr">
        <is>
          <t>RAS</t>
        </is>
      </c>
      <c r="I1863" s="45" t="inlineStr"/>
      <c r="J1863" s="45" t="inlineStr">
        <is>
          <t>RNCP38948</t>
        </is>
      </c>
      <c r="K1863" s="45" t="inlineStr">
        <is>
          <t>Analyste programmeur en automatisme et informatique industrielle</t>
        </is>
      </c>
      <c r="L1863" s="45" t="inlineStr">
        <is>
          <t>26/04/2027</t>
        </is>
      </c>
      <c r="M1863" s="45" t="inlineStr">
        <is>
          <t>24454 (Automatisme informatique industrielle)</t>
        </is>
      </c>
      <c r="N1863" s="50" t="inlineStr">
        <is>
          <t>NON</t>
        </is>
      </c>
      <c r="O1863" s="45" t="inlineStr"/>
    </row>
    <row r="1864" customFormat="1" s="3">
      <c r="A1864" s="45" t="n"/>
      <c r="B1864" s="46" t="inlineStr">
        <is>
          <t>24425</t>
        </is>
      </c>
      <c r="C1864" s="46">
        <f>LEFT(Tableau1[[#This Row],[Formacode]],3)</f>
        <v/>
      </c>
      <c r="D1864" s="47" t="n">
        <v>36236</v>
      </c>
      <c r="E1864" s="48">
        <f>"RNCP"&amp;D1864</f>
        <v/>
      </c>
      <c r="F1864" s="48" t="inlineStr">
        <is>
          <t>TP - Tourneur en réalisation de pièces mécaniques</t>
        </is>
      </c>
      <c r="G1864" s="49">
        <f>E1864&amp;" - "&amp;F1864</f>
        <v/>
      </c>
      <c r="H1864" s="36" t="inlineStr">
        <is>
          <t>RAS</t>
        </is>
      </c>
      <c r="I1864" s="45" t="inlineStr"/>
      <c r="J1864" s="45" t="inlineStr">
        <is>
          <t>RNCP36236</t>
        </is>
      </c>
      <c r="K1864" s="45" t="inlineStr">
        <is>
          <t>Tourneur en réalisation de pièces mécaniques</t>
        </is>
      </c>
      <c r="L1864" s="45" t="inlineStr">
        <is>
          <t>07/03/2027</t>
        </is>
      </c>
      <c r="M1864" s="45" t="inlineStr">
        <is>
          <t>24406 (Commande numérique tournage) ; 23088 (Tournage)</t>
        </is>
      </c>
      <c r="N1864" s="50" t="inlineStr">
        <is>
          <t>NON</t>
        </is>
      </c>
      <c r="O1864" s="45" t="inlineStr"/>
    </row>
    <row r="1865" customFormat="1" s="3">
      <c r="A1865" s="45" t="n"/>
      <c r="B1865" s="46" t="inlineStr">
        <is>
          <t>24425</t>
        </is>
      </c>
      <c r="C1865" s="46">
        <f>LEFT(Tableau1[[#This Row],[Formacode]],3)</f>
        <v/>
      </c>
      <c r="D1865" s="47" t="n">
        <v>36238</v>
      </c>
      <c r="E1865" s="48">
        <f>"RNCP"&amp;D1865</f>
        <v/>
      </c>
      <c r="F1865" s="48" t="inlineStr">
        <is>
          <t>TP - Fraiseur en réalisation de pièces mécaniques</t>
        </is>
      </c>
      <c r="G1865" s="49">
        <f>E1865&amp;" - "&amp;F1865</f>
        <v/>
      </c>
      <c r="H1865" s="36" t="inlineStr">
        <is>
          <t>RAS</t>
        </is>
      </c>
      <c r="I1865" s="45" t="inlineStr"/>
      <c r="J1865" s="45" t="inlineStr">
        <is>
          <t>RNCP36238</t>
        </is>
      </c>
      <c r="K1865" s="45" t="inlineStr">
        <is>
          <t>Fraiseur en réalisation de pièces mécaniques</t>
        </is>
      </c>
      <c r="L1865" s="45" t="inlineStr">
        <is>
          <t>15/02/2027</t>
        </is>
      </c>
      <c r="M1865" s="45" t="inlineStr">
        <is>
          <t>24404 (Commande numérique fraisage) ; 23067 (Fraisage)</t>
        </is>
      </c>
      <c r="N1865" s="50" t="inlineStr">
        <is>
          <t>NON</t>
        </is>
      </c>
      <c r="O1865" s="45" t="inlineStr"/>
    </row>
    <row r="1866" customFormat="1" s="3">
      <c r="A1866" s="45" t="n"/>
      <c r="B1866" s="46" t="inlineStr">
        <is>
          <t>24425</t>
        </is>
      </c>
      <c r="C1866" s="46">
        <f>LEFT(Tableau1[[#This Row],[Formacode]],3)</f>
        <v/>
      </c>
      <c r="D1866" s="47" t="n">
        <v>36539</v>
      </c>
      <c r="E1866" s="48">
        <f>"RNCP"&amp;D1866</f>
        <v/>
      </c>
      <c r="F1866" s="48" t="inlineStr">
        <is>
          <t>TP - Régleur décolleteur</t>
        </is>
      </c>
      <c r="G1866" s="49">
        <f>E1866&amp;" - "&amp;F1866</f>
        <v/>
      </c>
      <c r="H1866" s="36" t="inlineStr">
        <is>
          <t>RAS</t>
        </is>
      </c>
      <c r="I1866" s="45" t="inlineStr"/>
      <c r="J1866" s="45" t="inlineStr">
        <is>
          <t>RNCP36539</t>
        </is>
      </c>
      <c r="K1866" s="45" t="inlineStr">
        <is>
          <t>Régleur décolleteur</t>
        </is>
      </c>
      <c r="L1866" s="45" t="inlineStr">
        <is>
          <t>14/05/2027</t>
        </is>
      </c>
      <c r="M1866" s="45" t="inlineStr">
        <is>
          <t>23089 (Décolletage) ; 24425 (MOCN)</t>
        </is>
      </c>
      <c r="N1866" s="50" t="inlineStr">
        <is>
          <t>NON</t>
        </is>
      </c>
      <c r="O1866" s="45" t="inlineStr"/>
    </row>
    <row r="1867" customFormat="1" s="3">
      <c r="A1867" s="51" t="n"/>
      <c r="B1867" s="52" t="inlineStr">
        <is>
          <t>24425</t>
        </is>
      </c>
      <c r="C1867" s="52">
        <f>LEFT(Tableau1[[#This Row],[Formacode]],3)</f>
        <v/>
      </c>
      <c r="D1867" s="53" t="n">
        <v>37572</v>
      </c>
      <c r="E1867" s="54">
        <f>"RNCP"&amp;D1867</f>
        <v/>
      </c>
      <c r="F1867" s="54" t="inlineStr">
        <is>
          <t>Grade_Licence - Sciences et Ingénierie - Transformation Numérique des Entreprises</t>
        </is>
      </c>
      <c r="G1867" s="55">
        <f>E1867&amp;" - "&amp;F1867</f>
        <v/>
      </c>
      <c r="H1867" s="37" t="inlineStr">
        <is>
          <t>À vérifier</t>
        </is>
      </c>
      <c r="I1867" s="51" t="inlineStr">
        <is>
          <t>Successeur déjà publié : RNCP42302 (Sciences et Ingénierie - Informatique et systèmes numériques) — préparer la bascule de l'offre CPF | Échéance le 31/08/2026 (dans 44 j)</t>
        </is>
      </c>
      <c r="J1867" s="51" t="inlineStr">
        <is>
          <t>RNCP42302</t>
        </is>
      </c>
      <c r="K1867" s="51" t="inlineStr">
        <is>
          <t>Sciences et Ingénierie - Informatique et systèmes numériques</t>
        </is>
      </c>
      <c r="L1867" s="51" t="inlineStr">
        <is>
          <t>31/08/2026</t>
        </is>
      </c>
      <c r="M1867" s="51" t="inlineStr">
        <is>
          <t>31054 (Informatique - Systèmes d’information et numérique) ; 24231 (Réseau informatique) ; 24454 (Automatisme informatique industrielle)</t>
        </is>
      </c>
      <c r="N1867" s="62" t="inlineStr">
        <is>
          <t>NON</t>
        </is>
      </c>
      <c r="O1867" s="51" t="inlineStr"/>
    </row>
    <row r="1868" customFormat="1" s="3">
      <c r="A1868" s="45" t="n"/>
      <c r="B1868" s="46" t="inlineStr">
        <is>
          <t>24425</t>
        </is>
      </c>
      <c r="C1868" s="46">
        <f>LEFT(Tableau1[[#This Row],[Formacode]],3)</f>
        <v/>
      </c>
      <c r="D1868" s="47" t="n">
        <v>38622</v>
      </c>
      <c r="E1868" s="48">
        <f>"RNCP"&amp;D1868</f>
        <v/>
      </c>
      <c r="F1868" s="48" t="inlineStr">
        <is>
          <t>Technicien d’usinage sur machines-outils à commande numérique (MOCN)</t>
        </is>
      </c>
      <c r="G1868" s="49">
        <f>E1868&amp;" - "&amp;F1868</f>
        <v/>
      </c>
      <c r="H1868" s="36" t="inlineStr">
        <is>
          <t>RAS</t>
        </is>
      </c>
      <c r="I1868" s="45" t="inlineStr"/>
      <c r="J1868" s="45" t="inlineStr">
        <is>
          <t>RNCP38622</t>
        </is>
      </c>
      <c r="K1868" s="45" t="inlineStr">
        <is>
          <t>Technicien d’usinage sur machines-outils à commande numérique (MOCN)</t>
        </is>
      </c>
      <c r="L1868" s="45" t="inlineStr">
        <is>
          <t>09/02/2027</t>
        </is>
      </c>
      <c r="M1868" s="45" t="inlineStr">
        <is>
          <t>23076 (Usinage) ; 24425 (MOCN)</t>
        </is>
      </c>
      <c r="N1868" s="50" t="inlineStr">
        <is>
          <t>NON</t>
        </is>
      </c>
      <c r="O1868" s="45" t="inlineStr"/>
    </row>
    <row r="1869" customFormat="1" s="3">
      <c r="A1869" s="45" t="n"/>
      <c r="B1869" s="46" t="inlineStr">
        <is>
          <t>24425</t>
        </is>
      </c>
      <c r="C1869" s="46">
        <f>LEFT(Tableau1[[#This Row],[Formacode]],3)</f>
        <v/>
      </c>
      <c r="D1869" s="47" t="n">
        <v>38948</v>
      </c>
      <c r="E1869" s="48">
        <f>"RNCP"&amp;D1869</f>
        <v/>
      </c>
      <c r="F1869" s="48" t="inlineStr">
        <is>
          <t>Analyste programmeur en automatisme et informatique industrielle</t>
        </is>
      </c>
      <c r="G1869" s="49">
        <f>E1869&amp;" - "&amp;F1869</f>
        <v/>
      </c>
      <c r="H1869" s="36" t="inlineStr">
        <is>
          <t>RAS</t>
        </is>
      </c>
      <c r="I1869" s="45" t="inlineStr"/>
      <c r="J1869" s="45" t="inlineStr">
        <is>
          <t>RNCP38948</t>
        </is>
      </c>
      <c r="K1869" s="45" t="inlineStr">
        <is>
          <t>Analyste programmeur en automatisme et informatique industrielle</t>
        </is>
      </c>
      <c r="L1869" s="45" t="inlineStr">
        <is>
          <t>26/04/2027</t>
        </is>
      </c>
      <c r="M1869" s="45" t="inlineStr">
        <is>
          <t>24454 (Automatisme informatique industrielle)</t>
        </is>
      </c>
      <c r="N1869" s="50" t="inlineStr">
        <is>
          <t>NON</t>
        </is>
      </c>
      <c r="O1869" s="45" t="inlineStr"/>
    </row>
    <row r="1870" ht="28.8" customFormat="1" customHeight="1" s="3">
      <c r="A1870" s="45" t="n"/>
      <c r="B1870" s="46" t="inlineStr">
        <is>
          <t>24425</t>
        </is>
      </c>
      <c r="C1870" s="46">
        <f>LEFT(Tableau1[[#This Row],[Formacode]],3)</f>
        <v/>
      </c>
      <c r="D1870" s="47" t="n">
        <v>39640</v>
      </c>
      <c r="E1870" s="48">
        <f>"RNCP"&amp;D1870</f>
        <v/>
      </c>
      <c r="F1870" s="48" t="inlineStr">
        <is>
          <t>Opérateur régleur sur machine-outil à commande numérique par enlèvement de matière</t>
        </is>
      </c>
      <c r="G1870" s="49">
        <f>E1870&amp;" - "&amp;F1870</f>
        <v/>
      </c>
      <c r="H1870" s="36" t="inlineStr">
        <is>
          <t>RAS</t>
        </is>
      </c>
      <c r="I1870" s="45" t="inlineStr"/>
      <c r="J1870" s="45" t="inlineStr">
        <is>
          <t>RNCP39640</t>
        </is>
      </c>
      <c r="K1870" s="45" t="inlineStr">
        <is>
          <t>Opérateur régleur sur machine-outil à commande numérique par enlèvement de matière</t>
        </is>
      </c>
      <c r="L1870" s="45" t="inlineStr">
        <is>
          <t>01/10/2029</t>
        </is>
      </c>
      <c r="M1870" s="45" t="inlineStr">
        <is>
          <t>24404 (Commande numérique fraisage) ; 23095 (Alésage) ; 24406 (Commande numérique tournage) ; 24413 (Centre usinage)</t>
        </is>
      </c>
      <c r="N1870" s="50" t="inlineStr">
        <is>
          <t>NON</t>
        </is>
      </c>
      <c r="O1870" s="45" t="inlineStr"/>
    </row>
    <row r="1871" customFormat="1" s="3">
      <c r="A1871" s="45" t="n"/>
      <c r="B1871" s="46" t="inlineStr">
        <is>
          <t>24425</t>
        </is>
      </c>
      <c r="C1871" s="46">
        <f>LEFT(Tableau1[[#This Row],[Formacode]],3)</f>
        <v/>
      </c>
      <c r="D1871" s="47" t="n">
        <v>39723</v>
      </c>
      <c r="E1871" s="48">
        <f>"RNCP"&amp;D1871</f>
        <v/>
      </c>
      <c r="F1871" s="48" t="inlineStr">
        <is>
          <t>CQP Régleur sur machines-outils de décolletage</t>
        </is>
      </c>
      <c r="G1871" s="49">
        <f>E1871&amp;" - "&amp;F1871</f>
        <v/>
      </c>
      <c r="H1871" s="36" t="inlineStr">
        <is>
          <t>RAS</t>
        </is>
      </c>
      <c r="I1871" s="45" t="inlineStr"/>
      <c r="J1871" s="45" t="inlineStr">
        <is>
          <t>RNCP39723</t>
        </is>
      </c>
      <c r="K1871" s="45" t="inlineStr">
        <is>
          <t>CQP Régleur sur machines-outils de décolletage</t>
        </is>
      </c>
      <c r="L1871" s="45" t="inlineStr">
        <is>
          <t>31/10/2027</t>
        </is>
      </c>
      <c r="M1871" s="45" t="inlineStr">
        <is>
          <t>23089 (Décolletage) ; 24425 (MOCN)</t>
        </is>
      </c>
      <c r="N1871" s="50" t="inlineStr">
        <is>
          <t>NON</t>
        </is>
      </c>
      <c r="O1871" s="45" t="inlineStr"/>
    </row>
    <row r="1872" customFormat="1" s="3">
      <c r="A1872" s="45" t="n"/>
      <c r="B1872" s="46" t="inlineStr">
        <is>
          <t>24425</t>
        </is>
      </c>
      <c r="C1872" s="46">
        <f>LEFT(Tableau1[[#This Row],[Formacode]],3)</f>
        <v/>
      </c>
      <c r="D1872" s="47" t="n">
        <v>41537</v>
      </c>
      <c r="E1872" s="48">
        <f>"RNCP"&amp;D1872</f>
        <v/>
      </c>
      <c r="F1872" s="48" t="inlineStr">
        <is>
          <t>TP - Technicien en usinage assisté par ordinateur</t>
        </is>
      </c>
      <c r="G1872" s="49">
        <f>E1872&amp;" - "&amp;F1872</f>
        <v/>
      </c>
      <c r="H1872" s="36" t="inlineStr">
        <is>
          <t>RAS</t>
        </is>
      </c>
      <c r="I1872" s="45" t="inlineStr"/>
      <c r="J1872" s="45" t="inlineStr">
        <is>
          <t>RNCP41537</t>
        </is>
      </c>
      <c r="K1872" s="45" t="inlineStr">
        <is>
          <t>Technicien en usinage assisté par ordinateur</t>
        </is>
      </c>
      <c r="L1872" s="45" t="inlineStr">
        <is>
          <t>07/12/2030</t>
        </is>
      </c>
      <c r="M1872" s="45" t="inlineStr">
        <is>
          <t>23076 (Usinage) ; 24425 (MOCN)</t>
        </is>
      </c>
      <c r="N1872" s="50" t="inlineStr">
        <is>
          <t>NON</t>
        </is>
      </c>
      <c r="O1872" s="45" t="inlineStr"/>
    </row>
    <row r="1873" customFormat="1" s="3">
      <c r="A1873" s="51" t="n"/>
      <c r="B1873" s="52" t="inlineStr">
        <is>
          <t>24426</t>
        </is>
      </c>
      <c r="C1873" s="52">
        <f>LEFT(Tableau1[[#This Row],[Formacode]],3)</f>
        <v/>
      </c>
      <c r="D1873" s="53" t="n">
        <v>37572</v>
      </c>
      <c r="E1873" s="54">
        <f>"RNCP"&amp;D1873</f>
        <v/>
      </c>
      <c r="F1873" s="54" t="inlineStr">
        <is>
          <t>Grade_Licence - Sciences et Ingénierie - Transformation Numérique des Entreprises</t>
        </is>
      </c>
      <c r="G1873" s="55">
        <f>E1873&amp;" - "&amp;F1873</f>
        <v/>
      </c>
      <c r="H1873" s="37" t="inlineStr">
        <is>
          <t>À vérifier</t>
        </is>
      </c>
      <c r="I1873" s="51" t="inlineStr">
        <is>
          <t>Successeur déjà publié : RNCP42302 (Sciences et Ingénierie - Informatique et systèmes numériques) — préparer la bascule de l'offre CPF | Échéance le 31/08/2026 (dans 44 j)</t>
        </is>
      </c>
      <c r="J1873" s="51" t="inlineStr">
        <is>
          <t>RNCP42302</t>
        </is>
      </c>
      <c r="K1873" s="51" t="inlineStr">
        <is>
          <t>Sciences et Ingénierie - Informatique et systèmes numériques</t>
        </is>
      </c>
      <c r="L1873" s="51" t="inlineStr">
        <is>
          <t>31/08/2026</t>
        </is>
      </c>
      <c r="M1873" s="51" t="inlineStr">
        <is>
          <t>31054 (Informatique - Systèmes d’information et numérique) ; 24231 (Réseau informatique) ; 24454 (Automatisme informatique industrielle)</t>
        </is>
      </c>
      <c r="N1873" s="62" t="inlineStr">
        <is>
          <t>NON</t>
        </is>
      </c>
      <c r="O1873" s="51" t="inlineStr"/>
    </row>
    <row r="1874" customFormat="1" s="3">
      <c r="A1874" s="45" t="n"/>
      <c r="B1874" s="46" t="inlineStr">
        <is>
          <t>24426</t>
        </is>
      </c>
      <c r="C1874" s="46">
        <f>LEFT(Tableau1[[#This Row],[Formacode]],3)</f>
        <v/>
      </c>
      <c r="D1874" s="47" t="n">
        <v>38948</v>
      </c>
      <c r="E1874" s="48">
        <f>"RNCP"&amp;D1874</f>
        <v/>
      </c>
      <c r="F1874" s="48" t="inlineStr">
        <is>
          <t>Analyste programmeur en automatisme et informatique industrielle</t>
        </is>
      </c>
      <c r="G1874" s="49">
        <f>E1874&amp;" - "&amp;F1874</f>
        <v/>
      </c>
      <c r="H1874" s="36" t="inlineStr">
        <is>
          <t>RAS</t>
        </is>
      </c>
      <c r="I1874" s="45" t="inlineStr"/>
      <c r="J1874" s="45" t="inlineStr">
        <is>
          <t>RNCP38948</t>
        </is>
      </c>
      <c r="K1874" s="45" t="inlineStr">
        <is>
          <t>Analyste programmeur en automatisme et informatique industrielle</t>
        </is>
      </c>
      <c r="L1874" s="45" t="inlineStr">
        <is>
          <t>26/04/2027</t>
        </is>
      </c>
      <c r="M1874" s="45" t="inlineStr">
        <is>
          <t>24454 (Automatisme informatique industrielle)</t>
        </is>
      </c>
      <c r="N1874" s="50" t="inlineStr">
        <is>
          <t>NON</t>
        </is>
      </c>
      <c r="O1874" s="45" t="inlineStr"/>
    </row>
    <row r="1875" customFormat="1" s="3">
      <c r="A1875" s="45" t="n"/>
      <c r="B1875" s="46" t="inlineStr">
        <is>
          <t>24426</t>
        </is>
      </c>
      <c r="C1875" s="46">
        <f>LEFT(Tableau1[[#This Row],[Formacode]],3)</f>
        <v/>
      </c>
      <c r="D1875" s="47" t="n">
        <v>40658</v>
      </c>
      <c r="E1875" s="48">
        <f>"RNCP"&amp;D1875</f>
        <v/>
      </c>
      <c r="F1875" s="48" t="inlineStr">
        <is>
          <t>Architecte des systèmes d'information dans les processus industriels</t>
        </is>
      </c>
      <c r="G1875" s="49">
        <f>E1875&amp;" - "&amp;F1875</f>
        <v/>
      </c>
      <c r="H1875" s="36" t="inlineStr">
        <is>
          <t>RAS</t>
        </is>
      </c>
      <c r="I1875" s="45" t="inlineStr"/>
      <c r="J1875" s="45" t="inlineStr">
        <is>
          <t>RNCP40658</t>
        </is>
      </c>
      <c r="K1875" s="45" t="inlineStr">
        <is>
          <t>Architecte des systèmes d'information dans les processus industriels</t>
        </is>
      </c>
      <c r="L1875" s="45" t="inlineStr">
        <is>
          <t>23/05/2028</t>
        </is>
      </c>
      <c r="M1875" s="45" t="inlineStr">
        <is>
          <t>31009 (Architecture système information) ; 24426 (Informatique industrielle) ; 31006 (Sécurité informatique) ; 24231 (Réseau informatique) ; 24491 (Programmation informatique industrielle)</t>
        </is>
      </c>
      <c r="N1875" s="50" t="inlineStr">
        <is>
          <t>NON</t>
        </is>
      </c>
      <c r="O1875" s="45" t="inlineStr"/>
    </row>
    <row r="1876" customFormat="1" s="3">
      <c r="A1876" s="45" t="n"/>
      <c r="B1876" s="46" t="inlineStr">
        <is>
          <t>24427</t>
        </is>
      </c>
      <c r="C1876" s="46">
        <f>LEFT(Tableau1[[#This Row],[Formacode]],3)</f>
        <v/>
      </c>
      <c r="D1876" s="47" t="n">
        <v>36362</v>
      </c>
      <c r="E1876" s="48">
        <f>"RNCP"&amp;D1876</f>
        <v/>
      </c>
      <c r="F1876" s="48" t="inlineStr">
        <is>
          <t>CQP Opérateur sur machine de frappe à froid</t>
        </is>
      </c>
      <c r="G1876" s="49">
        <f>E1876&amp;" - "&amp;F1876</f>
        <v/>
      </c>
      <c r="H1876" s="36" t="inlineStr">
        <is>
          <t>RAS</t>
        </is>
      </c>
      <c r="I1876" s="45" t="inlineStr"/>
      <c r="J1876" s="45" t="inlineStr">
        <is>
          <t>RNCP36362</t>
        </is>
      </c>
      <c r="K1876" s="45" t="inlineStr">
        <is>
          <t>CQP Opérateur sur machine de frappe à froid</t>
        </is>
      </c>
      <c r="L1876" s="45" t="inlineStr">
        <is>
          <t>25/04/2027</t>
        </is>
      </c>
      <c r="M1876" s="45" t="inlineStr">
        <is>
          <t>24427 (Commande processus)</t>
        </is>
      </c>
      <c r="N1876" s="50" t="inlineStr">
        <is>
          <t>NON</t>
        </is>
      </c>
      <c r="O1876" s="45" t="inlineStr"/>
    </row>
    <row r="1877" customFormat="1" s="3">
      <c r="A1877" s="51" t="n"/>
      <c r="B1877" s="52" t="inlineStr">
        <is>
          <t>24427</t>
        </is>
      </c>
      <c r="C1877" s="52">
        <f>LEFT(Tableau1[[#This Row],[Formacode]],3)</f>
        <v/>
      </c>
      <c r="D1877" s="53" t="n">
        <v>37572</v>
      </c>
      <c r="E1877" s="54">
        <f>"RNCP"&amp;D1877</f>
        <v/>
      </c>
      <c r="F1877" s="54" t="inlineStr">
        <is>
          <t>Grade_Licence - Sciences et Ingénierie - Transformation Numérique des Entreprises</t>
        </is>
      </c>
      <c r="G1877" s="55">
        <f>E1877&amp;" - "&amp;F1877</f>
        <v/>
      </c>
      <c r="H1877" s="37" t="inlineStr">
        <is>
          <t>À vérifier</t>
        </is>
      </c>
      <c r="I1877" s="51" t="inlineStr">
        <is>
          <t>Successeur déjà publié : RNCP42302 (Sciences et Ingénierie - Informatique et systèmes numériques) — préparer la bascule de l'offre CPF | Échéance le 31/08/2026 (dans 44 j)</t>
        </is>
      </c>
      <c r="J1877" s="51" t="inlineStr">
        <is>
          <t>RNCP42302</t>
        </is>
      </c>
      <c r="K1877" s="51" t="inlineStr">
        <is>
          <t>Sciences et Ingénierie - Informatique et systèmes numériques</t>
        </is>
      </c>
      <c r="L1877" s="51" t="inlineStr">
        <is>
          <t>31/08/2026</t>
        </is>
      </c>
      <c r="M1877" s="51" t="inlineStr">
        <is>
          <t>31054 (Informatique - Systèmes d’information et numérique) ; 24231 (Réseau informatique) ; 24454 (Automatisme informatique industrielle)</t>
        </is>
      </c>
      <c r="N1877" s="62" t="inlineStr">
        <is>
          <t>NON</t>
        </is>
      </c>
      <c r="O1877" s="51" t="inlineStr"/>
    </row>
    <row r="1878" customFormat="1" s="3">
      <c r="A1878" s="45" t="n"/>
      <c r="B1878" s="46" t="inlineStr">
        <is>
          <t>24427</t>
        </is>
      </c>
      <c r="C1878" s="46">
        <f>LEFT(Tableau1[[#This Row],[Formacode]],3)</f>
        <v/>
      </c>
      <c r="D1878" s="47" t="n">
        <v>38713</v>
      </c>
      <c r="E1878" s="48">
        <f>"RNCP"&amp;D1878</f>
        <v/>
      </c>
      <c r="F1878" s="48" t="inlineStr">
        <is>
          <t>TP - Technicien supérieur en automatique et informatique industrielle</t>
        </is>
      </c>
      <c r="G1878" s="49">
        <f>E1878&amp;" - "&amp;F1878</f>
        <v/>
      </c>
      <c r="H1878" s="36" t="inlineStr">
        <is>
          <t>RAS</t>
        </is>
      </c>
      <c r="I1878" s="45" t="inlineStr"/>
      <c r="J1878" s="45" t="inlineStr">
        <is>
          <t>RNCP38713</t>
        </is>
      </c>
      <c r="K1878" s="45" t="inlineStr">
        <is>
          <t>Technicien supérieur en automatique et informatique industrielle</t>
        </is>
      </c>
      <c r="L1878" s="45" t="inlineStr">
        <is>
          <t>04/03/2029</t>
        </is>
      </c>
      <c r="M1878" s="45" t="inlineStr">
        <is>
          <t>24491 (Programmation informatique industrielle) ; 24472 (Automatisation) ; 24429 (Supervision industrielle) ; 24422 (Automate programmable) ; 24478 (Régulation industrielle)</t>
        </is>
      </c>
      <c r="N1878" s="50" t="inlineStr">
        <is>
          <t>NON</t>
        </is>
      </c>
      <c r="O1878" s="45" t="inlineStr"/>
    </row>
    <row r="1879" customFormat="1" s="3">
      <c r="A1879" s="45" t="n"/>
      <c r="B1879" s="46" t="inlineStr">
        <is>
          <t>24427</t>
        </is>
      </c>
      <c r="C1879" s="46">
        <f>LEFT(Tableau1[[#This Row],[Formacode]],3)</f>
        <v/>
      </c>
      <c r="D1879" s="47" t="n">
        <v>38948</v>
      </c>
      <c r="E1879" s="48">
        <f>"RNCP"&amp;D1879</f>
        <v/>
      </c>
      <c r="F1879" s="48" t="inlineStr">
        <is>
          <t>Analyste programmeur en automatisme et informatique industrielle</t>
        </is>
      </c>
      <c r="G1879" s="49">
        <f>E1879&amp;" - "&amp;F1879</f>
        <v/>
      </c>
      <c r="H1879" s="36" t="inlineStr">
        <is>
          <t>RAS</t>
        </is>
      </c>
      <c r="I1879" s="45" t="inlineStr"/>
      <c r="J1879" s="45" t="inlineStr">
        <is>
          <t>RNCP38948</t>
        </is>
      </c>
      <c r="K1879" s="45" t="inlineStr">
        <is>
          <t>Analyste programmeur en automatisme et informatique industrielle</t>
        </is>
      </c>
      <c r="L1879" s="45" t="inlineStr">
        <is>
          <t>26/04/2027</t>
        </is>
      </c>
      <c r="M1879" s="45" t="inlineStr">
        <is>
          <t>24454 (Automatisme informatique industrielle)</t>
        </is>
      </c>
      <c r="N1879" s="50" t="inlineStr">
        <is>
          <t>NON</t>
        </is>
      </c>
      <c r="O1879" s="45" t="inlineStr"/>
    </row>
    <row r="1880" customFormat="1" s="3">
      <c r="A1880" s="45" t="n"/>
      <c r="B1880" s="46" t="inlineStr">
        <is>
          <t>24431</t>
        </is>
      </c>
      <c r="C1880" s="46">
        <f>LEFT(Tableau1[[#This Row],[Formacode]],3)</f>
        <v/>
      </c>
      <c r="D1880" s="47" t="n">
        <v>36428</v>
      </c>
      <c r="E1880" s="48">
        <f>"RNCP"&amp;D1880</f>
        <v/>
      </c>
      <c r="F1880" s="48" t="inlineStr">
        <is>
          <t>BAC PRO - Pilote de ligne de production</t>
        </is>
      </c>
      <c r="G1880" s="49">
        <f>E1880&amp;" - "&amp;F1880</f>
        <v/>
      </c>
      <c r="H1880" s="36" t="inlineStr">
        <is>
          <t>RAS</t>
        </is>
      </c>
      <c r="I1880" s="45" t="inlineStr"/>
      <c r="J1880" s="45" t="inlineStr">
        <is>
          <t>RNCP36428</t>
        </is>
      </c>
      <c r="K1880" s="45" t="inlineStr">
        <is>
          <t>Pilote de ligne de production</t>
        </is>
      </c>
      <c r="L1880" s="45" t="inlineStr">
        <is>
          <t>31/08/2027</t>
        </is>
      </c>
      <c r="M1880" s="45" t="inlineStr">
        <is>
          <t>31620 (Conduite installation industrielle) ; 24472 (Automatisation) ; 24431 (Maintenance système automatisé)</t>
        </is>
      </c>
      <c r="N1880" s="50" t="inlineStr">
        <is>
          <t>NON</t>
        </is>
      </c>
      <c r="O1880" s="45" t="inlineStr"/>
    </row>
    <row r="1881" ht="43.2" customFormat="1" customHeight="1" s="3">
      <c r="A1881" s="45" t="n"/>
      <c r="B1881" s="46" t="inlineStr">
        <is>
          <t>24431</t>
        </is>
      </c>
      <c r="C1881" s="46">
        <f>LEFT(Tableau1[[#This Row],[Formacode]],3)</f>
        <v/>
      </c>
      <c r="D1881" s="47" t="n">
        <v>36968</v>
      </c>
      <c r="E1881" s="48">
        <f>"RNCP"&amp;D1881</f>
        <v/>
      </c>
      <c r="F1881" s="48" t="inlineStr">
        <is>
          <t>BTS - Maintenance des systèmes (option A : systèmes de production, option B : systèmes énergétiques et fluidiques, option C : systèmes éoliens, option D : systèmes ascenseurs et élévateurs)</t>
        </is>
      </c>
      <c r="G1881" s="49">
        <f>E1881&amp;" - "&amp;F1881</f>
        <v/>
      </c>
      <c r="H1881" s="36" t="inlineStr">
        <is>
          <t>RAS</t>
        </is>
      </c>
      <c r="I1881" s="45" t="inlineStr"/>
      <c r="J1881" s="45" t="inlineStr">
        <is>
          <t>RNCP36968</t>
        </is>
      </c>
      <c r="K1881" s="45" t="inlineStr">
        <is>
          <t>Maintenance des systèmes (option A : systèmes de production, option B : systèmes énergétiques et fluidiques, option C : systèmes éoliens, option D : systèmes ascenseurs et élévateurs)</t>
        </is>
      </c>
      <c r="L1881" s="45" t="inlineStr">
        <is>
          <t>31/08/2027</t>
        </is>
      </c>
      <c r="M1881" s="45" t="inlineStr">
        <is>
          <t>24431 (Maintenance système automatisé)</t>
        </is>
      </c>
      <c r="N1881" s="50" t="inlineStr">
        <is>
          <t>NON</t>
        </is>
      </c>
      <c r="O1881" s="45" t="inlineStr"/>
    </row>
    <row r="1882" customFormat="1" s="3">
      <c r="A1882" s="45" t="n"/>
      <c r="B1882" s="46" t="inlineStr">
        <is>
          <t>24431</t>
        </is>
      </c>
      <c r="C1882" s="46">
        <f>LEFT(Tableau1[[#This Row],[Formacode]],3)</f>
        <v/>
      </c>
      <c r="D1882" s="47" t="n">
        <v>37115</v>
      </c>
      <c r="E1882" s="48">
        <f>"RNCP"&amp;D1882</f>
        <v/>
      </c>
      <c r="F1882" s="48" t="inlineStr">
        <is>
          <t>BTS - Conception et réalisation de systèmes automatiques</t>
        </is>
      </c>
      <c r="G1882" s="49">
        <f>E1882&amp;" - "&amp;F1882</f>
        <v/>
      </c>
      <c r="H1882" s="36" t="inlineStr">
        <is>
          <t>RAS</t>
        </is>
      </c>
      <c r="I1882" s="45" t="inlineStr"/>
      <c r="J1882" s="45" t="inlineStr">
        <is>
          <t>RNCP37115</t>
        </is>
      </c>
      <c r="K1882" s="45" t="inlineStr">
        <is>
          <t>Conception et réalisation de systèmes automatiques</t>
        </is>
      </c>
      <c r="L1882" s="45" t="inlineStr">
        <is>
          <t>31/08/2027</t>
        </is>
      </c>
      <c r="M1882" s="45" t="inlineStr">
        <is>
          <t>24472 (Automatisation) ; 31676 (Bureau d'études) ; 24431 (Maintenance système automatisé)</t>
        </is>
      </c>
      <c r="N1882" s="50" t="inlineStr">
        <is>
          <t>NON</t>
        </is>
      </c>
      <c r="O1882" s="45" t="inlineStr"/>
    </row>
    <row r="1883" customFormat="1" s="3">
      <c r="A1883" s="45" t="n"/>
      <c r="B1883" s="46" t="inlineStr">
        <is>
          <t>24431</t>
        </is>
      </c>
      <c r="C1883" s="46">
        <f>LEFT(Tableau1[[#This Row],[Formacode]],3)</f>
        <v/>
      </c>
      <c r="D1883" s="47" t="n">
        <v>37239</v>
      </c>
      <c r="E1883" s="48">
        <f>"RNCP"&amp;D1883</f>
        <v/>
      </c>
      <c r="F1883" s="48" t="inlineStr">
        <is>
          <t>Brevet professionnel - Pilote d'installations de production par procédés</t>
        </is>
      </c>
      <c r="G1883" s="49">
        <f>E1883&amp;" - "&amp;F1883</f>
        <v/>
      </c>
      <c r="H1883" s="36" t="inlineStr">
        <is>
          <t>RAS</t>
        </is>
      </c>
      <c r="I1883" s="45" t="inlineStr"/>
      <c r="J1883" s="45" t="inlineStr">
        <is>
          <t>RNCP37239</t>
        </is>
      </c>
      <c r="K1883" s="45" t="inlineStr">
        <is>
          <t>Pilote d'installations de production par procédés</t>
        </is>
      </c>
      <c r="L1883" s="45" t="inlineStr">
        <is>
          <t>31/08/2027</t>
        </is>
      </c>
      <c r="M1883" s="45" t="inlineStr">
        <is>
          <t>31620 (Conduite installation industrielle) ; 24431 (Maintenance système automatisé) ; 24472 (Automatisation)</t>
        </is>
      </c>
      <c r="N1883" s="50" t="inlineStr">
        <is>
          <t>NON</t>
        </is>
      </c>
      <c r="O1883" s="45" t="inlineStr"/>
    </row>
    <row r="1884" customFormat="1" s="3">
      <c r="A1884" s="63" t="n"/>
      <c r="B1884" s="64" t="inlineStr">
        <is>
          <t>24431</t>
        </is>
      </c>
      <c r="C1884" s="64">
        <f>LEFT(Tableau1[[#This Row],[Formacode]],3)</f>
        <v/>
      </c>
      <c r="D1884" s="65" t="n">
        <v>37329</v>
      </c>
      <c r="E1884" s="66">
        <f>"RNCP"&amp;D1884</f>
        <v/>
      </c>
      <c r="F1884" s="66" t="inlineStr">
        <is>
          <t>Technicien supérieur en automatisme et interfaces associées</t>
        </is>
      </c>
      <c r="G1884" s="67">
        <f>E1884&amp;" - "&amp;F1884</f>
        <v/>
      </c>
      <c r="H1884" s="38" t="inlineStr">
        <is>
          <t>Expiré / remplacé</t>
        </is>
      </c>
      <c r="I1884" s="63" t="inlineStr">
        <is>
          <t>Fiche inactive — remplacée par RNCP42213 (Technicien en automatisme et interfaces associées)</t>
        </is>
      </c>
      <c r="J1884" s="63" t="inlineStr">
        <is>
          <t>RNCP42213</t>
        </is>
      </c>
      <c r="K1884" s="63" t="inlineStr">
        <is>
          <t>Technicien en automatisme et interfaces associées</t>
        </is>
      </c>
      <c r="L1884" s="63" t="inlineStr">
        <is>
          <t>17/02/2026</t>
        </is>
      </c>
      <c r="M1884" s="63" t="inlineStr">
        <is>
          <t>24431 (Maintenance système automatisé)</t>
        </is>
      </c>
      <c r="N1884" s="68" t="inlineStr">
        <is>
          <t>NON</t>
        </is>
      </c>
      <c r="O1884" s="63" t="inlineStr"/>
    </row>
    <row r="1885" customFormat="1" s="3">
      <c r="A1885" s="51" t="n"/>
      <c r="B1885" s="52" t="inlineStr">
        <is>
          <t>24431</t>
        </is>
      </c>
      <c r="C1885" s="52">
        <f>LEFT(Tableau1[[#This Row],[Formacode]],3)</f>
        <v/>
      </c>
      <c r="D1885" s="53" t="n">
        <v>37572</v>
      </c>
      <c r="E1885" s="54">
        <f>"RNCP"&amp;D1885</f>
        <v/>
      </c>
      <c r="F1885" s="54" t="inlineStr">
        <is>
          <t>Grade_Licence - Sciences et Ingénierie - Transformation Numérique des Entreprises</t>
        </is>
      </c>
      <c r="G1885" s="55">
        <f>E1885&amp;" - "&amp;F1885</f>
        <v/>
      </c>
      <c r="H1885" s="37" t="inlineStr">
        <is>
          <t>À vérifier</t>
        </is>
      </c>
      <c r="I1885" s="51" t="inlineStr">
        <is>
          <t>Successeur déjà publié : RNCP42302 (Sciences et Ingénierie - Informatique et systèmes numériques) — préparer la bascule de l'offre CPF | Échéance le 31/08/2026 (dans 44 j)</t>
        </is>
      </c>
      <c r="J1885" s="51" t="inlineStr">
        <is>
          <t>RNCP42302</t>
        </is>
      </c>
      <c r="K1885" s="51" t="inlineStr">
        <is>
          <t>Sciences et Ingénierie - Informatique et systèmes numériques</t>
        </is>
      </c>
      <c r="L1885" s="51" t="inlineStr">
        <is>
          <t>31/08/2026</t>
        </is>
      </c>
      <c r="M1885" s="51" t="inlineStr">
        <is>
          <t>31054 (Informatique - Systèmes d’information et numérique) ; 24231 (Réseau informatique) ; 24454 (Automatisme informatique industrielle)</t>
        </is>
      </c>
      <c r="N1885" s="62" t="inlineStr">
        <is>
          <t>NON</t>
        </is>
      </c>
      <c r="O1885" s="51" t="inlineStr"/>
    </row>
    <row r="1886" customFormat="1" s="3">
      <c r="A1886" s="45" t="n"/>
      <c r="B1886" s="46" t="inlineStr">
        <is>
          <t>24431</t>
        </is>
      </c>
      <c r="C1886" s="46">
        <f>LEFT(Tableau1[[#This Row],[Formacode]],3)</f>
        <v/>
      </c>
      <c r="D1886" s="47" t="n">
        <v>38561</v>
      </c>
      <c r="E1886" s="48">
        <f>"RNCP"&amp;D1886</f>
        <v/>
      </c>
      <c r="F1886" s="48" t="inlineStr">
        <is>
          <t>TP - Electricien d'installation et de maintenance des systèmes automatisés</t>
        </is>
      </c>
      <c r="G1886" s="49">
        <f>E1886&amp;" - "&amp;F1886</f>
        <v/>
      </c>
      <c r="H1886" s="36" t="inlineStr">
        <is>
          <t>RAS</t>
        </is>
      </c>
      <c r="I1886" s="45" t="inlineStr"/>
      <c r="J1886" s="45" t="inlineStr">
        <is>
          <t>RNCP38561</t>
        </is>
      </c>
      <c r="K1886" s="45" t="inlineStr">
        <is>
          <t>Electricien d'installation et de maintenance des systèmes automatisés</t>
        </is>
      </c>
      <c r="L1886" s="45" t="inlineStr">
        <is>
          <t>21/03/2029</t>
        </is>
      </c>
      <c r="M1886" s="45" t="inlineStr">
        <is>
          <t>24431 (Maintenance système automatisé)</t>
        </is>
      </c>
      <c r="N1886" s="50" t="inlineStr">
        <is>
          <t>NON</t>
        </is>
      </c>
      <c r="O1886" s="45" t="inlineStr"/>
    </row>
    <row r="1887" customFormat="1" s="3">
      <c r="A1887" s="45" t="n"/>
      <c r="B1887" s="46" t="inlineStr">
        <is>
          <t>24431</t>
        </is>
      </c>
      <c r="C1887" s="46">
        <f>LEFT(Tableau1[[#This Row],[Formacode]],3)</f>
        <v/>
      </c>
      <c r="D1887" s="47" t="n">
        <v>38948</v>
      </c>
      <c r="E1887" s="48">
        <f>"RNCP"&amp;D1887</f>
        <v/>
      </c>
      <c r="F1887" s="48" t="inlineStr">
        <is>
          <t>Analyste programmeur en automatisme et informatique industrielle</t>
        </is>
      </c>
      <c r="G1887" s="49">
        <f>E1887&amp;" - "&amp;F1887</f>
        <v/>
      </c>
      <c r="H1887" s="36" t="inlineStr">
        <is>
          <t>RAS</t>
        </is>
      </c>
      <c r="I1887" s="45" t="inlineStr"/>
      <c r="J1887" s="45" t="inlineStr">
        <is>
          <t>RNCP38948</t>
        </is>
      </c>
      <c r="K1887" s="45" t="inlineStr">
        <is>
          <t>Analyste programmeur en automatisme et informatique industrielle</t>
        </is>
      </c>
      <c r="L1887" s="45" t="inlineStr">
        <is>
          <t>26/04/2027</t>
        </is>
      </c>
      <c r="M1887" s="45" t="inlineStr">
        <is>
          <t>24454 (Automatisme informatique industrielle)</t>
        </is>
      </c>
      <c r="N1887" s="50" t="inlineStr">
        <is>
          <t>NON</t>
        </is>
      </c>
      <c r="O1887" s="45" t="inlineStr"/>
    </row>
    <row r="1888" customFormat="1" s="3">
      <c r="A1888" s="45" t="n"/>
      <c r="B1888" s="46" t="inlineStr">
        <is>
          <t>24431</t>
        </is>
      </c>
      <c r="C1888" s="46">
        <f>LEFT(Tableau1[[#This Row],[Formacode]],3)</f>
        <v/>
      </c>
      <c r="D1888" s="47" t="n">
        <v>39375</v>
      </c>
      <c r="E1888" s="48">
        <f>"RNCP"&amp;D1888</f>
        <v/>
      </c>
      <c r="F1888" s="48" t="inlineStr">
        <is>
          <t>Pilote de systèmes de production automatisée (PSPA)</t>
        </is>
      </c>
      <c r="G1888" s="49">
        <f>E1888&amp;" - "&amp;F1888</f>
        <v/>
      </c>
      <c r="H1888" s="36" t="inlineStr">
        <is>
          <t>RAS</t>
        </is>
      </c>
      <c r="I1888" s="45" t="inlineStr"/>
      <c r="J1888" s="45" t="inlineStr">
        <is>
          <t>RNCP39375</t>
        </is>
      </c>
      <c r="K1888" s="45" t="inlineStr">
        <is>
          <t>Pilote de systèmes de production automatisée (PSPA)</t>
        </is>
      </c>
      <c r="L1888" s="45" t="inlineStr">
        <is>
          <t>19/07/2029</t>
        </is>
      </c>
      <c r="M1888" s="45" t="inlineStr">
        <is>
          <t>31620 (Conduite installation industrielle) ; 24431 (Maintenance système automatisé)</t>
        </is>
      </c>
      <c r="N1888" s="50" t="inlineStr">
        <is>
          <t>NON</t>
        </is>
      </c>
      <c r="O1888" s="45" t="inlineStr"/>
    </row>
    <row r="1889" customFormat="1" s="3">
      <c r="A1889" s="51" t="n"/>
      <c r="B1889" s="52" t="inlineStr">
        <is>
          <t>24447</t>
        </is>
      </c>
      <c r="C1889" s="52">
        <f>LEFT(Tableau1[[#This Row],[Formacode]],3)</f>
        <v/>
      </c>
      <c r="D1889" s="53" t="n">
        <v>36332</v>
      </c>
      <c r="E1889" s="54">
        <f>"RNCP"&amp;D1889</f>
        <v/>
      </c>
      <c r="F1889" s="54" t="inlineStr">
        <is>
          <t>CS - Maintenance des installations oléohydrauliques et pneumatiques</t>
        </is>
      </c>
      <c r="G1889" s="55">
        <f>E1889&amp;" - "&amp;F1889</f>
        <v/>
      </c>
      <c r="H1889" s="37" t="inlineStr">
        <is>
          <t>À vérifier</t>
        </is>
      </c>
      <c r="I1889" s="51" t="inlineStr">
        <is>
          <t>Successeur déjà publié : RNCP42136 (Maintenance des installations oléohydrauliques et pneumatiques) — préparer la bascule de l'offre CPF | Échéance le 31/08/2026 (dans 44 j)</t>
        </is>
      </c>
      <c r="J1889" s="51" t="inlineStr">
        <is>
          <t>RNCP42136</t>
        </is>
      </c>
      <c r="K1889" s="51" t="inlineStr">
        <is>
          <t>Maintenance des installations oléohydrauliques et pneumatiques</t>
        </is>
      </c>
      <c r="L1889" s="51" t="inlineStr">
        <is>
          <t>31/08/2026</t>
        </is>
      </c>
      <c r="M1889" s="51" t="inlineStr">
        <is>
          <t>23570 (Oléohydraulique) ; 23523 (Pneumatique) ; 24447 (Automatisme hydraulique) ; 24457 (Automatisme pneumatique) ; 23654 (Mécanique construction réparation)</t>
        </is>
      </c>
      <c r="N1889" s="62" t="inlineStr">
        <is>
          <t>NON</t>
        </is>
      </c>
      <c r="O1889" s="51" t="inlineStr"/>
    </row>
    <row r="1890" customFormat="1" s="3">
      <c r="A1890" s="51" t="n"/>
      <c r="B1890" s="52" t="inlineStr">
        <is>
          <t>24447</t>
        </is>
      </c>
      <c r="C1890" s="52">
        <f>LEFT(Tableau1[[#This Row],[Formacode]],3)</f>
        <v/>
      </c>
      <c r="D1890" s="53" t="n">
        <v>37572</v>
      </c>
      <c r="E1890" s="54">
        <f>"RNCP"&amp;D1890</f>
        <v/>
      </c>
      <c r="F1890" s="54" t="inlineStr">
        <is>
          <t>Grade_Licence - Sciences et Ingénierie - Transformation Numérique des Entreprises</t>
        </is>
      </c>
      <c r="G1890" s="55">
        <f>E1890&amp;" - "&amp;F1890</f>
        <v/>
      </c>
      <c r="H1890" s="37" t="inlineStr">
        <is>
          <t>À vérifier</t>
        </is>
      </c>
      <c r="I1890" s="51" t="inlineStr">
        <is>
          <t>Successeur déjà publié : RNCP42302 (Sciences et Ingénierie - Informatique et systèmes numériques) — préparer la bascule de l'offre CPF | Échéance le 31/08/2026 (dans 44 j)</t>
        </is>
      </c>
      <c r="J1890" s="51" t="inlineStr">
        <is>
          <t>RNCP42302</t>
        </is>
      </c>
      <c r="K1890" s="51" t="inlineStr">
        <is>
          <t>Sciences et Ingénierie - Informatique et systèmes numériques</t>
        </is>
      </c>
      <c r="L1890" s="51" t="inlineStr">
        <is>
          <t>31/08/2026</t>
        </is>
      </c>
      <c r="M1890" s="51" t="inlineStr">
        <is>
          <t>31054 (Informatique - Systèmes d’information et numérique) ; 24231 (Réseau informatique) ; 24454 (Automatisme informatique industrielle)</t>
        </is>
      </c>
      <c r="N1890" s="62" t="inlineStr">
        <is>
          <t>NON</t>
        </is>
      </c>
      <c r="O1890" s="51" t="inlineStr"/>
    </row>
    <row r="1891" customFormat="1" s="3">
      <c r="A1891" s="45" t="n"/>
      <c r="B1891" s="46" t="inlineStr">
        <is>
          <t>24447</t>
        </is>
      </c>
      <c r="C1891" s="46">
        <f>LEFT(Tableau1[[#This Row],[Formacode]],3)</f>
        <v/>
      </c>
      <c r="D1891" s="47" t="n">
        <v>38948</v>
      </c>
      <c r="E1891" s="48">
        <f>"RNCP"&amp;D1891</f>
        <v/>
      </c>
      <c r="F1891" s="48" t="inlineStr">
        <is>
          <t>Analyste programmeur en automatisme et informatique industrielle</t>
        </is>
      </c>
      <c r="G1891" s="49">
        <f>E1891&amp;" - "&amp;F1891</f>
        <v/>
      </c>
      <c r="H1891" s="36" t="inlineStr">
        <is>
          <t>RAS</t>
        </is>
      </c>
      <c r="I1891" s="45" t="inlineStr"/>
      <c r="J1891" s="45" t="inlineStr">
        <is>
          <t>RNCP38948</t>
        </is>
      </c>
      <c r="K1891" s="45" t="inlineStr">
        <is>
          <t>Analyste programmeur en automatisme et informatique industrielle</t>
        </is>
      </c>
      <c r="L1891" s="45" t="inlineStr">
        <is>
          <t>26/04/2027</t>
        </is>
      </c>
      <c r="M1891" s="45" t="inlineStr">
        <is>
          <t>24454 (Automatisme informatique industrielle)</t>
        </is>
      </c>
      <c r="N1891" s="50" t="inlineStr">
        <is>
          <t>NON</t>
        </is>
      </c>
      <c r="O1891" s="45" t="inlineStr"/>
    </row>
    <row r="1892" customFormat="1" s="3">
      <c r="A1892" s="45" t="n"/>
      <c r="B1892" s="46" t="inlineStr">
        <is>
          <t>24447</t>
        </is>
      </c>
      <c r="C1892" s="46">
        <f>LEFT(Tableau1[[#This Row],[Formacode]],3)</f>
        <v/>
      </c>
      <c r="D1892" s="47" t="n">
        <v>40384</v>
      </c>
      <c r="E1892" s="48">
        <f>"RNCP"&amp;D1892</f>
        <v/>
      </c>
      <c r="F1892" s="48" t="inlineStr">
        <is>
          <t>CQP Technicien de maintenance en hydraulique</t>
        </is>
      </c>
      <c r="G1892" s="49">
        <f>E1892&amp;" - "&amp;F1892</f>
        <v/>
      </c>
      <c r="H1892" s="36" t="inlineStr">
        <is>
          <t>RAS</t>
        </is>
      </c>
      <c r="I1892" s="45" t="inlineStr"/>
      <c r="J1892" s="45" t="inlineStr">
        <is>
          <t>RNCP40384</t>
        </is>
      </c>
      <c r="K1892" s="45" t="inlineStr">
        <is>
          <t>CQP Technicien de maintenance en hydraulique</t>
        </is>
      </c>
      <c r="L1892" s="45" t="inlineStr">
        <is>
          <t>28/03/2030</t>
        </is>
      </c>
      <c r="M1892" s="45" t="inlineStr">
        <is>
          <t>23551 (Hydraulique) ; 24447 (Automatisme hydraulique) ; 24139 (Énergie hydraulique) ; 31604 (Maintenance corrective) ; 31603 (Maintenance préventive)</t>
        </is>
      </c>
      <c r="N1892" s="50" t="inlineStr">
        <is>
          <t>NON</t>
        </is>
      </c>
      <c r="O1892" s="45" t="inlineStr"/>
    </row>
    <row r="1893" customFormat="1" s="3">
      <c r="A1893" s="51" t="n"/>
      <c r="B1893" s="52" t="inlineStr">
        <is>
          <t>24451</t>
        </is>
      </c>
      <c r="C1893" s="52">
        <f>LEFT(Tableau1[[#This Row],[Formacode]],3)</f>
        <v/>
      </c>
      <c r="D1893" s="53" t="n">
        <v>37572</v>
      </c>
      <c r="E1893" s="54">
        <f>"RNCP"&amp;D1893</f>
        <v/>
      </c>
      <c r="F1893" s="54" t="inlineStr">
        <is>
          <t>Grade_Licence - Sciences et Ingénierie - Transformation Numérique des Entreprises</t>
        </is>
      </c>
      <c r="G1893" s="55">
        <f>E1893&amp;" - "&amp;F1893</f>
        <v/>
      </c>
      <c r="H1893" s="37" t="inlineStr">
        <is>
          <t>À vérifier</t>
        </is>
      </c>
      <c r="I1893" s="51" t="inlineStr">
        <is>
          <t>Successeur déjà publié : RNCP42302 (Sciences et Ingénierie - Informatique et systèmes numériques) — préparer la bascule de l'offre CPF | Échéance le 31/08/2026 (dans 44 j)</t>
        </is>
      </c>
      <c r="J1893" s="51" t="inlineStr">
        <is>
          <t>RNCP42302</t>
        </is>
      </c>
      <c r="K1893" s="51" t="inlineStr">
        <is>
          <t>Sciences et Ingénierie - Informatique et systèmes numériques</t>
        </is>
      </c>
      <c r="L1893" s="51" t="inlineStr">
        <is>
          <t>31/08/2026</t>
        </is>
      </c>
      <c r="M1893" s="51" t="inlineStr">
        <is>
          <t>31054 (Informatique - Systèmes d’information et numérique) ; 24231 (Réseau informatique) ; 24454 (Automatisme informatique industrielle)</t>
        </is>
      </c>
      <c r="N1893" s="62" t="inlineStr">
        <is>
          <t>NON</t>
        </is>
      </c>
      <c r="O1893" s="51" t="inlineStr"/>
    </row>
    <row r="1894" customFormat="1" s="3">
      <c r="A1894" s="45" t="n"/>
      <c r="B1894" s="46" t="inlineStr">
        <is>
          <t>24451</t>
        </is>
      </c>
      <c r="C1894" s="46">
        <f>LEFT(Tableau1[[#This Row],[Formacode]],3)</f>
        <v/>
      </c>
      <c r="D1894" s="47" t="n">
        <v>38948</v>
      </c>
      <c r="E1894" s="48">
        <f>"RNCP"&amp;D1894</f>
        <v/>
      </c>
      <c r="F1894" s="48" t="inlineStr">
        <is>
          <t>Analyste programmeur en automatisme et informatique industrielle</t>
        </is>
      </c>
      <c r="G1894" s="49">
        <f>E1894&amp;" - "&amp;F1894</f>
        <v/>
      </c>
      <c r="H1894" s="36" t="inlineStr">
        <is>
          <t>RAS</t>
        </is>
      </c>
      <c r="I1894" s="45" t="inlineStr"/>
      <c r="J1894" s="45" t="inlineStr">
        <is>
          <t>RNCP38948</t>
        </is>
      </c>
      <c r="K1894" s="45" t="inlineStr">
        <is>
          <t>Analyste programmeur en automatisme et informatique industrielle</t>
        </is>
      </c>
      <c r="L1894" s="45" t="inlineStr">
        <is>
          <t>26/04/2027</t>
        </is>
      </c>
      <c r="M1894" s="45" t="inlineStr">
        <is>
          <t>24454 (Automatisme informatique industrielle)</t>
        </is>
      </c>
      <c r="N1894" s="50" t="inlineStr">
        <is>
          <t>NON</t>
        </is>
      </c>
      <c r="O1894" s="45" t="inlineStr"/>
    </row>
    <row r="1895" customFormat="1" s="3">
      <c r="A1895" s="45" t="n"/>
      <c r="B1895" s="46" t="inlineStr">
        <is>
          <t>24451</t>
        </is>
      </c>
      <c r="C1895" s="46">
        <f>LEFT(Tableau1[[#This Row],[Formacode]],3)</f>
        <v/>
      </c>
      <c r="D1895" s="47" t="n">
        <v>39239</v>
      </c>
      <c r="E1895" s="48">
        <f>"RNCP"&amp;D1895</f>
        <v/>
      </c>
      <c r="F1895" s="48" t="inlineStr">
        <is>
          <t>Chargé d'intégration en robotique industrielle</t>
        </is>
      </c>
      <c r="G1895" s="49">
        <f>E1895&amp;" - "&amp;F1895</f>
        <v/>
      </c>
      <c r="H1895" s="36" t="inlineStr">
        <is>
          <t>RAS</t>
        </is>
      </c>
      <c r="I1895" s="45" t="inlineStr"/>
      <c r="J1895" s="45" t="inlineStr">
        <is>
          <t>RNCP39239</t>
        </is>
      </c>
      <c r="K1895" s="45" t="inlineStr">
        <is>
          <t>Chargé d'intégration en robotique industrielle</t>
        </is>
      </c>
      <c r="L1895" s="45" t="inlineStr">
        <is>
          <t>27/06/2029</t>
        </is>
      </c>
      <c r="M1895" s="45" t="inlineStr">
        <is>
          <t>24451 (Robotique)</t>
        </is>
      </c>
      <c r="N1895" s="50" t="inlineStr">
        <is>
          <t>NON</t>
        </is>
      </c>
      <c r="O1895" s="45" t="inlineStr"/>
    </row>
    <row r="1896" customFormat="1" s="3">
      <c r="A1896" s="51" t="n"/>
      <c r="B1896" s="52" t="inlineStr">
        <is>
          <t>24457</t>
        </is>
      </c>
      <c r="C1896" s="52">
        <f>LEFT(Tableau1[[#This Row],[Formacode]],3)</f>
        <v/>
      </c>
      <c r="D1896" s="53" t="n">
        <v>36332</v>
      </c>
      <c r="E1896" s="54">
        <f>"RNCP"&amp;D1896</f>
        <v/>
      </c>
      <c r="F1896" s="54" t="inlineStr">
        <is>
          <t>CS - Maintenance des installations oléohydrauliques et pneumatiques</t>
        </is>
      </c>
      <c r="G1896" s="55">
        <f>E1896&amp;" - "&amp;F1896</f>
        <v/>
      </c>
      <c r="H1896" s="37" t="inlineStr">
        <is>
          <t>À vérifier</t>
        </is>
      </c>
      <c r="I1896" s="51" t="inlineStr">
        <is>
          <t>Successeur déjà publié : RNCP42136 (Maintenance des installations oléohydrauliques et pneumatiques) — préparer la bascule de l'offre CPF | Échéance le 31/08/2026 (dans 44 j)</t>
        </is>
      </c>
      <c r="J1896" s="51" t="inlineStr">
        <is>
          <t>RNCP42136</t>
        </is>
      </c>
      <c r="K1896" s="51" t="inlineStr">
        <is>
          <t>Maintenance des installations oléohydrauliques et pneumatiques</t>
        </is>
      </c>
      <c r="L1896" s="51" t="inlineStr">
        <is>
          <t>31/08/2026</t>
        </is>
      </c>
      <c r="M1896" s="51" t="inlineStr">
        <is>
          <t>23570 (Oléohydraulique) ; 23523 (Pneumatique) ; 24447 (Automatisme hydraulique) ; 24457 (Automatisme pneumatique) ; 23654 (Mécanique construction réparation)</t>
        </is>
      </c>
      <c r="N1896" s="62" t="inlineStr">
        <is>
          <t>NON</t>
        </is>
      </c>
      <c r="O1896" s="51" t="inlineStr"/>
    </row>
    <row r="1897" customFormat="1" s="3">
      <c r="A1897" s="51" t="n"/>
      <c r="B1897" s="52" t="inlineStr">
        <is>
          <t>24457</t>
        </is>
      </c>
      <c r="C1897" s="52">
        <f>LEFT(Tableau1[[#This Row],[Formacode]],3)</f>
        <v/>
      </c>
      <c r="D1897" s="53" t="n">
        <v>37572</v>
      </c>
      <c r="E1897" s="54">
        <f>"RNCP"&amp;D1897</f>
        <v/>
      </c>
      <c r="F1897" s="54" t="inlineStr">
        <is>
          <t>Grade_Licence - Sciences et Ingénierie - Transformation Numérique des Entreprises</t>
        </is>
      </c>
      <c r="G1897" s="55">
        <f>E1897&amp;" - "&amp;F1897</f>
        <v/>
      </c>
      <c r="H1897" s="37" t="inlineStr">
        <is>
          <t>À vérifier</t>
        </is>
      </c>
      <c r="I1897" s="51" t="inlineStr">
        <is>
          <t>Successeur déjà publié : RNCP42302 (Sciences et Ingénierie - Informatique et systèmes numériques) — préparer la bascule de l'offre CPF | Échéance le 31/08/2026 (dans 44 j)</t>
        </is>
      </c>
      <c r="J1897" s="51" t="inlineStr">
        <is>
          <t>RNCP42302</t>
        </is>
      </c>
      <c r="K1897" s="51" t="inlineStr">
        <is>
          <t>Sciences et Ingénierie - Informatique et systèmes numériques</t>
        </is>
      </c>
      <c r="L1897" s="51" t="inlineStr">
        <is>
          <t>31/08/2026</t>
        </is>
      </c>
      <c r="M1897" s="51" t="inlineStr">
        <is>
          <t>31054 (Informatique - Systèmes d’information et numérique) ; 24231 (Réseau informatique) ; 24454 (Automatisme informatique industrielle)</t>
        </is>
      </c>
      <c r="N1897" s="62" t="inlineStr">
        <is>
          <t>NON</t>
        </is>
      </c>
      <c r="O1897" s="51" t="inlineStr"/>
    </row>
    <row r="1898" customFormat="1" s="3">
      <c r="A1898" s="45" t="n"/>
      <c r="B1898" s="46" t="inlineStr">
        <is>
          <t>24457</t>
        </is>
      </c>
      <c r="C1898" s="46">
        <f>LEFT(Tableau1[[#This Row],[Formacode]],3)</f>
        <v/>
      </c>
      <c r="D1898" s="47" t="n">
        <v>38948</v>
      </c>
      <c r="E1898" s="48">
        <f>"RNCP"&amp;D1898</f>
        <v/>
      </c>
      <c r="F1898" s="48" t="inlineStr">
        <is>
          <t>Analyste programmeur en automatisme et informatique industrielle</t>
        </is>
      </c>
      <c r="G1898" s="49">
        <f>E1898&amp;" - "&amp;F1898</f>
        <v/>
      </c>
      <c r="H1898" s="36" t="inlineStr">
        <is>
          <t>RAS</t>
        </is>
      </c>
      <c r="I1898" s="45" t="inlineStr"/>
      <c r="J1898" s="45" t="inlineStr">
        <is>
          <t>RNCP38948</t>
        </is>
      </c>
      <c r="K1898" s="45" t="inlineStr">
        <is>
          <t>Analyste programmeur en automatisme et informatique industrielle</t>
        </is>
      </c>
      <c r="L1898" s="45" t="inlineStr">
        <is>
          <t>26/04/2027</t>
        </is>
      </c>
      <c r="M1898" s="45" t="inlineStr">
        <is>
          <t>24454 (Automatisme informatique industrielle)</t>
        </is>
      </c>
      <c r="N1898" s="50" t="inlineStr">
        <is>
          <t>NON</t>
        </is>
      </c>
      <c r="O1898" s="45" t="inlineStr"/>
    </row>
    <row r="1899" customFormat="1" s="3">
      <c r="A1899" s="51" t="n"/>
      <c r="B1899" s="52" t="inlineStr">
        <is>
          <t>24461</t>
        </is>
      </c>
      <c r="C1899" s="52">
        <f>LEFT(Tableau1[[#This Row],[Formacode]],3)</f>
        <v/>
      </c>
      <c r="D1899" s="53" t="n">
        <v>37572</v>
      </c>
      <c r="E1899" s="54">
        <f>"RNCP"&amp;D1899</f>
        <v/>
      </c>
      <c r="F1899" s="54" t="inlineStr">
        <is>
          <t>Grade_Licence - Sciences et Ingénierie - Transformation Numérique des Entreprises</t>
        </is>
      </c>
      <c r="G1899" s="55">
        <f>E1899&amp;" - "&amp;F1899</f>
        <v/>
      </c>
      <c r="H1899" s="37" t="inlineStr">
        <is>
          <t>À vérifier</t>
        </is>
      </c>
      <c r="I1899" s="51" t="inlineStr">
        <is>
          <t>Successeur déjà publié : RNCP42302 (Sciences et Ingénierie - Informatique et systèmes numériques) — préparer la bascule de l'offre CPF | Échéance le 31/08/2026 (dans 44 j)</t>
        </is>
      </c>
      <c r="J1899" s="51" t="inlineStr">
        <is>
          <t>RNCP42302</t>
        </is>
      </c>
      <c r="K1899" s="51" t="inlineStr">
        <is>
          <t>Sciences et Ingénierie - Informatique et systèmes numériques</t>
        </is>
      </c>
      <c r="L1899" s="51" t="inlineStr">
        <is>
          <t>31/08/2026</t>
        </is>
      </c>
      <c r="M1899" s="51" t="inlineStr">
        <is>
          <t>31054 (Informatique - Systèmes d’information et numérique) ; 24231 (Réseau informatique) ; 24454 (Automatisme informatique industrielle)</t>
        </is>
      </c>
      <c r="N1899" s="62" t="inlineStr">
        <is>
          <t>NON</t>
        </is>
      </c>
      <c r="O1899" s="51" t="inlineStr"/>
    </row>
    <row r="1900" customFormat="1" s="3">
      <c r="A1900" s="45" t="n"/>
      <c r="B1900" s="46" t="inlineStr">
        <is>
          <t>24461</t>
        </is>
      </c>
      <c r="C1900" s="46">
        <f>LEFT(Tableau1[[#This Row],[Formacode]],3)</f>
        <v/>
      </c>
      <c r="D1900" s="47" t="n">
        <v>38948</v>
      </c>
      <c r="E1900" s="48">
        <f>"RNCP"&amp;D1900</f>
        <v/>
      </c>
      <c r="F1900" s="48" t="inlineStr">
        <is>
          <t>Analyste programmeur en automatisme et informatique industrielle</t>
        </is>
      </c>
      <c r="G1900" s="49">
        <f>E1900&amp;" - "&amp;F1900</f>
        <v/>
      </c>
      <c r="H1900" s="36" t="inlineStr">
        <is>
          <t>RAS</t>
        </is>
      </c>
      <c r="I1900" s="45" t="inlineStr"/>
      <c r="J1900" s="45" t="inlineStr">
        <is>
          <t>RNCP38948</t>
        </is>
      </c>
      <c r="K1900" s="45" t="inlineStr">
        <is>
          <t>Analyste programmeur en automatisme et informatique industrielle</t>
        </is>
      </c>
      <c r="L1900" s="45" t="inlineStr">
        <is>
          <t>26/04/2027</t>
        </is>
      </c>
      <c r="M1900" s="45" t="inlineStr">
        <is>
          <t>24454 (Automatisme informatique industrielle)</t>
        </is>
      </c>
      <c r="N1900" s="50" t="inlineStr">
        <is>
          <t>NON</t>
        </is>
      </c>
      <c r="O1900" s="45" t="inlineStr"/>
    </row>
    <row r="1901" customFormat="1" s="3">
      <c r="A1901" s="45" t="n"/>
      <c r="B1901" s="46" t="inlineStr">
        <is>
          <t>24472</t>
        </is>
      </c>
      <c r="C1901" s="46">
        <f>LEFT(Tableau1[[#This Row],[Formacode]],3)</f>
        <v/>
      </c>
      <c r="D1901" s="47" t="n">
        <v>36428</v>
      </c>
      <c r="E1901" s="48">
        <f>"RNCP"&amp;D1901</f>
        <v/>
      </c>
      <c r="F1901" s="48" t="inlineStr">
        <is>
          <t>BAC PRO - Pilote de ligne de production</t>
        </is>
      </c>
      <c r="G1901" s="49">
        <f>E1901&amp;" - "&amp;F1901</f>
        <v/>
      </c>
      <c r="H1901" s="36" t="inlineStr">
        <is>
          <t>RAS</t>
        </is>
      </c>
      <c r="I1901" s="45" t="inlineStr"/>
      <c r="J1901" s="45" t="inlineStr">
        <is>
          <t>RNCP36428</t>
        </is>
      </c>
      <c r="K1901" s="45" t="inlineStr">
        <is>
          <t>Pilote de ligne de production</t>
        </is>
      </c>
      <c r="L1901" s="45" t="inlineStr">
        <is>
          <t>31/08/2027</t>
        </is>
      </c>
      <c r="M1901" s="45" t="inlineStr">
        <is>
          <t>31620 (Conduite installation industrielle) ; 24472 (Automatisation) ; 24431 (Maintenance système automatisé)</t>
        </is>
      </c>
      <c r="N1901" s="50" t="inlineStr">
        <is>
          <t>NON</t>
        </is>
      </c>
      <c r="O1901" s="45" t="inlineStr"/>
    </row>
    <row r="1902" customFormat="1" s="3">
      <c r="A1902" s="45" t="n"/>
      <c r="B1902" s="46" t="inlineStr">
        <is>
          <t>24472</t>
        </is>
      </c>
      <c r="C1902" s="46">
        <f>LEFT(Tableau1[[#This Row],[Formacode]],3)</f>
        <v/>
      </c>
      <c r="D1902" s="47" t="n">
        <v>37115</v>
      </c>
      <c r="E1902" s="48">
        <f>"RNCP"&amp;D1902</f>
        <v/>
      </c>
      <c r="F1902" s="48" t="inlineStr">
        <is>
          <t>BTS - Conception et réalisation de systèmes automatiques</t>
        </is>
      </c>
      <c r="G1902" s="49">
        <f>E1902&amp;" - "&amp;F1902</f>
        <v/>
      </c>
      <c r="H1902" s="36" t="inlineStr">
        <is>
          <t>RAS</t>
        </is>
      </c>
      <c r="I1902" s="45" t="inlineStr"/>
      <c r="J1902" s="45" t="inlineStr">
        <is>
          <t>RNCP37115</t>
        </is>
      </c>
      <c r="K1902" s="45" t="inlineStr">
        <is>
          <t>Conception et réalisation de systèmes automatiques</t>
        </is>
      </c>
      <c r="L1902" s="45" t="inlineStr">
        <is>
          <t>31/08/2027</t>
        </is>
      </c>
      <c r="M1902" s="45" t="inlineStr">
        <is>
          <t>24472 (Automatisation) ; 31676 (Bureau d'études) ; 24431 (Maintenance système automatisé)</t>
        </is>
      </c>
      <c r="N1902" s="50" t="inlineStr">
        <is>
          <t>NON</t>
        </is>
      </c>
      <c r="O1902" s="45" t="inlineStr"/>
    </row>
    <row r="1903" customFormat="1" s="3">
      <c r="A1903" s="45" t="n"/>
      <c r="B1903" s="46" t="inlineStr">
        <is>
          <t>24472</t>
        </is>
      </c>
      <c r="C1903" s="46">
        <f>LEFT(Tableau1[[#This Row],[Formacode]],3)</f>
        <v/>
      </c>
      <c r="D1903" s="47" t="n">
        <v>37239</v>
      </c>
      <c r="E1903" s="48">
        <f>"RNCP"&amp;D1903</f>
        <v/>
      </c>
      <c r="F1903" s="48" t="inlineStr">
        <is>
          <t>Brevet professionnel - Pilote d'installations de production par procédés</t>
        </is>
      </c>
      <c r="G1903" s="49">
        <f>E1903&amp;" - "&amp;F1903</f>
        <v/>
      </c>
      <c r="H1903" s="36" t="inlineStr">
        <is>
          <t>RAS</t>
        </is>
      </c>
      <c r="I1903" s="45" t="inlineStr"/>
      <c r="J1903" s="45" t="inlineStr">
        <is>
          <t>RNCP37239</t>
        </is>
      </c>
      <c r="K1903" s="45" t="inlineStr">
        <is>
          <t>Pilote d'installations de production par procédés</t>
        </is>
      </c>
      <c r="L1903" s="45" t="inlineStr">
        <is>
          <t>31/08/2027</t>
        </is>
      </c>
      <c r="M1903" s="45" t="inlineStr">
        <is>
          <t>31620 (Conduite installation industrielle) ; 24431 (Maintenance système automatisé) ; 24472 (Automatisation)</t>
        </is>
      </c>
      <c r="N1903" s="50" t="inlineStr">
        <is>
          <t>NON</t>
        </is>
      </c>
      <c r="O1903" s="45" t="inlineStr"/>
    </row>
    <row r="1904" customFormat="1" s="3">
      <c r="A1904" s="51" t="n"/>
      <c r="B1904" s="52" t="inlineStr">
        <is>
          <t>24472</t>
        </is>
      </c>
      <c r="C1904" s="52">
        <f>LEFT(Tableau1[[#This Row],[Formacode]],3)</f>
        <v/>
      </c>
      <c r="D1904" s="53" t="n">
        <v>37572</v>
      </c>
      <c r="E1904" s="54">
        <f>"RNCP"&amp;D1904</f>
        <v/>
      </c>
      <c r="F1904" s="54" t="inlineStr">
        <is>
          <t>Grade_Licence - Sciences et Ingénierie - Transformation Numérique des Entreprises</t>
        </is>
      </c>
      <c r="G1904" s="55">
        <f>E1904&amp;" - "&amp;F1904</f>
        <v/>
      </c>
      <c r="H1904" s="37" t="inlineStr">
        <is>
          <t>À vérifier</t>
        </is>
      </c>
      <c r="I1904" s="51" t="inlineStr">
        <is>
          <t>Successeur déjà publié : RNCP42302 (Sciences et Ingénierie - Informatique et systèmes numériques) — préparer la bascule de l'offre CPF | Échéance le 31/08/2026 (dans 44 j)</t>
        </is>
      </c>
      <c r="J1904" s="51" t="inlineStr">
        <is>
          <t>RNCP42302</t>
        </is>
      </c>
      <c r="K1904" s="51" t="inlineStr">
        <is>
          <t>Sciences et Ingénierie - Informatique et systèmes numériques</t>
        </is>
      </c>
      <c r="L1904" s="51" t="inlineStr">
        <is>
          <t>31/08/2026</t>
        </is>
      </c>
      <c r="M1904" s="51" t="inlineStr">
        <is>
          <t>31054 (Informatique - Systèmes d’information et numérique) ; 24231 (Réseau informatique) ; 24454 (Automatisme informatique industrielle)</t>
        </is>
      </c>
      <c r="N1904" s="62" t="inlineStr">
        <is>
          <t>NON</t>
        </is>
      </c>
      <c r="O1904" s="51" t="inlineStr"/>
    </row>
    <row r="1905" customFormat="1" s="3">
      <c r="A1905" s="45" t="n"/>
      <c r="B1905" s="46" t="inlineStr">
        <is>
          <t>24472</t>
        </is>
      </c>
      <c r="C1905" s="46">
        <f>LEFT(Tableau1[[#This Row],[Formacode]],3)</f>
        <v/>
      </c>
      <c r="D1905" s="47" t="n">
        <v>38713</v>
      </c>
      <c r="E1905" s="48">
        <f>"RNCP"&amp;D1905</f>
        <v/>
      </c>
      <c r="F1905" s="48" t="inlineStr">
        <is>
          <t>TP - Technicien supérieur en automatique et informatique industrielle</t>
        </is>
      </c>
      <c r="G1905" s="49">
        <f>E1905&amp;" - "&amp;F1905</f>
        <v/>
      </c>
      <c r="H1905" s="36" t="inlineStr">
        <is>
          <t>RAS</t>
        </is>
      </c>
      <c r="I1905" s="45" t="inlineStr"/>
      <c r="J1905" s="45" t="inlineStr">
        <is>
          <t>RNCP38713</t>
        </is>
      </c>
      <c r="K1905" s="45" t="inlineStr">
        <is>
          <t>Technicien supérieur en automatique et informatique industrielle</t>
        </is>
      </c>
      <c r="L1905" s="45" t="inlineStr">
        <is>
          <t>04/03/2029</t>
        </is>
      </c>
      <c r="M1905" s="45" t="inlineStr">
        <is>
          <t>24491 (Programmation informatique industrielle) ; 24472 (Automatisation) ; 24429 (Supervision industrielle) ; 24422 (Automate programmable) ; 24478 (Régulation industrielle)</t>
        </is>
      </c>
      <c r="N1905" s="50" t="inlineStr">
        <is>
          <t>NON</t>
        </is>
      </c>
      <c r="O1905" s="45" t="inlineStr"/>
    </row>
    <row r="1906" customFormat="1" s="3">
      <c r="A1906" s="45" t="n"/>
      <c r="B1906" s="46" t="inlineStr">
        <is>
          <t>24472</t>
        </is>
      </c>
      <c r="C1906" s="46">
        <f>LEFT(Tableau1[[#This Row],[Formacode]],3)</f>
        <v/>
      </c>
      <c r="D1906" s="47" t="n">
        <v>38948</v>
      </c>
      <c r="E1906" s="48">
        <f>"RNCP"&amp;D1906</f>
        <v/>
      </c>
      <c r="F1906" s="48" t="inlineStr">
        <is>
          <t>Analyste programmeur en automatisme et informatique industrielle</t>
        </is>
      </c>
      <c r="G1906" s="49">
        <f>E1906&amp;" - "&amp;F1906</f>
        <v/>
      </c>
      <c r="H1906" s="36" t="inlineStr">
        <is>
          <t>RAS</t>
        </is>
      </c>
      <c r="I1906" s="45" t="inlineStr"/>
      <c r="J1906" s="45" t="inlineStr">
        <is>
          <t>RNCP38948</t>
        </is>
      </c>
      <c r="K1906" s="45" t="inlineStr">
        <is>
          <t>Analyste programmeur en automatisme et informatique industrielle</t>
        </is>
      </c>
      <c r="L1906" s="45" t="inlineStr">
        <is>
          <t>26/04/2027</t>
        </is>
      </c>
      <c r="M1906" s="45" t="inlineStr">
        <is>
          <t>24454 (Automatisme informatique industrielle)</t>
        </is>
      </c>
      <c r="N1906" s="50" t="inlineStr">
        <is>
          <t>NON</t>
        </is>
      </c>
      <c r="O1906" s="45" t="inlineStr"/>
    </row>
    <row r="1907" customFormat="1" s="3">
      <c r="A1907" s="45" t="n"/>
      <c r="B1907" s="46" t="inlineStr">
        <is>
          <t>24472</t>
        </is>
      </c>
      <c r="C1907" s="46">
        <f>LEFT(Tableau1[[#This Row],[Formacode]],3)</f>
        <v/>
      </c>
      <c r="D1907" s="47" t="n">
        <v>39858</v>
      </c>
      <c r="E1907" s="48">
        <f>"RNCP"&amp;D1907</f>
        <v/>
      </c>
      <c r="F1907" s="48" t="inlineStr">
        <is>
          <t>Chef de projet en automatisation</t>
        </is>
      </c>
      <c r="G1907" s="49">
        <f>E1907&amp;" - "&amp;F1907</f>
        <v/>
      </c>
      <c r="H1907" s="36" t="inlineStr">
        <is>
          <t>RAS</t>
        </is>
      </c>
      <c r="I1907" s="45" t="inlineStr"/>
      <c r="J1907" s="45" t="inlineStr">
        <is>
          <t>RNCP39858</t>
        </is>
      </c>
      <c r="K1907" s="45" t="inlineStr">
        <is>
          <t>Chef de projet en automatisation</t>
        </is>
      </c>
      <c r="L1907" s="45" t="inlineStr">
        <is>
          <t>28/11/2029</t>
        </is>
      </c>
      <c r="M1907" s="45" t="inlineStr">
        <is>
          <t>24472 (Automatisation)</t>
        </is>
      </c>
      <c r="N1907" s="50" t="inlineStr">
        <is>
          <t>NON</t>
        </is>
      </c>
      <c r="O1907" s="45" t="inlineStr"/>
    </row>
    <row r="1908" customFormat="1" s="3">
      <c r="A1908" s="45" t="n"/>
      <c r="B1908" s="46" t="inlineStr">
        <is>
          <t>24472</t>
        </is>
      </c>
      <c r="C1908" s="46">
        <f>LEFT(Tableau1[[#This Row],[Formacode]],3)</f>
        <v/>
      </c>
      <c r="D1908" s="47" t="n">
        <v>40593</v>
      </c>
      <c r="E1908" s="48">
        <f>"RNCP"&amp;D1908</f>
        <v/>
      </c>
      <c r="F1908" s="48" t="inlineStr">
        <is>
          <t>Product builder no code</t>
        </is>
      </c>
      <c r="G1908" s="49">
        <f>E1908&amp;" - "&amp;F1908</f>
        <v/>
      </c>
      <c r="H1908" s="36" t="inlineStr">
        <is>
          <t>RAS</t>
        </is>
      </c>
      <c r="I1908" s="45" t="inlineStr"/>
      <c r="J1908" s="45" t="inlineStr">
        <is>
          <t>RNCP40593</t>
        </is>
      </c>
      <c r="K1908" s="45" t="inlineStr">
        <is>
          <t>Product builder no code</t>
        </is>
      </c>
      <c r="L1908" s="45" t="inlineStr">
        <is>
          <t>30/04/2028</t>
        </is>
      </c>
      <c r="M1908" s="45" t="inlineStr">
        <is>
          <t>31086 (Développement Low Code - No Code) ; 46334 (Maquettage site web) ; 31094 (Gestion projet informatique) ; 72454 (Application) ; 32012 (Gestion processus)</t>
        </is>
      </c>
      <c r="N1908" s="50" t="inlineStr">
        <is>
          <t>NON</t>
        </is>
      </c>
      <c r="O1908" s="45" t="inlineStr"/>
    </row>
    <row r="1909" customFormat="1" s="3">
      <c r="A1909" s="51" t="n"/>
      <c r="B1909" s="52" t="inlineStr">
        <is>
          <t>24478</t>
        </is>
      </c>
      <c r="C1909" s="52">
        <f>LEFT(Tableau1[[#This Row],[Formacode]],3)</f>
        <v/>
      </c>
      <c r="D1909" s="53" t="n">
        <v>37572</v>
      </c>
      <c r="E1909" s="54">
        <f>"RNCP"&amp;D1909</f>
        <v/>
      </c>
      <c r="F1909" s="54" t="inlineStr">
        <is>
          <t>Grade_Licence - Sciences et Ingénierie - Transformation Numérique des Entreprises</t>
        </is>
      </c>
      <c r="G1909" s="55">
        <f>E1909&amp;" - "&amp;F1909</f>
        <v/>
      </c>
      <c r="H1909" s="37" t="inlineStr">
        <is>
          <t>À vérifier</t>
        </is>
      </c>
      <c r="I1909" s="51" t="inlineStr">
        <is>
          <t>Successeur déjà publié : RNCP42302 (Sciences et Ingénierie - Informatique et systèmes numériques) — préparer la bascule de l'offre CPF | Échéance le 31/08/2026 (dans 44 j)</t>
        </is>
      </c>
      <c r="J1909" s="51" t="inlineStr">
        <is>
          <t>RNCP42302</t>
        </is>
      </c>
      <c r="K1909" s="51" t="inlineStr">
        <is>
          <t>Sciences et Ingénierie - Informatique et systèmes numériques</t>
        </is>
      </c>
      <c r="L1909" s="51" t="inlineStr">
        <is>
          <t>31/08/2026</t>
        </is>
      </c>
      <c r="M1909" s="51" t="inlineStr">
        <is>
          <t>31054 (Informatique - Systèmes d’information et numérique) ; 24231 (Réseau informatique) ; 24454 (Automatisme informatique industrielle)</t>
        </is>
      </c>
      <c r="N1909" s="62" t="inlineStr">
        <is>
          <t>NON</t>
        </is>
      </c>
      <c r="O1909" s="51" t="inlineStr"/>
    </row>
    <row r="1910" customFormat="1" s="3">
      <c r="A1910" s="45" t="n"/>
      <c r="B1910" s="46" t="inlineStr">
        <is>
          <t>24478</t>
        </is>
      </c>
      <c r="C1910" s="46">
        <f>LEFT(Tableau1[[#This Row],[Formacode]],3)</f>
        <v/>
      </c>
      <c r="D1910" s="47" t="n">
        <v>38216</v>
      </c>
      <c r="E1910" s="48">
        <f>"RNCP"&amp;D1910</f>
        <v/>
      </c>
      <c r="F1910" s="48" t="inlineStr">
        <is>
          <t>BTS - Contrôle industriel et régulation automatique</t>
        </is>
      </c>
      <c r="G1910" s="49">
        <f>E1910&amp;" - "&amp;F1910</f>
        <v/>
      </c>
      <c r="H1910" s="36" t="inlineStr">
        <is>
          <t>RAS</t>
        </is>
      </c>
      <c r="I1910" s="45" t="inlineStr"/>
      <c r="J1910" s="45" t="inlineStr">
        <is>
          <t>RNCP38216</t>
        </is>
      </c>
      <c r="K1910" s="45" t="inlineStr">
        <is>
          <t>Contrôle industriel et régulation automatique</t>
        </is>
      </c>
      <c r="L1910" s="45" t="inlineStr">
        <is>
          <t>31/12/2028</t>
        </is>
      </c>
      <c r="M1910" s="45" t="inlineStr">
        <is>
          <t>31664 (Qualité gestion industrielle) ; 24469 (Capteur) ; 31624 (Maintenance industrielle) ; 31436 (Contrôle qualité)</t>
        </is>
      </c>
      <c r="N1910" s="50" t="inlineStr">
        <is>
          <t>NON</t>
        </is>
      </c>
      <c r="O1910" s="45" t="inlineStr"/>
    </row>
    <row r="1911" customFormat="1" s="3">
      <c r="A1911" s="45" t="n"/>
      <c r="B1911" s="46" t="inlineStr">
        <is>
          <t>24478</t>
        </is>
      </c>
      <c r="C1911" s="46">
        <f>LEFT(Tableau1[[#This Row],[Formacode]],3)</f>
        <v/>
      </c>
      <c r="D1911" s="47" t="n">
        <v>38713</v>
      </c>
      <c r="E1911" s="48">
        <f>"RNCP"&amp;D1911</f>
        <v/>
      </c>
      <c r="F1911" s="48" t="inlineStr">
        <is>
          <t>TP - Technicien supérieur en automatique et informatique industrielle</t>
        </is>
      </c>
      <c r="G1911" s="49">
        <f>E1911&amp;" - "&amp;F1911</f>
        <v/>
      </c>
      <c r="H1911" s="36" t="inlineStr">
        <is>
          <t>RAS</t>
        </is>
      </c>
      <c r="I1911" s="45" t="inlineStr"/>
      <c r="J1911" s="45" t="inlineStr">
        <is>
          <t>RNCP38713</t>
        </is>
      </c>
      <c r="K1911" s="45" t="inlineStr">
        <is>
          <t>Technicien supérieur en automatique et informatique industrielle</t>
        </is>
      </c>
      <c r="L1911" s="45" t="inlineStr">
        <is>
          <t>04/03/2029</t>
        </is>
      </c>
      <c r="M1911" s="45" t="inlineStr">
        <is>
          <t>24491 (Programmation informatique industrielle) ; 24472 (Automatisation) ; 24429 (Supervision industrielle) ; 24422 (Automate programmable) ; 24478 (Régulation industrielle)</t>
        </is>
      </c>
      <c r="N1911" s="50" t="inlineStr">
        <is>
          <t>NON</t>
        </is>
      </c>
      <c r="O1911" s="45" t="inlineStr"/>
    </row>
    <row r="1912" customFormat="1" s="3">
      <c r="A1912" s="45" t="n"/>
      <c r="B1912" s="46" t="inlineStr">
        <is>
          <t>24478</t>
        </is>
      </c>
      <c r="C1912" s="46">
        <f>LEFT(Tableau1[[#This Row],[Formacode]],3)</f>
        <v/>
      </c>
      <c r="D1912" s="47" t="n">
        <v>38948</v>
      </c>
      <c r="E1912" s="48">
        <f>"RNCP"&amp;D1912</f>
        <v/>
      </c>
      <c r="F1912" s="48" t="inlineStr">
        <is>
          <t>Analyste programmeur en automatisme et informatique industrielle</t>
        </is>
      </c>
      <c r="G1912" s="49">
        <f>E1912&amp;" - "&amp;F1912</f>
        <v/>
      </c>
      <c r="H1912" s="36" t="inlineStr">
        <is>
          <t>RAS</t>
        </is>
      </c>
      <c r="I1912" s="45" t="inlineStr"/>
      <c r="J1912" s="45" t="inlineStr">
        <is>
          <t>RNCP38948</t>
        </is>
      </c>
      <c r="K1912" s="45" t="inlineStr">
        <is>
          <t>Analyste programmeur en automatisme et informatique industrielle</t>
        </is>
      </c>
      <c r="L1912" s="45" t="inlineStr">
        <is>
          <t>26/04/2027</t>
        </is>
      </c>
      <c r="M1912" s="45" t="inlineStr">
        <is>
          <t>24454 (Automatisme informatique industrielle)</t>
        </is>
      </c>
      <c r="N1912" s="50" t="inlineStr">
        <is>
          <t>NON</t>
        </is>
      </c>
      <c r="O1912" s="45" t="inlineStr"/>
    </row>
    <row r="1913" customFormat="1" s="3">
      <c r="A1913" s="51" t="n"/>
      <c r="B1913" s="52" t="inlineStr">
        <is>
          <t>24485</t>
        </is>
      </c>
      <c r="C1913" s="52">
        <f>LEFT(Tableau1[[#This Row],[Formacode]],3)</f>
        <v/>
      </c>
      <c r="D1913" s="53" t="n">
        <v>37572</v>
      </c>
      <c r="E1913" s="54">
        <f>"RNCP"&amp;D1913</f>
        <v/>
      </c>
      <c r="F1913" s="54" t="inlineStr">
        <is>
          <t>Grade_Licence - Sciences et Ingénierie - Transformation Numérique des Entreprises</t>
        </is>
      </c>
      <c r="G1913" s="55">
        <f>E1913&amp;" - "&amp;F1913</f>
        <v/>
      </c>
      <c r="H1913" s="37" t="inlineStr">
        <is>
          <t>À vérifier</t>
        </is>
      </c>
      <c r="I1913" s="51" t="inlineStr">
        <is>
          <t>Successeur déjà publié : RNCP42302 (Sciences et Ingénierie - Informatique et systèmes numériques) — préparer la bascule de l'offre CPF | Échéance le 31/08/2026 (dans 44 j)</t>
        </is>
      </c>
      <c r="J1913" s="51" t="inlineStr">
        <is>
          <t>RNCP42302</t>
        </is>
      </c>
      <c r="K1913" s="51" t="inlineStr">
        <is>
          <t>Sciences et Ingénierie - Informatique et systèmes numériques</t>
        </is>
      </c>
      <c r="L1913" s="51" t="inlineStr">
        <is>
          <t>31/08/2026</t>
        </is>
      </c>
      <c r="M1913" s="51" t="inlineStr">
        <is>
          <t>31054 (Informatique - Systèmes d’information et numérique) ; 24231 (Réseau informatique) ; 24454 (Automatisme informatique industrielle)</t>
        </is>
      </c>
      <c r="N1913" s="62" t="inlineStr">
        <is>
          <t>NON</t>
        </is>
      </c>
      <c r="O1913" s="51" t="inlineStr"/>
    </row>
    <row r="1914" customFormat="1" s="3">
      <c r="A1914" s="45" t="n"/>
      <c r="B1914" s="46" t="inlineStr">
        <is>
          <t>24485</t>
        </is>
      </c>
      <c r="C1914" s="46">
        <f>LEFT(Tableau1[[#This Row],[Formacode]],3)</f>
        <v/>
      </c>
      <c r="D1914" s="47" t="n">
        <v>38948</v>
      </c>
      <c r="E1914" s="48">
        <f>"RNCP"&amp;D1914</f>
        <v/>
      </c>
      <c r="F1914" s="48" t="inlineStr">
        <is>
          <t>Analyste programmeur en automatisme et informatique industrielle</t>
        </is>
      </c>
      <c r="G1914" s="49">
        <f>E1914&amp;" - "&amp;F1914</f>
        <v/>
      </c>
      <c r="H1914" s="36" t="inlineStr">
        <is>
          <t>RAS</t>
        </is>
      </c>
      <c r="I1914" s="45" t="inlineStr"/>
      <c r="J1914" s="45" t="inlineStr">
        <is>
          <t>RNCP38948</t>
        </is>
      </c>
      <c r="K1914" s="45" t="inlineStr">
        <is>
          <t>Analyste programmeur en automatisme et informatique industrielle</t>
        </is>
      </c>
      <c r="L1914" s="45" t="inlineStr">
        <is>
          <t>26/04/2027</t>
        </is>
      </c>
      <c r="M1914" s="45" t="inlineStr">
        <is>
          <t>24454 (Automatisme informatique industrielle)</t>
        </is>
      </c>
      <c r="N1914" s="50" t="inlineStr">
        <is>
          <t>NON</t>
        </is>
      </c>
      <c r="O1914" s="45" t="inlineStr"/>
    </row>
    <row r="1915" customFormat="1" s="3">
      <c r="A1915" s="51" t="n"/>
      <c r="B1915" s="52" t="inlineStr">
        <is>
          <t>24487</t>
        </is>
      </c>
      <c r="C1915" s="52">
        <f>LEFT(Tableau1[[#This Row],[Formacode]],3)</f>
        <v/>
      </c>
      <c r="D1915" s="53" t="n">
        <v>37572</v>
      </c>
      <c r="E1915" s="54">
        <f>"RNCP"&amp;D1915</f>
        <v/>
      </c>
      <c r="F1915" s="54" t="inlineStr">
        <is>
          <t>Grade_Licence - Sciences et Ingénierie - Transformation Numérique des Entreprises</t>
        </is>
      </c>
      <c r="G1915" s="55">
        <f>E1915&amp;" - "&amp;F1915</f>
        <v/>
      </c>
      <c r="H1915" s="37" t="inlineStr">
        <is>
          <t>À vérifier</t>
        </is>
      </c>
      <c r="I1915" s="51" t="inlineStr">
        <is>
          <t>Successeur déjà publié : RNCP42302 (Sciences et Ingénierie - Informatique et systèmes numériques) — préparer la bascule de l'offre CPF | Échéance le 31/08/2026 (dans 44 j)</t>
        </is>
      </c>
      <c r="J1915" s="51" t="inlineStr">
        <is>
          <t>RNCP42302</t>
        </is>
      </c>
      <c r="K1915" s="51" t="inlineStr">
        <is>
          <t>Sciences et Ingénierie - Informatique et systèmes numériques</t>
        </is>
      </c>
      <c r="L1915" s="51" t="inlineStr">
        <is>
          <t>31/08/2026</t>
        </is>
      </c>
      <c r="M1915" s="51" t="inlineStr">
        <is>
          <t>31054 (Informatique - Systèmes d’information et numérique) ; 24231 (Réseau informatique) ; 24454 (Automatisme informatique industrielle)</t>
        </is>
      </c>
      <c r="N1915" s="62" t="inlineStr">
        <is>
          <t>NON</t>
        </is>
      </c>
      <c r="O1915" s="51" t="inlineStr"/>
    </row>
    <row r="1916" customFormat="1" s="3">
      <c r="A1916" s="45" t="n"/>
      <c r="B1916" s="46" t="inlineStr">
        <is>
          <t>24487</t>
        </is>
      </c>
      <c r="C1916" s="46">
        <f>LEFT(Tableau1[[#This Row],[Formacode]],3)</f>
        <v/>
      </c>
      <c r="D1916" s="47" t="n">
        <v>38948</v>
      </c>
      <c r="E1916" s="48">
        <f>"RNCP"&amp;D1916</f>
        <v/>
      </c>
      <c r="F1916" s="48" t="inlineStr">
        <is>
          <t>Analyste programmeur en automatisme et informatique industrielle</t>
        </is>
      </c>
      <c r="G1916" s="49">
        <f>E1916&amp;" - "&amp;F1916</f>
        <v/>
      </c>
      <c r="H1916" s="36" t="inlineStr">
        <is>
          <t>RAS</t>
        </is>
      </c>
      <c r="I1916" s="45" t="inlineStr"/>
      <c r="J1916" s="45" t="inlineStr">
        <is>
          <t>RNCP38948</t>
        </is>
      </c>
      <c r="K1916" s="45" t="inlineStr">
        <is>
          <t>Analyste programmeur en automatisme et informatique industrielle</t>
        </is>
      </c>
      <c r="L1916" s="45" t="inlineStr">
        <is>
          <t>26/04/2027</t>
        </is>
      </c>
      <c r="M1916" s="45" t="inlineStr">
        <is>
          <t>24454 (Automatisme informatique industrielle)</t>
        </is>
      </c>
      <c r="N1916" s="50" t="inlineStr">
        <is>
          <t>NON</t>
        </is>
      </c>
      <c r="O1916" s="45" t="inlineStr"/>
    </row>
    <row r="1917" customFormat="1" s="3">
      <c r="A1917" s="51" t="n"/>
      <c r="B1917" s="52" t="inlineStr">
        <is>
          <t>24489</t>
        </is>
      </c>
      <c r="C1917" s="52">
        <f>LEFT(Tableau1[[#This Row],[Formacode]],3)</f>
        <v/>
      </c>
      <c r="D1917" s="53" t="n">
        <v>37572</v>
      </c>
      <c r="E1917" s="54">
        <f>"RNCP"&amp;D1917</f>
        <v/>
      </c>
      <c r="F1917" s="54" t="inlineStr">
        <is>
          <t>Grade_Licence - Sciences et Ingénierie - Transformation Numérique des Entreprises</t>
        </is>
      </c>
      <c r="G1917" s="55">
        <f>E1917&amp;" - "&amp;F1917</f>
        <v/>
      </c>
      <c r="H1917" s="37" t="inlineStr">
        <is>
          <t>À vérifier</t>
        </is>
      </c>
      <c r="I1917" s="51" t="inlineStr">
        <is>
          <t>Successeur déjà publié : RNCP42302 (Sciences et Ingénierie - Informatique et systèmes numériques) — préparer la bascule de l'offre CPF | Échéance le 31/08/2026 (dans 44 j)</t>
        </is>
      </c>
      <c r="J1917" s="51" t="inlineStr">
        <is>
          <t>RNCP42302</t>
        </is>
      </c>
      <c r="K1917" s="51" t="inlineStr">
        <is>
          <t>Sciences et Ingénierie - Informatique et systèmes numériques</t>
        </is>
      </c>
      <c r="L1917" s="51" t="inlineStr">
        <is>
          <t>31/08/2026</t>
        </is>
      </c>
      <c r="M1917" s="51" t="inlineStr">
        <is>
          <t>31054 (Informatique - Systèmes d’information et numérique) ; 24231 (Réseau informatique) ; 24454 (Automatisme informatique industrielle)</t>
        </is>
      </c>
      <c r="N1917" s="62" t="inlineStr">
        <is>
          <t>NON</t>
        </is>
      </c>
      <c r="O1917" s="51" t="inlineStr"/>
    </row>
    <row r="1918" customFormat="1" s="3">
      <c r="A1918" s="45" t="n"/>
      <c r="B1918" s="46" t="inlineStr">
        <is>
          <t>24489</t>
        </is>
      </c>
      <c r="C1918" s="46">
        <f>LEFT(Tableau1[[#This Row],[Formacode]],3)</f>
        <v/>
      </c>
      <c r="D1918" s="47" t="n">
        <v>38948</v>
      </c>
      <c r="E1918" s="48">
        <f>"RNCP"&amp;D1918</f>
        <v/>
      </c>
      <c r="F1918" s="48" t="inlineStr">
        <is>
          <t>Analyste programmeur en automatisme et informatique industrielle</t>
        </is>
      </c>
      <c r="G1918" s="49">
        <f>E1918&amp;" - "&amp;F1918</f>
        <v/>
      </c>
      <c r="H1918" s="36" t="inlineStr">
        <is>
          <t>RAS</t>
        </is>
      </c>
      <c r="I1918" s="45" t="inlineStr"/>
      <c r="J1918" s="45" t="inlineStr">
        <is>
          <t>RNCP38948</t>
        </is>
      </c>
      <c r="K1918" s="45" t="inlineStr">
        <is>
          <t>Analyste programmeur en automatisme et informatique industrielle</t>
        </is>
      </c>
      <c r="L1918" s="45" t="inlineStr">
        <is>
          <t>26/04/2027</t>
        </is>
      </c>
      <c r="M1918" s="45" t="inlineStr">
        <is>
          <t>24454 (Automatisme informatique industrielle)</t>
        </is>
      </c>
      <c r="N1918" s="50" t="inlineStr">
        <is>
          <t>NON</t>
        </is>
      </c>
      <c r="O1918" s="45" t="inlineStr"/>
    </row>
    <row r="1919" ht="28.8" customFormat="1" customHeight="1" s="3">
      <c r="A1919" s="45" t="n"/>
      <c r="B1919" s="46" t="inlineStr">
        <is>
          <t>24491</t>
        </is>
      </c>
      <c r="C1919" s="46">
        <f>LEFT(Tableau1[[#This Row],[Formacode]],3)</f>
        <v/>
      </c>
      <c r="D1919" s="47" t="n">
        <v>37391</v>
      </c>
      <c r="E1919" s="48">
        <f>"RNCP"&amp;D1919</f>
        <v/>
      </c>
      <c r="F1919" s="48" t="inlineStr">
        <is>
          <t>BTS - Cybersécurité, Informatique et réseaux, Électronique  - Option A : « Informatique et réseaux », Option B : « Électronique et réseaux »</t>
        </is>
      </c>
      <c r="G1919" s="49">
        <f>E1919&amp;" - "&amp;F1919</f>
        <v/>
      </c>
      <c r="H1919" s="36" t="inlineStr">
        <is>
          <t>RAS</t>
        </is>
      </c>
      <c r="I1919" s="45" t="inlineStr"/>
      <c r="J1919" s="45" t="inlineStr">
        <is>
          <t>RNCP37391</t>
        </is>
      </c>
      <c r="K1919" s="45" t="inlineStr">
        <is>
          <t>Cybersécurité, Informatique et réseaux, Électronique - Option A : « Informatique et réseaux », Option B : « Électronique et réseaux »</t>
        </is>
      </c>
      <c r="L1919" s="45" t="inlineStr">
        <is>
          <t>31/08/2028</t>
        </is>
      </c>
      <c r="M1919" s="45" t="inlineStr">
        <is>
          <t>24231 (Réseau informatique) ; 31045 (Cybersécurité) ; 24491 (Programmation informatique industrielle) ; 24340 (Maintenance électronique) ; 24392 (Électronique numérique)</t>
        </is>
      </c>
      <c r="N1919" s="50" t="inlineStr">
        <is>
          <t>NON</t>
        </is>
      </c>
      <c r="O1919" s="45" t="inlineStr"/>
    </row>
    <row r="1920" customFormat="1" s="3">
      <c r="A1920" s="51" t="n"/>
      <c r="B1920" s="52" t="inlineStr">
        <is>
          <t>24491</t>
        </is>
      </c>
      <c r="C1920" s="52">
        <f>LEFT(Tableau1[[#This Row],[Formacode]],3)</f>
        <v/>
      </c>
      <c r="D1920" s="53" t="n">
        <v>37572</v>
      </c>
      <c r="E1920" s="54">
        <f>"RNCP"&amp;D1920</f>
        <v/>
      </c>
      <c r="F1920" s="54" t="inlineStr">
        <is>
          <t>Grade_Licence - Sciences et Ingénierie - Transformation Numérique des Entreprises</t>
        </is>
      </c>
      <c r="G1920" s="55">
        <f>E1920&amp;" - "&amp;F1920</f>
        <v/>
      </c>
      <c r="H1920" s="37" t="inlineStr">
        <is>
          <t>À vérifier</t>
        </is>
      </c>
      <c r="I1920" s="51" t="inlineStr">
        <is>
          <t>Successeur déjà publié : RNCP42302 (Sciences et Ingénierie - Informatique et systèmes numériques) — préparer la bascule de l'offre CPF | Échéance le 31/08/2026 (dans 44 j)</t>
        </is>
      </c>
      <c r="J1920" s="51" t="inlineStr">
        <is>
          <t>RNCP42302</t>
        </is>
      </c>
      <c r="K1920" s="51" t="inlineStr">
        <is>
          <t>Sciences et Ingénierie - Informatique et systèmes numériques</t>
        </is>
      </c>
      <c r="L1920" s="51" t="inlineStr">
        <is>
          <t>31/08/2026</t>
        </is>
      </c>
      <c r="M1920" s="51" t="inlineStr">
        <is>
          <t>31054 (Informatique - Systèmes d’information et numérique) ; 24231 (Réseau informatique) ; 24454 (Automatisme informatique industrielle)</t>
        </is>
      </c>
      <c r="N1920" s="62" t="inlineStr">
        <is>
          <t>NON</t>
        </is>
      </c>
      <c r="O1920" s="51" t="inlineStr"/>
    </row>
    <row r="1921" customFormat="1" s="3">
      <c r="A1921" s="45" t="n"/>
      <c r="B1921" s="46" t="inlineStr">
        <is>
          <t>24491</t>
        </is>
      </c>
      <c r="C1921" s="46">
        <f>LEFT(Tableau1[[#This Row],[Formacode]],3)</f>
        <v/>
      </c>
      <c r="D1921" s="47" t="n">
        <v>38713</v>
      </c>
      <c r="E1921" s="48">
        <f>"RNCP"&amp;D1921</f>
        <v/>
      </c>
      <c r="F1921" s="48" t="inlineStr">
        <is>
          <t>TP - Technicien supérieur en automatique et informatique industrielle</t>
        </is>
      </c>
      <c r="G1921" s="49">
        <f>E1921&amp;" - "&amp;F1921</f>
        <v/>
      </c>
      <c r="H1921" s="36" t="inlineStr">
        <is>
          <t>RAS</t>
        </is>
      </c>
      <c r="I1921" s="45" t="inlineStr"/>
      <c r="J1921" s="45" t="inlineStr">
        <is>
          <t>RNCP38713</t>
        </is>
      </c>
      <c r="K1921" s="45" t="inlineStr">
        <is>
          <t>Technicien supérieur en automatique et informatique industrielle</t>
        </is>
      </c>
      <c r="L1921" s="45" t="inlineStr">
        <is>
          <t>04/03/2029</t>
        </is>
      </c>
      <c r="M1921" s="45" t="inlineStr">
        <is>
          <t>24491 (Programmation informatique industrielle) ; 24472 (Automatisation) ; 24429 (Supervision industrielle) ; 24422 (Automate programmable) ; 24478 (Régulation industrielle)</t>
        </is>
      </c>
      <c r="N1921" s="50" t="inlineStr">
        <is>
          <t>NON</t>
        </is>
      </c>
      <c r="O1921" s="45" t="inlineStr"/>
    </row>
    <row r="1922" customFormat="1" s="3">
      <c r="A1922" s="45" t="n"/>
      <c r="B1922" s="46" t="inlineStr">
        <is>
          <t>24491</t>
        </is>
      </c>
      <c r="C1922" s="46">
        <f>LEFT(Tableau1[[#This Row],[Formacode]],3)</f>
        <v/>
      </c>
      <c r="D1922" s="47" t="n">
        <v>38948</v>
      </c>
      <c r="E1922" s="48">
        <f>"RNCP"&amp;D1922</f>
        <v/>
      </c>
      <c r="F1922" s="48" t="inlineStr">
        <is>
          <t>Analyste programmeur en automatisme et informatique industrielle</t>
        </is>
      </c>
      <c r="G1922" s="49">
        <f>E1922&amp;" - "&amp;F1922</f>
        <v/>
      </c>
      <c r="H1922" s="36" t="inlineStr">
        <is>
          <t>RAS</t>
        </is>
      </c>
      <c r="I1922" s="45" t="inlineStr"/>
      <c r="J1922" s="45" t="inlineStr">
        <is>
          <t>RNCP38948</t>
        </is>
      </c>
      <c r="K1922" s="45" t="inlineStr">
        <is>
          <t>Analyste programmeur en automatisme et informatique industrielle</t>
        </is>
      </c>
      <c r="L1922" s="45" t="inlineStr">
        <is>
          <t>26/04/2027</t>
        </is>
      </c>
      <c r="M1922" s="45" t="inlineStr">
        <is>
          <t>24454 (Automatisme informatique industrielle)</t>
        </is>
      </c>
      <c r="N1922" s="50" t="inlineStr">
        <is>
          <t>NON</t>
        </is>
      </c>
      <c r="O1922" s="45" t="inlineStr"/>
    </row>
    <row r="1923" customFormat="1" s="3">
      <c r="A1923" s="45" t="n"/>
      <c r="B1923" s="46" t="inlineStr">
        <is>
          <t>24491</t>
        </is>
      </c>
      <c r="C1923" s="46">
        <f>LEFT(Tableau1[[#This Row],[Formacode]],3)</f>
        <v/>
      </c>
      <c r="D1923" s="47" t="n">
        <v>39349</v>
      </c>
      <c r="E1923" s="48">
        <f>"RNCP"&amp;D1923</f>
        <v/>
      </c>
      <c r="F1923" s="48" t="inlineStr">
        <is>
          <t>Concepteur de systèmes automatisés et interfaces associées</t>
        </is>
      </c>
      <c r="G1923" s="49">
        <f>E1923&amp;" - "&amp;F1923</f>
        <v/>
      </c>
      <c r="H1923" s="36" t="inlineStr">
        <is>
          <t>RAS</t>
        </is>
      </c>
      <c r="I1923" s="45" t="inlineStr"/>
      <c r="J1923" s="45" t="inlineStr">
        <is>
          <t>RNCP39349</t>
        </is>
      </c>
      <c r="K1923" s="45" t="inlineStr">
        <is>
          <t>Concepteur de systèmes automatisés et interfaces associées</t>
        </is>
      </c>
      <c r="L1923" s="45" t="inlineStr">
        <is>
          <t>19/07/2027</t>
        </is>
      </c>
      <c r="M1923" s="45" t="inlineStr">
        <is>
          <t>24491 (Programmation informatique industrielle)</t>
        </is>
      </c>
      <c r="N1923" s="50" t="inlineStr">
        <is>
          <t>NON</t>
        </is>
      </c>
      <c r="O1923" s="45" t="inlineStr"/>
    </row>
    <row r="1924" customFormat="1" s="3">
      <c r="A1924" s="45" t="n"/>
      <c r="B1924" s="46" t="inlineStr">
        <is>
          <t>24491</t>
        </is>
      </c>
      <c r="C1924" s="46">
        <f>LEFT(Tableau1[[#This Row],[Formacode]],3)</f>
        <v/>
      </c>
      <c r="D1924" s="47" t="n">
        <v>40658</v>
      </c>
      <c r="E1924" s="48">
        <f>"RNCP"&amp;D1924</f>
        <v/>
      </c>
      <c r="F1924" s="48" t="inlineStr">
        <is>
          <t>Architecte des systèmes d'information dans les processus industriels</t>
        </is>
      </c>
      <c r="G1924" s="49">
        <f>E1924&amp;" - "&amp;F1924</f>
        <v/>
      </c>
      <c r="H1924" s="36" t="inlineStr">
        <is>
          <t>RAS</t>
        </is>
      </c>
      <c r="I1924" s="45" t="inlineStr"/>
      <c r="J1924" s="45" t="inlineStr">
        <is>
          <t>RNCP40658</t>
        </is>
      </c>
      <c r="K1924" s="45" t="inlineStr">
        <is>
          <t>Architecte des systèmes d'information dans les processus industriels</t>
        </is>
      </c>
      <c r="L1924" s="45" t="inlineStr">
        <is>
          <t>23/05/2028</t>
        </is>
      </c>
      <c r="M1924" s="45" t="inlineStr">
        <is>
          <t>31009 (Architecture système information) ; 24426 (Informatique industrielle) ; 31006 (Sécurité informatique) ; 24231 (Réseau informatique) ; 24491 (Programmation informatique industrielle)</t>
        </is>
      </c>
      <c r="N1924" s="50" t="inlineStr">
        <is>
          <t>NON</t>
        </is>
      </c>
      <c r="O1924" s="45" t="inlineStr"/>
    </row>
    <row r="1925" customFormat="1" s="4">
      <c r="A1925" s="51" t="n"/>
      <c r="B1925" s="52" t="inlineStr">
        <is>
          <t>30801</t>
        </is>
      </c>
      <c r="C1925" s="52">
        <f>LEFT(Tableau1[[#This Row],[Formacode]],3)</f>
        <v/>
      </c>
      <c r="D1925" s="53" t="n">
        <v>37572</v>
      </c>
      <c r="E1925" s="54">
        <f>"RNCP"&amp;D1925</f>
        <v/>
      </c>
      <c r="F1925" s="54" t="inlineStr">
        <is>
          <t>Grade_Licence - Sciences et Ingénierie - Transformation Numérique des Entreprises</t>
        </is>
      </c>
      <c r="G1925" s="55">
        <f>E1925&amp;" - "&amp;F1925</f>
        <v/>
      </c>
      <c r="H1925" s="37" t="inlineStr">
        <is>
          <t>À vérifier</t>
        </is>
      </c>
      <c r="I1925" s="51" t="inlineStr">
        <is>
          <t>Successeur déjà publié : RNCP42302 (Sciences et Ingénierie - Informatique et systèmes numériques) — préparer la bascule de l'offre CPF | Échéance le 31/08/2026 (dans 44 j)</t>
        </is>
      </c>
      <c r="J1925" s="51" t="inlineStr">
        <is>
          <t>RNCP42302</t>
        </is>
      </c>
      <c r="K1925" s="51" t="inlineStr">
        <is>
          <t>Sciences et Ingénierie - Informatique et systèmes numériques</t>
        </is>
      </c>
      <c r="L1925" s="51" t="inlineStr">
        <is>
          <t>31/08/2026</t>
        </is>
      </c>
      <c r="M1925" s="51" t="inlineStr">
        <is>
          <t>31054 (Informatique - Systèmes d’information et numérique) ; 24231 (Réseau informatique) ; 24454 (Automatisme informatique industrielle)</t>
        </is>
      </c>
      <c r="N1925" s="62" t="inlineStr">
        <is>
          <t>NON</t>
        </is>
      </c>
      <c r="O1925" s="51" t="inlineStr"/>
    </row>
    <row r="1926" customFormat="1" s="4">
      <c r="A1926" s="45" t="n"/>
      <c r="B1926" s="46" t="inlineStr">
        <is>
          <t>30801</t>
        </is>
      </c>
      <c r="C1926" s="46">
        <f>LEFT(Tableau1[[#This Row],[Formacode]],3)</f>
        <v/>
      </c>
      <c r="D1926" s="47" t="n">
        <v>39609</v>
      </c>
      <c r="E1926" s="48">
        <f>"RNCP"&amp;D1926</f>
        <v/>
      </c>
      <c r="F1926" s="48" t="inlineStr">
        <is>
          <t>Concepteur développeur web full-stack</t>
        </is>
      </c>
      <c r="G1926" s="49">
        <f>E1926&amp;" - "&amp;F1926</f>
        <v/>
      </c>
      <c r="H1926" s="36" t="inlineStr">
        <is>
          <t>RAS</t>
        </is>
      </c>
      <c r="I1926" s="45" t="inlineStr"/>
      <c r="J1926" s="45" t="inlineStr">
        <is>
          <t>RNCP39609</t>
        </is>
      </c>
      <c r="K1926" s="45" t="inlineStr">
        <is>
          <t>Concepteur développeur web full-stack</t>
        </is>
      </c>
      <c r="L1926" s="45" t="inlineStr">
        <is>
          <t>01/10/2028</t>
        </is>
      </c>
      <c r="M1926" s="45" t="inlineStr">
        <is>
          <t>31090 (Développement web) ; 30854 (Langages informatiques) ; 46339 (Conduite projet numérique) ; 31006 (Sécurité informatique)</t>
        </is>
      </c>
      <c r="N1926" s="50" t="inlineStr">
        <is>
          <t>NON</t>
        </is>
      </c>
      <c r="O1926" s="45" t="inlineStr"/>
    </row>
    <row r="1927" customFormat="1" s="4">
      <c r="A1927" s="45" t="n"/>
      <c r="B1927" s="46" t="inlineStr">
        <is>
          <t>30801</t>
        </is>
      </c>
      <c r="C1927" s="46">
        <f>LEFT(Tableau1[[#This Row],[Formacode]],3)</f>
        <v/>
      </c>
      <c r="D1927" s="47" t="n">
        <v>40573</v>
      </c>
      <c r="E1927" s="48">
        <f>"RNCP"&amp;D1927</f>
        <v/>
      </c>
      <c r="F1927" s="48" t="inlineStr">
        <is>
          <t>Expert en informatique et systèmes d’information</t>
        </is>
      </c>
      <c r="G1927" s="49">
        <f>E1927&amp;" - "&amp;F1927</f>
        <v/>
      </c>
      <c r="H1927" s="36" t="inlineStr">
        <is>
          <t>RAS</t>
        </is>
      </c>
      <c r="I1927" s="45" t="inlineStr"/>
      <c r="J1927" s="45" t="inlineStr">
        <is>
          <t>RNCP40573</t>
        </is>
      </c>
      <c r="K1927" s="45" t="inlineStr">
        <is>
          <t>Expert en informatique et systèmes d’information</t>
        </is>
      </c>
      <c r="L1927" s="45" t="inlineStr">
        <is>
          <t>30/04/2030</t>
        </is>
      </c>
      <c r="M1927" s="45" t="inlineStr">
        <is>
          <t>31006 (Sécurité informatique) ; 30854 (Langages informatiques) ; 31025 (Analyse de données) ; 31094 (Gestion projet informatique) ; 31028 (Intelligence artificielle)</t>
        </is>
      </c>
      <c r="N1927" s="50" t="inlineStr">
        <is>
          <t>NON</t>
        </is>
      </c>
      <c r="O1927" s="45" t="inlineStr"/>
    </row>
    <row r="1928" customFormat="1" s="4">
      <c r="A1928" s="51" t="n"/>
      <c r="B1928" s="52" t="inlineStr">
        <is>
          <t>30802</t>
        </is>
      </c>
      <c r="C1928" s="52">
        <f>LEFT(Tableau1[[#This Row],[Formacode]],3)</f>
        <v/>
      </c>
      <c r="D1928" s="53" t="n">
        <v>37572</v>
      </c>
      <c r="E1928" s="54">
        <f>"RNCP"&amp;D1928</f>
        <v/>
      </c>
      <c r="F1928" s="54" t="inlineStr">
        <is>
          <t>Grade_Licence - Sciences et Ingénierie - Transformation Numérique des Entreprises</t>
        </is>
      </c>
      <c r="G1928" s="55">
        <f>E1928&amp;" - "&amp;F1928</f>
        <v/>
      </c>
      <c r="H1928" s="37" t="inlineStr">
        <is>
          <t>À vérifier</t>
        </is>
      </c>
      <c r="I1928" s="51" t="inlineStr">
        <is>
          <t>Successeur déjà publié : RNCP42302 (Sciences et Ingénierie - Informatique et systèmes numériques) — préparer la bascule de l'offre CPF | Échéance le 31/08/2026 (dans 44 j)</t>
        </is>
      </c>
      <c r="J1928" s="51" t="inlineStr">
        <is>
          <t>RNCP42302</t>
        </is>
      </c>
      <c r="K1928" s="51" t="inlineStr">
        <is>
          <t>Sciences et Ingénierie - Informatique et systèmes numériques</t>
        </is>
      </c>
      <c r="L1928" s="51" t="inlineStr">
        <is>
          <t>31/08/2026</t>
        </is>
      </c>
      <c r="M1928" s="51" t="inlineStr">
        <is>
          <t>31054 (Informatique - Systèmes d’information et numérique) ; 24231 (Réseau informatique) ; 24454 (Automatisme informatique industrielle)</t>
        </is>
      </c>
      <c r="N1928" s="62" t="inlineStr">
        <is>
          <t>NON</t>
        </is>
      </c>
      <c r="O1928" s="51" t="inlineStr"/>
    </row>
    <row r="1929" customFormat="1" s="4">
      <c r="A1929" s="45" t="n"/>
      <c r="B1929" s="46" t="inlineStr">
        <is>
          <t>30802</t>
        </is>
      </c>
      <c r="C1929" s="46">
        <f>LEFT(Tableau1[[#This Row],[Formacode]],3)</f>
        <v/>
      </c>
      <c r="D1929" s="47" t="n">
        <v>39609</v>
      </c>
      <c r="E1929" s="48">
        <f>"RNCP"&amp;D1929</f>
        <v/>
      </c>
      <c r="F1929" s="48" t="inlineStr">
        <is>
          <t>Concepteur développeur web full-stack</t>
        </is>
      </c>
      <c r="G1929" s="49">
        <f>E1929&amp;" - "&amp;F1929</f>
        <v/>
      </c>
      <c r="H1929" s="36" t="inlineStr">
        <is>
          <t>RAS</t>
        </is>
      </c>
      <c r="I1929" s="45" t="inlineStr"/>
      <c r="J1929" s="45" t="inlineStr">
        <is>
          <t>RNCP39609</t>
        </is>
      </c>
      <c r="K1929" s="45" t="inlineStr">
        <is>
          <t>Concepteur développeur web full-stack</t>
        </is>
      </c>
      <c r="L1929" s="45" t="inlineStr">
        <is>
          <t>01/10/2028</t>
        </is>
      </c>
      <c r="M1929" s="45" t="inlineStr">
        <is>
          <t>31090 (Développement web) ; 30854 (Langages informatiques) ; 46339 (Conduite projet numérique) ; 31006 (Sécurité informatique)</t>
        </is>
      </c>
      <c r="N1929" s="50" t="inlineStr">
        <is>
          <t>NON</t>
        </is>
      </c>
      <c r="O1929" s="45" t="inlineStr"/>
    </row>
    <row r="1930" customFormat="1" s="4">
      <c r="A1930" s="45" t="n"/>
      <c r="B1930" s="46" t="inlineStr">
        <is>
          <t>30802</t>
        </is>
      </c>
      <c r="C1930" s="46">
        <f>LEFT(Tableau1[[#This Row],[Formacode]],3)</f>
        <v/>
      </c>
      <c r="D1930" s="47" t="n">
        <v>40573</v>
      </c>
      <c r="E1930" s="48">
        <f>"RNCP"&amp;D1930</f>
        <v/>
      </c>
      <c r="F1930" s="48" t="inlineStr">
        <is>
          <t>Expert en informatique et systèmes d’information</t>
        </is>
      </c>
      <c r="G1930" s="49">
        <f>E1930&amp;" - "&amp;F1930</f>
        <v/>
      </c>
      <c r="H1930" s="36" t="inlineStr">
        <is>
          <t>RAS</t>
        </is>
      </c>
      <c r="I1930" s="45" t="inlineStr"/>
      <c r="J1930" s="45" t="inlineStr">
        <is>
          <t>RNCP40573</t>
        </is>
      </c>
      <c r="K1930" s="45" t="inlineStr">
        <is>
          <t>Expert en informatique et systèmes d’information</t>
        </is>
      </c>
      <c r="L1930" s="45" t="inlineStr">
        <is>
          <t>30/04/2030</t>
        </is>
      </c>
      <c r="M1930" s="45" t="inlineStr">
        <is>
          <t>31006 (Sécurité informatique) ; 30854 (Langages informatiques) ; 31025 (Analyse de données) ; 31094 (Gestion projet informatique) ; 31028 (Intelligence artificielle)</t>
        </is>
      </c>
      <c r="N1930" s="50" t="inlineStr">
        <is>
          <t>NON</t>
        </is>
      </c>
      <c r="O1930" s="45" t="inlineStr"/>
    </row>
    <row r="1931" customFormat="1" s="4">
      <c r="A1931" s="51" t="n"/>
      <c r="B1931" s="52" t="inlineStr">
        <is>
          <t>30803</t>
        </is>
      </c>
      <c r="C1931" s="52">
        <f>LEFT(Tableau1[[#This Row],[Formacode]],3)</f>
        <v/>
      </c>
      <c r="D1931" s="53" t="n">
        <v>37572</v>
      </c>
      <c r="E1931" s="54">
        <f>"RNCP"&amp;D1931</f>
        <v/>
      </c>
      <c r="F1931" s="54" t="inlineStr">
        <is>
          <t>Grade_Licence - Sciences et Ingénierie - Transformation Numérique des Entreprises</t>
        </is>
      </c>
      <c r="G1931" s="55">
        <f>E1931&amp;" - "&amp;F1931</f>
        <v/>
      </c>
      <c r="H1931" s="37" t="inlineStr">
        <is>
          <t>À vérifier</t>
        </is>
      </c>
      <c r="I1931" s="51" t="inlineStr">
        <is>
          <t>Successeur déjà publié : RNCP42302 (Sciences et Ingénierie - Informatique et systèmes numériques) — préparer la bascule de l'offre CPF | Échéance le 31/08/2026 (dans 44 j)</t>
        </is>
      </c>
      <c r="J1931" s="51" t="inlineStr">
        <is>
          <t>RNCP42302</t>
        </is>
      </c>
      <c r="K1931" s="51" t="inlineStr">
        <is>
          <t>Sciences et Ingénierie - Informatique et systèmes numériques</t>
        </is>
      </c>
      <c r="L1931" s="51" t="inlineStr">
        <is>
          <t>31/08/2026</t>
        </is>
      </c>
      <c r="M1931" s="51" t="inlineStr">
        <is>
          <t>31054 (Informatique - Systèmes d’information et numérique) ; 24231 (Réseau informatique) ; 24454 (Automatisme informatique industrielle)</t>
        </is>
      </c>
      <c r="N1931" s="62" t="inlineStr">
        <is>
          <t>NON</t>
        </is>
      </c>
      <c r="O1931" s="51" t="inlineStr"/>
    </row>
    <row r="1932" customFormat="1" s="4">
      <c r="A1932" s="45" t="n"/>
      <c r="B1932" s="46" t="inlineStr">
        <is>
          <t>30803</t>
        </is>
      </c>
      <c r="C1932" s="46">
        <f>LEFT(Tableau1[[#This Row],[Formacode]],3)</f>
        <v/>
      </c>
      <c r="D1932" s="47" t="n">
        <v>39609</v>
      </c>
      <c r="E1932" s="48">
        <f>"RNCP"&amp;D1932</f>
        <v/>
      </c>
      <c r="F1932" s="48" t="inlineStr">
        <is>
          <t>Concepteur développeur web full-stack</t>
        </is>
      </c>
      <c r="G1932" s="49">
        <f>E1932&amp;" - "&amp;F1932</f>
        <v/>
      </c>
      <c r="H1932" s="36" t="inlineStr">
        <is>
          <t>RAS</t>
        </is>
      </c>
      <c r="I1932" s="45" t="inlineStr"/>
      <c r="J1932" s="45" t="inlineStr">
        <is>
          <t>RNCP39609</t>
        </is>
      </c>
      <c r="K1932" s="45" t="inlineStr">
        <is>
          <t>Concepteur développeur web full-stack</t>
        </is>
      </c>
      <c r="L1932" s="45" t="inlineStr">
        <is>
          <t>01/10/2028</t>
        </is>
      </c>
      <c r="M1932" s="45" t="inlineStr">
        <is>
          <t>31090 (Développement web) ; 30854 (Langages informatiques) ; 46339 (Conduite projet numérique) ; 31006 (Sécurité informatique)</t>
        </is>
      </c>
      <c r="N1932" s="50" t="inlineStr">
        <is>
          <t>NON</t>
        </is>
      </c>
      <c r="O1932" s="45" t="inlineStr"/>
    </row>
    <row r="1933" customFormat="1" s="4">
      <c r="A1933" s="45" t="n"/>
      <c r="B1933" s="46" t="inlineStr">
        <is>
          <t>30803</t>
        </is>
      </c>
      <c r="C1933" s="46">
        <f>LEFT(Tableau1[[#This Row],[Formacode]],3)</f>
        <v/>
      </c>
      <c r="D1933" s="47" t="n">
        <v>40573</v>
      </c>
      <c r="E1933" s="48">
        <f>"RNCP"&amp;D1933</f>
        <v/>
      </c>
      <c r="F1933" s="48" t="inlineStr">
        <is>
          <t>Expert en informatique et systèmes d’information</t>
        </is>
      </c>
      <c r="G1933" s="49">
        <f>E1933&amp;" - "&amp;F1933</f>
        <v/>
      </c>
      <c r="H1933" s="36" t="inlineStr">
        <is>
          <t>RAS</t>
        </is>
      </c>
      <c r="I1933" s="45" t="inlineStr"/>
      <c r="J1933" s="45" t="inlineStr">
        <is>
          <t>RNCP40573</t>
        </is>
      </c>
      <c r="K1933" s="45" t="inlineStr">
        <is>
          <t>Expert en informatique et systèmes d’information</t>
        </is>
      </c>
      <c r="L1933" s="45" t="inlineStr">
        <is>
          <t>30/04/2030</t>
        </is>
      </c>
      <c r="M1933" s="45" t="inlineStr">
        <is>
          <t>31006 (Sécurité informatique) ; 30854 (Langages informatiques) ; 31025 (Analyse de données) ; 31094 (Gestion projet informatique) ; 31028 (Intelligence artificielle)</t>
        </is>
      </c>
      <c r="N1933" s="50" t="inlineStr">
        <is>
          <t>NON</t>
        </is>
      </c>
      <c r="O1933" s="45" t="inlineStr"/>
    </row>
    <row r="1934" customFormat="1" s="4">
      <c r="A1934" s="51" t="n"/>
      <c r="B1934" s="52" t="inlineStr">
        <is>
          <t>30804</t>
        </is>
      </c>
      <c r="C1934" s="52">
        <f>LEFT(Tableau1[[#This Row],[Formacode]],3)</f>
        <v/>
      </c>
      <c r="D1934" s="53" t="n">
        <v>37572</v>
      </c>
      <c r="E1934" s="54">
        <f>"RNCP"&amp;D1934</f>
        <v/>
      </c>
      <c r="F1934" s="54" t="inlineStr">
        <is>
          <t>Grade_Licence - Sciences et Ingénierie - Transformation Numérique des Entreprises</t>
        </is>
      </c>
      <c r="G1934" s="55">
        <f>E1934&amp;" - "&amp;F1934</f>
        <v/>
      </c>
      <c r="H1934" s="37" t="inlineStr">
        <is>
          <t>À vérifier</t>
        </is>
      </c>
      <c r="I1934" s="51" t="inlineStr">
        <is>
          <t>Successeur déjà publié : RNCP42302 (Sciences et Ingénierie - Informatique et systèmes numériques) — préparer la bascule de l'offre CPF | Échéance le 31/08/2026 (dans 44 j)</t>
        </is>
      </c>
      <c r="J1934" s="51" t="inlineStr">
        <is>
          <t>RNCP42302</t>
        </is>
      </c>
      <c r="K1934" s="51" t="inlineStr">
        <is>
          <t>Sciences et Ingénierie - Informatique et systèmes numériques</t>
        </is>
      </c>
      <c r="L1934" s="51" t="inlineStr">
        <is>
          <t>31/08/2026</t>
        </is>
      </c>
      <c r="M1934" s="51" t="inlineStr">
        <is>
          <t>31054 (Informatique - Systèmes d’information et numérique) ; 24231 (Réseau informatique) ; 24454 (Automatisme informatique industrielle)</t>
        </is>
      </c>
      <c r="N1934" s="62" t="inlineStr">
        <is>
          <t>NON</t>
        </is>
      </c>
      <c r="O1934" s="51" t="inlineStr"/>
    </row>
    <row r="1935" customFormat="1" s="4">
      <c r="A1935" s="45" t="n"/>
      <c r="B1935" s="46" t="inlineStr">
        <is>
          <t>30804</t>
        </is>
      </c>
      <c r="C1935" s="46">
        <f>LEFT(Tableau1[[#This Row],[Formacode]],3)</f>
        <v/>
      </c>
      <c r="D1935" s="47" t="n">
        <v>39609</v>
      </c>
      <c r="E1935" s="48">
        <f>"RNCP"&amp;D1935</f>
        <v/>
      </c>
      <c r="F1935" s="48" t="inlineStr">
        <is>
          <t>Concepteur développeur web full-stack</t>
        </is>
      </c>
      <c r="G1935" s="49">
        <f>E1935&amp;" - "&amp;F1935</f>
        <v/>
      </c>
      <c r="H1935" s="36" t="inlineStr">
        <is>
          <t>RAS</t>
        </is>
      </c>
      <c r="I1935" s="45" t="inlineStr"/>
      <c r="J1935" s="45" t="inlineStr">
        <is>
          <t>RNCP39609</t>
        </is>
      </c>
      <c r="K1935" s="45" t="inlineStr">
        <is>
          <t>Concepteur développeur web full-stack</t>
        </is>
      </c>
      <c r="L1935" s="45" t="inlineStr">
        <is>
          <t>01/10/2028</t>
        </is>
      </c>
      <c r="M1935" s="45" t="inlineStr">
        <is>
          <t>31090 (Développement web) ; 30854 (Langages informatiques) ; 46339 (Conduite projet numérique) ; 31006 (Sécurité informatique)</t>
        </is>
      </c>
      <c r="N1935" s="50" t="inlineStr">
        <is>
          <t>NON</t>
        </is>
      </c>
      <c r="O1935" s="45" t="inlineStr"/>
    </row>
    <row r="1936" customFormat="1" s="4">
      <c r="A1936" s="45" t="n"/>
      <c r="B1936" s="46" t="inlineStr">
        <is>
          <t>30804</t>
        </is>
      </c>
      <c r="C1936" s="46">
        <f>LEFT(Tableau1[[#This Row],[Formacode]],3)</f>
        <v/>
      </c>
      <c r="D1936" s="47" t="n">
        <v>40573</v>
      </c>
      <c r="E1936" s="48">
        <f>"RNCP"&amp;D1936</f>
        <v/>
      </c>
      <c r="F1936" s="48" t="inlineStr">
        <is>
          <t>Expert en informatique et systèmes d’information</t>
        </is>
      </c>
      <c r="G1936" s="49">
        <f>E1936&amp;" - "&amp;F1936</f>
        <v/>
      </c>
      <c r="H1936" s="36" t="inlineStr">
        <is>
          <t>RAS</t>
        </is>
      </c>
      <c r="I1936" s="45" t="inlineStr"/>
      <c r="J1936" s="45" t="inlineStr">
        <is>
          <t>RNCP40573</t>
        </is>
      </c>
      <c r="K1936" s="45" t="inlineStr">
        <is>
          <t>Expert en informatique et systèmes d’information</t>
        </is>
      </c>
      <c r="L1936" s="45" t="inlineStr">
        <is>
          <t>30/04/2030</t>
        </is>
      </c>
      <c r="M1936" s="45" t="inlineStr">
        <is>
          <t>31006 (Sécurité informatique) ; 30854 (Langages informatiques) ; 31025 (Analyse de données) ; 31094 (Gestion projet informatique) ; 31028 (Intelligence artificielle)</t>
        </is>
      </c>
      <c r="N1936" s="50" t="inlineStr">
        <is>
          <t>NON</t>
        </is>
      </c>
      <c r="O1936" s="45" t="inlineStr"/>
    </row>
    <row r="1937" customFormat="1" s="4">
      <c r="A1937" s="51" t="n"/>
      <c r="B1937" s="52" t="inlineStr">
        <is>
          <t>30805</t>
        </is>
      </c>
      <c r="C1937" s="52">
        <f>LEFT(Tableau1[[#This Row],[Formacode]],3)</f>
        <v/>
      </c>
      <c r="D1937" s="53" t="n">
        <v>35959</v>
      </c>
      <c r="E1937" s="54">
        <f>"RNCP"&amp;D1937</f>
        <v/>
      </c>
      <c r="F1937" s="54" t="inlineStr">
        <is>
          <t>Développeur web</t>
        </is>
      </c>
      <c r="G1937" s="55">
        <f>E1937&amp;" - "&amp;F1937</f>
        <v/>
      </c>
      <c r="H1937" s="37" t="inlineStr">
        <is>
          <t>À vérifier</t>
        </is>
      </c>
      <c r="I1937" s="51" t="inlineStr">
        <is>
          <t>Échéance le 15/10/2026 (dans 89 j)</t>
        </is>
      </c>
      <c r="J1937" s="51" t="inlineStr">
        <is>
          <t>RNCP35959</t>
        </is>
      </c>
      <c r="K1937" s="51" t="inlineStr">
        <is>
          <t>Développeur web</t>
        </is>
      </c>
      <c r="L1937" s="51" t="inlineStr">
        <is>
          <t>15/10/2026</t>
        </is>
      </c>
      <c r="M1937" s="51" t="inlineStr">
        <is>
          <t>31090 (Développement web) ; 46341 (Communication externe) ; 46359 (Réseau social) ; 30805 (Langage PHP)</t>
        </is>
      </c>
      <c r="N1937" s="62" t="inlineStr">
        <is>
          <t>NON</t>
        </is>
      </c>
      <c r="O1937" s="51" t="inlineStr"/>
    </row>
    <row r="1938" customFormat="1" s="4">
      <c r="A1938" s="51" t="n"/>
      <c r="B1938" s="52" t="inlineStr">
        <is>
          <t>30805</t>
        </is>
      </c>
      <c r="C1938" s="52">
        <f>LEFT(Tableau1[[#This Row],[Formacode]],3)</f>
        <v/>
      </c>
      <c r="D1938" s="53" t="n">
        <v>37572</v>
      </c>
      <c r="E1938" s="54">
        <f>"RNCP"&amp;D1938</f>
        <v/>
      </c>
      <c r="F1938" s="54" t="inlineStr">
        <is>
          <t>Grade_Licence - Sciences et Ingénierie - Transformation Numérique des Entreprises</t>
        </is>
      </c>
      <c r="G1938" s="55">
        <f>E1938&amp;" - "&amp;F1938</f>
        <v/>
      </c>
      <c r="H1938" s="37" t="inlineStr">
        <is>
          <t>À vérifier</t>
        </is>
      </c>
      <c r="I1938" s="51" t="inlineStr">
        <is>
          <t>Successeur déjà publié : RNCP42302 (Sciences et Ingénierie - Informatique et systèmes numériques) — préparer la bascule de l'offre CPF | Échéance le 31/08/2026 (dans 44 j)</t>
        </is>
      </c>
      <c r="J1938" s="51" t="inlineStr">
        <is>
          <t>RNCP42302</t>
        </is>
      </c>
      <c r="K1938" s="51" t="inlineStr">
        <is>
          <t>Sciences et Ingénierie - Informatique et systèmes numériques</t>
        </is>
      </c>
      <c r="L1938" s="51" t="inlineStr">
        <is>
          <t>31/08/2026</t>
        </is>
      </c>
      <c r="M1938" s="51" t="inlineStr">
        <is>
          <t>31054 (Informatique - Systèmes d’information et numérique) ; 24231 (Réseau informatique) ; 24454 (Automatisme informatique industrielle)</t>
        </is>
      </c>
      <c r="N1938" s="62" t="inlineStr">
        <is>
          <t>NON</t>
        </is>
      </c>
      <c r="O1938" s="51" t="inlineStr"/>
    </row>
    <row r="1939" customFormat="1" s="4">
      <c r="A1939" s="45" t="n"/>
      <c r="B1939" s="46" t="inlineStr">
        <is>
          <t>30805</t>
        </is>
      </c>
      <c r="C1939" s="46">
        <f>LEFT(Tableau1[[#This Row],[Formacode]],3)</f>
        <v/>
      </c>
      <c r="D1939" s="47" t="n">
        <v>39609</v>
      </c>
      <c r="E1939" s="48">
        <f>"RNCP"&amp;D1939</f>
        <v/>
      </c>
      <c r="F1939" s="48" t="inlineStr">
        <is>
          <t>Concepteur développeur web full-stack</t>
        </is>
      </c>
      <c r="G1939" s="49">
        <f>E1939&amp;" - "&amp;F1939</f>
        <v/>
      </c>
      <c r="H1939" s="36" t="inlineStr">
        <is>
          <t>RAS</t>
        </is>
      </c>
      <c r="I1939" s="45" t="inlineStr"/>
      <c r="J1939" s="45" t="inlineStr">
        <is>
          <t>RNCP39609</t>
        </is>
      </c>
      <c r="K1939" s="45" t="inlineStr">
        <is>
          <t>Concepteur développeur web full-stack</t>
        </is>
      </c>
      <c r="L1939" s="45" t="inlineStr">
        <is>
          <t>01/10/2028</t>
        </is>
      </c>
      <c r="M1939" s="45" t="inlineStr">
        <is>
          <t>31090 (Développement web) ; 30854 (Langages informatiques) ; 46339 (Conduite projet numérique) ; 31006 (Sécurité informatique)</t>
        </is>
      </c>
      <c r="N1939" s="50" t="inlineStr">
        <is>
          <t>NON</t>
        </is>
      </c>
      <c r="O1939" s="45" t="inlineStr"/>
    </row>
    <row r="1940" customFormat="1" s="4">
      <c r="A1940" s="45" t="n"/>
      <c r="B1940" s="46" t="inlineStr">
        <is>
          <t>30805</t>
        </is>
      </c>
      <c r="C1940" s="46">
        <f>LEFT(Tableau1[[#This Row],[Formacode]],3)</f>
        <v/>
      </c>
      <c r="D1940" s="47" t="n">
        <v>40573</v>
      </c>
      <c r="E1940" s="48">
        <f>"RNCP"&amp;D1940</f>
        <v/>
      </c>
      <c r="F1940" s="48" t="inlineStr">
        <is>
          <t>Expert en informatique et systèmes d’information</t>
        </is>
      </c>
      <c r="G1940" s="49">
        <f>E1940&amp;" - "&amp;F1940</f>
        <v/>
      </c>
      <c r="H1940" s="36" t="inlineStr">
        <is>
          <t>RAS</t>
        </is>
      </c>
      <c r="I1940" s="45" t="inlineStr"/>
      <c r="J1940" s="45" t="inlineStr">
        <is>
          <t>RNCP40573</t>
        </is>
      </c>
      <c r="K1940" s="45" t="inlineStr">
        <is>
          <t>Expert en informatique et systèmes d’information</t>
        </is>
      </c>
      <c r="L1940" s="45" t="inlineStr">
        <is>
          <t>30/04/2030</t>
        </is>
      </c>
      <c r="M1940" s="45" t="inlineStr">
        <is>
          <t>31006 (Sécurité informatique) ; 30854 (Langages informatiques) ; 31025 (Analyse de données) ; 31094 (Gestion projet informatique) ; 31028 (Intelligence artificielle)</t>
        </is>
      </c>
      <c r="N1940" s="50" t="inlineStr">
        <is>
          <t>NON</t>
        </is>
      </c>
      <c r="O1940" s="45" t="inlineStr"/>
    </row>
    <row r="1941" customFormat="1" s="4">
      <c r="A1941" s="51" t="n"/>
      <c r="B1941" s="52" t="inlineStr">
        <is>
          <t>30806</t>
        </is>
      </c>
      <c r="C1941" s="52">
        <f>LEFT(Tableau1[[#This Row],[Formacode]],3)</f>
        <v/>
      </c>
      <c r="D1941" s="53" t="n">
        <v>37572</v>
      </c>
      <c r="E1941" s="54">
        <f>"RNCP"&amp;D1941</f>
        <v/>
      </c>
      <c r="F1941" s="54" t="inlineStr">
        <is>
          <t>Grade_Licence - Sciences et Ingénierie - Transformation Numérique des Entreprises</t>
        </is>
      </c>
      <c r="G1941" s="55">
        <f>E1941&amp;" - "&amp;F1941</f>
        <v/>
      </c>
      <c r="H1941" s="37" t="inlineStr">
        <is>
          <t>À vérifier</t>
        </is>
      </c>
      <c r="I1941" s="51" t="inlineStr">
        <is>
          <t>Successeur déjà publié : RNCP42302 (Sciences et Ingénierie - Informatique et systèmes numériques) — préparer la bascule de l'offre CPF | Échéance le 31/08/2026 (dans 44 j)</t>
        </is>
      </c>
      <c r="J1941" s="51" t="inlineStr">
        <is>
          <t>RNCP42302</t>
        </is>
      </c>
      <c r="K1941" s="51" t="inlineStr">
        <is>
          <t>Sciences et Ingénierie - Informatique et systèmes numériques</t>
        </is>
      </c>
      <c r="L1941" s="51" t="inlineStr">
        <is>
          <t>31/08/2026</t>
        </is>
      </c>
      <c r="M1941" s="51" t="inlineStr">
        <is>
          <t>31054 (Informatique - Systèmes d’information et numérique) ; 24231 (Réseau informatique) ; 24454 (Automatisme informatique industrielle)</t>
        </is>
      </c>
      <c r="N1941" s="62" t="inlineStr">
        <is>
          <t>NON</t>
        </is>
      </c>
      <c r="O1941" s="51" t="inlineStr"/>
    </row>
    <row r="1942" customFormat="1" s="4">
      <c r="A1942" s="45" t="n"/>
      <c r="B1942" s="46" t="inlineStr">
        <is>
          <t>30806</t>
        </is>
      </c>
      <c r="C1942" s="46">
        <f>LEFT(Tableau1[[#This Row],[Formacode]],3)</f>
        <v/>
      </c>
      <c r="D1942" s="47" t="n">
        <v>39609</v>
      </c>
      <c r="E1942" s="48">
        <f>"RNCP"&amp;D1942</f>
        <v/>
      </c>
      <c r="F1942" s="48" t="inlineStr">
        <is>
          <t>Concepteur développeur web full-stack</t>
        </is>
      </c>
      <c r="G1942" s="49">
        <f>E1942&amp;" - "&amp;F1942</f>
        <v/>
      </c>
      <c r="H1942" s="36" t="inlineStr">
        <is>
          <t>RAS</t>
        </is>
      </c>
      <c r="I1942" s="45" t="inlineStr"/>
      <c r="J1942" s="45" t="inlineStr">
        <is>
          <t>RNCP39609</t>
        </is>
      </c>
      <c r="K1942" s="45" t="inlineStr">
        <is>
          <t>Concepteur développeur web full-stack</t>
        </is>
      </c>
      <c r="L1942" s="45" t="inlineStr">
        <is>
          <t>01/10/2028</t>
        </is>
      </c>
      <c r="M1942" s="45" t="inlineStr">
        <is>
          <t>31090 (Développement web) ; 30854 (Langages informatiques) ; 46339 (Conduite projet numérique) ; 31006 (Sécurité informatique)</t>
        </is>
      </c>
      <c r="N1942" s="50" t="inlineStr">
        <is>
          <t>NON</t>
        </is>
      </c>
      <c r="O1942" s="45" t="inlineStr"/>
    </row>
    <row r="1943" customFormat="1" s="4">
      <c r="A1943" s="45" t="n"/>
      <c r="B1943" s="46" t="inlineStr">
        <is>
          <t>30806</t>
        </is>
      </c>
      <c r="C1943" s="46">
        <f>LEFT(Tableau1[[#This Row],[Formacode]],3)</f>
        <v/>
      </c>
      <c r="D1943" s="47" t="n">
        <v>40573</v>
      </c>
      <c r="E1943" s="48">
        <f>"RNCP"&amp;D1943</f>
        <v/>
      </c>
      <c r="F1943" s="48" t="inlineStr">
        <is>
          <t>Expert en informatique et systèmes d’information</t>
        </is>
      </c>
      <c r="G1943" s="49">
        <f>E1943&amp;" - "&amp;F1943</f>
        <v/>
      </c>
      <c r="H1943" s="36" t="inlineStr">
        <is>
          <t>RAS</t>
        </is>
      </c>
      <c r="I1943" s="45" t="inlineStr"/>
      <c r="J1943" s="45" t="inlineStr">
        <is>
          <t>RNCP40573</t>
        </is>
      </c>
      <c r="K1943" s="45" t="inlineStr">
        <is>
          <t>Expert en informatique et systèmes d’information</t>
        </is>
      </c>
      <c r="L1943" s="45" t="inlineStr">
        <is>
          <t>30/04/2030</t>
        </is>
      </c>
      <c r="M1943" s="45" t="inlineStr">
        <is>
          <t>31006 (Sécurité informatique) ; 30854 (Langages informatiques) ; 31025 (Analyse de données) ; 31094 (Gestion projet informatique) ; 31028 (Intelligence artificielle)</t>
        </is>
      </c>
      <c r="N1943" s="50" t="inlineStr">
        <is>
          <t>NON</t>
        </is>
      </c>
      <c r="O1943" s="45" t="inlineStr"/>
    </row>
    <row r="1944" customFormat="1" s="4">
      <c r="A1944" s="51" t="n"/>
      <c r="B1944" s="52" t="inlineStr">
        <is>
          <t>30807</t>
        </is>
      </c>
      <c r="C1944" s="52">
        <f>LEFT(Tableau1[[#This Row],[Formacode]],3)</f>
        <v/>
      </c>
      <c r="D1944" s="53" t="n">
        <v>37572</v>
      </c>
      <c r="E1944" s="54">
        <f>"RNCP"&amp;D1944</f>
        <v/>
      </c>
      <c r="F1944" s="54" t="inlineStr">
        <is>
          <t>Grade_Licence - Sciences et Ingénierie - Transformation Numérique des Entreprises</t>
        </is>
      </c>
      <c r="G1944" s="55">
        <f>E1944&amp;" - "&amp;F1944</f>
        <v/>
      </c>
      <c r="H1944" s="37" t="inlineStr">
        <is>
          <t>À vérifier</t>
        </is>
      </c>
      <c r="I1944" s="51" t="inlineStr">
        <is>
          <t>Successeur déjà publié : RNCP42302 (Sciences et Ingénierie - Informatique et systèmes numériques) — préparer la bascule de l'offre CPF | Échéance le 31/08/2026 (dans 44 j)</t>
        </is>
      </c>
      <c r="J1944" s="51" t="inlineStr">
        <is>
          <t>RNCP42302</t>
        </is>
      </c>
      <c r="K1944" s="51" t="inlineStr">
        <is>
          <t>Sciences et Ingénierie - Informatique et systèmes numériques</t>
        </is>
      </c>
      <c r="L1944" s="51" t="inlineStr">
        <is>
          <t>31/08/2026</t>
        </is>
      </c>
      <c r="M1944" s="51" t="inlineStr">
        <is>
          <t>31054 (Informatique - Systèmes d’information et numérique) ; 24231 (Réseau informatique) ; 24454 (Automatisme informatique industrielle)</t>
        </is>
      </c>
      <c r="N1944" s="62" t="inlineStr">
        <is>
          <t>NON</t>
        </is>
      </c>
      <c r="O1944" s="51" t="inlineStr"/>
    </row>
    <row r="1945" customFormat="1" s="4">
      <c r="A1945" s="45" t="n"/>
      <c r="B1945" s="46" t="inlineStr">
        <is>
          <t>30807</t>
        </is>
      </c>
      <c r="C1945" s="46">
        <f>LEFT(Tableau1[[#This Row],[Formacode]],3)</f>
        <v/>
      </c>
      <c r="D1945" s="47" t="n">
        <v>39609</v>
      </c>
      <c r="E1945" s="48">
        <f>"RNCP"&amp;D1945</f>
        <v/>
      </c>
      <c r="F1945" s="48" t="inlineStr">
        <is>
          <t>Concepteur développeur web full-stack</t>
        </is>
      </c>
      <c r="G1945" s="49">
        <f>E1945&amp;" - "&amp;F1945</f>
        <v/>
      </c>
      <c r="H1945" s="36" t="inlineStr">
        <is>
          <t>RAS</t>
        </is>
      </c>
      <c r="I1945" s="45" t="inlineStr"/>
      <c r="J1945" s="45" t="inlineStr">
        <is>
          <t>RNCP39609</t>
        </is>
      </c>
      <c r="K1945" s="45" t="inlineStr">
        <is>
          <t>Concepteur développeur web full-stack</t>
        </is>
      </c>
      <c r="L1945" s="45" t="inlineStr">
        <is>
          <t>01/10/2028</t>
        </is>
      </c>
      <c r="M1945" s="45" t="inlineStr">
        <is>
          <t>31090 (Développement web) ; 30854 (Langages informatiques) ; 46339 (Conduite projet numérique) ; 31006 (Sécurité informatique)</t>
        </is>
      </c>
      <c r="N1945" s="50" t="inlineStr">
        <is>
          <t>NON</t>
        </is>
      </c>
      <c r="O1945" s="45" t="inlineStr"/>
    </row>
    <row r="1946" customFormat="1" s="4">
      <c r="A1946" s="45" t="n"/>
      <c r="B1946" s="46" t="inlineStr">
        <is>
          <t>30807</t>
        </is>
      </c>
      <c r="C1946" s="46">
        <f>LEFT(Tableau1[[#This Row],[Formacode]],3)</f>
        <v/>
      </c>
      <c r="D1946" s="47" t="n">
        <v>40573</v>
      </c>
      <c r="E1946" s="48">
        <f>"RNCP"&amp;D1946</f>
        <v/>
      </c>
      <c r="F1946" s="48" t="inlineStr">
        <is>
          <t>Expert en informatique et systèmes d’information</t>
        </is>
      </c>
      <c r="G1946" s="49">
        <f>E1946&amp;" - "&amp;F1946</f>
        <v/>
      </c>
      <c r="H1946" s="36" t="inlineStr">
        <is>
          <t>RAS</t>
        </is>
      </c>
      <c r="I1946" s="45" t="inlineStr"/>
      <c r="J1946" s="45" t="inlineStr">
        <is>
          <t>RNCP40573</t>
        </is>
      </c>
      <c r="K1946" s="45" t="inlineStr">
        <is>
          <t>Expert en informatique et systèmes d’information</t>
        </is>
      </c>
      <c r="L1946" s="45" t="inlineStr">
        <is>
          <t>30/04/2030</t>
        </is>
      </c>
      <c r="M1946" s="45" t="inlineStr">
        <is>
          <t>31006 (Sécurité informatique) ; 30854 (Langages informatiques) ; 31025 (Analyse de données) ; 31094 (Gestion projet informatique) ; 31028 (Intelligence artificielle)</t>
        </is>
      </c>
      <c r="N1946" s="50" t="inlineStr">
        <is>
          <t>NON</t>
        </is>
      </c>
      <c r="O1946" s="45" t="inlineStr"/>
    </row>
    <row r="1947" customFormat="1" s="4">
      <c r="A1947" s="51" t="n"/>
      <c r="B1947" s="52" t="inlineStr">
        <is>
          <t>30808</t>
        </is>
      </c>
      <c r="C1947" s="52">
        <f>LEFT(Tableau1[[#This Row],[Formacode]],3)</f>
        <v/>
      </c>
      <c r="D1947" s="53" t="n">
        <v>37572</v>
      </c>
      <c r="E1947" s="54">
        <f>"RNCP"&amp;D1947</f>
        <v/>
      </c>
      <c r="F1947" s="54" t="inlineStr">
        <is>
          <t>Grade_Licence - Sciences et Ingénierie - Transformation Numérique des Entreprises</t>
        </is>
      </c>
      <c r="G1947" s="55">
        <f>E1947&amp;" - "&amp;F1947</f>
        <v/>
      </c>
      <c r="H1947" s="37" t="inlineStr">
        <is>
          <t>À vérifier</t>
        </is>
      </c>
      <c r="I1947" s="51" t="inlineStr">
        <is>
          <t>Successeur déjà publié : RNCP42302 (Sciences et Ingénierie - Informatique et systèmes numériques) — préparer la bascule de l'offre CPF | Échéance le 31/08/2026 (dans 44 j)</t>
        </is>
      </c>
      <c r="J1947" s="51" t="inlineStr">
        <is>
          <t>RNCP42302</t>
        </is>
      </c>
      <c r="K1947" s="51" t="inlineStr">
        <is>
          <t>Sciences et Ingénierie - Informatique et systèmes numériques</t>
        </is>
      </c>
      <c r="L1947" s="51" t="inlineStr">
        <is>
          <t>31/08/2026</t>
        </is>
      </c>
      <c r="M1947" s="51" t="inlineStr">
        <is>
          <t>31054 (Informatique - Systèmes d’information et numérique) ; 24231 (Réseau informatique) ; 24454 (Automatisme informatique industrielle)</t>
        </is>
      </c>
      <c r="N1947" s="62" t="inlineStr">
        <is>
          <t>NON</t>
        </is>
      </c>
      <c r="O1947" s="51" t="inlineStr"/>
    </row>
    <row r="1948" customFormat="1" s="4">
      <c r="A1948" s="45" t="n"/>
      <c r="B1948" s="46" t="inlineStr">
        <is>
          <t>30808</t>
        </is>
      </c>
      <c r="C1948" s="46">
        <f>LEFT(Tableau1[[#This Row],[Formacode]],3)</f>
        <v/>
      </c>
      <c r="D1948" s="47" t="n">
        <v>39609</v>
      </c>
      <c r="E1948" s="48">
        <f>"RNCP"&amp;D1948</f>
        <v/>
      </c>
      <c r="F1948" s="48" t="inlineStr">
        <is>
          <t>Concepteur développeur web full-stack</t>
        </is>
      </c>
      <c r="G1948" s="49">
        <f>E1948&amp;" - "&amp;F1948</f>
        <v/>
      </c>
      <c r="H1948" s="36" t="inlineStr">
        <is>
          <t>RAS</t>
        </is>
      </c>
      <c r="I1948" s="45" t="inlineStr"/>
      <c r="J1948" s="45" t="inlineStr">
        <is>
          <t>RNCP39609</t>
        </is>
      </c>
      <c r="K1948" s="45" t="inlineStr">
        <is>
          <t>Concepteur développeur web full-stack</t>
        </is>
      </c>
      <c r="L1948" s="45" t="inlineStr">
        <is>
          <t>01/10/2028</t>
        </is>
      </c>
      <c r="M1948" s="45" t="inlineStr">
        <is>
          <t>31090 (Développement web) ; 30854 (Langages informatiques) ; 46339 (Conduite projet numérique) ; 31006 (Sécurité informatique)</t>
        </is>
      </c>
      <c r="N1948" s="50" t="inlineStr">
        <is>
          <t>NON</t>
        </is>
      </c>
      <c r="O1948" s="45" t="inlineStr"/>
    </row>
    <row r="1949" customFormat="1" s="4">
      <c r="A1949" s="45" t="n"/>
      <c r="B1949" s="46" t="inlineStr">
        <is>
          <t>30808</t>
        </is>
      </c>
      <c r="C1949" s="46">
        <f>LEFT(Tableau1[[#This Row],[Formacode]],3)</f>
        <v/>
      </c>
      <c r="D1949" s="47" t="n">
        <v>40573</v>
      </c>
      <c r="E1949" s="48">
        <f>"RNCP"&amp;D1949</f>
        <v/>
      </c>
      <c r="F1949" s="48" t="inlineStr">
        <is>
          <t>Expert en informatique et systèmes d’information</t>
        </is>
      </c>
      <c r="G1949" s="49">
        <f>E1949&amp;" - "&amp;F1949</f>
        <v/>
      </c>
      <c r="H1949" s="36" t="inlineStr">
        <is>
          <t>RAS</t>
        </is>
      </c>
      <c r="I1949" s="45" t="inlineStr"/>
      <c r="J1949" s="45" t="inlineStr">
        <is>
          <t>RNCP40573</t>
        </is>
      </c>
      <c r="K1949" s="45" t="inlineStr">
        <is>
          <t>Expert en informatique et systèmes d’information</t>
        </is>
      </c>
      <c r="L1949" s="45" t="inlineStr">
        <is>
          <t>30/04/2030</t>
        </is>
      </c>
      <c r="M1949" s="45" t="inlineStr">
        <is>
          <t>31006 (Sécurité informatique) ; 30854 (Langages informatiques) ; 31025 (Analyse de données) ; 31094 (Gestion projet informatique) ; 31028 (Intelligence artificielle)</t>
        </is>
      </c>
      <c r="N1949" s="50" t="inlineStr">
        <is>
          <t>NON</t>
        </is>
      </c>
      <c r="O1949" s="45" t="inlineStr"/>
    </row>
    <row r="1950" customFormat="1" s="4">
      <c r="A1950" s="51" t="n"/>
      <c r="B1950" s="52" t="inlineStr">
        <is>
          <t>30809</t>
        </is>
      </c>
      <c r="C1950" s="52">
        <f>LEFT(Tableau1[[#This Row],[Formacode]],3)</f>
        <v/>
      </c>
      <c r="D1950" s="53" t="n">
        <v>37572</v>
      </c>
      <c r="E1950" s="54">
        <f>"RNCP"&amp;D1950</f>
        <v/>
      </c>
      <c r="F1950" s="54" t="inlineStr">
        <is>
          <t>Grade_Licence - Sciences et Ingénierie - Transformation Numérique des Entreprises</t>
        </is>
      </c>
      <c r="G1950" s="55">
        <f>E1950&amp;" - "&amp;F1950</f>
        <v/>
      </c>
      <c r="H1950" s="37" t="inlineStr">
        <is>
          <t>À vérifier</t>
        </is>
      </c>
      <c r="I1950" s="51" t="inlineStr">
        <is>
          <t>Successeur déjà publié : RNCP42302 (Sciences et Ingénierie - Informatique et systèmes numériques) — préparer la bascule de l'offre CPF | Échéance le 31/08/2026 (dans 44 j)</t>
        </is>
      </c>
      <c r="J1950" s="51" t="inlineStr">
        <is>
          <t>RNCP42302</t>
        </is>
      </c>
      <c r="K1950" s="51" t="inlineStr">
        <is>
          <t>Sciences et Ingénierie - Informatique et systèmes numériques</t>
        </is>
      </c>
      <c r="L1950" s="51" t="inlineStr">
        <is>
          <t>31/08/2026</t>
        </is>
      </c>
      <c r="M1950" s="51" t="inlineStr">
        <is>
          <t>31054 (Informatique - Systèmes d’information et numérique) ; 24231 (Réseau informatique) ; 24454 (Automatisme informatique industrielle)</t>
        </is>
      </c>
      <c r="N1950" s="62" t="inlineStr">
        <is>
          <t>NON</t>
        </is>
      </c>
      <c r="O1950" s="51" t="inlineStr"/>
    </row>
    <row r="1951" customFormat="1" s="4">
      <c r="A1951" s="45" t="n"/>
      <c r="B1951" s="46" t="inlineStr">
        <is>
          <t>30809</t>
        </is>
      </c>
      <c r="C1951" s="46">
        <f>LEFT(Tableau1[[#This Row],[Formacode]],3)</f>
        <v/>
      </c>
      <c r="D1951" s="47" t="n">
        <v>39609</v>
      </c>
      <c r="E1951" s="48">
        <f>"RNCP"&amp;D1951</f>
        <v/>
      </c>
      <c r="F1951" s="48" t="inlineStr">
        <is>
          <t>Concepteur développeur web full-stack</t>
        </is>
      </c>
      <c r="G1951" s="49">
        <f>E1951&amp;" - "&amp;F1951</f>
        <v/>
      </c>
      <c r="H1951" s="36" t="inlineStr">
        <is>
          <t>RAS</t>
        </is>
      </c>
      <c r="I1951" s="45" t="inlineStr"/>
      <c r="J1951" s="45" t="inlineStr">
        <is>
          <t>RNCP39609</t>
        </is>
      </c>
      <c r="K1951" s="45" t="inlineStr">
        <is>
          <t>Concepteur développeur web full-stack</t>
        </is>
      </c>
      <c r="L1951" s="45" t="inlineStr">
        <is>
          <t>01/10/2028</t>
        </is>
      </c>
      <c r="M1951" s="45" t="inlineStr">
        <is>
          <t>31090 (Développement web) ; 30854 (Langages informatiques) ; 46339 (Conduite projet numérique) ; 31006 (Sécurité informatique)</t>
        </is>
      </c>
      <c r="N1951" s="50" t="inlineStr">
        <is>
          <t>NON</t>
        </is>
      </c>
      <c r="O1951" s="45" t="inlineStr"/>
    </row>
    <row r="1952" customFormat="1" s="4">
      <c r="A1952" s="45" t="n"/>
      <c r="B1952" s="46" t="inlineStr">
        <is>
          <t>30809</t>
        </is>
      </c>
      <c r="C1952" s="46">
        <f>LEFT(Tableau1[[#This Row],[Formacode]],3)</f>
        <v/>
      </c>
      <c r="D1952" s="47" t="n">
        <v>40573</v>
      </c>
      <c r="E1952" s="48">
        <f>"RNCP"&amp;D1952</f>
        <v/>
      </c>
      <c r="F1952" s="48" t="inlineStr">
        <is>
          <t>Expert en informatique et systèmes d’information</t>
        </is>
      </c>
      <c r="G1952" s="49">
        <f>E1952&amp;" - "&amp;F1952</f>
        <v/>
      </c>
      <c r="H1952" s="36" t="inlineStr">
        <is>
          <t>RAS</t>
        </is>
      </c>
      <c r="I1952" s="45" t="inlineStr"/>
      <c r="J1952" s="45" t="inlineStr">
        <is>
          <t>RNCP40573</t>
        </is>
      </c>
      <c r="K1952" s="45" t="inlineStr">
        <is>
          <t>Expert en informatique et systèmes d’information</t>
        </is>
      </c>
      <c r="L1952" s="45" t="inlineStr">
        <is>
          <t>30/04/2030</t>
        </is>
      </c>
      <c r="M1952" s="45" t="inlineStr">
        <is>
          <t>31006 (Sécurité informatique) ; 30854 (Langages informatiques) ; 31025 (Analyse de données) ; 31094 (Gestion projet informatique) ; 31028 (Intelligence artificielle)</t>
        </is>
      </c>
      <c r="N1952" s="50" t="inlineStr">
        <is>
          <t>NON</t>
        </is>
      </c>
      <c r="O1952" s="45" t="inlineStr"/>
    </row>
    <row r="1953" customFormat="1" s="4">
      <c r="A1953" s="51" t="n"/>
      <c r="B1953" s="52" t="inlineStr">
        <is>
          <t>30810</t>
        </is>
      </c>
      <c r="C1953" s="52">
        <f>LEFT(Tableau1[[#This Row],[Formacode]],3)</f>
        <v/>
      </c>
      <c r="D1953" s="53" t="n">
        <v>37572</v>
      </c>
      <c r="E1953" s="54">
        <f>"RNCP"&amp;D1953</f>
        <v/>
      </c>
      <c r="F1953" s="54" t="inlineStr">
        <is>
          <t>Grade_Licence - Sciences et Ingénierie - Transformation Numérique des Entreprises</t>
        </is>
      </c>
      <c r="G1953" s="55">
        <f>E1953&amp;" - "&amp;F1953</f>
        <v/>
      </c>
      <c r="H1953" s="37" t="inlineStr">
        <is>
          <t>À vérifier</t>
        </is>
      </c>
      <c r="I1953" s="51" t="inlineStr">
        <is>
          <t>Successeur déjà publié : RNCP42302 (Sciences et Ingénierie - Informatique et systèmes numériques) — préparer la bascule de l'offre CPF | Échéance le 31/08/2026 (dans 44 j)</t>
        </is>
      </c>
      <c r="J1953" s="51" t="inlineStr">
        <is>
          <t>RNCP42302</t>
        </is>
      </c>
      <c r="K1953" s="51" t="inlineStr">
        <is>
          <t>Sciences et Ingénierie - Informatique et systèmes numériques</t>
        </is>
      </c>
      <c r="L1953" s="51" t="inlineStr">
        <is>
          <t>31/08/2026</t>
        </is>
      </c>
      <c r="M1953" s="51" t="inlineStr">
        <is>
          <t>31054 (Informatique - Systèmes d’information et numérique) ; 24231 (Réseau informatique) ; 24454 (Automatisme informatique industrielle)</t>
        </is>
      </c>
      <c r="N1953" s="62" t="inlineStr">
        <is>
          <t>NON</t>
        </is>
      </c>
      <c r="O1953" s="51" t="inlineStr"/>
    </row>
    <row r="1954" customFormat="1" s="4">
      <c r="A1954" s="45" t="n"/>
      <c r="B1954" s="46" t="inlineStr">
        <is>
          <t>30810</t>
        </is>
      </c>
      <c r="C1954" s="46">
        <f>LEFT(Tableau1[[#This Row],[Formacode]],3)</f>
        <v/>
      </c>
      <c r="D1954" s="47" t="n">
        <v>39609</v>
      </c>
      <c r="E1954" s="48">
        <f>"RNCP"&amp;D1954</f>
        <v/>
      </c>
      <c r="F1954" s="48" t="inlineStr">
        <is>
          <t>Concepteur développeur web full-stack</t>
        </is>
      </c>
      <c r="G1954" s="49">
        <f>E1954&amp;" - "&amp;F1954</f>
        <v/>
      </c>
      <c r="H1954" s="36" t="inlineStr">
        <is>
          <t>RAS</t>
        </is>
      </c>
      <c r="I1954" s="45" t="inlineStr"/>
      <c r="J1954" s="45" t="inlineStr">
        <is>
          <t>RNCP39609</t>
        </is>
      </c>
      <c r="K1954" s="45" t="inlineStr">
        <is>
          <t>Concepteur développeur web full-stack</t>
        </is>
      </c>
      <c r="L1954" s="45" t="inlineStr">
        <is>
          <t>01/10/2028</t>
        </is>
      </c>
      <c r="M1954" s="45" t="inlineStr">
        <is>
          <t>31090 (Développement web) ; 30854 (Langages informatiques) ; 46339 (Conduite projet numérique) ; 31006 (Sécurité informatique)</t>
        </is>
      </c>
      <c r="N1954" s="50" t="inlineStr">
        <is>
          <t>NON</t>
        </is>
      </c>
      <c r="O1954" s="45" t="inlineStr"/>
    </row>
    <row r="1955" customFormat="1" s="4">
      <c r="A1955" s="45" t="n"/>
      <c r="B1955" s="46" t="inlineStr">
        <is>
          <t>30810</t>
        </is>
      </c>
      <c r="C1955" s="46">
        <f>LEFT(Tableau1[[#This Row],[Formacode]],3)</f>
        <v/>
      </c>
      <c r="D1955" s="47" t="n">
        <v>40573</v>
      </c>
      <c r="E1955" s="48">
        <f>"RNCP"&amp;D1955</f>
        <v/>
      </c>
      <c r="F1955" s="48" t="inlineStr">
        <is>
          <t>Expert en informatique et systèmes d’information</t>
        </is>
      </c>
      <c r="G1955" s="49">
        <f>E1955&amp;" - "&amp;F1955</f>
        <v/>
      </c>
      <c r="H1955" s="36" t="inlineStr">
        <is>
          <t>RAS</t>
        </is>
      </c>
      <c r="I1955" s="45" t="inlineStr"/>
      <c r="J1955" s="45" t="inlineStr">
        <is>
          <t>RNCP40573</t>
        </is>
      </c>
      <c r="K1955" s="45" t="inlineStr">
        <is>
          <t>Expert en informatique et systèmes d’information</t>
        </is>
      </c>
      <c r="L1955" s="45" t="inlineStr">
        <is>
          <t>30/04/2030</t>
        </is>
      </c>
      <c r="M1955" s="45" t="inlineStr">
        <is>
          <t>31006 (Sécurité informatique) ; 30854 (Langages informatiques) ; 31025 (Analyse de données) ; 31094 (Gestion projet informatique) ; 31028 (Intelligence artificielle)</t>
        </is>
      </c>
      <c r="N1955" s="50" t="inlineStr">
        <is>
          <t>NON</t>
        </is>
      </c>
      <c r="O1955" s="45" t="inlineStr"/>
    </row>
    <row r="1956" customFormat="1" s="4">
      <c r="A1956" s="51" t="n"/>
      <c r="B1956" s="52" t="inlineStr">
        <is>
          <t>30811</t>
        </is>
      </c>
      <c r="C1956" s="52">
        <f>LEFT(Tableau1[[#This Row],[Formacode]],3)</f>
        <v/>
      </c>
      <c r="D1956" s="53" t="n">
        <v>37572</v>
      </c>
      <c r="E1956" s="54">
        <f>"RNCP"&amp;D1956</f>
        <v/>
      </c>
      <c r="F1956" s="54" t="inlineStr">
        <is>
          <t>Grade_Licence - Sciences et Ingénierie - Transformation Numérique des Entreprises</t>
        </is>
      </c>
      <c r="G1956" s="55">
        <f>E1956&amp;" - "&amp;F1956</f>
        <v/>
      </c>
      <c r="H1956" s="37" t="inlineStr">
        <is>
          <t>À vérifier</t>
        </is>
      </c>
      <c r="I1956" s="51" t="inlineStr">
        <is>
          <t>Successeur déjà publié : RNCP42302 (Sciences et Ingénierie - Informatique et systèmes numériques) — préparer la bascule de l'offre CPF | Échéance le 31/08/2026 (dans 44 j)</t>
        </is>
      </c>
      <c r="J1956" s="51" t="inlineStr">
        <is>
          <t>RNCP42302</t>
        </is>
      </c>
      <c r="K1956" s="51" t="inlineStr">
        <is>
          <t>Sciences et Ingénierie - Informatique et systèmes numériques</t>
        </is>
      </c>
      <c r="L1956" s="51" t="inlineStr">
        <is>
          <t>31/08/2026</t>
        </is>
      </c>
      <c r="M1956" s="51" t="inlineStr">
        <is>
          <t>31054 (Informatique - Systèmes d’information et numérique) ; 24231 (Réseau informatique) ; 24454 (Automatisme informatique industrielle)</t>
        </is>
      </c>
      <c r="N1956" s="62" t="inlineStr">
        <is>
          <t>NON</t>
        </is>
      </c>
      <c r="O1956" s="51" t="inlineStr"/>
    </row>
    <row r="1957" customFormat="1" s="4">
      <c r="A1957" s="45" t="n"/>
      <c r="B1957" s="46" t="inlineStr">
        <is>
          <t>30811</t>
        </is>
      </c>
      <c r="C1957" s="46">
        <f>LEFT(Tableau1[[#This Row],[Formacode]],3)</f>
        <v/>
      </c>
      <c r="D1957" s="47" t="n">
        <v>39609</v>
      </c>
      <c r="E1957" s="48">
        <f>"RNCP"&amp;D1957</f>
        <v/>
      </c>
      <c r="F1957" s="48" t="inlineStr">
        <is>
          <t>Concepteur développeur web full-stack</t>
        </is>
      </c>
      <c r="G1957" s="49">
        <f>E1957&amp;" - "&amp;F1957</f>
        <v/>
      </c>
      <c r="H1957" s="36" t="inlineStr">
        <is>
          <t>RAS</t>
        </is>
      </c>
      <c r="I1957" s="45" t="inlineStr"/>
      <c r="J1957" s="45" t="inlineStr">
        <is>
          <t>RNCP39609</t>
        </is>
      </c>
      <c r="K1957" s="45" t="inlineStr">
        <is>
          <t>Concepteur développeur web full-stack</t>
        </is>
      </c>
      <c r="L1957" s="45" t="inlineStr">
        <is>
          <t>01/10/2028</t>
        </is>
      </c>
      <c r="M1957" s="45" t="inlineStr">
        <is>
          <t>31090 (Développement web) ; 30854 (Langages informatiques) ; 46339 (Conduite projet numérique) ; 31006 (Sécurité informatique)</t>
        </is>
      </c>
      <c r="N1957" s="50" t="inlineStr">
        <is>
          <t>NON</t>
        </is>
      </c>
      <c r="O1957" s="45" t="inlineStr"/>
    </row>
    <row r="1958" customFormat="1" s="4">
      <c r="A1958" s="45" t="n"/>
      <c r="B1958" s="46" t="inlineStr">
        <is>
          <t>30811</t>
        </is>
      </c>
      <c r="C1958" s="46">
        <f>LEFT(Tableau1[[#This Row],[Formacode]],3)</f>
        <v/>
      </c>
      <c r="D1958" s="47" t="n">
        <v>40573</v>
      </c>
      <c r="E1958" s="48">
        <f>"RNCP"&amp;D1958</f>
        <v/>
      </c>
      <c r="F1958" s="48" t="inlineStr">
        <is>
          <t>Expert en informatique et systèmes d’information</t>
        </is>
      </c>
      <c r="G1958" s="49">
        <f>E1958&amp;" - "&amp;F1958</f>
        <v/>
      </c>
      <c r="H1958" s="36" t="inlineStr">
        <is>
          <t>RAS</t>
        </is>
      </c>
      <c r="I1958" s="45" t="inlineStr"/>
      <c r="J1958" s="45" t="inlineStr">
        <is>
          <t>RNCP40573</t>
        </is>
      </c>
      <c r="K1958" s="45" t="inlineStr">
        <is>
          <t>Expert en informatique et systèmes d’information</t>
        </is>
      </c>
      <c r="L1958" s="45" t="inlineStr">
        <is>
          <t>30/04/2030</t>
        </is>
      </c>
      <c r="M1958" s="45" t="inlineStr">
        <is>
          <t>31006 (Sécurité informatique) ; 30854 (Langages informatiques) ; 31025 (Analyse de données) ; 31094 (Gestion projet informatique) ; 31028 (Intelligence artificielle)</t>
        </is>
      </c>
      <c r="N1958" s="50" t="inlineStr">
        <is>
          <t>NON</t>
        </is>
      </c>
      <c r="O1958" s="45" t="inlineStr"/>
    </row>
    <row r="1959" customFormat="1" s="4">
      <c r="A1959" s="51" t="n"/>
      <c r="B1959" s="52" t="inlineStr">
        <is>
          <t>30812</t>
        </is>
      </c>
      <c r="C1959" s="52">
        <f>LEFT(Tableau1[[#This Row],[Formacode]],3)</f>
        <v/>
      </c>
      <c r="D1959" s="53" t="n">
        <v>36061</v>
      </c>
      <c r="E1959" s="54">
        <f>"RNCP"&amp;D1959</f>
        <v/>
      </c>
      <c r="F1959" s="54" t="inlineStr">
        <is>
          <t>TP - Administrateur système DevOps</t>
        </is>
      </c>
      <c r="G1959" s="55">
        <f>E1959&amp;" - "&amp;F1959</f>
        <v/>
      </c>
      <c r="H1959" s="37" t="inlineStr">
        <is>
          <t>À vérifier</t>
        </is>
      </c>
      <c r="I1959" s="51" t="inlineStr">
        <is>
          <t>Successeur déjà publié : RNCP42532 (Administrateur système DevOps) — préparer la bascule de l'offre CPF | Échéance le 30/11/2026 (dans 135 j)</t>
        </is>
      </c>
      <c r="J1959" s="51" t="inlineStr">
        <is>
          <t>RNCP42532</t>
        </is>
      </c>
      <c r="K1959" s="51" t="inlineStr">
        <is>
          <t>Administrateur système DevOps</t>
        </is>
      </c>
      <c r="L1959" s="51" t="inlineStr">
        <is>
          <t>30/11/2026</t>
        </is>
      </c>
      <c r="M1959" s="51" t="inlineStr">
        <is>
          <t>31034 (Administration système) ; 31021 (Linux) ; 31011 (Cloud Computing) ; 30812 (Langage Python)</t>
        </is>
      </c>
      <c r="N1959" s="62" t="inlineStr">
        <is>
          <t>NON</t>
        </is>
      </c>
      <c r="O1959" s="51" t="inlineStr"/>
    </row>
    <row r="1960" customFormat="1" s="4">
      <c r="A1960" s="51" t="n"/>
      <c r="B1960" s="52" t="inlineStr">
        <is>
          <t>30812</t>
        </is>
      </c>
      <c r="C1960" s="52">
        <f>LEFT(Tableau1[[#This Row],[Formacode]],3)</f>
        <v/>
      </c>
      <c r="D1960" s="53" t="n">
        <v>37572</v>
      </c>
      <c r="E1960" s="54">
        <f>"RNCP"&amp;D1960</f>
        <v/>
      </c>
      <c r="F1960" s="54" t="inlineStr">
        <is>
          <t>Grade_Licence - Sciences et Ingénierie - Transformation Numérique des Entreprises</t>
        </is>
      </c>
      <c r="G1960" s="55">
        <f>E1960&amp;" - "&amp;F1960</f>
        <v/>
      </c>
      <c r="H1960" s="37" t="inlineStr">
        <is>
          <t>À vérifier</t>
        </is>
      </c>
      <c r="I1960" s="51" t="inlineStr">
        <is>
          <t>Successeur déjà publié : RNCP42302 (Sciences et Ingénierie - Informatique et systèmes numériques) — préparer la bascule de l'offre CPF | Échéance le 31/08/2026 (dans 44 j)</t>
        </is>
      </c>
      <c r="J1960" s="51" t="inlineStr">
        <is>
          <t>RNCP42302</t>
        </is>
      </c>
      <c r="K1960" s="51" t="inlineStr">
        <is>
          <t>Sciences et Ingénierie - Informatique et systèmes numériques</t>
        </is>
      </c>
      <c r="L1960" s="51" t="inlineStr">
        <is>
          <t>31/08/2026</t>
        </is>
      </c>
      <c r="M1960" s="51" t="inlineStr">
        <is>
          <t>31054 (Informatique - Systèmes d’information et numérique) ; 24231 (Réseau informatique) ; 24454 (Automatisme informatique industrielle)</t>
        </is>
      </c>
      <c r="N1960" s="62" t="inlineStr">
        <is>
          <t>NON</t>
        </is>
      </c>
      <c r="O1960" s="51" t="inlineStr"/>
    </row>
    <row r="1961" customFormat="1" s="4">
      <c r="A1961" s="45" t="n"/>
      <c r="B1961" s="46" t="inlineStr">
        <is>
          <t>30812</t>
        </is>
      </c>
      <c r="C1961" s="46">
        <f>LEFT(Tableau1[[#This Row],[Formacode]],3)</f>
        <v/>
      </c>
      <c r="D1961" s="47" t="n">
        <v>39609</v>
      </c>
      <c r="E1961" s="48">
        <f>"RNCP"&amp;D1961</f>
        <v/>
      </c>
      <c r="F1961" s="48" t="inlineStr">
        <is>
          <t>Concepteur développeur web full-stack</t>
        </is>
      </c>
      <c r="G1961" s="49">
        <f>E1961&amp;" - "&amp;F1961</f>
        <v/>
      </c>
      <c r="H1961" s="36" t="inlineStr">
        <is>
          <t>RAS</t>
        </is>
      </c>
      <c r="I1961" s="45" t="inlineStr"/>
      <c r="J1961" s="45" t="inlineStr">
        <is>
          <t>RNCP39609</t>
        </is>
      </c>
      <c r="K1961" s="45" t="inlineStr">
        <is>
          <t>Concepteur développeur web full-stack</t>
        </is>
      </c>
      <c r="L1961" s="45" t="inlineStr">
        <is>
          <t>01/10/2028</t>
        </is>
      </c>
      <c r="M1961" s="45" t="inlineStr">
        <is>
          <t>31090 (Développement web) ; 30854 (Langages informatiques) ; 46339 (Conduite projet numérique) ; 31006 (Sécurité informatique)</t>
        </is>
      </c>
      <c r="N1961" s="50" t="inlineStr">
        <is>
          <t>NON</t>
        </is>
      </c>
      <c r="O1961" s="45" t="inlineStr"/>
    </row>
    <row r="1962" customFormat="1" s="4">
      <c r="A1962" s="45" t="n"/>
      <c r="B1962" s="46" t="inlineStr">
        <is>
          <t>30812</t>
        </is>
      </c>
      <c r="C1962" s="46">
        <f>LEFT(Tableau1[[#This Row],[Formacode]],3)</f>
        <v/>
      </c>
      <c r="D1962" s="47" t="n">
        <v>40573</v>
      </c>
      <c r="E1962" s="48">
        <f>"RNCP"&amp;D1962</f>
        <v/>
      </c>
      <c r="F1962" s="48" t="inlineStr">
        <is>
          <t>Expert en informatique et systèmes d’information</t>
        </is>
      </c>
      <c r="G1962" s="49">
        <f>E1962&amp;" - "&amp;F1962</f>
        <v/>
      </c>
      <c r="H1962" s="36" t="inlineStr">
        <is>
          <t>RAS</t>
        </is>
      </c>
      <c r="I1962" s="45" t="inlineStr"/>
      <c r="J1962" s="45" t="inlineStr">
        <is>
          <t>RNCP40573</t>
        </is>
      </c>
      <c r="K1962" s="45" t="inlineStr">
        <is>
          <t>Expert en informatique et systèmes d’information</t>
        </is>
      </c>
      <c r="L1962" s="45" t="inlineStr">
        <is>
          <t>30/04/2030</t>
        </is>
      </c>
      <c r="M1962" s="45" t="inlineStr">
        <is>
          <t>31006 (Sécurité informatique) ; 30854 (Langages informatiques) ; 31025 (Analyse de données) ; 31094 (Gestion projet informatique) ; 31028 (Intelligence artificielle)</t>
        </is>
      </c>
      <c r="N1962" s="50" t="inlineStr">
        <is>
          <t>NON</t>
        </is>
      </c>
      <c r="O1962" s="45" t="inlineStr"/>
    </row>
    <row r="1963" customFormat="1" s="4">
      <c r="A1963" s="51" t="n"/>
      <c r="B1963" s="52" t="inlineStr">
        <is>
          <t>30813</t>
        </is>
      </c>
      <c r="C1963" s="52">
        <f>LEFT(Tableau1[[#This Row],[Formacode]],3)</f>
        <v/>
      </c>
      <c r="D1963" s="53" t="n">
        <v>37572</v>
      </c>
      <c r="E1963" s="54">
        <f>"RNCP"&amp;D1963</f>
        <v/>
      </c>
      <c r="F1963" s="54" t="inlineStr">
        <is>
          <t>Grade_Licence - Sciences et Ingénierie - Transformation Numérique des Entreprises</t>
        </is>
      </c>
      <c r="G1963" s="55">
        <f>E1963&amp;" - "&amp;F1963</f>
        <v/>
      </c>
      <c r="H1963" s="37" t="inlineStr">
        <is>
          <t>À vérifier</t>
        </is>
      </c>
      <c r="I1963" s="51" t="inlineStr">
        <is>
          <t>Successeur déjà publié : RNCP42302 (Sciences et Ingénierie - Informatique et systèmes numériques) — préparer la bascule de l'offre CPF | Échéance le 31/08/2026 (dans 44 j)</t>
        </is>
      </c>
      <c r="J1963" s="51" t="inlineStr">
        <is>
          <t>RNCP42302</t>
        </is>
      </c>
      <c r="K1963" s="51" t="inlineStr">
        <is>
          <t>Sciences et Ingénierie - Informatique et systèmes numériques</t>
        </is>
      </c>
      <c r="L1963" s="51" t="inlineStr">
        <is>
          <t>31/08/2026</t>
        </is>
      </c>
      <c r="M1963" s="51" t="inlineStr">
        <is>
          <t>31054 (Informatique - Systèmes d’information et numérique) ; 24231 (Réseau informatique) ; 24454 (Automatisme informatique industrielle)</t>
        </is>
      </c>
      <c r="N1963" s="62" t="inlineStr">
        <is>
          <t>NON</t>
        </is>
      </c>
      <c r="O1963" s="51" t="inlineStr"/>
    </row>
    <row r="1964" customFormat="1" s="4">
      <c r="A1964" s="45" t="n"/>
      <c r="B1964" s="46" t="inlineStr">
        <is>
          <t>30813</t>
        </is>
      </c>
      <c r="C1964" s="46">
        <f>LEFT(Tableau1[[#This Row],[Formacode]],3)</f>
        <v/>
      </c>
      <c r="D1964" s="47" t="n">
        <v>39609</v>
      </c>
      <c r="E1964" s="48">
        <f>"RNCP"&amp;D1964</f>
        <v/>
      </c>
      <c r="F1964" s="48" t="inlineStr">
        <is>
          <t>Concepteur développeur web full-stack</t>
        </is>
      </c>
      <c r="G1964" s="49">
        <f>E1964&amp;" - "&amp;F1964</f>
        <v/>
      </c>
      <c r="H1964" s="36" t="inlineStr">
        <is>
          <t>RAS</t>
        </is>
      </c>
      <c r="I1964" s="45" t="inlineStr"/>
      <c r="J1964" s="45" t="inlineStr">
        <is>
          <t>RNCP39609</t>
        </is>
      </c>
      <c r="K1964" s="45" t="inlineStr">
        <is>
          <t>Concepteur développeur web full-stack</t>
        </is>
      </c>
      <c r="L1964" s="45" t="inlineStr">
        <is>
          <t>01/10/2028</t>
        </is>
      </c>
      <c r="M1964" s="45" t="inlineStr">
        <is>
          <t>31090 (Développement web) ; 30854 (Langages informatiques) ; 46339 (Conduite projet numérique) ; 31006 (Sécurité informatique)</t>
        </is>
      </c>
      <c r="N1964" s="50" t="inlineStr">
        <is>
          <t>NON</t>
        </is>
      </c>
      <c r="O1964" s="45" t="inlineStr"/>
    </row>
    <row r="1965" customFormat="1" s="4">
      <c r="A1965" s="45" t="n"/>
      <c r="B1965" s="46" t="inlineStr">
        <is>
          <t>30813</t>
        </is>
      </c>
      <c r="C1965" s="46">
        <f>LEFT(Tableau1[[#This Row],[Formacode]],3)</f>
        <v/>
      </c>
      <c r="D1965" s="47" t="n">
        <v>40573</v>
      </c>
      <c r="E1965" s="48">
        <f>"RNCP"&amp;D1965</f>
        <v/>
      </c>
      <c r="F1965" s="48" t="inlineStr">
        <is>
          <t>Expert en informatique et systèmes d’information</t>
        </is>
      </c>
      <c r="G1965" s="49">
        <f>E1965&amp;" - "&amp;F1965</f>
        <v/>
      </c>
      <c r="H1965" s="36" t="inlineStr">
        <is>
          <t>RAS</t>
        </is>
      </c>
      <c r="I1965" s="45" t="inlineStr"/>
      <c r="J1965" s="45" t="inlineStr">
        <is>
          <t>RNCP40573</t>
        </is>
      </c>
      <c r="K1965" s="45" t="inlineStr">
        <is>
          <t>Expert en informatique et systèmes d’information</t>
        </is>
      </c>
      <c r="L1965" s="45" t="inlineStr">
        <is>
          <t>30/04/2030</t>
        </is>
      </c>
      <c r="M1965" s="45" t="inlineStr">
        <is>
          <t>31006 (Sécurité informatique) ; 30854 (Langages informatiques) ; 31025 (Analyse de données) ; 31094 (Gestion projet informatique) ; 31028 (Intelligence artificielle)</t>
        </is>
      </c>
      <c r="N1965" s="50" t="inlineStr">
        <is>
          <t>NON</t>
        </is>
      </c>
      <c r="O1965" s="45" t="inlineStr"/>
    </row>
    <row r="1966" customFormat="1" s="4">
      <c r="A1966" s="51" t="n"/>
      <c r="B1966" s="52" t="inlineStr">
        <is>
          <t>30815</t>
        </is>
      </c>
      <c r="C1966" s="52">
        <f>LEFT(Tableau1[[#This Row],[Formacode]],3)</f>
        <v/>
      </c>
      <c r="D1966" s="53" t="n">
        <v>37572</v>
      </c>
      <c r="E1966" s="54">
        <f>"RNCP"&amp;D1966</f>
        <v/>
      </c>
      <c r="F1966" s="54" t="inlineStr">
        <is>
          <t>Grade_Licence - Sciences et Ingénierie - Transformation Numérique des Entreprises</t>
        </is>
      </c>
      <c r="G1966" s="55">
        <f>E1966&amp;" - "&amp;F1966</f>
        <v/>
      </c>
      <c r="H1966" s="37" t="inlineStr">
        <is>
          <t>À vérifier</t>
        </is>
      </c>
      <c r="I1966" s="51" t="inlineStr">
        <is>
          <t>Successeur déjà publié : RNCP42302 (Sciences et Ingénierie - Informatique et systèmes numériques) — préparer la bascule de l'offre CPF | Échéance le 31/08/2026 (dans 44 j)</t>
        </is>
      </c>
      <c r="J1966" s="51" t="inlineStr">
        <is>
          <t>RNCP42302</t>
        </is>
      </c>
      <c r="K1966" s="51" t="inlineStr">
        <is>
          <t>Sciences et Ingénierie - Informatique et systèmes numériques</t>
        </is>
      </c>
      <c r="L1966" s="51" t="inlineStr">
        <is>
          <t>31/08/2026</t>
        </is>
      </c>
      <c r="M1966" s="51" t="inlineStr">
        <is>
          <t>31054 (Informatique - Systèmes d’information et numérique) ; 24231 (Réseau informatique) ; 24454 (Automatisme informatique industrielle)</t>
        </is>
      </c>
      <c r="N1966" s="62" t="inlineStr">
        <is>
          <t>NON</t>
        </is>
      </c>
      <c r="O1966" s="51" t="inlineStr"/>
    </row>
    <row r="1967" customFormat="1" s="4">
      <c r="A1967" s="45" t="n"/>
      <c r="B1967" s="46" t="inlineStr">
        <is>
          <t>30815</t>
        </is>
      </c>
      <c r="C1967" s="46">
        <f>LEFT(Tableau1[[#This Row],[Formacode]],3)</f>
        <v/>
      </c>
      <c r="D1967" s="47" t="n">
        <v>39609</v>
      </c>
      <c r="E1967" s="48">
        <f>"RNCP"&amp;D1967</f>
        <v/>
      </c>
      <c r="F1967" s="48" t="inlineStr">
        <is>
          <t>Concepteur développeur web full-stack</t>
        </is>
      </c>
      <c r="G1967" s="49">
        <f>E1967&amp;" - "&amp;F1967</f>
        <v/>
      </c>
      <c r="H1967" s="36" t="inlineStr">
        <is>
          <t>RAS</t>
        </is>
      </c>
      <c r="I1967" s="45" t="inlineStr"/>
      <c r="J1967" s="45" t="inlineStr">
        <is>
          <t>RNCP39609</t>
        </is>
      </c>
      <c r="K1967" s="45" t="inlineStr">
        <is>
          <t>Concepteur développeur web full-stack</t>
        </is>
      </c>
      <c r="L1967" s="45" t="inlineStr">
        <is>
          <t>01/10/2028</t>
        </is>
      </c>
      <c r="M1967" s="45" t="inlineStr">
        <is>
          <t>31090 (Développement web) ; 30854 (Langages informatiques) ; 46339 (Conduite projet numérique) ; 31006 (Sécurité informatique)</t>
        </is>
      </c>
      <c r="N1967" s="50" t="inlineStr">
        <is>
          <t>NON</t>
        </is>
      </c>
      <c r="O1967" s="45" t="inlineStr"/>
    </row>
    <row r="1968" customFormat="1" s="4">
      <c r="A1968" s="45" t="n"/>
      <c r="B1968" s="46" t="inlineStr">
        <is>
          <t>30815</t>
        </is>
      </c>
      <c r="C1968" s="46">
        <f>LEFT(Tableau1[[#This Row],[Formacode]],3)</f>
        <v/>
      </c>
      <c r="D1968" s="47" t="n">
        <v>40573</v>
      </c>
      <c r="E1968" s="48">
        <f>"RNCP"&amp;D1968</f>
        <v/>
      </c>
      <c r="F1968" s="48" t="inlineStr">
        <is>
          <t>Expert en informatique et systèmes d’information</t>
        </is>
      </c>
      <c r="G1968" s="49">
        <f>E1968&amp;" - "&amp;F1968</f>
        <v/>
      </c>
      <c r="H1968" s="36" t="inlineStr">
        <is>
          <t>RAS</t>
        </is>
      </c>
      <c r="I1968" s="45" t="inlineStr"/>
      <c r="J1968" s="45" t="inlineStr">
        <is>
          <t>RNCP40573</t>
        </is>
      </c>
      <c r="K1968" s="45" t="inlineStr">
        <is>
          <t>Expert en informatique et systèmes d’information</t>
        </is>
      </c>
      <c r="L1968" s="45" t="inlineStr">
        <is>
          <t>30/04/2030</t>
        </is>
      </c>
      <c r="M1968" s="45" t="inlineStr">
        <is>
          <t>31006 (Sécurité informatique) ; 30854 (Langages informatiques) ; 31025 (Analyse de données) ; 31094 (Gestion projet informatique) ; 31028 (Intelligence artificielle)</t>
        </is>
      </c>
      <c r="N1968" s="50" t="inlineStr">
        <is>
          <t>NON</t>
        </is>
      </c>
      <c r="O1968" s="45" t="inlineStr"/>
    </row>
    <row r="1969" customFormat="1" s="4">
      <c r="A1969" s="51" t="n"/>
      <c r="B1969" s="52" t="inlineStr">
        <is>
          <t>30820</t>
        </is>
      </c>
      <c r="C1969" s="52">
        <f>LEFT(Tableau1[[#This Row],[Formacode]],3)</f>
        <v/>
      </c>
      <c r="D1969" s="53" t="n">
        <v>37572</v>
      </c>
      <c r="E1969" s="54">
        <f>"RNCP"&amp;D1969</f>
        <v/>
      </c>
      <c r="F1969" s="54" t="inlineStr">
        <is>
          <t>Grade_Licence - Sciences et Ingénierie - Transformation Numérique des Entreprises</t>
        </is>
      </c>
      <c r="G1969" s="55">
        <f>E1969&amp;" - "&amp;F1969</f>
        <v/>
      </c>
      <c r="H1969" s="37" t="inlineStr">
        <is>
          <t>À vérifier</t>
        </is>
      </c>
      <c r="I1969" s="51" t="inlineStr">
        <is>
          <t>Successeur déjà publié : RNCP42302 (Sciences et Ingénierie - Informatique et systèmes numériques) — préparer la bascule de l'offre CPF | Échéance le 31/08/2026 (dans 44 j)</t>
        </is>
      </c>
      <c r="J1969" s="51" t="inlineStr">
        <is>
          <t>RNCP42302</t>
        </is>
      </c>
      <c r="K1969" s="51" t="inlineStr">
        <is>
          <t>Sciences et Ingénierie - Informatique et systèmes numériques</t>
        </is>
      </c>
      <c r="L1969" s="51" t="inlineStr">
        <is>
          <t>31/08/2026</t>
        </is>
      </c>
      <c r="M1969" s="51" t="inlineStr">
        <is>
          <t>31054 (Informatique - Systèmes d’information et numérique) ; 24231 (Réseau informatique) ; 24454 (Automatisme informatique industrielle)</t>
        </is>
      </c>
      <c r="N1969" s="62" t="inlineStr">
        <is>
          <t>NON</t>
        </is>
      </c>
      <c r="O1969" s="51" t="inlineStr"/>
    </row>
    <row r="1970" customFormat="1" s="4">
      <c r="A1970" s="45" t="n"/>
      <c r="B1970" s="46" t="inlineStr">
        <is>
          <t>30820</t>
        </is>
      </c>
      <c r="C1970" s="46">
        <f>LEFT(Tableau1[[#This Row],[Formacode]],3)</f>
        <v/>
      </c>
      <c r="D1970" s="47" t="n">
        <v>39609</v>
      </c>
      <c r="E1970" s="48">
        <f>"RNCP"&amp;D1970</f>
        <v/>
      </c>
      <c r="F1970" s="48" t="inlineStr">
        <is>
          <t>Concepteur développeur web full-stack</t>
        </is>
      </c>
      <c r="G1970" s="49">
        <f>E1970&amp;" - "&amp;F1970</f>
        <v/>
      </c>
      <c r="H1970" s="36" t="inlineStr">
        <is>
          <t>RAS</t>
        </is>
      </c>
      <c r="I1970" s="45" t="inlineStr"/>
      <c r="J1970" s="45" t="inlineStr">
        <is>
          <t>RNCP39609</t>
        </is>
      </c>
      <c r="K1970" s="45" t="inlineStr">
        <is>
          <t>Concepteur développeur web full-stack</t>
        </is>
      </c>
      <c r="L1970" s="45" t="inlineStr">
        <is>
          <t>01/10/2028</t>
        </is>
      </c>
      <c r="M1970" s="45" t="inlineStr">
        <is>
          <t>31090 (Développement web) ; 30854 (Langages informatiques) ; 46339 (Conduite projet numérique) ; 31006 (Sécurité informatique)</t>
        </is>
      </c>
      <c r="N1970" s="50" t="inlineStr">
        <is>
          <t>NON</t>
        </is>
      </c>
      <c r="O1970" s="45" t="inlineStr"/>
    </row>
    <row r="1971" customFormat="1" s="4">
      <c r="A1971" s="45" t="n"/>
      <c r="B1971" s="46" t="inlineStr">
        <is>
          <t>30820</t>
        </is>
      </c>
      <c r="C1971" s="46">
        <f>LEFT(Tableau1[[#This Row],[Formacode]],3)</f>
        <v/>
      </c>
      <c r="D1971" s="47" t="n">
        <v>40573</v>
      </c>
      <c r="E1971" s="48">
        <f>"RNCP"&amp;D1971</f>
        <v/>
      </c>
      <c r="F1971" s="48" t="inlineStr">
        <is>
          <t>Expert en informatique et systèmes d’information</t>
        </is>
      </c>
      <c r="G1971" s="49">
        <f>E1971&amp;" - "&amp;F1971</f>
        <v/>
      </c>
      <c r="H1971" s="36" t="inlineStr">
        <is>
          <t>RAS</t>
        </is>
      </c>
      <c r="I1971" s="45" t="inlineStr"/>
      <c r="J1971" s="45" t="inlineStr">
        <is>
          <t>RNCP40573</t>
        </is>
      </c>
      <c r="K1971" s="45" t="inlineStr">
        <is>
          <t>Expert en informatique et systèmes d’information</t>
        </is>
      </c>
      <c r="L1971" s="45" t="inlineStr">
        <is>
          <t>30/04/2030</t>
        </is>
      </c>
      <c r="M1971" s="45" t="inlineStr">
        <is>
          <t>31006 (Sécurité informatique) ; 30854 (Langages informatiques) ; 31025 (Analyse de données) ; 31094 (Gestion projet informatique) ; 31028 (Intelligence artificielle)</t>
        </is>
      </c>
      <c r="N1971" s="50" t="inlineStr">
        <is>
          <t>NON</t>
        </is>
      </c>
      <c r="O1971" s="45" t="inlineStr"/>
    </row>
    <row r="1972" customFormat="1" s="4">
      <c r="A1972" s="51" t="n"/>
      <c r="B1972" s="52" t="inlineStr">
        <is>
          <t>30821</t>
        </is>
      </c>
      <c r="C1972" s="52">
        <f>LEFT(Tableau1[[#This Row],[Formacode]],3)</f>
        <v/>
      </c>
      <c r="D1972" s="53" t="n">
        <v>37572</v>
      </c>
      <c r="E1972" s="54">
        <f>"RNCP"&amp;D1972</f>
        <v/>
      </c>
      <c r="F1972" s="54" t="inlineStr">
        <is>
          <t>Grade_Licence - Sciences et Ingénierie - Transformation Numérique des Entreprises</t>
        </is>
      </c>
      <c r="G1972" s="55">
        <f>E1972&amp;" - "&amp;F1972</f>
        <v/>
      </c>
      <c r="H1972" s="37" t="inlineStr">
        <is>
          <t>À vérifier</t>
        </is>
      </c>
      <c r="I1972" s="51" t="inlineStr">
        <is>
          <t>Successeur déjà publié : RNCP42302 (Sciences et Ingénierie - Informatique et systèmes numériques) — préparer la bascule de l'offre CPF | Échéance le 31/08/2026 (dans 44 j)</t>
        </is>
      </c>
      <c r="J1972" s="51" t="inlineStr">
        <is>
          <t>RNCP42302</t>
        </is>
      </c>
      <c r="K1972" s="51" t="inlineStr">
        <is>
          <t>Sciences et Ingénierie - Informatique et systèmes numériques</t>
        </is>
      </c>
      <c r="L1972" s="51" t="inlineStr">
        <is>
          <t>31/08/2026</t>
        </is>
      </c>
      <c r="M1972" s="51" t="inlineStr">
        <is>
          <t>31054 (Informatique - Systèmes d’information et numérique) ; 24231 (Réseau informatique) ; 24454 (Automatisme informatique industrielle)</t>
        </is>
      </c>
      <c r="N1972" s="62" t="inlineStr">
        <is>
          <t>NON</t>
        </is>
      </c>
      <c r="O1972" s="51" t="inlineStr"/>
    </row>
    <row r="1973" customFormat="1" s="4">
      <c r="A1973" s="45" t="n"/>
      <c r="B1973" s="46" t="inlineStr">
        <is>
          <t>30821</t>
        </is>
      </c>
      <c r="C1973" s="46">
        <f>LEFT(Tableau1[[#This Row],[Formacode]],3)</f>
        <v/>
      </c>
      <c r="D1973" s="47" t="n">
        <v>39609</v>
      </c>
      <c r="E1973" s="48">
        <f>"RNCP"&amp;D1973</f>
        <v/>
      </c>
      <c r="F1973" s="48" t="inlineStr">
        <is>
          <t>Concepteur développeur web full-stack</t>
        </is>
      </c>
      <c r="G1973" s="49">
        <f>E1973&amp;" - "&amp;F1973</f>
        <v/>
      </c>
      <c r="H1973" s="36" t="inlineStr">
        <is>
          <t>RAS</t>
        </is>
      </c>
      <c r="I1973" s="45" t="inlineStr"/>
      <c r="J1973" s="45" t="inlineStr">
        <is>
          <t>RNCP39609</t>
        </is>
      </c>
      <c r="K1973" s="45" t="inlineStr">
        <is>
          <t>Concepteur développeur web full-stack</t>
        </is>
      </c>
      <c r="L1973" s="45" t="inlineStr">
        <is>
          <t>01/10/2028</t>
        </is>
      </c>
      <c r="M1973" s="45" t="inlineStr">
        <is>
          <t>31090 (Développement web) ; 30854 (Langages informatiques) ; 46339 (Conduite projet numérique) ; 31006 (Sécurité informatique)</t>
        </is>
      </c>
      <c r="N1973" s="50" t="inlineStr">
        <is>
          <t>NON</t>
        </is>
      </c>
      <c r="O1973" s="45" t="inlineStr"/>
    </row>
    <row r="1974" customFormat="1" s="4">
      <c r="A1974" s="45" t="n"/>
      <c r="B1974" s="46" t="inlineStr">
        <is>
          <t>30821</t>
        </is>
      </c>
      <c r="C1974" s="46">
        <f>LEFT(Tableau1[[#This Row],[Formacode]],3)</f>
        <v/>
      </c>
      <c r="D1974" s="47" t="n">
        <v>40573</v>
      </c>
      <c r="E1974" s="48">
        <f>"RNCP"&amp;D1974</f>
        <v/>
      </c>
      <c r="F1974" s="48" t="inlineStr">
        <is>
          <t>Expert en informatique et systèmes d’information</t>
        </is>
      </c>
      <c r="G1974" s="49">
        <f>E1974&amp;" - "&amp;F1974</f>
        <v/>
      </c>
      <c r="H1974" s="36" t="inlineStr">
        <is>
          <t>RAS</t>
        </is>
      </c>
      <c r="I1974" s="45" t="inlineStr"/>
      <c r="J1974" s="45" t="inlineStr">
        <is>
          <t>RNCP40573</t>
        </is>
      </c>
      <c r="K1974" s="45" t="inlineStr">
        <is>
          <t>Expert en informatique et systèmes d’information</t>
        </is>
      </c>
      <c r="L1974" s="45" t="inlineStr">
        <is>
          <t>30/04/2030</t>
        </is>
      </c>
      <c r="M1974" s="45" t="inlineStr">
        <is>
          <t>31006 (Sécurité informatique) ; 30854 (Langages informatiques) ; 31025 (Analyse de données) ; 31094 (Gestion projet informatique) ; 31028 (Intelligence artificielle)</t>
        </is>
      </c>
      <c r="N1974" s="50" t="inlineStr">
        <is>
          <t>NON</t>
        </is>
      </c>
      <c r="O1974" s="45" t="inlineStr"/>
    </row>
    <row r="1975" customFormat="1" s="4">
      <c r="A1975" s="51" t="n"/>
      <c r="B1975" s="52" t="inlineStr">
        <is>
          <t>30823</t>
        </is>
      </c>
      <c r="C1975" s="52">
        <f>LEFT(Tableau1[[#This Row],[Formacode]],3)</f>
        <v/>
      </c>
      <c r="D1975" s="53" t="n">
        <v>37572</v>
      </c>
      <c r="E1975" s="54">
        <f>"RNCP"&amp;D1975</f>
        <v/>
      </c>
      <c r="F1975" s="54" t="inlineStr">
        <is>
          <t>Grade_Licence - Sciences et Ingénierie - Transformation Numérique des Entreprises</t>
        </is>
      </c>
      <c r="G1975" s="55">
        <f>E1975&amp;" - "&amp;F1975</f>
        <v/>
      </c>
      <c r="H1975" s="37" t="inlineStr">
        <is>
          <t>À vérifier</t>
        </is>
      </c>
      <c r="I1975" s="51" t="inlineStr">
        <is>
          <t>Successeur déjà publié : RNCP42302 (Sciences et Ingénierie - Informatique et systèmes numériques) — préparer la bascule de l'offre CPF | Échéance le 31/08/2026 (dans 44 j)</t>
        </is>
      </c>
      <c r="J1975" s="51" t="inlineStr">
        <is>
          <t>RNCP42302</t>
        </is>
      </c>
      <c r="K1975" s="51" t="inlineStr">
        <is>
          <t>Sciences et Ingénierie - Informatique et systèmes numériques</t>
        </is>
      </c>
      <c r="L1975" s="51" t="inlineStr">
        <is>
          <t>31/08/2026</t>
        </is>
      </c>
      <c r="M1975" s="51" t="inlineStr">
        <is>
          <t>31054 (Informatique - Systèmes d’information et numérique) ; 24231 (Réseau informatique) ; 24454 (Automatisme informatique industrielle)</t>
        </is>
      </c>
      <c r="N1975" s="62" t="inlineStr">
        <is>
          <t>NON</t>
        </is>
      </c>
      <c r="O1975" s="51" t="inlineStr"/>
    </row>
    <row r="1976" customFormat="1" s="4">
      <c r="A1976" s="45" t="n"/>
      <c r="B1976" s="46" t="inlineStr">
        <is>
          <t>30823</t>
        </is>
      </c>
      <c r="C1976" s="46">
        <f>LEFT(Tableau1[[#This Row],[Formacode]],3)</f>
        <v/>
      </c>
      <c r="D1976" s="47" t="n">
        <v>39609</v>
      </c>
      <c r="E1976" s="48">
        <f>"RNCP"&amp;D1976</f>
        <v/>
      </c>
      <c r="F1976" s="48" t="inlineStr">
        <is>
          <t>Concepteur développeur web full-stack</t>
        </is>
      </c>
      <c r="G1976" s="49">
        <f>E1976&amp;" - "&amp;F1976</f>
        <v/>
      </c>
      <c r="H1976" s="36" t="inlineStr">
        <is>
          <t>RAS</t>
        </is>
      </c>
      <c r="I1976" s="45" t="inlineStr"/>
      <c r="J1976" s="45" t="inlineStr">
        <is>
          <t>RNCP39609</t>
        </is>
      </c>
      <c r="K1976" s="45" t="inlineStr">
        <is>
          <t>Concepteur développeur web full-stack</t>
        </is>
      </c>
      <c r="L1976" s="45" t="inlineStr">
        <is>
          <t>01/10/2028</t>
        </is>
      </c>
      <c r="M1976" s="45" t="inlineStr">
        <is>
          <t>31090 (Développement web) ; 30854 (Langages informatiques) ; 46339 (Conduite projet numérique) ; 31006 (Sécurité informatique)</t>
        </is>
      </c>
      <c r="N1976" s="50" t="inlineStr">
        <is>
          <t>NON</t>
        </is>
      </c>
      <c r="O1976" s="45" t="inlineStr"/>
    </row>
    <row r="1977" customFormat="1" s="4">
      <c r="A1977" s="45" t="n"/>
      <c r="B1977" s="46" t="inlineStr">
        <is>
          <t>30823</t>
        </is>
      </c>
      <c r="C1977" s="46">
        <f>LEFT(Tableau1[[#This Row],[Formacode]],3)</f>
        <v/>
      </c>
      <c r="D1977" s="47" t="n">
        <v>40573</v>
      </c>
      <c r="E1977" s="48">
        <f>"RNCP"&amp;D1977</f>
        <v/>
      </c>
      <c r="F1977" s="48" t="inlineStr">
        <is>
          <t>Expert en informatique et systèmes d’information</t>
        </is>
      </c>
      <c r="G1977" s="49">
        <f>E1977&amp;" - "&amp;F1977</f>
        <v/>
      </c>
      <c r="H1977" s="36" t="inlineStr">
        <is>
          <t>RAS</t>
        </is>
      </c>
      <c r="I1977" s="45" t="inlineStr"/>
      <c r="J1977" s="45" t="inlineStr">
        <is>
          <t>RNCP40573</t>
        </is>
      </c>
      <c r="K1977" s="45" t="inlineStr">
        <is>
          <t>Expert en informatique et systèmes d’information</t>
        </is>
      </c>
      <c r="L1977" s="45" t="inlineStr">
        <is>
          <t>30/04/2030</t>
        </is>
      </c>
      <c r="M1977" s="45" t="inlineStr">
        <is>
          <t>31006 (Sécurité informatique) ; 30854 (Langages informatiques) ; 31025 (Analyse de données) ; 31094 (Gestion projet informatique) ; 31028 (Intelligence artificielle)</t>
        </is>
      </c>
      <c r="N1977" s="50" t="inlineStr">
        <is>
          <t>NON</t>
        </is>
      </c>
      <c r="O1977" s="45" t="inlineStr"/>
    </row>
    <row r="1978" customFormat="1" s="4">
      <c r="A1978" s="51" t="n"/>
      <c r="B1978" s="52" t="inlineStr">
        <is>
          <t>30825</t>
        </is>
      </c>
      <c r="C1978" s="52">
        <f>LEFT(Tableau1[[#This Row],[Formacode]],3)</f>
        <v/>
      </c>
      <c r="D1978" s="53" t="n">
        <v>37572</v>
      </c>
      <c r="E1978" s="54">
        <f>"RNCP"&amp;D1978</f>
        <v/>
      </c>
      <c r="F1978" s="54" t="inlineStr">
        <is>
          <t>Grade_Licence - Sciences et Ingénierie - Transformation Numérique des Entreprises</t>
        </is>
      </c>
      <c r="G1978" s="55">
        <f>E1978&amp;" - "&amp;F1978</f>
        <v/>
      </c>
      <c r="H1978" s="37" t="inlineStr">
        <is>
          <t>À vérifier</t>
        </is>
      </c>
      <c r="I1978" s="51" t="inlineStr">
        <is>
          <t>Successeur déjà publié : RNCP42302 (Sciences et Ingénierie - Informatique et systèmes numériques) — préparer la bascule de l'offre CPF | Échéance le 31/08/2026 (dans 44 j)</t>
        </is>
      </c>
      <c r="J1978" s="51" t="inlineStr">
        <is>
          <t>RNCP42302</t>
        </is>
      </c>
      <c r="K1978" s="51" t="inlineStr">
        <is>
          <t>Sciences et Ingénierie - Informatique et systèmes numériques</t>
        </is>
      </c>
      <c r="L1978" s="51" t="inlineStr">
        <is>
          <t>31/08/2026</t>
        </is>
      </c>
      <c r="M1978" s="51" t="inlineStr">
        <is>
          <t>31054 (Informatique - Systèmes d’information et numérique) ; 24231 (Réseau informatique) ; 24454 (Automatisme informatique industrielle)</t>
        </is>
      </c>
      <c r="N1978" s="62" t="inlineStr">
        <is>
          <t>NON</t>
        </is>
      </c>
      <c r="O1978" s="51" t="inlineStr"/>
    </row>
    <row r="1979" customFormat="1" s="4">
      <c r="A1979" s="45" t="n"/>
      <c r="B1979" s="46" t="inlineStr">
        <is>
          <t>30825</t>
        </is>
      </c>
      <c r="C1979" s="46">
        <f>LEFT(Tableau1[[#This Row],[Formacode]],3)</f>
        <v/>
      </c>
      <c r="D1979" s="47" t="n">
        <v>39609</v>
      </c>
      <c r="E1979" s="48">
        <f>"RNCP"&amp;D1979</f>
        <v/>
      </c>
      <c r="F1979" s="48" t="inlineStr">
        <is>
          <t>Concepteur développeur web full-stack</t>
        </is>
      </c>
      <c r="G1979" s="49">
        <f>E1979&amp;" - "&amp;F1979</f>
        <v/>
      </c>
      <c r="H1979" s="36" t="inlineStr">
        <is>
          <t>RAS</t>
        </is>
      </c>
      <c r="I1979" s="45" t="inlineStr"/>
      <c r="J1979" s="45" t="inlineStr">
        <is>
          <t>RNCP39609</t>
        </is>
      </c>
      <c r="K1979" s="45" t="inlineStr">
        <is>
          <t>Concepteur développeur web full-stack</t>
        </is>
      </c>
      <c r="L1979" s="45" t="inlineStr">
        <is>
          <t>01/10/2028</t>
        </is>
      </c>
      <c r="M1979" s="45" t="inlineStr">
        <is>
          <t>31090 (Développement web) ; 30854 (Langages informatiques) ; 46339 (Conduite projet numérique) ; 31006 (Sécurité informatique)</t>
        </is>
      </c>
      <c r="N1979" s="50" t="inlineStr">
        <is>
          <t>NON</t>
        </is>
      </c>
      <c r="O1979" s="45" t="inlineStr"/>
    </row>
    <row r="1980" customFormat="1" s="4">
      <c r="A1980" s="45" t="n"/>
      <c r="B1980" s="46" t="inlineStr">
        <is>
          <t>30825</t>
        </is>
      </c>
      <c r="C1980" s="46">
        <f>LEFT(Tableau1[[#This Row],[Formacode]],3)</f>
        <v/>
      </c>
      <c r="D1980" s="47" t="n">
        <v>40573</v>
      </c>
      <c r="E1980" s="48">
        <f>"RNCP"&amp;D1980</f>
        <v/>
      </c>
      <c r="F1980" s="48" t="inlineStr">
        <is>
          <t>Expert en informatique et systèmes d’information</t>
        </is>
      </c>
      <c r="G1980" s="49">
        <f>E1980&amp;" - "&amp;F1980</f>
        <v/>
      </c>
      <c r="H1980" s="36" t="inlineStr">
        <is>
          <t>RAS</t>
        </is>
      </c>
      <c r="I1980" s="45" t="inlineStr"/>
      <c r="J1980" s="45" t="inlineStr">
        <is>
          <t>RNCP40573</t>
        </is>
      </c>
      <c r="K1980" s="45" t="inlineStr">
        <is>
          <t>Expert en informatique et systèmes d’information</t>
        </is>
      </c>
      <c r="L1980" s="45" t="inlineStr">
        <is>
          <t>30/04/2030</t>
        </is>
      </c>
      <c r="M1980" s="45" t="inlineStr">
        <is>
          <t>31006 (Sécurité informatique) ; 30854 (Langages informatiques) ; 31025 (Analyse de données) ; 31094 (Gestion projet informatique) ; 31028 (Intelligence artificielle)</t>
        </is>
      </c>
      <c r="N1980" s="50" t="inlineStr">
        <is>
          <t>NON</t>
        </is>
      </c>
      <c r="O1980" s="45" t="inlineStr"/>
    </row>
    <row r="1981" customFormat="1" s="4">
      <c r="A1981" s="51" t="n"/>
      <c r="B1981" s="52" t="inlineStr">
        <is>
          <t>30827</t>
        </is>
      </c>
      <c r="C1981" s="52">
        <f>LEFT(Tableau1[[#This Row],[Formacode]],3)</f>
        <v/>
      </c>
      <c r="D1981" s="53" t="n">
        <v>37572</v>
      </c>
      <c r="E1981" s="54">
        <f>"RNCP"&amp;D1981</f>
        <v/>
      </c>
      <c r="F1981" s="54" t="inlineStr">
        <is>
          <t>Grade_Licence - Sciences et Ingénierie - Transformation Numérique des Entreprises</t>
        </is>
      </c>
      <c r="G1981" s="55">
        <f>E1981&amp;" - "&amp;F1981</f>
        <v/>
      </c>
      <c r="H1981" s="37" t="inlineStr">
        <is>
          <t>À vérifier</t>
        </is>
      </c>
      <c r="I1981" s="51" t="inlineStr">
        <is>
          <t>Successeur déjà publié : RNCP42302 (Sciences et Ingénierie - Informatique et systèmes numériques) — préparer la bascule de l'offre CPF | Échéance le 31/08/2026 (dans 44 j)</t>
        </is>
      </c>
      <c r="J1981" s="51" t="inlineStr">
        <is>
          <t>RNCP42302</t>
        </is>
      </c>
      <c r="K1981" s="51" t="inlineStr">
        <is>
          <t>Sciences et Ingénierie - Informatique et systèmes numériques</t>
        </is>
      </c>
      <c r="L1981" s="51" t="inlineStr">
        <is>
          <t>31/08/2026</t>
        </is>
      </c>
      <c r="M1981" s="51" t="inlineStr">
        <is>
          <t>31054 (Informatique - Systèmes d’information et numérique) ; 24231 (Réseau informatique) ; 24454 (Automatisme informatique industrielle)</t>
        </is>
      </c>
      <c r="N1981" s="62" t="inlineStr">
        <is>
          <t>NON</t>
        </is>
      </c>
      <c r="O1981" s="51" t="inlineStr"/>
    </row>
    <row r="1982" customFormat="1" s="4">
      <c r="A1982" s="45" t="n"/>
      <c r="B1982" s="46" t="inlineStr">
        <is>
          <t>30827</t>
        </is>
      </c>
      <c r="C1982" s="46">
        <f>LEFT(Tableau1[[#This Row],[Formacode]],3)</f>
        <v/>
      </c>
      <c r="D1982" s="47" t="n">
        <v>39609</v>
      </c>
      <c r="E1982" s="48">
        <f>"RNCP"&amp;D1982</f>
        <v/>
      </c>
      <c r="F1982" s="48" t="inlineStr">
        <is>
          <t>Concepteur développeur web full-stack</t>
        </is>
      </c>
      <c r="G1982" s="49">
        <f>E1982&amp;" - "&amp;F1982</f>
        <v/>
      </c>
      <c r="H1982" s="36" t="inlineStr">
        <is>
          <t>RAS</t>
        </is>
      </c>
      <c r="I1982" s="45" t="inlineStr"/>
      <c r="J1982" s="45" t="inlineStr">
        <is>
          <t>RNCP39609</t>
        </is>
      </c>
      <c r="K1982" s="45" t="inlineStr">
        <is>
          <t>Concepteur développeur web full-stack</t>
        </is>
      </c>
      <c r="L1982" s="45" t="inlineStr">
        <is>
          <t>01/10/2028</t>
        </is>
      </c>
      <c r="M1982" s="45" t="inlineStr">
        <is>
          <t>31090 (Développement web) ; 30854 (Langages informatiques) ; 46339 (Conduite projet numérique) ; 31006 (Sécurité informatique)</t>
        </is>
      </c>
      <c r="N1982" s="50" t="inlineStr">
        <is>
          <t>NON</t>
        </is>
      </c>
      <c r="O1982" s="45" t="inlineStr"/>
    </row>
    <row r="1983" customFormat="1" s="4">
      <c r="A1983" s="45" t="n"/>
      <c r="B1983" s="46" t="inlineStr">
        <is>
          <t>30827</t>
        </is>
      </c>
      <c r="C1983" s="46">
        <f>LEFT(Tableau1[[#This Row],[Formacode]],3)</f>
        <v/>
      </c>
      <c r="D1983" s="47" t="n">
        <v>40573</v>
      </c>
      <c r="E1983" s="48">
        <f>"RNCP"&amp;D1983</f>
        <v/>
      </c>
      <c r="F1983" s="48" t="inlineStr">
        <is>
          <t>Expert en informatique et systèmes d’information</t>
        </is>
      </c>
      <c r="G1983" s="49">
        <f>E1983&amp;" - "&amp;F1983</f>
        <v/>
      </c>
      <c r="H1983" s="36" t="inlineStr">
        <is>
          <t>RAS</t>
        </is>
      </c>
      <c r="I1983" s="45" t="inlineStr"/>
      <c r="J1983" s="45" t="inlineStr">
        <is>
          <t>RNCP40573</t>
        </is>
      </c>
      <c r="K1983" s="45" t="inlineStr">
        <is>
          <t>Expert en informatique et systèmes d’information</t>
        </is>
      </c>
      <c r="L1983" s="45" t="inlineStr">
        <is>
          <t>30/04/2030</t>
        </is>
      </c>
      <c r="M1983" s="45" t="inlineStr">
        <is>
          <t>31006 (Sécurité informatique) ; 30854 (Langages informatiques) ; 31025 (Analyse de données) ; 31094 (Gestion projet informatique) ; 31028 (Intelligence artificielle)</t>
        </is>
      </c>
      <c r="N1983" s="50" t="inlineStr">
        <is>
          <t>NON</t>
        </is>
      </c>
      <c r="O1983" s="45" t="inlineStr"/>
    </row>
    <row r="1984" customFormat="1" s="4">
      <c r="A1984" s="51" t="n"/>
      <c r="B1984" s="52" t="inlineStr">
        <is>
          <t>30831</t>
        </is>
      </c>
      <c r="C1984" s="52">
        <f>LEFT(Tableau1[[#This Row],[Formacode]],3)</f>
        <v/>
      </c>
      <c r="D1984" s="53" t="n">
        <v>37572</v>
      </c>
      <c r="E1984" s="54">
        <f>"RNCP"&amp;D1984</f>
        <v/>
      </c>
      <c r="F1984" s="54" t="inlineStr">
        <is>
          <t>Grade_Licence - Sciences et Ingénierie - Transformation Numérique des Entreprises</t>
        </is>
      </c>
      <c r="G1984" s="55">
        <f>E1984&amp;" - "&amp;F1984</f>
        <v/>
      </c>
      <c r="H1984" s="37" t="inlineStr">
        <is>
          <t>À vérifier</t>
        </is>
      </c>
      <c r="I1984" s="51" t="inlineStr">
        <is>
          <t>Successeur déjà publié : RNCP42302 (Sciences et Ingénierie - Informatique et systèmes numériques) — préparer la bascule de l'offre CPF | Échéance le 31/08/2026 (dans 44 j)</t>
        </is>
      </c>
      <c r="J1984" s="51" t="inlineStr">
        <is>
          <t>RNCP42302</t>
        </is>
      </c>
      <c r="K1984" s="51" t="inlineStr">
        <is>
          <t>Sciences et Ingénierie - Informatique et systèmes numériques</t>
        </is>
      </c>
      <c r="L1984" s="51" t="inlineStr">
        <is>
          <t>31/08/2026</t>
        </is>
      </c>
      <c r="M1984" s="51" t="inlineStr">
        <is>
          <t>31054 (Informatique - Systèmes d’information et numérique) ; 24231 (Réseau informatique) ; 24454 (Automatisme informatique industrielle)</t>
        </is>
      </c>
      <c r="N1984" s="62" t="inlineStr">
        <is>
          <t>NON</t>
        </is>
      </c>
      <c r="O1984" s="51" t="inlineStr"/>
    </row>
    <row r="1985" customFormat="1" s="4">
      <c r="A1985" s="45" t="n"/>
      <c r="B1985" s="46" t="inlineStr">
        <is>
          <t>30831</t>
        </is>
      </c>
      <c r="C1985" s="46">
        <f>LEFT(Tableau1[[#This Row],[Formacode]],3)</f>
        <v/>
      </c>
      <c r="D1985" s="47" t="n">
        <v>39609</v>
      </c>
      <c r="E1985" s="48">
        <f>"RNCP"&amp;D1985</f>
        <v/>
      </c>
      <c r="F1985" s="48" t="inlineStr">
        <is>
          <t>Concepteur développeur web full-stack</t>
        </is>
      </c>
      <c r="G1985" s="49">
        <f>E1985&amp;" - "&amp;F1985</f>
        <v/>
      </c>
      <c r="H1985" s="36" t="inlineStr">
        <is>
          <t>RAS</t>
        </is>
      </c>
      <c r="I1985" s="45" t="inlineStr"/>
      <c r="J1985" s="45" t="inlineStr">
        <is>
          <t>RNCP39609</t>
        </is>
      </c>
      <c r="K1985" s="45" t="inlineStr">
        <is>
          <t>Concepteur développeur web full-stack</t>
        </is>
      </c>
      <c r="L1985" s="45" t="inlineStr">
        <is>
          <t>01/10/2028</t>
        </is>
      </c>
      <c r="M1985" s="45" t="inlineStr">
        <is>
          <t>31090 (Développement web) ; 30854 (Langages informatiques) ; 46339 (Conduite projet numérique) ; 31006 (Sécurité informatique)</t>
        </is>
      </c>
      <c r="N1985" s="50" t="inlineStr">
        <is>
          <t>NON</t>
        </is>
      </c>
      <c r="O1985" s="45" t="inlineStr"/>
    </row>
    <row r="1986" customFormat="1" s="4">
      <c r="A1986" s="45" t="n"/>
      <c r="B1986" s="46" t="inlineStr">
        <is>
          <t>30831</t>
        </is>
      </c>
      <c r="C1986" s="46">
        <f>LEFT(Tableau1[[#This Row],[Formacode]],3)</f>
        <v/>
      </c>
      <c r="D1986" s="47" t="n">
        <v>40573</v>
      </c>
      <c r="E1986" s="48">
        <f>"RNCP"&amp;D1986</f>
        <v/>
      </c>
      <c r="F1986" s="48" t="inlineStr">
        <is>
          <t>Expert en informatique et systèmes d’information</t>
        </is>
      </c>
      <c r="G1986" s="49">
        <f>E1986&amp;" - "&amp;F1986</f>
        <v/>
      </c>
      <c r="H1986" s="36" t="inlineStr">
        <is>
          <t>RAS</t>
        </is>
      </c>
      <c r="I1986" s="45" t="inlineStr"/>
      <c r="J1986" s="45" t="inlineStr">
        <is>
          <t>RNCP40573</t>
        </is>
      </c>
      <c r="K1986" s="45" t="inlineStr">
        <is>
          <t>Expert en informatique et systèmes d’information</t>
        </is>
      </c>
      <c r="L1986" s="45" t="inlineStr">
        <is>
          <t>30/04/2030</t>
        </is>
      </c>
      <c r="M1986" s="45" t="inlineStr">
        <is>
          <t>31006 (Sécurité informatique) ; 30854 (Langages informatiques) ; 31025 (Analyse de données) ; 31094 (Gestion projet informatique) ; 31028 (Intelligence artificielle)</t>
        </is>
      </c>
      <c r="N1986" s="50" t="inlineStr">
        <is>
          <t>NON</t>
        </is>
      </c>
      <c r="O1986" s="45" t="inlineStr"/>
    </row>
    <row r="1987" customFormat="1" s="4">
      <c r="A1987" s="51" t="n"/>
      <c r="B1987" s="52" t="inlineStr">
        <is>
          <t>30855</t>
        </is>
      </c>
      <c r="C1987" s="52">
        <f>LEFT(Tableau1[[#This Row],[Formacode]],3)</f>
        <v/>
      </c>
      <c r="D1987" s="53" t="n">
        <v>37572</v>
      </c>
      <c r="E1987" s="54">
        <f>"RNCP"&amp;D1987</f>
        <v/>
      </c>
      <c r="F1987" s="54" t="inlineStr">
        <is>
          <t>Grade_Licence - Sciences et Ingénierie - Transformation Numérique des Entreprises</t>
        </is>
      </c>
      <c r="G1987" s="55">
        <f>E1987&amp;" - "&amp;F1987</f>
        <v/>
      </c>
      <c r="H1987" s="37" t="inlineStr">
        <is>
          <t>À vérifier</t>
        </is>
      </c>
      <c r="I1987" s="51" t="inlineStr">
        <is>
          <t>Successeur déjà publié : RNCP42302 (Sciences et Ingénierie - Informatique et systèmes numériques) — préparer la bascule de l'offre CPF | Échéance le 31/08/2026 (dans 44 j)</t>
        </is>
      </c>
      <c r="J1987" s="51" t="inlineStr">
        <is>
          <t>RNCP42302</t>
        </is>
      </c>
      <c r="K1987" s="51" t="inlineStr">
        <is>
          <t>Sciences et Ingénierie - Informatique et systèmes numériques</t>
        </is>
      </c>
      <c r="L1987" s="51" t="inlineStr">
        <is>
          <t>31/08/2026</t>
        </is>
      </c>
      <c r="M1987" s="51" t="inlineStr">
        <is>
          <t>31054 (Informatique - Systèmes d’information et numérique) ; 24231 (Réseau informatique) ; 24454 (Automatisme informatique industrielle)</t>
        </is>
      </c>
      <c r="N1987" s="62" t="inlineStr">
        <is>
          <t>NON</t>
        </is>
      </c>
      <c r="O1987" s="51" t="inlineStr"/>
    </row>
    <row r="1988" customFormat="1" s="4">
      <c r="A1988" s="45" t="n"/>
      <c r="B1988" s="46" t="inlineStr">
        <is>
          <t>30855</t>
        </is>
      </c>
      <c r="C1988" s="46">
        <f>LEFT(Tableau1[[#This Row],[Formacode]],3)</f>
        <v/>
      </c>
      <c r="D1988" s="47" t="n">
        <v>39609</v>
      </c>
      <c r="E1988" s="48">
        <f>"RNCP"&amp;D1988</f>
        <v/>
      </c>
      <c r="F1988" s="48" t="inlineStr">
        <is>
          <t>Concepteur développeur web full-stack</t>
        </is>
      </c>
      <c r="G1988" s="49">
        <f>E1988&amp;" - "&amp;F1988</f>
        <v/>
      </c>
      <c r="H1988" s="36" t="inlineStr">
        <is>
          <t>RAS</t>
        </is>
      </c>
      <c r="I1988" s="45" t="inlineStr"/>
      <c r="J1988" s="45" t="inlineStr">
        <is>
          <t>RNCP39609</t>
        </is>
      </c>
      <c r="K1988" s="45" t="inlineStr">
        <is>
          <t>Concepteur développeur web full-stack</t>
        </is>
      </c>
      <c r="L1988" s="45" t="inlineStr">
        <is>
          <t>01/10/2028</t>
        </is>
      </c>
      <c r="M1988" s="45" t="inlineStr">
        <is>
          <t>31090 (Développement web) ; 30854 (Langages informatiques) ; 46339 (Conduite projet numérique) ; 31006 (Sécurité informatique)</t>
        </is>
      </c>
      <c r="N1988" s="50" t="inlineStr">
        <is>
          <t>NON</t>
        </is>
      </c>
      <c r="O1988" s="45" t="inlineStr"/>
    </row>
    <row r="1989" customFormat="1" s="4">
      <c r="A1989" s="45" t="n"/>
      <c r="B1989" s="46" t="inlineStr">
        <is>
          <t>30855</t>
        </is>
      </c>
      <c r="C1989" s="46">
        <f>LEFT(Tableau1[[#This Row],[Formacode]],3)</f>
        <v/>
      </c>
      <c r="D1989" s="47" t="n">
        <v>40573</v>
      </c>
      <c r="E1989" s="48">
        <f>"RNCP"&amp;D1989</f>
        <v/>
      </c>
      <c r="F1989" s="48" t="inlineStr">
        <is>
          <t>Expert en informatique et systèmes d’information</t>
        </is>
      </c>
      <c r="G1989" s="49">
        <f>E1989&amp;" - "&amp;F1989</f>
        <v/>
      </c>
      <c r="H1989" s="36" t="inlineStr">
        <is>
          <t>RAS</t>
        </is>
      </c>
      <c r="I1989" s="45" t="inlineStr"/>
      <c r="J1989" s="45" t="inlineStr">
        <is>
          <t>RNCP40573</t>
        </is>
      </c>
      <c r="K1989" s="45" t="inlineStr">
        <is>
          <t>Expert en informatique et systèmes d’information</t>
        </is>
      </c>
      <c r="L1989" s="45" t="inlineStr">
        <is>
          <t>30/04/2030</t>
        </is>
      </c>
      <c r="M1989" s="45" t="inlineStr">
        <is>
          <t>31006 (Sécurité informatique) ; 30854 (Langages informatiques) ; 31025 (Analyse de données) ; 31094 (Gestion projet informatique) ; 31028 (Intelligence artificielle)</t>
        </is>
      </c>
      <c r="N1989" s="50" t="inlineStr">
        <is>
          <t>NON</t>
        </is>
      </c>
      <c r="O1989" s="45" t="inlineStr"/>
    </row>
    <row r="1990" customFormat="1" s="4">
      <c r="A1990" s="51" t="n"/>
      <c r="B1990" s="52" t="inlineStr">
        <is>
          <t>30857</t>
        </is>
      </c>
      <c r="C1990" s="52">
        <f>LEFT(Tableau1[[#This Row],[Formacode]],3)</f>
        <v/>
      </c>
      <c r="D1990" s="53" t="n">
        <v>37572</v>
      </c>
      <c r="E1990" s="54">
        <f>"RNCP"&amp;D1990</f>
        <v/>
      </c>
      <c r="F1990" s="54" t="inlineStr">
        <is>
          <t>Grade_Licence - Sciences et Ingénierie - Transformation Numérique des Entreprises</t>
        </is>
      </c>
      <c r="G1990" s="55">
        <f>E1990&amp;" - "&amp;F1990</f>
        <v/>
      </c>
      <c r="H1990" s="37" t="inlineStr">
        <is>
          <t>À vérifier</t>
        </is>
      </c>
      <c r="I1990" s="51" t="inlineStr">
        <is>
          <t>Successeur déjà publié : RNCP42302 (Sciences et Ingénierie - Informatique et systèmes numériques) — préparer la bascule de l'offre CPF | Échéance le 31/08/2026 (dans 44 j)</t>
        </is>
      </c>
      <c r="J1990" s="51" t="inlineStr">
        <is>
          <t>RNCP42302</t>
        </is>
      </c>
      <c r="K1990" s="51" t="inlineStr">
        <is>
          <t>Sciences et Ingénierie - Informatique et systèmes numériques</t>
        </is>
      </c>
      <c r="L1990" s="51" t="inlineStr">
        <is>
          <t>31/08/2026</t>
        </is>
      </c>
      <c r="M1990" s="51" t="inlineStr">
        <is>
          <t>31054 (Informatique - Systèmes d’information et numérique) ; 24231 (Réseau informatique) ; 24454 (Automatisme informatique industrielle)</t>
        </is>
      </c>
      <c r="N1990" s="62" t="inlineStr">
        <is>
          <t>NON</t>
        </is>
      </c>
      <c r="O1990" s="51" t="inlineStr"/>
    </row>
    <row r="1991" customFormat="1" s="4">
      <c r="A1991" s="45" t="n"/>
      <c r="B1991" s="46" t="inlineStr">
        <is>
          <t>30857</t>
        </is>
      </c>
      <c r="C1991" s="46">
        <f>LEFT(Tableau1[[#This Row],[Formacode]],3)</f>
        <v/>
      </c>
      <c r="D1991" s="47" t="n">
        <v>39609</v>
      </c>
      <c r="E1991" s="48">
        <f>"RNCP"&amp;D1991</f>
        <v/>
      </c>
      <c r="F1991" s="48" t="inlineStr">
        <is>
          <t>Concepteur développeur web full-stack</t>
        </is>
      </c>
      <c r="G1991" s="49">
        <f>E1991&amp;" - "&amp;F1991</f>
        <v/>
      </c>
      <c r="H1991" s="36" t="inlineStr">
        <is>
          <t>RAS</t>
        </is>
      </c>
      <c r="I1991" s="45" t="inlineStr"/>
      <c r="J1991" s="45" t="inlineStr">
        <is>
          <t>RNCP39609</t>
        </is>
      </c>
      <c r="K1991" s="45" t="inlineStr">
        <is>
          <t>Concepteur développeur web full-stack</t>
        </is>
      </c>
      <c r="L1991" s="45" t="inlineStr">
        <is>
          <t>01/10/2028</t>
        </is>
      </c>
      <c r="M1991" s="45" t="inlineStr">
        <is>
          <t>31090 (Développement web) ; 30854 (Langages informatiques) ; 46339 (Conduite projet numérique) ; 31006 (Sécurité informatique)</t>
        </is>
      </c>
      <c r="N1991" s="50" t="inlineStr">
        <is>
          <t>NON</t>
        </is>
      </c>
      <c r="O1991" s="45" t="inlineStr"/>
    </row>
    <row r="1992" customFormat="1" s="4">
      <c r="A1992" s="45" t="n"/>
      <c r="B1992" s="46" t="inlineStr">
        <is>
          <t>30857</t>
        </is>
      </c>
      <c r="C1992" s="46">
        <f>LEFT(Tableau1[[#This Row],[Formacode]],3)</f>
        <v/>
      </c>
      <c r="D1992" s="47" t="n">
        <v>40573</v>
      </c>
      <c r="E1992" s="48">
        <f>"RNCP"&amp;D1992</f>
        <v/>
      </c>
      <c r="F1992" s="48" t="inlineStr">
        <is>
          <t>Expert en informatique et systèmes d’information</t>
        </is>
      </c>
      <c r="G1992" s="49">
        <f>E1992&amp;" - "&amp;F1992</f>
        <v/>
      </c>
      <c r="H1992" s="36" t="inlineStr">
        <is>
          <t>RAS</t>
        </is>
      </c>
      <c r="I1992" s="45" t="inlineStr"/>
      <c r="J1992" s="45" t="inlineStr">
        <is>
          <t>RNCP40573</t>
        </is>
      </c>
      <c r="K1992" s="45" t="inlineStr">
        <is>
          <t>Expert en informatique et systèmes d’information</t>
        </is>
      </c>
      <c r="L1992" s="45" t="inlineStr">
        <is>
          <t>30/04/2030</t>
        </is>
      </c>
      <c r="M1992" s="45" t="inlineStr">
        <is>
          <t>31006 (Sécurité informatique) ; 30854 (Langages informatiques) ; 31025 (Analyse de données) ; 31094 (Gestion projet informatique) ; 31028 (Intelligence artificielle)</t>
        </is>
      </c>
      <c r="N1992" s="50" t="inlineStr">
        <is>
          <t>NON</t>
        </is>
      </c>
      <c r="O1992" s="45" t="inlineStr"/>
    </row>
    <row r="1993" customFormat="1" s="4">
      <c r="A1993" s="51" t="n"/>
      <c r="B1993" s="52" t="inlineStr">
        <is>
          <t>30860</t>
        </is>
      </c>
      <c r="C1993" s="52">
        <f>LEFT(Tableau1[[#This Row],[Formacode]],3)</f>
        <v/>
      </c>
      <c r="D1993" s="53" t="n">
        <v>37572</v>
      </c>
      <c r="E1993" s="54">
        <f>"RNCP"&amp;D1993</f>
        <v/>
      </c>
      <c r="F1993" s="54" t="inlineStr">
        <is>
          <t>Grade_Licence - Sciences et Ingénierie - Transformation Numérique des Entreprises</t>
        </is>
      </c>
      <c r="G1993" s="55">
        <f>E1993&amp;" - "&amp;F1993</f>
        <v/>
      </c>
      <c r="H1993" s="37" t="inlineStr">
        <is>
          <t>À vérifier</t>
        </is>
      </c>
      <c r="I1993" s="51" t="inlineStr">
        <is>
          <t>Successeur déjà publié : RNCP42302 (Sciences et Ingénierie - Informatique et systèmes numériques) — préparer la bascule de l'offre CPF | Échéance le 31/08/2026 (dans 44 j)</t>
        </is>
      </c>
      <c r="J1993" s="51" t="inlineStr">
        <is>
          <t>RNCP42302</t>
        </is>
      </c>
      <c r="K1993" s="51" t="inlineStr">
        <is>
          <t>Sciences et Ingénierie - Informatique et systèmes numériques</t>
        </is>
      </c>
      <c r="L1993" s="51" t="inlineStr">
        <is>
          <t>31/08/2026</t>
        </is>
      </c>
      <c r="M1993" s="51" t="inlineStr">
        <is>
          <t>31054 (Informatique - Systèmes d’information et numérique) ; 24231 (Réseau informatique) ; 24454 (Automatisme informatique industrielle)</t>
        </is>
      </c>
      <c r="N1993" s="62" t="inlineStr">
        <is>
          <t>NON</t>
        </is>
      </c>
      <c r="O1993" s="51" t="inlineStr"/>
    </row>
    <row r="1994" customFormat="1" s="4">
      <c r="A1994" s="45" t="n"/>
      <c r="B1994" s="46" t="inlineStr">
        <is>
          <t>30860</t>
        </is>
      </c>
      <c r="C1994" s="46">
        <f>LEFT(Tableau1[[#This Row],[Formacode]],3)</f>
        <v/>
      </c>
      <c r="D1994" s="47" t="n">
        <v>39609</v>
      </c>
      <c r="E1994" s="48">
        <f>"RNCP"&amp;D1994</f>
        <v/>
      </c>
      <c r="F1994" s="48" t="inlineStr">
        <is>
          <t>Concepteur développeur web full-stack</t>
        </is>
      </c>
      <c r="G1994" s="49">
        <f>E1994&amp;" - "&amp;F1994</f>
        <v/>
      </c>
      <c r="H1994" s="36" t="inlineStr">
        <is>
          <t>RAS</t>
        </is>
      </c>
      <c r="I1994" s="45" t="inlineStr"/>
      <c r="J1994" s="45" t="inlineStr">
        <is>
          <t>RNCP39609</t>
        </is>
      </c>
      <c r="K1994" s="45" t="inlineStr">
        <is>
          <t>Concepteur développeur web full-stack</t>
        </is>
      </c>
      <c r="L1994" s="45" t="inlineStr">
        <is>
          <t>01/10/2028</t>
        </is>
      </c>
      <c r="M1994" s="45" t="inlineStr">
        <is>
          <t>31090 (Développement web) ; 30854 (Langages informatiques) ; 46339 (Conduite projet numérique) ; 31006 (Sécurité informatique)</t>
        </is>
      </c>
      <c r="N1994" s="50" t="inlineStr">
        <is>
          <t>NON</t>
        </is>
      </c>
      <c r="O1994" s="45" t="inlineStr"/>
    </row>
    <row r="1995" customFormat="1" s="4">
      <c r="A1995" s="45" t="n"/>
      <c r="B1995" s="46" t="inlineStr">
        <is>
          <t>30860</t>
        </is>
      </c>
      <c r="C1995" s="46">
        <f>LEFT(Tableau1[[#This Row],[Formacode]],3)</f>
        <v/>
      </c>
      <c r="D1995" s="47" t="n">
        <v>40573</v>
      </c>
      <c r="E1995" s="48">
        <f>"RNCP"&amp;D1995</f>
        <v/>
      </c>
      <c r="F1995" s="48" t="inlineStr">
        <is>
          <t>Expert en informatique et systèmes d’information</t>
        </is>
      </c>
      <c r="G1995" s="49">
        <f>E1995&amp;" - "&amp;F1995</f>
        <v/>
      </c>
      <c r="H1995" s="36" t="inlineStr">
        <is>
          <t>RAS</t>
        </is>
      </c>
      <c r="I1995" s="45" t="inlineStr"/>
      <c r="J1995" s="45" t="inlineStr">
        <is>
          <t>RNCP40573</t>
        </is>
      </c>
      <c r="K1995" s="45" t="inlineStr">
        <is>
          <t>Expert en informatique et systèmes d’information</t>
        </is>
      </c>
      <c r="L1995" s="45" t="inlineStr">
        <is>
          <t>30/04/2030</t>
        </is>
      </c>
      <c r="M1995" s="45" t="inlineStr">
        <is>
          <t>31006 (Sécurité informatique) ; 30854 (Langages informatiques) ; 31025 (Analyse de données) ; 31094 (Gestion projet informatique) ; 31028 (Intelligence artificielle)</t>
        </is>
      </c>
      <c r="N1995" s="50" t="inlineStr">
        <is>
          <t>NON</t>
        </is>
      </c>
      <c r="O1995" s="45" t="inlineStr"/>
    </row>
    <row r="1996" customFormat="1" s="4">
      <c r="A1996" s="51" t="n"/>
      <c r="B1996" s="52" t="inlineStr">
        <is>
          <t>30867</t>
        </is>
      </c>
      <c r="C1996" s="52">
        <f>LEFT(Tableau1[[#This Row],[Formacode]],3)</f>
        <v/>
      </c>
      <c r="D1996" s="53" t="n">
        <v>37572</v>
      </c>
      <c r="E1996" s="54">
        <f>"RNCP"&amp;D1996</f>
        <v/>
      </c>
      <c r="F1996" s="54" t="inlineStr">
        <is>
          <t>Grade_Licence - Sciences et Ingénierie - Transformation Numérique des Entreprises</t>
        </is>
      </c>
      <c r="G1996" s="55">
        <f>E1996&amp;" - "&amp;F1996</f>
        <v/>
      </c>
      <c r="H1996" s="37" t="inlineStr">
        <is>
          <t>À vérifier</t>
        </is>
      </c>
      <c r="I1996" s="51" t="inlineStr">
        <is>
          <t>Successeur déjà publié : RNCP42302 (Sciences et Ingénierie - Informatique et systèmes numériques) — préparer la bascule de l'offre CPF | Échéance le 31/08/2026 (dans 44 j)</t>
        </is>
      </c>
      <c r="J1996" s="51" t="inlineStr">
        <is>
          <t>RNCP42302</t>
        </is>
      </c>
      <c r="K1996" s="51" t="inlineStr">
        <is>
          <t>Sciences et Ingénierie - Informatique et systèmes numériques</t>
        </is>
      </c>
      <c r="L1996" s="51" t="inlineStr">
        <is>
          <t>31/08/2026</t>
        </is>
      </c>
      <c r="M1996" s="51" t="inlineStr">
        <is>
          <t>31054 (Informatique - Systèmes d’information et numérique) ; 24231 (Réseau informatique) ; 24454 (Automatisme informatique industrielle)</t>
        </is>
      </c>
      <c r="N1996" s="62" t="inlineStr">
        <is>
          <t>NON</t>
        </is>
      </c>
      <c r="O1996" s="51" t="inlineStr"/>
    </row>
    <row r="1997" customFormat="1" s="4">
      <c r="A1997" s="45" t="n"/>
      <c r="B1997" s="46" t="inlineStr">
        <is>
          <t>30867</t>
        </is>
      </c>
      <c r="C1997" s="46">
        <f>LEFT(Tableau1[[#This Row],[Formacode]],3)</f>
        <v/>
      </c>
      <c r="D1997" s="47" t="n">
        <v>39609</v>
      </c>
      <c r="E1997" s="48">
        <f>"RNCP"&amp;D1997</f>
        <v/>
      </c>
      <c r="F1997" s="48" t="inlineStr">
        <is>
          <t>Concepteur développeur web full-stack</t>
        </is>
      </c>
      <c r="G1997" s="49">
        <f>E1997&amp;" - "&amp;F1997</f>
        <v/>
      </c>
      <c r="H1997" s="36" t="inlineStr">
        <is>
          <t>RAS</t>
        </is>
      </c>
      <c r="I1997" s="45" t="inlineStr"/>
      <c r="J1997" s="45" t="inlineStr">
        <is>
          <t>RNCP39609</t>
        </is>
      </c>
      <c r="K1997" s="45" t="inlineStr">
        <is>
          <t>Concepteur développeur web full-stack</t>
        </is>
      </c>
      <c r="L1997" s="45" t="inlineStr">
        <is>
          <t>01/10/2028</t>
        </is>
      </c>
      <c r="M1997" s="45" t="inlineStr">
        <is>
          <t>31090 (Développement web) ; 30854 (Langages informatiques) ; 46339 (Conduite projet numérique) ; 31006 (Sécurité informatique)</t>
        </is>
      </c>
      <c r="N1997" s="50" t="inlineStr">
        <is>
          <t>NON</t>
        </is>
      </c>
      <c r="O1997" s="45" t="inlineStr"/>
    </row>
    <row r="1998" customFormat="1" s="4">
      <c r="A1998" s="45" t="n"/>
      <c r="B1998" s="46" t="inlineStr">
        <is>
          <t>30867</t>
        </is>
      </c>
      <c r="C1998" s="46">
        <f>LEFT(Tableau1[[#This Row],[Formacode]],3)</f>
        <v/>
      </c>
      <c r="D1998" s="47" t="n">
        <v>40573</v>
      </c>
      <c r="E1998" s="48">
        <f>"RNCP"&amp;D1998</f>
        <v/>
      </c>
      <c r="F1998" s="48" t="inlineStr">
        <is>
          <t>Expert en informatique et systèmes d’information</t>
        </is>
      </c>
      <c r="G1998" s="49">
        <f>E1998&amp;" - "&amp;F1998</f>
        <v/>
      </c>
      <c r="H1998" s="36" t="inlineStr">
        <is>
          <t>RAS</t>
        </is>
      </c>
      <c r="I1998" s="45" t="inlineStr"/>
      <c r="J1998" s="45" t="inlineStr">
        <is>
          <t>RNCP40573</t>
        </is>
      </c>
      <c r="K1998" s="45" t="inlineStr">
        <is>
          <t>Expert en informatique et systèmes d’information</t>
        </is>
      </c>
      <c r="L1998" s="45" t="inlineStr">
        <is>
          <t>30/04/2030</t>
        </is>
      </c>
      <c r="M1998" s="45" t="inlineStr">
        <is>
          <t>31006 (Sécurité informatique) ; 30854 (Langages informatiques) ; 31025 (Analyse de données) ; 31094 (Gestion projet informatique) ; 31028 (Intelligence artificielle)</t>
        </is>
      </c>
      <c r="N1998" s="50" t="inlineStr">
        <is>
          <t>NON</t>
        </is>
      </c>
      <c r="O1998" s="45" t="inlineStr"/>
    </row>
    <row r="1999" customFormat="1" s="4">
      <c r="A1999" s="51" t="n"/>
      <c r="B1999" s="52" t="inlineStr">
        <is>
          <t>30869</t>
        </is>
      </c>
      <c r="C1999" s="52">
        <f>LEFT(Tableau1[[#This Row],[Formacode]],3)</f>
        <v/>
      </c>
      <c r="D1999" s="53" t="n">
        <v>37572</v>
      </c>
      <c r="E1999" s="54">
        <f>"RNCP"&amp;D1999</f>
        <v/>
      </c>
      <c r="F1999" s="54" t="inlineStr">
        <is>
          <t>Grade_Licence - Sciences et Ingénierie - Transformation Numérique des Entreprises</t>
        </is>
      </c>
      <c r="G1999" s="55">
        <f>E1999&amp;" - "&amp;F1999</f>
        <v/>
      </c>
      <c r="H1999" s="37" t="inlineStr">
        <is>
          <t>À vérifier</t>
        </is>
      </c>
      <c r="I1999" s="51" t="inlineStr">
        <is>
          <t>Successeur déjà publié : RNCP42302 (Sciences et Ingénierie - Informatique et systèmes numériques) — préparer la bascule de l'offre CPF | Échéance le 31/08/2026 (dans 44 j)</t>
        </is>
      </c>
      <c r="J1999" s="51" t="inlineStr">
        <is>
          <t>RNCP42302</t>
        </is>
      </c>
      <c r="K1999" s="51" t="inlineStr">
        <is>
          <t>Sciences et Ingénierie - Informatique et systèmes numériques</t>
        </is>
      </c>
      <c r="L1999" s="51" t="inlineStr">
        <is>
          <t>31/08/2026</t>
        </is>
      </c>
      <c r="M1999" s="51" t="inlineStr">
        <is>
          <t>31054 (Informatique - Systèmes d’information et numérique) ; 24231 (Réseau informatique) ; 24454 (Automatisme informatique industrielle)</t>
        </is>
      </c>
      <c r="N1999" s="62" t="inlineStr">
        <is>
          <t>NON</t>
        </is>
      </c>
      <c r="O1999" s="51" t="inlineStr"/>
    </row>
    <row r="2000" customFormat="1" s="4">
      <c r="A2000" s="45" t="n"/>
      <c r="B2000" s="46" t="inlineStr">
        <is>
          <t>30869</t>
        </is>
      </c>
      <c r="C2000" s="46">
        <f>LEFT(Tableau1[[#This Row],[Formacode]],3)</f>
        <v/>
      </c>
      <c r="D2000" s="47" t="n">
        <v>39609</v>
      </c>
      <c r="E2000" s="48">
        <f>"RNCP"&amp;D2000</f>
        <v/>
      </c>
      <c r="F2000" s="48" t="inlineStr">
        <is>
          <t>Concepteur développeur web full-stack</t>
        </is>
      </c>
      <c r="G2000" s="49">
        <f>E2000&amp;" - "&amp;F2000</f>
        <v/>
      </c>
      <c r="H2000" s="36" t="inlineStr">
        <is>
          <t>RAS</t>
        </is>
      </c>
      <c r="I2000" s="45" t="inlineStr"/>
      <c r="J2000" s="45" t="inlineStr">
        <is>
          <t>RNCP39609</t>
        </is>
      </c>
      <c r="K2000" s="45" t="inlineStr">
        <is>
          <t>Concepteur développeur web full-stack</t>
        </is>
      </c>
      <c r="L2000" s="45" t="inlineStr">
        <is>
          <t>01/10/2028</t>
        </is>
      </c>
      <c r="M2000" s="45" t="inlineStr">
        <is>
          <t>31090 (Développement web) ; 30854 (Langages informatiques) ; 46339 (Conduite projet numérique) ; 31006 (Sécurité informatique)</t>
        </is>
      </c>
      <c r="N2000" s="50" t="inlineStr">
        <is>
          <t>NON</t>
        </is>
      </c>
      <c r="O2000" s="45" t="inlineStr"/>
    </row>
    <row r="2001" customFormat="1" s="4">
      <c r="A2001" s="45" t="n"/>
      <c r="B2001" s="46" t="inlineStr">
        <is>
          <t>30869</t>
        </is>
      </c>
      <c r="C2001" s="46">
        <f>LEFT(Tableau1[[#This Row],[Formacode]],3)</f>
        <v/>
      </c>
      <c r="D2001" s="47" t="n">
        <v>40573</v>
      </c>
      <c r="E2001" s="48">
        <f>"RNCP"&amp;D2001</f>
        <v/>
      </c>
      <c r="F2001" s="48" t="inlineStr">
        <is>
          <t>Expert en informatique et systèmes d’information</t>
        </is>
      </c>
      <c r="G2001" s="49">
        <f>E2001&amp;" - "&amp;F2001</f>
        <v/>
      </c>
      <c r="H2001" s="36" t="inlineStr">
        <is>
          <t>RAS</t>
        </is>
      </c>
      <c r="I2001" s="45" t="inlineStr"/>
      <c r="J2001" s="45" t="inlineStr">
        <is>
          <t>RNCP40573</t>
        </is>
      </c>
      <c r="K2001" s="45" t="inlineStr">
        <is>
          <t>Expert en informatique et systèmes d’information</t>
        </is>
      </c>
      <c r="L2001" s="45" t="inlineStr">
        <is>
          <t>30/04/2030</t>
        </is>
      </c>
      <c r="M2001" s="45" t="inlineStr">
        <is>
          <t>31006 (Sécurité informatique) ; 30854 (Langages informatiques) ; 31025 (Analyse de données) ; 31094 (Gestion projet informatique) ; 31028 (Intelligence artificielle)</t>
        </is>
      </c>
      <c r="N2001" s="50" t="inlineStr">
        <is>
          <t>NON</t>
        </is>
      </c>
      <c r="O2001" s="45" t="inlineStr"/>
    </row>
    <row r="2002" customFormat="1" s="4">
      <c r="A2002" s="51" t="n"/>
      <c r="B2002" s="52" t="inlineStr">
        <is>
          <t>30881</t>
        </is>
      </c>
      <c r="C2002" s="52">
        <f>LEFT(Tableau1[[#This Row],[Formacode]],3)</f>
        <v/>
      </c>
      <c r="D2002" s="53" t="n">
        <v>37572</v>
      </c>
      <c r="E2002" s="54">
        <f>"RNCP"&amp;D2002</f>
        <v/>
      </c>
      <c r="F2002" s="54" t="inlineStr">
        <is>
          <t>Grade_Licence - Sciences et Ingénierie - Transformation Numérique des Entreprises</t>
        </is>
      </c>
      <c r="G2002" s="55">
        <f>E2002&amp;" - "&amp;F2002</f>
        <v/>
      </c>
      <c r="H2002" s="37" t="inlineStr">
        <is>
          <t>À vérifier</t>
        </is>
      </c>
      <c r="I2002" s="51" t="inlineStr">
        <is>
          <t>Successeur déjà publié : RNCP42302 (Sciences et Ingénierie - Informatique et systèmes numériques) — préparer la bascule de l'offre CPF | Échéance le 31/08/2026 (dans 44 j)</t>
        </is>
      </c>
      <c r="J2002" s="51" t="inlineStr">
        <is>
          <t>RNCP42302</t>
        </is>
      </c>
      <c r="K2002" s="51" t="inlineStr">
        <is>
          <t>Sciences et Ingénierie - Informatique et systèmes numériques</t>
        </is>
      </c>
      <c r="L2002" s="51" t="inlineStr">
        <is>
          <t>31/08/2026</t>
        </is>
      </c>
      <c r="M2002" s="51" t="inlineStr">
        <is>
          <t>31054 (Informatique - Systèmes d’information et numérique) ; 24231 (Réseau informatique) ; 24454 (Automatisme informatique industrielle)</t>
        </is>
      </c>
      <c r="N2002" s="62" t="inlineStr">
        <is>
          <t>NON</t>
        </is>
      </c>
      <c r="O2002" s="51" t="inlineStr"/>
    </row>
    <row r="2003" customFormat="1" s="4">
      <c r="A2003" s="45" t="n"/>
      <c r="B2003" s="46" t="inlineStr">
        <is>
          <t>30881</t>
        </is>
      </c>
      <c r="C2003" s="46">
        <f>LEFT(Tableau1[[#This Row],[Formacode]],3)</f>
        <v/>
      </c>
      <c r="D2003" s="47" t="n">
        <v>39609</v>
      </c>
      <c r="E2003" s="48">
        <f>"RNCP"&amp;D2003</f>
        <v/>
      </c>
      <c r="F2003" s="48" t="inlineStr">
        <is>
          <t>Concepteur développeur web full-stack</t>
        </is>
      </c>
      <c r="G2003" s="49">
        <f>E2003&amp;" - "&amp;F2003</f>
        <v/>
      </c>
      <c r="H2003" s="36" t="inlineStr">
        <is>
          <t>RAS</t>
        </is>
      </c>
      <c r="I2003" s="45" t="inlineStr"/>
      <c r="J2003" s="45" t="inlineStr">
        <is>
          <t>RNCP39609</t>
        </is>
      </c>
      <c r="K2003" s="45" t="inlineStr">
        <is>
          <t>Concepteur développeur web full-stack</t>
        </is>
      </c>
      <c r="L2003" s="45" t="inlineStr">
        <is>
          <t>01/10/2028</t>
        </is>
      </c>
      <c r="M2003" s="45" t="inlineStr">
        <is>
          <t>31090 (Développement web) ; 30854 (Langages informatiques) ; 46339 (Conduite projet numérique) ; 31006 (Sécurité informatique)</t>
        </is>
      </c>
      <c r="N2003" s="50" t="inlineStr">
        <is>
          <t>NON</t>
        </is>
      </c>
      <c r="O2003" s="45" t="inlineStr"/>
    </row>
    <row r="2004" customFormat="1" s="4">
      <c r="A2004" s="45" t="n"/>
      <c r="B2004" s="46" t="inlineStr">
        <is>
          <t>30881</t>
        </is>
      </c>
      <c r="C2004" s="46">
        <f>LEFT(Tableau1[[#This Row],[Formacode]],3)</f>
        <v/>
      </c>
      <c r="D2004" s="47" t="n">
        <v>40573</v>
      </c>
      <c r="E2004" s="48">
        <f>"RNCP"&amp;D2004</f>
        <v/>
      </c>
      <c r="F2004" s="48" t="inlineStr">
        <is>
          <t>Expert en informatique et systèmes d’information</t>
        </is>
      </c>
      <c r="G2004" s="49">
        <f>E2004&amp;" - "&amp;F2004</f>
        <v/>
      </c>
      <c r="H2004" s="36" t="inlineStr">
        <is>
          <t>RAS</t>
        </is>
      </c>
      <c r="I2004" s="45" t="inlineStr"/>
      <c r="J2004" s="45" t="inlineStr">
        <is>
          <t>RNCP40573</t>
        </is>
      </c>
      <c r="K2004" s="45" t="inlineStr">
        <is>
          <t>Expert en informatique et systèmes d’information</t>
        </is>
      </c>
      <c r="L2004" s="45" t="inlineStr">
        <is>
          <t>30/04/2030</t>
        </is>
      </c>
      <c r="M2004" s="45" t="inlineStr">
        <is>
          <t>31006 (Sécurité informatique) ; 30854 (Langages informatiques) ; 31025 (Analyse de données) ; 31094 (Gestion projet informatique) ; 31028 (Intelligence artificielle)</t>
        </is>
      </c>
      <c r="N2004" s="50" t="inlineStr">
        <is>
          <t>NON</t>
        </is>
      </c>
      <c r="O2004" s="45" t="inlineStr"/>
    </row>
    <row r="2005" customFormat="1" s="4">
      <c r="A2005" s="51" t="n"/>
      <c r="B2005" s="52" t="inlineStr">
        <is>
          <t>30882</t>
        </is>
      </c>
      <c r="C2005" s="52">
        <f>LEFT(Tableau1[[#This Row],[Formacode]],3)</f>
        <v/>
      </c>
      <c r="D2005" s="53" t="n">
        <v>37572</v>
      </c>
      <c r="E2005" s="54">
        <f>"RNCP"&amp;D2005</f>
        <v/>
      </c>
      <c r="F2005" s="54" t="inlineStr">
        <is>
          <t>Grade_Licence - Sciences et Ingénierie - Transformation Numérique des Entreprises</t>
        </is>
      </c>
      <c r="G2005" s="55">
        <f>E2005&amp;" - "&amp;F2005</f>
        <v/>
      </c>
      <c r="H2005" s="37" t="inlineStr">
        <is>
          <t>À vérifier</t>
        </is>
      </c>
      <c r="I2005" s="51" t="inlineStr">
        <is>
          <t>Successeur déjà publié : RNCP42302 (Sciences et Ingénierie - Informatique et systèmes numériques) — préparer la bascule de l'offre CPF | Échéance le 31/08/2026 (dans 44 j)</t>
        </is>
      </c>
      <c r="J2005" s="51" t="inlineStr">
        <is>
          <t>RNCP42302</t>
        </is>
      </c>
      <c r="K2005" s="51" t="inlineStr">
        <is>
          <t>Sciences et Ingénierie - Informatique et systèmes numériques</t>
        </is>
      </c>
      <c r="L2005" s="51" t="inlineStr">
        <is>
          <t>31/08/2026</t>
        </is>
      </c>
      <c r="M2005" s="51" t="inlineStr">
        <is>
          <t>31054 (Informatique - Systèmes d’information et numérique) ; 24231 (Réseau informatique) ; 24454 (Automatisme informatique industrielle)</t>
        </is>
      </c>
      <c r="N2005" s="62" t="inlineStr">
        <is>
          <t>NON</t>
        </is>
      </c>
      <c r="O2005" s="51" t="inlineStr"/>
    </row>
    <row r="2006" customFormat="1" s="4">
      <c r="A2006" s="45" t="n"/>
      <c r="B2006" s="46" t="inlineStr">
        <is>
          <t>30882</t>
        </is>
      </c>
      <c r="C2006" s="46">
        <f>LEFT(Tableau1[[#This Row],[Formacode]],3)</f>
        <v/>
      </c>
      <c r="D2006" s="47" t="n">
        <v>39609</v>
      </c>
      <c r="E2006" s="48">
        <f>"RNCP"&amp;D2006</f>
        <v/>
      </c>
      <c r="F2006" s="48" t="inlineStr">
        <is>
          <t>Concepteur développeur web full-stack</t>
        </is>
      </c>
      <c r="G2006" s="49">
        <f>E2006&amp;" - "&amp;F2006</f>
        <v/>
      </c>
      <c r="H2006" s="36" t="inlineStr">
        <is>
          <t>RAS</t>
        </is>
      </c>
      <c r="I2006" s="45" t="inlineStr"/>
      <c r="J2006" s="45" t="inlineStr">
        <is>
          <t>RNCP39609</t>
        </is>
      </c>
      <c r="K2006" s="45" t="inlineStr">
        <is>
          <t>Concepteur développeur web full-stack</t>
        </is>
      </c>
      <c r="L2006" s="45" t="inlineStr">
        <is>
          <t>01/10/2028</t>
        </is>
      </c>
      <c r="M2006" s="45" t="inlineStr">
        <is>
          <t>31090 (Développement web) ; 30854 (Langages informatiques) ; 46339 (Conduite projet numérique) ; 31006 (Sécurité informatique)</t>
        </is>
      </c>
      <c r="N2006" s="50" t="inlineStr">
        <is>
          <t>NON</t>
        </is>
      </c>
      <c r="O2006" s="45" t="inlineStr"/>
    </row>
    <row r="2007" customFormat="1" s="4">
      <c r="A2007" s="45" t="n"/>
      <c r="B2007" s="46" t="inlineStr">
        <is>
          <t>30882</t>
        </is>
      </c>
      <c r="C2007" s="46">
        <f>LEFT(Tableau1[[#This Row],[Formacode]],3)</f>
        <v/>
      </c>
      <c r="D2007" s="47" t="n">
        <v>40573</v>
      </c>
      <c r="E2007" s="48">
        <f>"RNCP"&amp;D2007</f>
        <v/>
      </c>
      <c r="F2007" s="48" t="inlineStr">
        <is>
          <t>Expert en informatique et systèmes d’information</t>
        </is>
      </c>
      <c r="G2007" s="49">
        <f>E2007&amp;" - "&amp;F2007</f>
        <v/>
      </c>
      <c r="H2007" s="36" t="inlineStr">
        <is>
          <t>RAS</t>
        </is>
      </c>
      <c r="I2007" s="45" t="inlineStr"/>
      <c r="J2007" s="45" t="inlineStr">
        <is>
          <t>RNCP40573</t>
        </is>
      </c>
      <c r="K2007" s="45" t="inlineStr">
        <is>
          <t>Expert en informatique et systèmes d’information</t>
        </is>
      </c>
      <c r="L2007" s="45" t="inlineStr">
        <is>
          <t>30/04/2030</t>
        </is>
      </c>
      <c r="M2007" s="45" t="inlineStr">
        <is>
          <t>31006 (Sécurité informatique) ; 30854 (Langages informatiques) ; 31025 (Analyse de données) ; 31094 (Gestion projet informatique) ; 31028 (Intelligence artificielle)</t>
        </is>
      </c>
      <c r="N2007" s="50" t="inlineStr">
        <is>
          <t>NON</t>
        </is>
      </c>
      <c r="O2007" s="45" t="inlineStr"/>
    </row>
    <row r="2008" customFormat="1" s="4">
      <c r="A2008" s="51" t="n"/>
      <c r="B2008" s="52" t="inlineStr">
        <is>
          <t>30884</t>
        </is>
      </c>
      <c r="C2008" s="52">
        <f>LEFT(Tableau1[[#This Row],[Formacode]],3)</f>
        <v/>
      </c>
      <c r="D2008" s="53" t="n">
        <v>37572</v>
      </c>
      <c r="E2008" s="54">
        <f>"RNCP"&amp;D2008</f>
        <v/>
      </c>
      <c r="F2008" s="54" t="inlineStr">
        <is>
          <t>Grade_Licence - Sciences et Ingénierie - Transformation Numérique des Entreprises</t>
        </is>
      </c>
      <c r="G2008" s="55">
        <f>E2008&amp;" - "&amp;F2008</f>
        <v/>
      </c>
      <c r="H2008" s="37" t="inlineStr">
        <is>
          <t>À vérifier</t>
        </is>
      </c>
      <c r="I2008" s="51" t="inlineStr">
        <is>
          <t>Successeur déjà publié : RNCP42302 (Sciences et Ingénierie - Informatique et systèmes numériques) — préparer la bascule de l'offre CPF | Échéance le 31/08/2026 (dans 44 j)</t>
        </is>
      </c>
      <c r="J2008" s="51" t="inlineStr">
        <is>
          <t>RNCP42302</t>
        </is>
      </c>
      <c r="K2008" s="51" t="inlineStr">
        <is>
          <t>Sciences et Ingénierie - Informatique et systèmes numériques</t>
        </is>
      </c>
      <c r="L2008" s="51" t="inlineStr">
        <is>
          <t>31/08/2026</t>
        </is>
      </c>
      <c r="M2008" s="51" t="inlineStr">
        <is>
          <t>31054 (Informatique - Systèmes d’information et numérique) ; 24231 (Réseau informatique) ; 24454 (Automatisme informatique industrielle)</t>
        </is>
      </c>
      <c r="N2008" s="62" t="inlineStr">
        <is>
          <t>NON</t>
        </is>
      </c>
      <c r="O2008" s="51" t="inlineStr"/>
    </row>
    <row r="2009" customFormat="1" s="4">
      <c r="A2009" s="45" t="n"/>
      <c r="B2009" s="46" t="inlineStr">
        <is>
          <t>30884</t>
        </is>
      </c>
      <c r="C2009" s="46">
        <f>LEFT(Tableau1[[#This Row],[Formacode]],3)</f>
        <v/>
      </c>
      <c r="D2009" s="47" t="n">
        <v>39609</v>
      </c>
      <c r="E2009" s="48">
        <f>"RNCP"&amp;D2009</f>
        <v/>
      </c>
      <c r="F2009" s="48" t="inlineStr">
        <is>
          <t>Concepteur développeur web full-stack</t>
        </is>
      </c>
      <c r="G2009" s="49">
        <f>E2009&amp;" - "&amp;F2009</f>
        <v/>
      </c>
      <c r="H2009" s="36" t="inlineStr">
        <is>
          <t>RAS</t>
        </is>
      </c>
      <c r="I2009" s="45" t="inlineStr"/>
      <c r="J2009" s="45" t="inlineStr">
        <is>
          <t>RNCP39609</t>
        </is>
      </c>
      <c r="K2009" s="45" t="inlineStr">
        <is>
          <t>Concepteur développeur web full-stack</t>
        </is>
      </c>
      <c r="L2009" s="45" t="inlineStr">
        <is>
          <t>01/10/2028</t>
        </is>
      </c>
      <c r="M2009" s="45" t="inlineStr">
        <is>
          <t>31090 (Développement web) ; 30854 (Langages informatiques) ; 46339 (Conduite projet numérique) ; 31006 (Sécurité informatique)</t>
        </is>
      </c>
      <c r="N2009" s="50" t="inlineStr">
        <is>
          <t>NON</t>
        </is>
      </c>
      <c r="O2009" s="45" t="inlineStr"/>
    </row>
    <row r="2010" customFormat="1" s="4">
      <c r="A2010" s="45" t="n"/>
      <c r="B2010" s="46" t="inlineStr">
        <is>
          <t>30884</t>
        </is>
      </c>
      <c r="C2010" s="46">
        <f>LEFT(Tableau1[[#This Row],[Formacode]],3)</f>
        <v/>
      </c>
      <c r="D2010" s="47" t="n">
        <v>40573</v>
      </c>
      <c r="E2010" s="48">
        <f>"RNCP"&amp;D2010</f>
        <v/>
      </c>
      <c r="F2010" s="48" t="inlineStr">
        <is>
          <t>Expert en informatique et systèmes d’information</t>
        </is>
      </c>
      <c r="G2010" s="49">
        <f>E2010&amp;" - "&amp;F2010</f>
        <v/>
      </c>
      <c r="H2010" s="36" t="inlineStr">
        <is>
          <t>RAS</t>
        </is>
      </c>
      <c r="I2010" s="45" t="inlineStr"/>
      <c r="J2010" s="45" t="inlineStr">
        <is>
          <t>RNCP40573</t>
        </is>
      </c>
      <c r="K2010" s="45" t="inlineStr">
        <is>
          <t>Expert en informatique et systèmes d’information</t>
        </is>
      </c>
      <c r="L2010" s="45" t="inlineStr">
        <is>
          <t>30/04/2030</t>
        </is>
      </c>
      <c r="M2010" s="45" t="inlineStr">
        <is>
          <t>31006 (Sécurité informatique) ; 30854 (Langages informatiques) ; 31025 (Analyse de données) ; 31094 (Gestion projet informatique) ; 31028 (Intelligence artificielle)</t>
        </is>
      </c>
      <c r="N2010" s="50" t="inlineStr">
        <is>
          <t>NON</t>
        </is>
      </c>
      <c r="O2010" s="45" t="inlineStr"/>
    </row>
    <row r="2011" customFormat="1" s="4">
      <c r="A2011" s="51" t="n"/>
      <c r="B2011" s="52" t="inlineStr">
        <is>
          <t>30885</t>
        </is>
      </c>
      <c r="C2011" s="52">
        <f>LEFT(Tableau1[[#This Row],[Formacode]],3)</f>
        <v/>
      </c>
      <c r="D2011" s="53" t="n">
        <v>37572</v>
      </c>
      <c r="E2011" s="54">
        <f>"RNCP"&amp;D2011</f>
        <v/>
      </c>
      <c r="F2011" s="54" t="inlineStr">
        <is>
          <t>Grade_Licence - Sciences et Ingénierie - Transformation Numérique des Entreprises</t>
        </is>
      </c>
      <c r="G2011" s="55">
        <f>E2011&amp;" - "&amp;F2011</f>
        <v/>
      </c>
      <c r="H2011" s="37" t="inlineStr">
        <is>
          <t>À vérifier</t>
        </is>
      </c>
      <c r="I2011" s="51" t="inlineStr">
        <is>
          <t>Successeur déjà publié : RNCP42302 (Sciences et Ingénierie - Informatique et systèmes numériques) — préparer la bascule de l'offre CPF | Échéance le 31/08/2026 (dans 44 j)</t>
        </is>
      </c>
      <c r="J2011" s="51" t="inlineStr">
        <is>
          <t>RNCP42302</t>
        </is>
      </c>
      <c r="K2011" s="51" t="inlineStr">
        <is>
          <t>Sciences et Ingénierie - Informatique et systèmes numériques</t>
        </is>
      </c>
      <c r="L2011" s="51" t="inlineStr">
        <is>
          <t>31/08/2026</t>
        </is>
      </c>
      <c r="M2011" s="51" t="inlineStr">
        <is>
          <t>31054 (Informatique - Systèmes d’information et numérique) ; 24231 (Réseau informatique) ; 24454 (Automatisme informatique industrielle)</t>
        </is>
      </c>
      <c r="N2011" s="62" t="inlineStr">
        <is>
          <t>NON</t>
        </is>
      </c>
      <c r="O2011" s="51" t="inlineStr"/>
    </row>
    <row r="2012" customFormat="1" s="4">
      <c r="A2012" s="45" t="n"/>
      <c r="B2012" s="46" t="inlineStr">
        <is>
          <t>30885</t>
        </is>
      </c>
      <c r="C2012" s="46">
        <f>LEFT(Tableau1[[#This Row],[Formacode]],3)</f>
        <v/>
      </c>
      <c r="D2012" s="47" t="n">
        <v>39609</v>
      </c>
      <c r="E2012" s="48">
        <f>"RNCP"&amp;D2012</f>
        <v/>
      </c>
      <c r="F2012" s="48" t="inlineStr">
        <is>
          <t>Concepteur développeur web full-stack</t>
        </is>
      </c>
      <c r="G2012" s="49">
        <f>E2012&amp;" - "&amp;F2012</f>
        <v/>
      </c>
      <c r="H2012" s="36" t="inlineStr">
        <is>
          <t>RAS</t>
        </is>
      </c>
      <c r="I2012" s="45" t="inlineStr"/>
      <c r="J2012" s="45" t="inlineStr">
        <is>
          <t>RNCP39609</t>
        </is>
      </c>
      <c r="K2012" s="45" t="inlineStr">
        <is>
          <t>Concepteur développeur web full-stack</t>
        </is>
      </c>
      <c r="L2012" s="45" t="inlineStr">
        <is>
          <t>01/10/2028</t>
        </is>
      </c>
      <c r="M2012" s="45" t="inlineStr">
        <is>
          <t>31090 (Développement web) ; 30854 (Langages informatiques) ; 46339 (Conduite projet numérique) ; 31006 (Sécurité informatique)</t>
        </is>
      </c>
      <c r="N2012" s="50" t="inlineStr">
        <is>
          <t>NON</t>
        </is>
      </c>
      <c r="O2012" s="45" t="inlineStr"/>
    </row>
    <row r="2013" customFormat="1" s="4">
      <c r="A2013" s="45" t="n"/>
      <c r="B2013" s="46" t="inlineStr">
        <is>
          <t>30885</t>
        </is>
      </c>
      <c r="C2013" s="46">
        <f>LEFT(Tableau1[[#This Row],[Formacode]],3)</f>
        <v/>
      </c>
      <c r="D2013" s="47" t="n">
        <v>40573</v>
      </c>
      <c r="E2013" s="48">
        <f>"RNCP"&amp;D2013</f>
        <v/>
      </c>
      <c r="F2013" s="48" t="inlineStr">
        <is>
          <t>Expert en informatique et systèmes d’information</t>
        </is>
      </c>
      <c r="G2013" s="49">
        <f>E2013&amp;" - "&amp;F2013</f>
        <v/>
      </c>
      <c r="H2013" s="36" t="inlineStr">
        <is>
          <t>RAS</t>
        </is>
      </c>
      <c r="I2013" s="45" t="inlineStr"/>
      <c r="J2013" s="45" t="inlineStr">
        <is>
          <t>RNCP40573</t>
        </is>
      </c>
      <c r="K2013" s="45" t="inlineStr">
        <is>
          <t>Expert en informatique et systèmes d’information</t>
        </is>
      </c>
      <c r="L2013" s="45" t="inlineStr">
        <is>
          <t>30/04/2030</t>
        </is>
      </c>
      <c r="M2013" s="45" t="inlineStr">
        <is>
          <t>31006 (Sécurité informatique) ; 30854 (Langages informatiques) ; 31025 (Analyse de données) ; 31094 (Gestion projet informatique) ; 31028 (Intelligence artificielle)</t>
        </is>
      </c>
      <c r="N2013" s="50" t="inlineStr">
        <is>
          <t>NON</t>
        </is>
      </c>
      <c r="O2013" s="45" t="inlineStr"/>
    </row>
    <row r="2014" customFormat="1" s="4">
      <c r="A2014" s="51" t="n"/>
      <c r="B2014" s="52" t="inlineStr">
        <is>
          <t>30886</t>
        </is>
      </c>
      <c r="C2014" s="52">
        <f>LEFT(Tableau1[[#This Row],[Formacode]],3)</f>
        <v/>
      </c>
      <c r="D2014" s="53" t="n">
        <v>37572</v>
      </c>
      <c r="E2014" s="54">
        <f>"RNCP"&amp;D2014</f>
        <v/>
      </c>
      <c r="F2014" s="54" t="inlineStr">
        <is>
          <t>Grade_Licence - Sciences et Ingénierie - Transformation Numérique des Entreprises</t>
        </is>
      </c>
      <c r="G2014" s="55">
        <f>E2014&amp;" - "&amp;F2014</f>
        <v/>
      </c>
      <c r="H2014" s="37" t="inlineStr">
        <is>
          <t>À vérifier</t>
        </is>
      </c>
      <c r="I2014" s="51" t="inlineStr">
        <is>
          <t>Successeur déjà publié : RNCP42302 (Sciences et Ingénierie - Informatique et systèmes numériques) — préparer la bascule de l'offre CPF | Échéance le 31/08/2026 (dans 44 j)</t>
        </is>
      </c>
      <c r="J2014" s="51" t="inlineStr">
        <is>
          <t>RNCP42302</t>
        </is>
      </c>
      <c r="K2014" s="51" t="inlineStr">
        <is>
          <t>Sciences et Ingénierie - Informatique et systèmes numériques</t>
        </is>
      </c>
      <c r="L2014" s="51" t="inlineStr">
        <is>
          <t>31/08/2026</t>
        </is>
      </c>
      <c r="M2014" s="51" t="inlineStr">
        <is>
          <t>31054 (Informatique - Systèmes d’information et numérique) ; 24231 (Réseau informatique) ; 24454 (Automatisme informatique industrielle)</t>
        </is>
      </c>
      <c r="N2014" s="62" t="inlineStr">
        <is>
          <t>NON</t>
        </is>
      </c>
      <c r="O2014" s="51" t="inlineStr"/>
    </row>
    <row r="2015" customFormat="1" s="4">
      <c r="A2015" s="45" t="n"/>
      <c r="B2015" s="46" t="inlineStr">
        <is>
          <t>30886</t>
        </is>
      </c>
      <c r="C2015" s="46">
        <f>LEFT(Tableau1[[#This Row],[Formacode]],3)</f>
        <v/>
      </c>
      <c r="D2015" s="47" t="n">
        <v>39609</v>
      </c>
      <c r="E2015" s="48">
        <f>"RNCP"&amp;D2015</f>
        <v/>
      </c>
      <c r="F2015" s="48" t="inlineStr">
        <is>
          <t>Concepteur développeur web full-stack</t>
        </is>
      </c>
      <c r="G2015" s="49">
        <f>E2015&amp;" - "&amp;F2015</f>
        <v/>
      </c>
      <c r="H2015" s="36" t="inlineStr">
        <is>
          <t>RAS</t>
        </is>
      </c>
      <c r="I2015" s="45" t="inlineStr"/>
      <c r="J2015" s="45" t="inlineStr">
        <is>
          <t>RNCP39609</t>
        </is>
      </c>
      <c r="K2015" s="45" t="inlineStr">
        <is>
          <t>Concepteur développeur web full-stack</t>
        </is>
      </c>
      <c r="L2015" s="45" t="inlineStr">
        <is>
          <t>01/10/2028</t>
        </is>
      </c>
      <c r="M2015" s="45" t="inlineStr">
        <is>
          <t>31090 (Développement web) ; 30854 (Langages informatiques) ; 46339 (Conduite projet numérique) ; 31006 (Sécurité informatique)</t>
        </is>
      </c>
      <c r="N2015" s="50" t="inlineStr">
        <is>
          <t>NON</t>
        </is>
      </c>
      <c r="O2015" s="45" t="inlineStr"/>
    </row>
    <row r="2016" customFormat="1" s="4">
      <c r="A2016" s="45" t="n"/>
      <c r="B2016" s="46" t="inlineStr">
        <is>
          <t>30886</t>
        </is>
      </c>
      <c r="C2016" s="46">
        <f>LEFT(Tableau1[[#This Row],[Formacode]],3)</f>
        <v/>
      </c>
      <c r="D2016" s="47" t="n">
        <v>40573</v>
      </c>
      <c r="E2016" s="48">
        <f>"RNCP"&amp;D2016</f>
        <v/>
      </c>
      <c r="F2016" s="48" t="inlineStr">
        <is>
          <t>Expert en informatique et systèmes d’information</t>
        </is>
      </c>
      <c r="G2016" s="49">
        <f>E2016&amp;" - "&amp;F2016</f>
        <v/>
      </c>
      <c r="H2016" s="36" t="inlineStr">
        <is>
          <t>RAS</t>
        </is>
      </c>
      <c r="I2016" s="45" t="inlineStr"/>
      <c r="J2016" s="45" t="inlineStr">
        <is>
          <t>RNCP40573</t>
        </is>
      </c>
      <c r="K2016" s="45" t="inlineStr">
        <is>
          <t>Expert en informatique et systèmes d’information</t>
        </is>
      </c>
      <c r="L2016" s="45" t="inlineStr">
        <is>
          <t>30/04/2030</t>
        </is>
      </c>
      <c r="M2016" s="45" t="inlineStr">
        <is>
          <t>31006 (Sécurité informatique) ; 30854 (Langages informatiques) ; 31025 (Analyse de données) ; 31094 (Gestion projet informatique) ; 31028 (Intelligence artificielle)</t>
        </is>
      </c>
      <c r="N2016" s="50" t="inlineStr">
        <is>
          <t>NON</t>
        </is>
      </c>
      <c r="O2016" s="45" t="inlineStr"/>
    </row>
    <row r="2017" customFormat="1" s="4">
      <c r="A2017" s="51" t="n"/>
      <c r="B2017" s="52" t="inlineStr">
        <is>
          <t>30887</t>
        </is>
      </c>
      <c r="C2017" s="52">
        <f>LEFT(Tableau1[[#This Row],[Formacode]],3)</f>
        <v/>
      </c>
      <c r="D2017" s="53" t="n">
        <v>37572</v>
      </c>
      <c r="E2017" s="54">
        <f>"RNCP"&amp;D2017</f>
        <v/>
      </c>
      <c r="F2017" s="54" t="inlineStr">
        <is>
          <t>Grade_Licence - Sciences et Ingénierie - Transformation Numérique des Entreprises</t>
        </is>
      </c>
      <c r="G2017" s="55">
        <f>E2017&amp;" - "&amp;F2017</f>
        <v/>
      </c>
      <c r="H2017" s="37" t="inlineStr">
        <is>
          <t>À vérifier</t>
        </is>
      </c>
      <c r="I2017" s="51" t="inlineStr">
        <is>
          <t>Successeur déjà publié : RNCP42302 (Sciences et Ingénierie - Informatique et systèmes numériques) — préparer la bascule de l'offre CPF | Échéance le 31/08/2026 (dans 44 j)</t>
        </is>
      </c>
      <c r="J2017" s="51" t="inlineStr">
        <is>
          <t>RNCP42302</t>
        </is>
      </c>
      <c r="K2017" s="51" t="inlineStr">
        <is>
          <t>Sciences et Ingénierie - Informatique et systèmes numériques</t>
        </is>
      </c>
      <c r="L2017" s="51" t="inlineStr">
        <is>
          <t>31/08/2026</t>
        </is>
      </c>
      <c r="M2017" s="51" t="inlineStr">
        <is>
          <t>31054 (Informatique - Systèmes d’information et numérique) ; 24231 (Réseau informatique) ; 24454 (Automatisme informatique industrielle)</t>
        </is>
      </c>
      <c r="N2017" s="62" t="inlineStr">
        <is>
          <t>NON</t>
        </is>
      </c>
      <c r="O2017" s="51" t="inlineStr"/>
    </row>
    <row r="2018" customFormat="1" s="4">
      <c r="A2018" s="45" t="n"/>
      <c r="B2018" s="46" t="inlineStr">
        <is>
          <t>30887</t>
        </is>
      </c>
      <c r="C2018" s="46">
        <f>LEFT(Tableau1[[#This Row],[Formacode]],3)</f>
        <v/>
      </c>
      <c r="D2018" s="47" t="n">
        <v>39609</v>
      </c>
      <c r="E2018" s="48">
        <f>"RNCP"&amp;D2018</f>
        <v/>
      </c>
      <c r="F2018" s="48" t="inlineStr">
        <is>
          <t>Concepteur développeur web full-stack</t>
        </is>
      </c>
      <c r="G2018" s="49">
        <f>E2018&amp;" - "&amp;F2018</f>
        <v/>
      </c>
      <c r="H2018" s="36" t="inlineStr">
        <is>
          <t>RAS</t>
        </is>
      </c>
      <c r="I2018" s="45" t="inlineStr"/>
      <c r="J2018" s="45" t="inlineStr">
        <is>
          <t>RNCP39609</t>
        </is>
      </c>
      <c r="K2018" s="45" t="inlineStr">
        <is>
          <t>Concepteur développeur web full-stack</t>
        </is>
      </c>
      <c r="L2018" s="45" t="inlineStr">
        <is>
          <t>01/10/2028</t>
        </is>
      </c>
      <c r="M2018" s="45" t="inlineStr">
        <is>
          <t>31090 (Développement web) ; 30854 (Langages informatiques) ; 46339 (Conduite projet numérique) ; 31006 (Sécurité informatique)</t>
        </is>
      </c>
      <c r="N2018" s="50" t="inlineStr">
        <is>
          <t>NON</t>
        </is>
      </c>
      <c r="O2018" s="45" t="inlineStr"/>
    </row>
    <row r="2019" customFormat="1" s="4">
      <c r="A2019" s="45" t="n"/>
      <c r="B2019" s="46" t="inlineStr">
        <is>
          <t>30887</t>
        </is>
      </c>
      <c r="C2019" s="46">
        <f>LEFT(Tableau1[[#This Row],[Formacode]],3)</f>
        <v/>
      </c>
      <c r="D2019" s="47" t="n">
        <v>40573</v>
      </c>
      <c r="E2019" s="48">
        <f>"RNCP"&amp;D2019</f>
        <v/>
      </c>
      <c r="F2019" s="48" t="inlineStr">
        <is>
          <t>Expert en informatique et systèmes d’information</t>
        </is>
      </c>
      <c r="G2019" s="49">
        <f>E2019&amp;" - "&amp;F2019</f>
        <v/>
      </c>
      <c r="H2019" s="36" t="inlineStr">
        <is>
          <t>RAS</t>
        </is>
      </c>
      <c r="I2019" s="45" t="inlineStr"/>
      <c r="J2019" s="45" t="inlineStr">
        <is>
          <t>RNCP40573</t>
        </is>
      </c>
      <c r="K2019" s="45" t="inlineStr">
        <is>
          <t>Expert en informatique et systèmes d’information</t>
        </is>
      </c>
      <c r="L2019" s="45" t="inlineStr">
        <is>
          <t>30/04/2030</t>
        </is>
      </c>
      <c r="M2019" s="45" t="inlineStr">
        <is>
          <t>31006 (Sécurité informatique) ; 30854 (Langages informatiques) ; 31025 (Analyse de données) ; 31094 (Gestion projet informatique) ; 31028 (Intelligence artificielle)</t>
        </is>
      </c>
      <c r="N2019" s="50" t="inlineStr">
        <is>
          <t>NON</t>
        </is>
      </c>
      <c r="O2019" s="45" t="inlineStr"/>
    </row>
    <row r="2020" customFormat="1" s="4">
      <c r="A2020" s="51" t="n"/>
      <c r="B2020" s="52" t="inlineStr">
        <is>
          <t>30896</t>
        </is>
      </c>
      <c r="C2020" s="52">
        <f>LEFT(Tableau1[[#This Row],[Formacode]],3)</f>
        <v/>
      </c>
      <c r="D2020" s="53" t="n">
        <v>37572</v>
      </c>
      <c r="E2020" s="54">
        <f>"RNCP"&amp;D2020</f>
        <v/>
      </c>
      <c r="F2020" s="54" t="inlineStr">
        <is>
          <t>Grade_Licence - Sciences et Ingénierie - Transformation Numérique des Entreprises</t>
        </is>
      </c>
      <c r="G2020" s="55">
        <f>E2020&amp;" - "&amp;F2020</f>
        <v/>
      </c>
      <c r="H2020" s="37" t="inlineStr">
        <is>
          <t>À vérifier</t>
        </is>
      </c>
      <c r="I2020" s="51" t="inlineStr">
        <is>
          <t>Successeur déjà publié : RNCP42302 (Sciences et Ingénierie - Informatique et systèmes numériques) — préparer la bascule de l'offre CPF | Échéance le 31/08/2026 (dans 44 j)</t>
        </is>
      </c>
      <c r="J2020" s="51" t="inlineStr">
        <is>
          <t>RNCP42302</t>
        </is>
      </c>
      <c r="K2020" s="51" t="inlineStr">
        <is>
          <t>Sciences et Ingénierie - Informatique et systèmes numériques</t>
        </is>
      </c>
      <c r="L2020" s="51" t="inlineStr">
        <is>
          <t>31/08/2026</t>
        </is>
      </c>
      <c r="M2020" s="51" t="inlineStr">
        <is>
          <t>31054 (Informatique - Systèmes d’information et numérique) ; 24231 (Réseau informatique) ; 24454 (Automatisme informatique industrielle)</t>
        </is>
      </c>
      <c r="N2020" s="62" t="inlineStr">
        <is>
          <t>NON</t>
        </is>
      </c>
      <c r="O2020" s="51" t="inlineStr"/>
    </row>
    <row r="2021" customFormat="1" s="4">
      <c r="A2021" s="45" t="n"/>
      <c r="B2021" s="46" t="inlineStr">
        <is>
          <t>30896</t>
        </is>
      </c>
      <c r="C2021" s="46">
        <f>LEFT(Tableau1[[#This Row],[Formacode]],3)</f>
        <v/>
      </c>
      <c r="D2021" s="47" t="n">
        <v>39609</v>
      </c>
      <c r="E2021" s="48">
        <f>"RNCP"&amp;D2021</f>
        <v/>
      </c>
      <c r="F2021" s="48" t="inlineStr">
        <is>
          <t>Concepteur développeur web full-stack</t>
        </is>
      </c>
      <c r="G2021" s="49">
        <f>E2021&amp;" - "&amp;F2021</f>
        <v/>
      </c>
      <c r="H2021" s="36" t="inlineStr">
        <is>
          <t>RAS</t>
        </is>
      </c>
      <c r="I2021" s="45" t="inlineStr"/>
      <c r="J2021" s="45" t="inlineStr">
        <is>
          <t>RNCP39609</t>
        </is>
      </c>
      <c r="K2021" s="45" t="inlineStr">
        <is>
          <t>Concepteur développeur web full-stack</t>
        </is>
      </c>
      <c r="L2021" s="45" t="inlineStr">
        <is>
          <t>01/10/2028</t>
        </is>
      </c>
      <c r="M2021" s="45" t="inlineStr">
        <is>
          <t>31090 (Développement web) ; 30854 (Langages informatiques) ; 46339 (Conduite projet numérique) ; 31006 (Sécurité informatique)</t>
        </is>
      </c>
      <c r="N2021" s="50" t="inlineStr">
        <is>
          <t>NON</t>
        </is>
      </c>
      <c r="O2021" s="45" t="inlineStr"/>
    </row>
    <row r="2022" customFormat="1" s="4">
      <c r="A2022" s="45" t="n"/>
      <c r="B2022" s="46" t="inlineStr">
        <is>
          <t>30896</t>
        </is>
      </c>
      <c r="C2022" s="46">
        <f>LEFT(Tableau1[[#This Row],[Formacode]],3)</f>
        <v/>
      </c>
      <c r="D2022" s="47" t="n">
        <v>40573</v>
      </c>
      <c r="E2022" s="48">
        <f>"RNCP"&amp;D2022</f>
        <v/>
      </c>
      <c r="F2022" s="48" t="inlineStr">
        <is>
          <t>Expert en informatique et systèmes d’information</t>
        </is>
      </c>
      <c r="G2022" s="49">
        <f>E2022&amp;" - "&amp;F2022</f>
        <v/>
      </c>
      <c r="H2022" s="36" t="inlineStr">
        <is>
          <t>RAS</t>
        </is>
      </c>
      <c r="I2022" s="45" t="inlineStr"/>
      <c r="J2022" s="45" t="inlineStr">
        <is>
          <t>RNCP40573</t>
        </is>
      </c>
      <c r="K2022" s="45" t="inlineStr">
        <is>
          <t>Expert en informatique et systèmes d’information</t>
        </is>
      </c>
      <c r="L2022" s="45" t="inlineStr">
        <is>
          <t>30/04/2030</t>
        </is>
      </c>
      <c r="M2022" s="45" t="inlineStr">
        <is>
          <t>31006 (Sécurité informatique) ; 30854 (Langages informatiques) ; 31025 (Analyse de données) ; 31094 (Gestion projet informatique) ; 31028 (Intelligence artificielle)</t>
        </is>
      </c>
      <c r="N2022" s="50" t="inlineStr">
        <is>
          <t>NON</t>
        </is>
      </c>
      <c r="O2022" s="45" t="inlineStr"/>
    </row>
    <row r="2023" customFormat="1" s="3">
      <c r="A2023" s="45" t="n"/>
      <c r="B2023" s="46" t="inlineStr">
        <is>
          <t>31002</t>
        </is>
      </c>
      <c r="C2023" s="46">
        <f>LEFT(Tableau1[[#This Row],[Formacode]],3)</f>
        <v/>
      </c>
      <c r="D2023" s="47" t="n">
        <v>37103</v>
      </c>
      <c r="E2023" s="48">
        <f>"RNCP"&amp;D2023</f>
        <v/>
      </c>
      <c r="F2023" s="48" t="inlineStr">
        <is>
          <t>TP - Technicien en géomatique</t>
        </is>
      </c>
      <c r="G2023" s="49">
        <f>E2023&amp;" - "&amp;F2023</f>
        <v/>
      </c>
      <c r="H2023" s="36" t="inlineStr">
        <is>
          <t>RAS</t>
        </is>
      </c>
      <c r="I2023" s="45" t="inlineStr"/>
      <c r="J2023" s="45" t="inlineStr">
        <is>
          <t>RNCP37103</t>
        </is>
      </c>
      <c r="K2023" s="45" t="inlineStr">
        <is>
          <t>Technicien en géomatique</t>
        </is>
      </c>
      <c r="L2023" s="45" t="inlineStr">
        <is>
          <t>25/02/2028</t>
        </is>
      </c>
      <c r="M2023" s="45" t="inlineStr">
        <is>
          <t>12232 (Géomatique) ; 31054 (Informatique - Systèmes d’information et numérique) ; 12505 (Plan local urbanisme)</t>
        </is>
      </c>
      <c r="N2023" s="50" t="inlineStr">
        <is>
          <t>NON</t>
        </is>
      </c>
      <c r="O2023" s="45" t="inlineStr"/>
    </row>
    <row r="2024" customFormat="1" s="3">
      <c r="A2024" s="51" t="n"/>
      <c r="B2024" s="52" t="inlineStr">
        <is>
          <t>31002</t>
        </is>
      </c>
      <c r="C2024" s="52">
        <f>LEFT(Tableau1[[#This Row],[Formacode]],3)</f>
        <v/>
      </c>
      <c r="D2024" s="53" t="n">
        <v>38018</v>
      </c>
      <c r="E2024" s="54">
        <f>"RNCP"&amp;D2024</f>
        <v/>
      </c>
      <c r="F2024" s="54" t="inlineStr">
        <is>
          <t>Chef de projet digital</t>
        </is>
      </c>
      <c r="G2024" s="55">
        <f>E2024&amp;" - "&amp;F2024</f>
        <v/>
      </c>
      <c r="H2024" s="37" t="inlineStr">
        <is>
          <t>À vérifier</t>
        </is>
      </c>
      <c r="I2024" s="51" t="inlineStr">
        <is>
          <t>Échéance le 20/09/2026 (dans 64 j)</t>
        </is>
      </c>
      <c r="J2024" s="51" t="inlineStr">
        <is>
          <t>RNCP38018</t>
        </is>
      </c>
      <c r="K2024" s="51" t="inlineStr">
        <is>
          <t>Chef de projet digital</t>
        </is>
      </c>
      <c r="L2024" s="51" t="inlineStr">
        <is>
          <t>20/09/2026</t>
        </is>
      </c>
      <c r="M2024" s="51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024" s="62" t="inlineStr">
        <is>
          <t>NON</t>
        </is>
      </c>
      <c r="O2024" s="51" t="inlineStr"/>
    </row>
    <row r="2025" customFormat="1" s="3">
      <c r="A2025" s="45" t="n"/>
      <c r="B2025" s="46" t="inlineStr">
        <is>
          <t>31002</t>
        </is>
      </c>
      <c r="C2025" s="46">
        <f>LEFT(Tableau1[[#This Row],[Formacode]],3)</f>
        <v/>
      </c>
      <c r="D2025" s="47" t="n">
        <v>38718</v>
      </c>
      <c r="E2025" s="48">
        <f>"RNCP"&amp;D2025</f>
        <v/>
      </c>
      <c r="F2025" s="48" t="inlineStr">
        <is>
          <t>TP - Agent de reconditionnement numérique</t>
        </is>
      </c>
      <c r="G2025" s="49">
        <f>E2025&amp;" - "&amp;F2025</f>
        <v/>
      </c>
      <c r="H2025" s="36" t="inlineStr">
        <is>
          <t>RAS</t>
        </is>
      </c>
      <c r="I2025" s="45" t="inlineStr"/>
      <c r="J2025" s="45" t="inlineStr">
        <is>
          <t>RNCP38718</t>
        </is>
      </c>
      <c r="K2025" s="45" t="inlineStr">
        <is>
          <t>Agent de reconditionnement numérique</t>
        </is>
      </c>
      <c r="L2025" s="45" t="inlineStr">
        <is>
          <t>23/06/2029</t>
        </is>
      </c>
      <c r="M2025" s="45" t="inlineStr">
        <is>
          <t>31080 (Matériel informatique) ; 24340 (Maintenance électronique) ; 31002 (Informatique verte)</t>
        </is>
      </c>
      <c r="N2025" s="50" t="inlineStr">
        <is>
          <t>NON</t>
        </is>
      </c>
      <c r="O2025" s="45" t="inlineStr"/>
    </row>
    <row r="2026" customFormat="1" s="3">
      <c r="A2026" s="45" t="n"/>
      <c r="B2026" s="46" t="inlineStr">
        <is>
          <t>31002</t>
        </is>
      </c>
      <c r="C2026" s="46">
        <f>LEFT(Tableau1[[#This Row],[Formacode]],3)</f>
        <v/>
      </c>
      <c r="D2026" s="47" t="n">
        <v>39425</v>
      </c>
      <c r="E2026" s="48">
        <f>"RNCP"&amp;D2026</f>
        <v/>
      </c>
      <c r="F2026" s="48" t="inlineStr">
        <is>
          <t>Diplôme visé - Expert en Ingénierie Informatique et Innovation Numérique</t>
        </is>
      </c>
      <c r="G2026" s="49">
        <f>E2026&amp;" - "&amp;F2026</f>
        <v/>
      </c>
      <c r="H2026" s="36" t="inlineStr">
        <is>
          <t>RAS</t>
        </is>
      </c>
      <c r="I2026" s="45" t="inlineStr"/>
      <c r="J2026" s="45" t="inlineStr">
        <is>
          <t>RNCP39425</t>
        </is>
      </c>
      <c r="K2026" s="45" t="inlineStr">
        <is>
          <t>Expert en Ingénierie Informatique et Innovation Numérique</t>
        </is>
      </c>
      <c r="L2026" s="45" t="inlineStr">
        <is>
          <t>31/08/2029</t>
        </is>
      </c>
      <c r="M2026" s="45" t="inlineStr">
        <is>
          <t>31054 (Informatique - Systèmes d’information et numérique) ; 32070 (Innovation entreprise)</t>
        </is>
      </c>
      <c r="N2026" s="50" t="inlineStr">
        <is>
          <t>NON</t>
        </is>
      </c>
      <c r="O2026" s="45" t="inlineStr"/>
    </row>
    <row r="2027" customFormat="1" s="3">
      <c r="A2027" s="45" t="n"/>
      <c r="B2027" s="46" t="inlineStr">
        <is>
          <t>31002</t>
        </is>
      </c>
      <c r="C2027" s="46">
        <f>LEFT(Tableau1[[#This Row],[Formacode]],3)</f>
        <v/>
      </c>
      <c r="D2027" s="47" t="n">
        <v>39445</v>
      </c>
      <c r="E2027" s="48">
        <f>"RNCP"&amp;D2027</f>
        <v/>
      </c>
      <c r="F2027" s="48" t="inlineStr">
        <is>
          <t>Titre ingénieur - Ingénieur diplômé de l'Institut supérieur d'électronique de Paris</t>
        </is>
      </c>
      <c r="G2027" s="49">
        <f>E2027&amp;" - "&amp;F2027</f>
        <v/>
      </c>
      <c r="H2027" s="36" t="inlineStr">
        <is>
          <t>RAS</t>
        </is>
      </c>
      <c r="I2027" s="45" t="inlineStr"/>
      <c r="J2027" s="45" t="inlineStr">
        <is>
          <t>RNCP39445</t>
        </is>
      </c>
      <c r="K2027" s="45" t="inlineStr">
        <is>
          <t>Ingénieur diplômé de l'Institut supérieur d'électronique de Paris</t>
        </is>
      </c>
      <c r="L2027" s="45" t="inlineStr">
        <is>
          <t>31/08/2029</t>
        </is>
      </c>
      <c r="M2027" s="45" t="inlineStr">
        <is>
          <t>24354 (Électronique) ; 31054 (Informatique - Systèmes d’information et numérique) ; 32062 (Recherche développement) ; 15099 (Résolution problème)</t>
        </is>
      </c>
      <c r="N2027" s="50" t="inlineStr">
        <is>
          <t>NON</t>
        </is>
      </c>
      <c r="O2027" s="45" t="inlineStr"/>
    </row>
    <row r="2028" customFormat="1" s="3">
      <c r="A2028" s="45" t="n"/>
      <c r="B2028" s="46" t="inlineStr">
        <is>
          <t>31002</t>
        </is>
      </c>
      <c r="C2028" s="46">
        <f>LEFT(Tableau1[[#This Row],[Formacode]],3)</f>
        <v/>
      </c>
      <c r="D2028" s="47" t="n">
        <v>39582</v>
      </c>
      <c r="E2028" s="48">
        <f>"RNCP"&amp;D2028</f>
        <v/>
      </c>
      <c r="F2028" s="48" t="inlineStr">
        <is>
          <t>Expert en architecture des systèmes d’information</t>
        </is>
      </c>
      <c r="G2028" s="49">
        <f>E2028&amp;" - "&amp;F2028</f>
        <v/>
      </c>
      <c r="H2028" s="36" t="inlineStr">
        <is>
          <t>RAS</t>
        </is>
      </c>
      <c r="I2028" s="45" t="inlineStr"/>
      <c r="J2028" s="45" t="inlineStr">
        <is>
          <t>RNCP39582</t>
        </is>
      </c>
      <c r="K2028" s="45" t="inlineStr">
        <is>
          <t>Expert en architecture des systèmes d’information</t>
        </is>
      </c>
      <c r="L2028" s="45" t="inlineStr">
        <is>
          <t>01/10/2029</t>
        </is>
      </c>
      <c r="M2028" s="45" t="inlineStr">
        <is>
          <t>31054 (Informatique - Systèmes d’information et numérique)</t>
        </is>
      </c>
      <c r="N2028" s="50" t="inlineStr">
        <is>
          <t>NON</t>
        </is>
      </c>
      <c r="O2028" s="45" t="inlineStr"/>
    </row>
    <row r="2029" ht="28.8" customFormat="1" customHeight="1" s="3">
      <c r="A2029" s="45" t="n"/>
      <c r="B2029" s="46" t="inlineStr">
        <is>
          <t>31002</t>
        </is>
      </c>
      <c r="C2029" s="46">
        <f>LEFT(Tableau1[[#This Row],[Formacode]],3)</f>
        <v/>
      </c>
      <c r="D2029" s="47" t="n">
        <v>39586</v>
      </c>
      <c r="E2029" s="48">
        <f>"RNCP"&amp;D2029</f>
        <v/>
      </c>
      <c r="F2029" s="48" t="inlineStr">
        <is>
          <t>Ingénieur en science des données spécialisé en infrastructure data ou en apprentissage automatique</t>
        </is>
      </c>
      <c r="G2029" s="49">
        <f>E2029&amp;" - "&amp;F2029</f>
        <v/>
      </c>
      <c r="H2029" s="36" t="inlineStr">
        <is>
          <t>RAS</t>
        </is>
      </c>
      <c r="I2029" s="45" t="inlineStr"/>
      <c r="J2029" s="45" t="inlineStr">
        <is>
          <t>RNCP39586</t>
        </is>
      </c>
      <c r="K2029" s="45" t="inlineStr">
        <is>
          <t>Ingénieur en science des données spécialisé en infrastructure data ou en apprentissage automatique</t>
        </is>
      </c>
      <c r="L2029" s="45" t="inlineStr">
        <is>
          <t>01/10/2029</t>
        </is>
      </c>
      <c r="M2029" s="45" t="inlineStr">
        <is>
          <t>31054 (Informatique - Systèmes d’information et numérique)</t>
        </is>
      </c>
      <c r="N2029" s="50" t="inlineStr">
        <is>
          <t>NON</t>
        </is>
      </c>
      <c r="O2029" s="45" t="inlineStr"/>
    </row>
    <row r="2030" customFormat="1" s="3">
      <c r="A2030" s="45" t="n"/>
      <c r="B2030" s="46" t="inlineStr">
        <is>
          <t>31002</t>
        </is>
      </c>
      <c r="C2030" s="46">
        <f>LEFT(Tableau1[[#This Row],[Formacode]],3)</f>
        <v/>
      </c>
      <c r="D2030" s="47" t="n">
        <v>40363</v>
      </c>
      <c r="E2030" s="48">
        <f>"RNCP"&amp;D2030</f>
        <v/>
      </c>
      <c r="F2030" s="48" t="inlineStr">
        <is>
          <t>Expert en études et développement du système d'information</t>
        </is>
      </c>
      <c r="G2030" s="49">
        <f>E2030&amp;" - "&amp;F2030</f>
        <v/>
      </c>
      <c r="H2030" s="36" t="inlineStr">
        <is>
          <t>RAS</t>
        </is>
      </c>
      <c r="I2030" s="45" t="inlineStr"/>
      <c r="J2030" s="45" t="inlineStr">
        <is>
          <t>RNCP40363</t>
        </is>
      </c>
      <c r="K2030" s="45" t="inlineStr">
        <is>
          <t>Expert en études et développement du système d'information</t>
        </is>
      </c>
      <c r="L2030" s="45" t="inlineStr">
        <is>
          <t>28/03/2028</t>
        </is>
      </c>
      <c r="M2030" s="45" t="inlineStr">
        <is>
          <t>31054 (Informatique - Systèmes d’information et numérique)</t>
        </is>
      </c>
      <c r="N2030" s="50" t="inlineStr">
        <is>
          <t>NON</t>
        </is>
      </c>
      <c r="O2030" s="45" t="inlineStr"/>
    </row>
    <row r="2031" customFormat="1" s="3">
      <c r="A2031" s="45" t="n"/>
      <c r="B2031" s="46" t="inlineStr">
        <is>
          <t>31002</t>
        </is>
      </c>
      <c r="C2031" s="46">
        <f>LEFT(Tableau1[[#This Row],[Formacode]],3)</f>
        <v/>
      </c>
      <c r="D2031" s="47" t="n">
        <v>40593</v>
      </c>
      <c r="E2031" s="48">
        <f>"RNCP"&amp;D2031</f>
        <v/>
      </c>
      <c r="F2031" s="48" t="inlineStr">
        <is>
          <t>Product builder no code</t>
        </is>
      </c>
      <c r="G2031" s="49">
        <f>E2031&amp;" - "&amp;F2031</f>
        <v/>
      </c>
      <c r="H2031" s="36" t="inlineStr">
        <is>
          <t>RAS</t>
        </is>
      </c>
      <c r="I2031" s="45" t="inlineStr"/>
      <c r="J2031" s="45" t="inlineStr">
        <is>
          <t>RNCP40593</t>
        </is>
      </c>
      <c r="K2031" s="45" t="inlineStr">
        <is>
          <t>Product builder no code</t>
        </is>
      </c>
      <c r="L2031" s="45" t="inlineStr">
        <is>
          <t>30/04/2028</t>
        </is>
      </c>
      <c r="M2031" s="45" t="inlineStr">
        <is>
          <t>31086 (Développement Low Code - No Code) ; 46334 (Maquettage site web) ; 31094 (Gestion projet informatique) ; 72454 (Application) ; 32012 (Gestion processus)</t>
        </is>
      </c>
      <c r="N2031" s="50" t="inlineStr">
        <is>
          <t>NON</t>
        </is>
      </c>
      <c r="O2031" s="45" t="inlineStr"/>
    </row>
    <row r="2032" customFormat="1" s="3">
      <c r="A2032" s="45" t="n"/>
      <c r="B2032" s="46" t="inlineStr">
        <is>
          <t>31002</t>
        </is>
      </c>
      <c r="C2032" s="46">
        <f>LEFT(Tableau1[[#This Row],[Formacode]],3)</f>
        <v/>
      </c>
      <c r="D2032" s="47" t="n">
        <v>40659</v>
      </c>
      <c r="E2032" s="48">
        <f>"RNCP"&amp;D2032</f>
        <v/>
      </c>
      <c r="F2032" s="48" t="inlineStr">
        <is>
          <t>Manager green IT</t>
        </is>
      </c>
      <c r="G2032" s="49">
        <f>E2032&amp;" - "&amp;F2032</f>
        <v/>
      </c>
      <c r="H2032" s="36" t="inlineStr">
        <is>
          <t>RAS</t>
        </is>
      </c>
      <c r="I2032" s="45" t="inlineStr"/>
      <c r="J2032" s="45" t="inlineStr">
        <is>
          <t>RNCP40659</t>
        </is>
      </c>
      <c r="K2032" s="45" t="inlineStr">
        <is>
          <t>Manager green IT</t>
        </is>
      </c>
      <c r="L2032" s="45" t="inlineStr">
        <is>
          <t>23/05/2028</t>
        </is>
      </c>
      <c r="M2032" s="45" t="inlineStr">
        <is>
          <t>12545 (Bilan carbone) ; 12522 (Développement durable) ; 31002 (Informatique verte) ; 31008 (Système information) ; 32008 (Responsabilité sociétale entreprise)</t>
        </is>
      </c>
      <c r="N2032" s="50" t="inlineStr">
        <is>
          <t>NON</t>
        </is>
      </c>
      <c r="O2032" s="45" t="inlineStr"/>
    </row>
    <row r="2033" customFormat="1" s="3">
      <c r="A2033" s="45" t="n"/>
      <c r="B2033" s="46" t="inlineStr">
        <is>
          <t>31002</t>
        </is>
      </c>
      <c r="C2033" s="46">
        <f>LEFT(Tableau1[[#This Row],[Formacode]],3)</f>
        <v/>
      </c>
      <c r="D2033" s="47" t="n">
        <v>41450</v>
      </c>
      <c r="E2033" s="48">
        <f>"RNCP"&amp;D2033</f>
        <v/>
      </c>
      <c r="F2033" s="48" t="inlineStr">
        <is>
          <t>Expert en développement numérique responsable</t>
        </is>
      </c>
      <c r="G2033" s="49">
        <f>E2033&amp;" - "&amp;F2033</f>
        <v/>
      </c>
      <c r="H2033" s="36" t="inlineStr">
        <is>
          <t>RAS</t>
        </is>
      </c>
      <c r="I2033" s="45" t="inlineStr"/>
      <c r="J2033" s="45" t="inlineStr">
        <is>
          <t>RNCP41450</t>
        </is>
      </c>
      <c r="K2033" s="45" t="inlineStr">
        <is>
          <t>Expert en développement numérique responsable</t>
        </is>
      </c>
      <c r="L2033" s="45" t="inlineStr">
        <is>
          <t>27/10/2028</t>
        </is>
      </c>
      <c r="M2033" s="45" t="inlineStr">
        <is>
          <t>31002 (Informatique verte) ; 31094 (Gestion projet informatique) ; 31009 (Architecture système information)</t>
        </is>
      </c>
      <c r="N2033" s="50" t="inlineStr">
        <is>
          <t>NON</t>
        </is>
      </c>
      <c r="O2033" s="45" t="inlineStr"/>
    </row>
    <row r="2034" customFormat="1" s="3">
      <c r="A2034" s="45" t="n"/>
      <c r="B2034" s="46" t="inlineStr">
        <is>
          <t>31002</t>
        </is>
      </c>
      <c r="C2034" s="46">
        <f>LEFT(Tableau1[[#This Row],[Formacode]],3)</f>
        <v/>
      </c>
      <c r="D2034" s="47" t="n">
        <v>41823</v>
      </c>
      <c r="E2034" s="48">
        <f>"RNCP"&amp;D2034</f>
        <v/>
      </c>
      <c r="F2034" s="48" t="inlineStr">
        <is>
          <t>Titre ingénieur - Ingénieur diplômé de l’ESIEE IT - CCI Paris Ile-de-France Éducation</t>
        </is>
      </c>
      <c r="G2034" s="49">
        <f>E2034&amp;" - "&amp;F2034</f>
        <v/>
      </c>
      <c r="H2034" s="36" t="inlineStr">
        <is>
          <t>RAS</t>
        </is>
      </c>
      <c r="I2034" s="45" t="inlineStr"/>
      <c r="J2034" s="45" t="inlineStr">
        <is>
          <t>RNCP41823</t>
        </is>
      </c>
      <c r="K2034" s="45" t="inlineStr">
        <is>
          <t>Ingénieur diplômé de l’ESIEE IT - CCI Paris Ile-de-France Éducation</t>
        </is>
      </c>
      <c r="L2034" s="45" t="inlineStr">
        <is>
          <t>31/08/2027</t>
        </is>
      </c>
      <c r="M2034" s="45" t="inlineStr">
        <is>
          <t>31054 (Informatique - Systèmes d’information et numérique) ; 32062 (Recherche développement) ; 15099 (Résolution problème)</t>
        </is>
      </c>
      <c r="N2034" s="50" t="inlineStr">
        <is>
          <t>NON</t>
        </is>
      </c>
      <c r="O2034" s="45" t="inlineStr"/>
    </row>
    <row r="2035" customFormat="1" s="3">
      <c r="A2035" s="45" t="n"/>
      <c r="B2035" s="46" t="inlineStr">
        <is>
          <t>31003</t>
        </is>
      </c>
      <c r="C2035" s="46">
        <f>LEFT(Tableau1[[#This Row],[Formacode]],3)</f>
        <v/>
      </c>
      <c r="D2035" s="47" t="n">
        <v>37103</v>
      </c>
      <c r="E2035" s="48">
        <f>"RNCP"&amp;D2035</f>
        <v/>
      </c>
      <c r="F2035" s="48" t="inlineStr">
        <is>
          <t>TP - Technicien en géomatique</t>
        </is>
      </c>
      <c r="G2035" s="49">
        <f>E2035&amp;" - "&amp;F2035</f>
        <v/>
      </c>
      <c r="H2035" s="36" t="inlineStr">
        <is>
          <t>RAS</t>
        </is>
      </c>
      <c r="I2035" s="45" t="inlineStr"/>
      <c r="J2035" s="45" t="inlineStr">
        <is>
          <t>RNCP37103</t>
        </is>
      </c>
      <c r="K2035" s="45" t="inlineStr">
        <is>
          <t>Technicien en géomatique</t>
        </is>
      </c>
      <c r="L2035" s="45" t="inlineStr">
        <is>
          <t>25/02/2028</t>
        </is>
      </c>
      <c r="M2035" s="45" t="inlineStr">
        <is>
          <t>12232 (Géomatique) ; 31054 (Informatique - Systèmes d’information et numérique) ; 12505 (Plan local urbanisme)</t>
        </is>
      </c>
      <c r="N2035" s="50" t="inlineStr">
        <is>
          <t>NON</t>
        </is>
      </c>
      <c r="O2035" s="45" t="inlineStr"/>
    </row>
    <row r="2036" customFormat="1" s="3">
      <c r="A2036" s="51" t="n"/>
      <c r="B2036" s="52" t="inlineStr">
        <is>
          <t>31003</t>
        </is>
      </c>
      <c r="C2036" s="52">
        <f>LEFT(Tableau1[[#This Row],[Formacode]],3)</f>
        <v/>
      </c>
      <c r="D2036" s="53" t="n">
        <v>38018</v>
      </c>
      <c r="E2036" s="54">
        <f>"RNCP"&amp;D2036</f>
        <v/>
      </c>
      <c r="F2036" s="54" t="inlineStr">
        <is>
          <t>Chef de projet digital</t>
        </is>
      </c>
      <c r="G2036" s="55">
        <f>E2036&amp;" - "&amp;F2036</f>
        <v/>
      </c>
      <c r="H2036" s="37" t="inlineStr">
        <is>
          <t>À vérifier</t>
        </is>
      </c>
      <c r="I2036" s="51" t="inlineStr">
        <is>
          <t>Échéance le 20/09/2026 (dans 64 j)</t>
        </is>
      </c>
      <c r="J2036" s="51" t="inlineStr">
        <is>
          <t>RNCP38018</t>
        </is>
      </c>
      <c r="K2036" s="51" t="inlineStr">
        <is>
          <t>Chef de projet digital</t>
        </is>
      </c>
      <c r="L2036" s="51" t="inlineStr">
        <is>
          <t>20/09/2026</t>
        </is>
      </c>
      <c r="M2036" s="51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036" s="62" t="inlineStr">
        <is>
          <t>NON</t>
        </is>
      </c>
      <c r="O2036" s="51" t="inlineStr"/>
    </row>
    <row r="2037" customFormat="1" s="3">
      <c r="A2037" s="45" t="n"/>
      <c r="B2037" s="46" t="inlineStr">
        <is>
          <t>31003</t>
        </is>
      </c>
      <c r="C2037" s="46">
        <f>LEFT(Tableau1[[#This Row],[Formacode]],3)</f>
        <v/>
      </c>
      <c r="D2037" s="47" t="n">
        <v>39425</v>
      </c>
      <c r="E2037" s="48">
        <f>"RNCP"&amp;D2037</f>
        <v/>
      </c>
      <c r="F2037" s="48" t="inlineStr">
        <is>
          <t>Diplôme visé - Expert en Ingénierie Informatique et Innovation Numérique</t>
        </is>
      </c>
      <c r="G2037" s="49">
        <f>E2037&amp;" - "&amp;F2037</f>
        <v/>
      </c>
      <c r="H2037" s="36" t="inlineStr">
        <is>
          <t>RAS</t>
        </is>
      </c>
      <c r="I2037" s="45" t="inlineStr"/>
      <c r="J2037" s="45" t="inlineStr">
        <is>
          <t>RNCP39425</t>
        </is>
      </c>
      <c r="K2037" s="45" t="inlineStr">
        <is>
          <t>Expert en Ingénierie Informatique et Innovation Numérique</t>
        </is>
      </c>
      <c r="L2037" s="45" t="inlineStr">
        <is>
          <t>31/08/2029</t>
        </is>
      </c>
      <c r="M2037" s="45" t="inlineStr">
        <is>
          <t>31054 (Informatique - Systèmes d’information et numérique) ; 32070 (Innovation entreprise)</t>
        </is>
      </c>
      <c r="N2037" s="50" t="inlineStr">
        <is>
          <t>NON</t>
        </is>
      </c>
      <c r="O2037" s="45" t="inlineStr"/>
    </row>
    <row r="2038" customFormat="1" s="3">
      <c r="A2038" s="45" t="n"/>
      <c r="B2038" s="46" t="inlineStr">
        <is>
          <t>31003</t>
        </is>
      </c>
      <c r="C2038" s="46">
        <f>LEFT(Tableau1[[#This Row],[Formacode]],3)</f>
        <v/>
      </c>
      <c r="D2038" s="47" t="n">
        <v>39445</v>
      </c>
      <c r="E2038" s="48">
        <f>"RNCP"&amp;D2038</f>
        <v/>
      </c>
      <c r="F2038" s="48" t="inlineStr">
        <is>
          <t>Titre ingénieur - Ingénieur diplômé de l'Institut supérieur d'électronique de Paris</t>
        </is>
      </c>
      <c r="G2038" s="49">
        <f>E2038&amp;" - "&amp;F2038</f>
        <v/>
      </c>
      <c r="H2038" s="36" t="inlineStr">
        <is>
          <t>RAS</t>
        </is>
      </c>
      <c r="I2038" s="45" t="inlineStr"/>
      <c r="J2038" s="45" t="inlineStr">
        <is>
          <t>RNCP39445</t>
        </is>
      </c>
      <c r="K2038" s="45" t="inlineStr">
        <is>
          <t>Ingénieur diplômé de l'Institut supérieur d'électronique de Paris</t>
        </is>
      </c>
      <c r="L2038" s="45" t="inlineStr">
        <is>
          <t>31/08/2029</t>
        </is>
      </c>
      <c r="M2038" s="45" t="inlineStr">
        <is>
          <t>24354 (Électronique) ; 31054 (Informatique - Systèmes d’information et numérique) ; 32062 (Recherche développement) ; 15099 (Résolution problème)</t>
        </is>
      </c>
      <c r="N2038" s="50" t="inlineStr">
        <is>
          <t>NON</t>
        </is>
      </c>
      <c r="O2038" s="45" t="inlineStr"/>
    </row>
    <row r="2039" customFormat="1" s="3">
      <c r="A2039" s="45" t="n"/>
      <c r="B2039" s="46" t="inlineStr">
        <is>
          <t>31003</t>
        </is>
      </c>
      <c r="C2039" s="46">
        <f>LEFT(Tableau1[[#This Row],[Formacode]],3)</f>
        <v/>
      </c>
      <c r="D2039" s="47" t="n">
        <v>39582</v>
      </c>
      <c r="E2039" s="48">
        <f>"RNCP"&amp;D2039</f>
        <v/>
      </c>
      <c r="F2039" s="48" t="inlineStr">
        <is>
          <t>Expert en architecture des systèmes d’information</t>
        </is>
      </c>
      <c r="G2039" s="49">
        <f>E2039&amp;" - "&amp;F2039</f>
        <v/>
      </c>
      <c r="H2039" s="36" t="inlineStr">
        <is>
          <t>RAS</t>
        </is>
      </c>
      <c r="I2039" s="45" t="inlineStr"/>
      <c r="J2039" s="45" t="inlineStr">
        <is>
          <t>RNCP39582</t>
        </is>
      </c>
      <c r="K2039" s="45" t="inlineStr">
        <is>
          <t>Expert en architecture des systèmes d’information</t>
        </is>
      </c>
      <c r="L2039" s="45" t="inlineStr">
        <is>
          <t>01/10/2029</t>
        </is>
      </c>
      <c r="M2039" s="45" t="inlineStr">
        <is>
          <t>31054 (Informatique - Systèmes d’information et numérique)</t>
        </is>
      </c>
      <c r="N2039" s="50" t="inlineStr">
        <is>
          <t>NON</t>
        </is>
      </c>
      <c r="O2039" s="45" t="inlineStr"/>
    </row>
    <row r="2040" ht="28.8" customFormat="1" customHeight="1" s="3">
      <c r="A2040" s="45" t="n"/>
      <c r="B2040" s="46" t="inlineStr">
        <is>
          <t>31003</t>
        </is>
      </c>
      <c r="C2040" s="46">
        <f>LEFT(Tableau1[[#This Row],[Formacode]],3)</f>
        <v/>
      </c>
      <c r="D2040" s="47" t="n">
        <v>39586</v>
      </c>
      <c r="E2040" s="48">
        <f>"RNCP"&amp;D2040</f>
        <v/>
      </c>
      <c r="F2040" s="48" t="inlineStr">
        <is>
          <t>Ingénieur en science des données spécialisé en infrastructure data ou en apprentissage automatique</t>
        </is>
      </c>
      <c r="G2040" s="49">
        <f>E2040&amp;" - "&amp;F2040</f>
        <v/>
      </c>
      <c r="H2040" s="36" t="inlineStr">
        <is>
          <t>RAS</t>
        </is>
      </c>
      <c r="I2040" s="45" t="inlineStr"/>
      <c r="J2040" s="45" t="inlineStr">
        <is>
          <t>RNCP39586</t>
        </is>
      </c>
      <c r="K2040" s="45" t="inlineStr">
        <is>
          <t>Ingénieur en science des données spécialisé en infrastructure data ou en apprentissage automatique</t>
        </is>
      </c>
      <c r="L2040" s="45" t="inlineStr">
        <is>
          <t>01/10/2029</t>
        </is>
      </c>
      <c r="M2040" s="45" t="inlineStr">
        <is>
          <t>31054 (Informatique - Systèmes d’information et numérique)</t>
        </is>
      </c>
      <c r="N2040" s="50" t="inlineStr">
        <is>
          <t>NON</t>
        </is>
      </c>
      <c r="O2040" s="45" t="inlineStr"/>
    </row>
    <row r="2041" customFormat="1" s="3">
      <c r="A2041" s="45" t="n"/>
      <c r="B2041" s="46" t="inlineStr">
        <is>
          <t>31003</t>
        </is>
      </c>
      <c r="C2041" s="46">
        <f>LEFT(Tableau1[[#This Row],[Formacode]],3)</f>
        <v/>
      </c>
      <c r="D2041" s="47" t="n">
        <v>40363</v>
      </c>
      <c r="E2041" s="48">
        <f>"RNCP"&amp;D2041</f>
        <v/>
      </c>
      <c r="F2041" s="48" t="inlineStr">
        <is>
          <t>Expert en études et développement du système d'information</t>
        </is>
      </c>
      <c r="G2041" s="49">
        <f>E2041&amp;" - "&amp;F2041</f>
        <v/>
      </c>
      <c r="H2041" s="36" t="inlineStr">
        <is>
          <t>RAS</t>
        </is>
      </c>
      <c r="I2041" s="45" t="inlineStr"/>
      <c r="J2041" s="45" t="inlineStr">
        <is>
          <t>RNCP40363</t>
        </is>
      </c>
      <c r="K2041" s="45" t="inlineStr">
        <is>
          <t>Expert en études et développement du système d'information</t>
        </is>
      </c>
      <c r="L2041" s="45" t="inlineStr">
        <is>
          <t>28/03/2028</t>
        </is>
      </c>
      <c r="M2041" s="45" t="inlineStr">
        <is>
          <t>31054 (Informatique - Systèmes d’information et numérique)</t>
        </is>
      </c>
      <c r="N2041" s="50" t="inlineStr">
        <is>
          <t>NON</t>
        </is>
      </c>
      <c r="O2041" s="45" t="inlineStr"/>
    </row>
    <row r="2042" customFormat="1" s="3">
      <c r="A2042" s="45" t="n"/>
      <c r="B2042" s="46" t="inlineStr">
        <is>
          <t>31003</t>
        </is>
      </c>
      <c r="C2042" s="46">
        <f>LEFT(Tableau1[[#This Row],[Formacode]],3)</f>
        <v/>
      </c>
      <c r="D2042" s="47" t="n">
        <v>40593</v>
      </c>
      <c r="E2042" s="48">
        <f>"RNCP"&amp;D2042</f>
        <v/>
      </c>
      <c r="F2042" s="48" t="inlineStr">
        <is>
          <t>Product builder no code</t>
        </is>
      </c>
      <c r="G2042" s="49">
        <f>E2042&amp;" - "&amp;F2042</f>
        <v/>
      </c>
      <c r="H2042" s="36" t="inlineStr">
        <is>
          <t>RAS</t>
        </is>
      </c>
      <c r="I2042" s="45" t="inlineStr"/>
      <c r="J2042" s="45" t="inlineStr">
        <is>
          <t>RNCP40593</t>
        </is>
      </c>
      <c r="K2042" s="45" t="inlineStr">
        <is>
          <t>Product builder no code</t>
        </is>
      </c>
      <c r="L2042" s="45" t="inlineStr">
        <is>
          <t>30/04/2028</t>
        </is>
      </c>
      <c r="M2042" s="45" t="inlineStr">
        <is>
          <t>31086 (Développement Low Code - No Code) ; 46334 (Maquettage site web) ; 31094 (Gestion projet informatique) ; 72454 (Application) ; 32012 (Gestion processus)</t>
        </is>
      </c>
      <c r="N2042" s="50" t="inlineStr">
        <is>
          <t>NON</t>
        </is>
      </c>
      <c r="O2042" s="45" t="inlineStr"/>
    </row>
    <row r="2043" customFormat="1" s="3">
      <c r="A2043" s="45" t="n"/>
      <c r="B2043" s="46" t="inlineStr">
        <is>
          <t>31003</t>
        </is>
      </c>
      <c r="C2043" s="46">
        <f>LEFT(Tableau1[[#This Row],[Formacode]],3)</f>
        <v/>
      </c>
      <c r="D2043" s="47" t="n">
        <v>41823</v>
      </c>
      <c r="E2043" s="48">
        <f>"RNCP"&amp;D2043</f>
        <v/>
      </c>
      <c r="F2043" s="48" t="inlineStr">
        <is>
          <t>Titre ingénieur - Ingénieur diplômé de l’ESIEE IT - CCI Paris Ile-de-France Éducation</t>
        </is>
      </c>
      <c r="G2043" s="49">
        <f>E2043&amp;" - "&amp;F2043</f>
        <v/>
      </c>
      <c r="H2043" s="36" t="inlineStr">
        <is>
          <t>RAS</t>
        </is>
      </c>
      <c r="I2043" s="45" t="inlineStr"/>
      <c r="J2043" s="45" t="inlineStr">
        <is>
          <t>RNCP41823</t>
        </is>
      </c>
      <c r="K2043" s="45" t="inlineStr">
        <is>
          <t>Ingénieur diplômé de l’ESIEE IT - CCI Paris Ile-de-France Éducation</t>
        </is>
      </c>
      <c r="L2043" s="45" t="inlineStr">
        <is>
          <t>31/08/2027</t>
        </is>
      </c>
      <c r="M2043" s="45" t="inlineStr">
        <is>
          <t>31054 (Informatique - Systèmes d’information et numérique) ; 32062 (Recherche développement) ; 15099 (Résolution problème)</t>
        </is>
      </c>
      <c r="N2043" s="50" t="inlineStr">
        <is>
          <t>NON</t>
        </is>
      </c>
      <c r="O2043" s="45" t="inlineStr"/>
    </row>
    <row r="2044" customFormat="1" s="3">
      <c r="A2044" s="45" t="n"/>
      <c r="B2044" s="46" t="inlineStr">
        <is>
          <t>31004</t>
        </is>
      </c>
      <c r="C2044" s="46">
        <f>LEFT(Tableau1[[#This Row],[Formacode]],3)</f>
        <v/>
      </c>
      <c r="D2044" s="47" t="n">
        <v>37103</v>
      </c>
      <c r="E2044" s="48">
        <f>"RNCP"&amp;D2044</f>
        <v/>
      </c>
      <c r="F2044" s="48" t="inlineStr">
        <is>
          <t>TP - Technicien en géomatique</t>
        </is>
      </c>
      <c r="G2044" s="49">
        <f>E2044&amp;" - "&amp;F2044</f>
        <v/>
      </c>
      <c r="H2044" s="36" t="inlineStr">
        <is>
          <t>RAS</t>
        </is>
      </c>
      <c r="I2044" s="45" t="inlineStr"/>
      <c r="J2044" s="45" t="inlineStr">
        <is>
          <t>RNCP37103</t>
        </is>
      </c>
      <c r="K2044" s="45" t="inlineStr">
        <is>
          <t>Technicien en géomatique</t>
        </is>
      </c>
      <c r="L2044" s="45" t="inlineStr">
        <is>
          <t>25/02/2028</t>
        </is>
      </c>
      <c r="M2044" s="45" t="inlineStr">
        <is>
          <t>12232 (Géomatique) ; 31054 (Informatique - Systèmes d’information et numérique) ; 12505 (Plan local urbanisme)</t>
        </is>
      </c>
      <c r="N2044" s="50" t="inlineStr">
        <is>
          <t>NON</t>
        </is>
      </c>
      <c r="O2044" s="45" t="inlineStr"/>
    </row>
    <row r="2045" customFormat="1" s="3">
      <c r="A2045" s="51" t="n"/>
      <c r="B2045" s="52" t="inlineStr">
        <is>
          <t>31004</t>
        </is>
      </c>
      <c r="C2045" s="52">
        <f>LEFT(Tableau1[[#This Row],[Formacode]],3)</f>
        <v/>
      </c>
      <c r="D2045" s="53" t="n">
        <v>38018</v>
      </c>
      <c r="E2045" s="54">
        <f>"RNCP"&amp;D2045</f>
        <v/>
      </c>
      <c r="F2045" s="54" t="inlineStr">
        <is>
          <t>Chef de projet digital</t>
        </is>
      </c>
      <c r="G2045" s="55">
        <f>E2045&amp;" - "&amp;F2045</f>
        <v/>
      </c>
      <c r="H2045" s="37" t="inlineStr">
        <is>
          <t>À vérifier</t>
        </is>
      </c>
      <c r="I2045" s="51" t="inlineStr">
        <is>
          <t>Échéance le 20/09/2026 (dans 64 j)</t>
        </is>
      </c>
      <c r="J2045" s="51" t="inlineStr">
        <is>
          <t>RNCP38018</t>
        </is>
      </c>
      <c r="K2045" s="51" t="inlineStr">
        <is>
          <t>Chef de projet digital</t>
        </is>
      </c>
      <c r="L2045" s="51" t="inlineStr">
        <is>
          <t>20/09/2026</t>
        </is>
      </c>
      <c r="M2045" s="51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045" s="62" t="inlineStr">
        <is>
          <t>NON</t>
        </is>
      </c>
      <c r="O2045" s="51" t="inlineStr"/>
    </row>
    <row r="2046" customFormat="1" s="3">
      <c r="A2046" s="45" t="n"/>
      <c r="B2046" s="46" t="inlineStr">
        <is>
          <t>31004</t>
        </is>
      </c>
      <c r="C2046" s="46">
        <f>LEFT(Tableau1[[#This Row],[Formacode]],3)</f>
        <v/>
      </c>
      <c r="D2046" s="47" t="n">
        <v>39425</v>
      </c>
      <c r="E2046" s="48">
        <f>"RNCP"&amp;D2046</f>
        <v/>
      </c>
      <c r="F2046" s="48" t="inlineStr">
        <is>
          <t>Diplôme visé - Expert en Ingénierie Informatique et Innovation Numérique</t>
        </is>
      </c>
      <c r="G2046" s="49">
        <f>E2046&amp;" - "&amp;F2046</f>
        <v/>
      </c>
      <c r="H2046" s="36" t="inlineStr">
        <is>
          <t>RAS</t>
        </is>
      </c>
      <c r="I2046" s="45" t="inlineStr"/>
      <c r="J2046" s="45" t="inlineStr">
        <is>
          <t>RNCP39425</t>
        </is>
      </c>
      <c r="K2046" s="45" t="inlineStr">
        <is>
          <t>Expert en Ingénierie Informatique et Innovation Numérique</t>
        </is>
      </c>
      <c r="L2046" s="45" t="inlineStr">
        <is>
          <t>31/08/2029</t>
        </is>
      </c>
      <c r="M2046" s="45" t="inlineStr">
        <is>
          <t>31054 (Informatique - Systèmes d’information et numérique) ; 32070 (Innovation entreprise)</t>
        </is>
      </c>
      <c r="N2046" s="50" t="inlineStr">
        <is>
          <t>NON</t>
        </is>
      </c>
      <c r="O2046" s="45" t="inlineStr"/>
    </row>
    <row r="2047" customFormat="1" s="3">
      <c r="A2047" s="45" t="n"/>
      <c r="B2047" s="46" t="inlineStr">
        <is>
          <t>31004</t>
        </is>
      </c>
      <c r="C2047" s="46">
        <f>LEFT(Tableau1[[#This Row],[Formacode]],3)</f>
        <v/>
      </c>
      <c r="D2047" s="47" t="n">
        <v>39445</v>
      </c>
      <c r="E2047" s="48">
        <f>"RNCP"&amp;D2047</f>
        <v/>
      </c>
      <c r="F2047" s="48" t="inlineStr">
        <is>
          <t>Titre ingénieur - Ingénieur diplômé de l'Institut supérieur d'électronique de Paris</t>
        </is>
      </c>
      <c r="G2047" s="49">
        <f>E2047&amp;" - "&amp;F2047</f>
        <v/>
      </c>
      <c r="H2047" s="36" t="inlineStr">
        <is>
          <t>RAS</t>
        </is>
      </c>
      <c r="I2047" s="45" t="inlineStr"/>
      <c r="J2047" s="45" t="inlineStr">
        <is>
          <t>RNCP39445</t>
        </is>
      </c>
      <c r="K2047" s="45" t="inlineStr">
        <is>
          <t>Ingénieur diplômé de l'Institut supérieur d'électronique de Paris</t>
        </is>
      </c>
      <c r="L2047" s="45" t="inlineStr">
        <is>
          <t>31/08/2029</t>
        </is>
      </c>
      <c r="M2047" s="45" t="inlineStr">
        <is>
          <t>24354 (Électronique) ; 31054 (Informatique - Systèmes d’information et numérique) ; 32062 (Recherche développement) ; 15099 (Résolution problème)</t>
        </is>
      </c>
      <c r="N2047" s="50" t="inlineStr">
        <is>
          <t>NON</t>
        </is>
      </c>
      <c r="O2047" s="45" t="inlineStr"/>
    </row>
    <row r="2048" customFormat="1" s="3">
      <c r="A2048" s="45" t="n"/>
      <c r="B2048" s="46" t="inlineStr">
        <is>
          <t>31004</t>
        </is>
      </c>
      <c r="C2048" s="46">
        <f>LEFT(Tableau1[[#This Row],[Formacode]],3)</f>
        <v/>
      </c>
      <c r="D2048" s="47" t="n">
        <v>39582</v>
      </c>
      <c r="E2048" s="48">
        <f>"RNCP"&amp;D2048</f>
        <v/>
      </c>
      <c r="F2048" s="48" t="inlineStr">
        <is>
          <t>Expert en architecture des systèmes d’information</t>
        </is>
      </c>
      <c r="G2048" s="49">
        <f>E2048&amp;" - "&amp;F2048</f>
        <v/>
      </c>
      <c r="H2048" s="36" t="inlineStr">
        <is>
          <t>RAS</t>
        </is>
      </c>
      <c r="I2048" s="45" t="inlineStr"/>
      <c r="J2048" s="45" t="inlineStr">
        <is>
          <t>RNCP39582</t>
        </is>
      </c>
      <c r="K2048" s="45" t="inlineStr">
        <is>
          <t>Expert en architecture des systèmes d’information</t>
        </is>
      </c>
      <c r="L2048" s="45" t="inlineStr">
        <is>
          <t>01/10/2029</t>
        </is>
      </c>
      <c r="M2048" s="45" t="inlineStr">
        <is>
          <t>31054 (Informatique - Systèmes d’information et numérique)</t>
        </is>
      </c>
      <c r="N2048" s="50" t="inlineStr">
        <is>
          <t>NON</t>
        </is>
      </c>
      <c r="O2048" s="45" t="inlineStr"/>
    </row>
    <row r="2049" ht="28.8" customFormat="1" customHeight="1" s="3">
      <c r="A2049" s="45" t="n"/>
      <c r="B2049" s="46" t="inlineStr">
        <is>
          <t>31004</t>
        </is>
      </c>
      <c r="C2049" s="46">
        <f>LEFT(Tableau1[[#This Row],[Formacode]],3)</f>
        <v/>
      </c>
      <c r="D2049" s="47" t="n">
        <v>39586</v>
      </c>
      <c r="E2049" s="48">
        <f>"RNCP"&amp;D2049</f>
        <v/>
      </c>
      <c r="F2049" s="48" t="inlineStr">
        <is>
          <t>Ingénieur en science des données spécialisé en infrastructure data ou en apprentissage automatique</t>
        </is>
      </c>
      <c r="G2049" s="49">
        <f>E2049&amp;" - "&amp;F2049</f>
        <v/>
      </c>
      <c r="H2049" s="36" t="inlineStr">
        <is>
          <t>RAS</t>
        </is>
      </c>
      <c r="I2049" s="45" t="inlineStr"/>
      <c r="J2049" s="45" t="inlineStr">
        <is>
          <t>RNCP39586</t>
        </is>
      </c>
      <c r="K2049" s="45" t="inlineStr">
        <is>
          <t>Ingénieur en science des données spécialisé en infrastructure data ou en apprentissage automatique</t>
        </is>
      </c>
      <c r="L2049" s="45" t="inlineStr">
        <is>
          <t>01/10/2029</t>
        </is>
      </c>
      <c r="M2049" s="45" t="inlineStr">
        <is>
          <t>31054 (Informatique - Systèmes d’information et numérique)</t>
        </is>
      </c>
      <c r="N2049" s="50" t="inlineStr">
        <is>
          <t>NON</t>
        </is>
      </c>
      <c r="O2049" s="45" t="inlineStr"/>
    </row>
    <row r="2050" customFormat="1" s="3">
      <c r="A2050" s="45" t="n"/>
      <c r="B2050" s="46" t="inlineStr">
        <is>
          <t>31004</t>
        </is>
      </c>
      <c r="C2050" s="46">
        <f>LEFT(Tableau1[[#This Row],[Formacode]],3)</f>
        <v/>
      </c>
      <c r="D2050" s="47" t="n">
        <v>40363</v>
      </c>
      <c r="E2050" s="48">
        <f>"RNCP"&amp;D2050</f>
        <v/>
      </c>
      <c r="F2050" s="48" t="inlineStr">
        <is>
          <t>Expert en études et développement du système d'information</t>
        </is>
      </c>
      <c r="G2050" s="49">
        <f>E2050&amp;" - "&amp;F2050</f>
        <v/>
      </c>
      <c r="H2050" s="36" t="inlineStr">
        <is>
          <t>RAS</t>
        </is>
      </c>
      <c r="I2050" s="45" t="inlineStr"/>
      <c r="J2050" s="45" t="inlineStr">
        <is>
          <t>RNCP40363</t>
        </is>
      </c>
      <c r="K2050" s="45" t="inlineStr">
        <is>
          <t>Expert en études et développement du système d'information</t>
        </is>
      </c>
      <c r="L2050" s="45" t="inlineStr">
        <is>
          <t>28/03/2028</t>
        </is>
      </c>
      <c r="M2050" s="45" t="inlineStr">
        <is>
          <t>31054 (Informatique - Systèmes d’information et numérique)</t>
        </is>
      </c>
      <c r="N2050" s="50" t="inlineStr">
        <is>
          <t>NON</t>
        </is>
      </c>
      <c r="O2050" s="45" t="inlineStr"/>
    </row>
    <row r="2051" customFormat="1" s="3">
      <c r="A2051" s="45" t="n"/>
      <c r="B2051" s="46" t="inlineStr">
        <is>
          <t>31004</t>
        </is>
      </c>
      <c r="C2051" s="46">
        <f>LEFT(Tableau1[[#This Row],[Formacode]],3)</f>
        <v/>
      </c>
      <c r="D2051" s="47" t="n">
        <v>40593</v>
      </c>
      <c r="E2051" s="48">
        <f>"RNCP"&amp;D2051</f>
        <v/>
      </c>
      <c r="F2051" s="48" t="inlineStr">
        <is>
          <t>Product builder no code</t>
        </is>
      </c>
      <c r="G2051" s="49">
        <f>E2051&amp;" - "&amp;F2051</f>
        <v/>
      </c>
      <c r="H2051" s="36" t="inlineStr">
        <is>
          <t>RAS</t>
        </is>
      </c>
      <c r="I2051" s="45" t="inlineStr"/>
      <c r="J2051" s="45" t="inlineStr">
        <is>
          <t>RNCP40593</t>
        </is>
      </c>
      <c r="K2051" s="45" t="inlineStr">
        <is>
          <t>Product builder no code</t>
        </is>
      </c>
      <c r="L2051" s="45" t="inlineStr">
        <is>
          <t>30/04/2028</t>
        </is>
      </c>
      <c r="M2051" s="45" t="inlineStr">
        <is>
          <t>31086 (Développement Low Code - No Code) ; 46334 (Maquettage site web) ; 31094 (Gestion projet informatique) ; 72454 (Application) ; 32012 (Gestion processus)</t>
        </is>
      </c>
      <c r="N2051" s="50" t="inlineStr">
        <is>
          <t>NON</t>
        </is>
      </c>
      <c r="O2051" s="45" t="inlineStr"/>
    </row>
    <row r="2052" customFormat="1" s="3">
      <c r="A2052" s="45" t="n"/>
      <c r="B2052" s="46" t="inlineStr">
        <is>
          <t>31004</t>
        </is>
      </c>
      <c r="C2052" s="46">
        <f>LEFT(Tableau1[[#This Row],[Formacode]],3)</f>
        <v/>
      </c>
      <c r="D2052" s="47" t="n">
        <v>41701</v>
      </c>
      <c r="E2052" s="48">
        <f>"RNCP"&amp;D2052</f>
        <v/>
      </c>
      <c r="F2052" s="48" t="inlineStr">
        <is>
          <t>Concepteur développeur de solutions blockchain</t>
        </is>
      </c>
      <c r="G2052" s="49">
        <f>E2052&amp;" - "&amp;F2052</f>
        <v/>
      </c>
      <c r="H2052" s="36" t="inlineStr">
        <is>
          <t>RAS</t>
        </is>
      </c>
      <c r="I2052" s="45" t="inlineStr"/>
      <c r="J2052" s="45" t="inlineStr">
        <is>
          <t>RNCP41701</t>
        </is>
      </c>
      <c r="K2052" s="45" t="inlineStr">
        <is>
          <t>Concepteur développeur de solutions blockchain</t>
        </is>
      </c>
      <c r="L2052" s="45" t="inlineStr">
        <is>
          <t>27/10/2028</t>
        </is>
      </c>
      <c r="M2052" s="45" t="inlineStr">
        <is>
          <t>31004 (Blockchain) ; 31094 (Gestion projet informatique) ; 31009 (Architecture système information) ; 31067 (Développement informatique)</t>
        </is>
      </c>
      <c r="N2052" s="50" t="inlineStr">
        <is>
          <t>NON</t>
        </is>
      </c>
      <c r="O2052" s="45" t="inlineStr"/>
    </row>
    <row r="2053" customFormat="1" s="3">
      <c r="A2053" s="45" t="n"/>
      <c r="B2053" s="46" t="inlineStr">
        <is>
          <t>31004</t>
        </is>
      </c>
      <c r="C2053" s="46">
        <f>LEFT(Tableau1[[#This Row],[Formacode]],3)</f>
        <v/>
      </c>
      <c r="D2053" s="47" t="n">
        <v>41823</v>
      </c>
      <c r="E2053" s="48">
        <f>"RNCP"&amp;D2053</f>
        <v/>
      </c>
      <c r="F2053" s="48" t="inlineStr">
        <is>
          <t>Titre ingénieur - Ingénieur diplômé de l’ESIEE IT - CCI Paris Ile-de-France Éducation</t>
        </is>
      </c>
      <c r="G2053" s="49">
        <f>E2053&amp;" - "&amp;F2053</f>
        <v/>
      </c>
      <c r="H2053" s="36" t="inlineStr">
        <is>
          <t>RAS</t>
        </is>
      </c>
      <c r="I2053" s="45" t="inlineStr"/>
      <c r="J2053" s="45" t="inlineStr">
        <is>
          <t>RNCP41823</t>
        </is>
      </c>
      <c r="K2053" s="45" t="inlineStr">
        <is>
          <t>Ingénieur diplômé de l’ESIEE IT - CCI Paris Ile-de-France Éducation</t>
        </is>
      </c>
      <c r="L2053" s="45" t="inlineStr">
        <is>
          <t>31/08/2027</t>
        </is>
      </c>
      <c r="M2053" s="45" t="inlineStr">
        <is>
          <t>31054 (Informatique - Systèmes d’information et numérique) ; 32062 (Recherche développement) ; 15099 (Résolution problème)</t>
        </is>
      </c>
      <c r="N2053" s="50" t="inlineStr">
        <is>
          <t>NON</t>
        </is>
      </c>
      <c r="O2053" s="45" t="inlineStr"/>
    </row>
    <row r="2054" customFormat="1" s="3">
      <c r="A2054" s="45" t="n"/>
      <c r="B2054" s="46" t="inlineStr">
        <is>
          <t>31005</t>
        </is>
      </c>
      <c r="C2054" s="46">
        <f>LEFT(Tableau1[[#This Row],[Formacode]],3)</f>
        <v/>
      </c>
      <c r="D2054" s="47" t="n">
        <v>37103</v>
      </c>
      <c r="E2054" s="48">
        <f>"RNCP"&amp;D2054</f>
        <v/>
      </c>
      <c r="F2054" s="48" t="inlineStr">
        <is>
          <t>TP - Technicien en géomatique</t>
        </is>
      </c>
      <c r="G2054" s="49">
        <f>E2054&amp;" - "&amp;F2054</f>
        <v/>
      </c>
      <c r="H2054" s="36" t="inlineStr">
        <is>
          <t>RAS</t>
        </is>
      </c>
      <c r="I2054" s="45" t="inlineStr"/>
      <c r="J2054" s="45" t="inlineStr">
        <is>
          <t>RNCP37103</t>
        </is>
      </c>
      <c r="K2054" s="45" t="inlineStr">
        <is>
          <t>Technicien en géomatique</t>
        </is>
      </c>
      <c r="L2054" s="45" t="inlineStr">
        <is>
          <t>25/02/2028</t>
        </is>
      </c>
      <c r="M2054" s="45" t="inlineStr">
        <is>
          <t>12232 (Géomatique) ; 31054 (Informatique - Systèmes d’information et numérique) ; 12505 (Plan local urbanisme)</t>
        </is>
      </c>
      <c r="N2054" s="50" t="inlineStr">
        <is>
          <t>NON</t>
        </is>
      </c>
      <c r="O2054" s="45" t="inlineStr"/>
    </row>
    <row r="2055" customFormat="1" s="3">
      <c r="A2055" s="51" t="n"/>
      <c r="B2055" s="52" t="inlineStr">
        <is>
          <t>31005</t>
        </is>
      </c>
      <c r="C2055" s="52">
        <f>LEFT(Tableau1[[#This Row],[Formacode]],3)</f>
        <v/>
      </c>
      <c r="D2055" s="53" t="n">
        <v>38018</v>
      </c>
      <c r="E2055" s="54">
        <f>"RNCP"&amp;D2055</f>
        <v/>
      </c>
      <c r="F2055" s="54" t="inlineStr">
        <is>
          <t>Chef de projet digital</t>
        </is>
      </c>
      <c r="G2055" s="55">
        <f>E2055&amp;" - "&amp;F2055</f>
        <v/>
      </c>
      <c r="H2055" s="37" t="inlineStr">
        <is>
          <t>À vérifier</t>
        </is>
      </c>
      <c r="I2055" s="51" t="inlineStr">
        <is>
          <t>Échéance le 20/09/2026 (dans 64 j)</t>
        </is>
      </c>
      <c r="J2055" s="51" t="inlineStr">
        <is>
          <t>RNCP38018</t>
        </is>
      </c>
      <c r="K2055" s="51" t="inlineStr">
        <is>
          <t>Chef de projet digital</t>
        </is>
      </c>
      <c r="L2055" s="51" t="inlineStr">
        <is>
          <t>20/09/2026</t>
        </is>
      </c>
      <c r="M2055" s="51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055" s="62" t="inlineStr">
        <is>
          <t>NON</t>
        </is>
      </c>
      <c r="O2055" s="51" t="inlineStr"/>
    </row>
    <row r="2056" customFormat="1" s="3">
      <c r="A2056" s="45" t="n"/>
      <c r="B2056" s="46" t="inlineStr">
        <is>
          <t>31005</t>
        </is>
      </c>
      <c r="C2056" s="46">
        <f>LEFT(Tableau1[[#This Row],[Formacode]],3)</f>
        <v/>
      </c>
      <c r="D2056" s="47" t="n">
        <v>39425</v>
      </c>
      <c r="E2056" s="48">
        <f>"RNCP"&amp;D2056</f>
        <v/>
      </c>
      <c r="F2056" s="48" t="inlineStr">
        <is>
          <t>Diplôme visé - Expert en Ingénierie Informatique et Innovation Numérique</t>
        </is>
      </c>
      <c r="G2056" s="49">
        <f>E2056&amp;" - "&amp;F2056</f>
        <v/>
      </c>
      <c r="H2056" s="36" t="inlineStr">
        <is>
          <t>RAS</t>
        </is>
      </c>
      <c r="I2056" s="45" t="inlineStr"/>
      <c r="J2056" s="45" t="inlineStr">
        <is>
          <t>RNCP39425</t>
        </is>
      </c>
      <c r="K2056" s="45" t="inlineStr">
        <is>
          <t>Expert en Ingénierie Informatique et Innovation Numérique</t>
        </is>
      </c>
      <c r="L2056" s="45" t="inlineStr">
        <is>
          <t>31/08/2029</t>
        </is>
      </c>
      <c r="M2056" s="45" t="inlineStr">
        <is>
          <t>31054 (Informatique - Systèmes d’information et numérique) ; 32070 (Innovation entreprise)</t>
        </is>
      </c>
      <c r="N2056" s="50" t="inlineStr">
        <is>
          <t>NON</t>
        </is>
      </c>
      <c r="O2056" s="45" t="inlineStr"/>
    </row>
    <row r="2057" customFormat="1" s="3">
      <c r="A2057" s="45" t="n"/>
      <c r="B2057" s="46" t="inlineStr">
        <is>
          <t>31005</t>
        </is>
      </c>
      <c r="C2057" s="46">
        <f>LEFT(Tableau1[[#This Row],[Formacode]],3)</f>
        <v/>
      </c>
      <c r="D2057" s="47" t="n">
        <v>39445</v>
      </c>
      <c r="E2057" s="48">
        <f>"RNCP"&amp;D2057</f>
        <v/>
      </c>
      <c r="F2057" s="48" t="inlineStr">
        <is>
          <t>Titre ingénieur - Ingénieur diplômé de l'Institut supérieur d'électronique de Paris</t>
        </is>
      </c>
      <c r="G2057" s="49">
        <f>E2057&amp;" - "&amp;F2057</f>
        <v/>
      </c>
      <c r="H2057" s="36" t="inlineStr">
        <is>
          <t>RAS</t>
        </is>
      </c>
      <c r="I2057" s="45" t="inlineStr"/>
      <c r="J2057" s="45" t="inlineStr">
        <is>
          <t>RNCP39445</t>
        </is>
      </c>
      <c r="K2057" s="45" t="inlineStr">
        <is>
          <t>Ingénieur diplômé de l'Institut supérieur d'électronique de Paris</t>
        </is>
      </c>
      <c r="L2057" s="45" t="inlineStr">
        <is>
          <t>31/08/2029</t>
        </is>
      </c>
      <c r="M2057" s="45" t="inlineStr">
        <is>
          <t>24354 (Électronique) ; 31054 (Informatique - Systèmes d’information et numérique) ; 32062 (Recherche développement) ; 15099 (Résolution problème)</t>
        </is>
      </c>
      <c r="N2057" s="50" t="inlineStr">
        <is>
          <t>NON</t>
        </is>
      </c>
      <c r="O2057" s="45" t="inlineStr"/>
    </row>
    <row r="2058" customFormat="1" s="3">
      <c r="A2058" s="45" t="n"/>
      <c r="B2058" s="46" t="inlineStr">
        <is>
          <t>31005</t>
        </is>
      </c>
      <c r="C2058" s="46">
        <f>LEFT(Tableau1[[#This Row],[Formacode]],3)</f>
        <v/>
      </c>
      <c r="D2058" s="47" t="n">
        <v>39582</v>
      </c>
      <c r="E2058" s="48">
        <f>"RNCP"&amp;D2058</f>
        <v/>
      </c>
      <c r="F2058" s="48" t="inlineStr">
        <is>
          <t>Expert en architecture des systèmes d’information</t>
        </is>
      </c>
      <c r="G2058" s="49">
        <f>E2058&amp;" - "&amp;F2058</f>
        <v/>
      </c>
      <c r="H2058" s="36" t="inlineStr">
        <is>
          <t>RAS</t>
        </is>
      </c>
      <c r="I2058" s="45" t="inlineStr"/>
      <c r="J2058" s="45" t="inlineStr">
        <is>
          <t>RNCP39582</t>
        </is>
      </c>
      <c r="K2058" s="45" t="inlineStr">
        <is>
          <t>Expert en architecture des systèmes d’information</t>
        </is>
      </c>
      <c r="L2058" s="45" t="inlineStr">
        <is>
          <t>01/10/2029</t>
        </is>
      </c>
      <c r="M2058" s="45" t="inlineStr">
        <is>
          <t>31054 (Informatique - Systèmes d’information et numérique)</t>
        </is>
      </c>
      <c r="N2058" s="50" t="inlineStr">
        <is>
          <t>NON</t>
        </is>
      </c>
      <c r="O2058" s="45" t="inlineStr"/>
    </row>
    <row r="2059" ht="28.8" customFormat="1" customHeight="1" s="3">
      <c r="A2059" s="45" t="n"/>
      <c r="B2059" s="46" t="inlineStr">
        <is>
          <t>31005</t>
        </is>
      </c>
      <c r="C2059" s="46">
        <f>LEFT(Tableau1[[#This Row],[Formacode]],3)</f>
        <v/>
      </c>
      <c r="D2059" s="47" t="n">
        <v>39586</v>
      </c>
      <c r="E2059" s="48">
        <f>"RNCP"&amp;D2059</f>
        <v/>
      </c>
      <c r="F2059" s="48" t="inlineStr">
        <is>
          <t>Ingénieur en science des données spécialisé en infrastructure data ou en apprentissage automatique</t>
        </is>
      </c>
      <c r="G2059" s="49">
        <f>E2059&amp;" - "&amp;F2059</f>
        <v/>
      </c>
      <c r="H2059" s="36" t="inlineStr">
        <is>
          <t>RAS</t>
        </is>
      </c>
      <c r="I2059" s="45" t="inlineStr"/>
      <c r="J2059" s="45" t="inlineStr">
        <is>
          <t>RNCP39586</t>
        </is>
      </c>
      <c r="K2059" s="45" t="inlineStr">
        <is>
          <t>Ingénieur en science des données spécialisé en infrastructure data ou en apprentissage automatique</t>
        </is>
      </c>
      <c r="L2059" s="45" t="inlineStr">
        <is>
          <t>01/10/2029</t>
        </is>
      </c>
      <c r="M2059" s="45" t="inlineStr">
        <is>
          <t>31054 (Informatique - Systèmes d’information et numérique)</t>
        </is>
      </c>
      <c r="N2059" s="50" t="inlineStr">
        <is>
          <t>NON</t>
        </is>
      </c>
      <c r="O2059" s="45" t="inlineStr"/>
    </row>
    <row r="2060" customFormat="1" s="3">
      <c r="A2060" s="45" t="n"/>
      <c r="B2060" s="46" t="inlineStr">
        <is>
          <t>31005</t>
        </is>
      </c>
      <c r="C2060" s="46">
        <f>LEFT(Tableau1[[#This Row],[Formacode]],3)</f>
        <v/>
      </c>
      <c r="D2060" s="47" t="n">
        <v>40363</v>
      </c>
      <c r="E2060" s="48">
        <f>"RNCP"&amp;D2060</f>
        <v/>
      </c>
      <c r="F2060" s="48" t="inlineStr">
        <is>
          <t>Expert en études et développement du système d'information</t>
        </is>
      </c>
      <c r="G2060" s="49">
        <f>E2060&amp;" - "&amp;F2060</f>
        <v/>
      </c>
      <c r="H2060" s="36" t="inlineStr">
        <is>
          <t>RAS</t>
        </is>
      </c>
      <c r="I2060" s="45" t="inlineStr"/>
      <c r="J2060" s="45" t="inlineStr">
        <is>
          <t>RNCP40363</t>
        </is>
      </c>
      <c r="K2060" s="45" t="inlineStr">
        <is>
          <t>Expert en études et développement du système d'information</t>
        </is>
      </c>
      <c r="L2060" s="45" t="inlineStr">
        <is>
          <t>28/03/2028</t>
        </is>
      </c>
      <c r="M2060" s="45" t="inlineStr">
        <is>
          <t>31054 (Informatique - Systèmes d’information et numérique)</t>
        </is>
      </c>
      <c r="N2060" s="50" t="inlineStr">
        <is>
          <t>NON</t>
        </is>
      </c>
      <c r="O2060" s="45" t="inlineStr"/>
    </row>
    <row r="2061" customFormat="1" s="3">
      <c r="A2061" s="45" t="n"/>
      <c r="B2061" s="46" t="inlineStr">
        <is>
          <t>31005</t>
        </is>
      </c>
      <c r="C2061" s="46">
        <f>LEFT(Tableau1[[#This Row],[Formacode]],3)</f>
        <v/>
      </c>
      <c r="D2061" s="47" t="n">
        <v>40593</v>
      </c>
      <c r="E2061" s="48">
        <f>"RNCP"&amp;D2061</f>
        <v/>
      </c>
      <c r="F2061" s="48" t="inlineStr">
        <is>
          <t>Product builder no code</t>
        </is>
      </c>
      <c r="G2061" s="49">
        <f>E2061&amp;" - "&amp;F2061</f>
        <v/>
      </c>
      <c r="H2061" s="36" t="inlineStr">
        <is>
          <t>RAS</t>
        </is>
      </c>
      <c r="I2061" s="45" t="inlineStr"/>
      <c r="J2061" s="45" t="inlineStr">
        <is>
          <t>RNCP40593</t>
        </is>
      </c>
      <c r="K2061" s="45" t="inlineStr">
        <is>
          <t>Product builder no code</t>
        </is>
      </c>
      <c r="L2061" s="45" t="inlineStr">
        <is>
          <t>30/04/2028</t>
        </is>
      </c>
      <c r="M2061" s="45" t="inlineStr">
        <is>
          <t>31086 (Développement Low Code - No Code) ; 46334 (Maquettage site web) ; 31094 (Gestion projet informatique) ; 72454 (Application) ; 32012 (Gestion processus)</t>
        </is>
      </c>
      <c r="N2061" s="50" t="inlineStr">
        <is>
          <t>NON</t>
        </is>
      </c>
      <c r="O2061" s="45" t="inlineStr"/>
    </row>
    <row r="2062" customFormat="1" s="3">
      <c r="A2062" s="45" t="n"/>
      <c r="B2062" s="46" t="inlineStr">
        <is>
          <t>31005</t>
        </is>
      </c>
      <c r="C2062" s="46">
        <f>LEFT(Tableau1[[#This Row],[Formacode]],3)</f>
        <v/>
      </c>
      <c r="D2062" s="47" t="n">
        <v>41823</v>
      </c>
      <c r="E2062" s="48">
        <f>"RNCP"&amp;D2062</f>
        <v/>
      </c>
      <c r="F2062" s="48" t="inlineStr">
        <is>
          <t>Titre ingénieur - Ingénieur diplômé de l’ESIEE IT - CCI Paris Ile-de-France Éducation</t>
        </is>
      </c>
      <c r="G2062" s="49">
        <f>E2062&amp;" - "&amp;F2062</f>
        <v/>
      </c>
      <c r="H2062" s="36" t="inlineStr">
        <is>
          <t>RAS</t>
        </is>
      </c>
      <c r="I2062" s="45" t="inlineStr"/>
      <c r="J2062" s="45" t="inlineStr">
        <is>
          <t>RNCP41823</t>
        </is>
      </c>
      <c r="K2062" s="45" t="inlineStr">
        <is>
          <t>Ingénieur diplômé de l’ESIEE IT - CCI Paris Ile-de-France Éducation</t>
        </is>
      </c>
      <c r="L2062" s="45" t="inlineStr">
        <is>
          <t>31/08/2027</t>
        </is>
      </c>
      <c r="M2062" s="45" t="inlineStr">
        <is>
          <t>31054 (Informatique - Systèmes d’information et numérique) ; 32062 (Recherche développement) ; 15099 (Résolution problème)</t>
        </is>
      </c>
      <c r="N2062" s="50" t="inlineStr">
        <is>
          <t>NON</t>
        </is>
      </c>
      <c r="O2062" s="45" t="inlineStr"/>
    </row>
    <row r="2063" customFormat="1" s="3">
      <c r="A2063" s="51" t="n"/>
      <c r="B2063" s="52" t="inlineStr">
        <is>
          <t>31006</t>
        </is>
      </c>
      <c r="C2063" s="52">
        <f>LEFT(Tableau1[[#This Row],[Formacode]],3)</f>
        <v/>
      </c>
      <c r="D2063" s="53" t="n">
        <v>35517</v>
      </c>
      <c r="E2063" s="54">
        <f>"RNCP"&amp;D2063</f>
        <v/>
      </c>
      <c r="F2063" s="54" t="inlineStr">
        <is>
          <t>CS - Services numériques aux organisations</t>
        </is>
      </c>
      <c r="G2063" s="55">
        <f>E2063&amp;" - "&amp;F2063</f>
        <v/>
      </c>
      <c r="H2063" s="37" t="inlineStr">
        <is>
          <t>À vérifier</t>
        </is>
      </c>
      <c r="I2063" s="51" t="inlineStr">
        <is>
          <t>Successeur déjà publié : RNCP41844 (Services numériques aux organisations) — préparer la bascule de l'offre CPF | Échéance le 31/08/2026 (dans 44 j)</t>
        </is>
      </c>
      <c r="J2063" s="51" t="inlineStr">
        <is>
          <t>RNCP41844</t>
        </is>
      </c>
      <c r="K2063" s="51" t="inlineStr">
        <is>
          <t>Services numériques aux organisations</t>
        </is>
      </c>
      <c r="L2063" s="51" t="inlineStr">
        <is>
          <t>31/08/2026</t>
        </is>
      </c>
      <c r="M2063" s="51" t="inlineStr">
        <is>
          <t>44527 (Médiation numérique) ; 31006 (Sécurité informatique) ; 15052 (Bureautique)</t>
        </is>
      </c>
      <c r="N2063" s="62" t="inlineStr">
        <is>
          <t>NON</t>
        </is>
      </c>
      <c r="O2063" s="51" t="inlineStr"/>
    </row>
    <row r="2064" customFormat="1" s="3">
      <c r="A2064" s="45" t="n"/>
      <c r="B2064" s="46" t="inlineStr">
        <is>
          <t>31006</t>
        </is>
      </c>
      <c r="C2064" s="46">
        <f>LEFT(Tableau1[[#This Row],[Formacode]],3)</f>
        <v/>
      </c>
      <c r="D2064" s="47" t="n">
        <v>37103</v>
      </c>
      <c r="E2064" s="48">
        <f>"RNCP"&amp;D2064</f>
        <v/>
      </c>
      <c r="F2064" s="48" t="inlineStr">
        <is>
          <t>TP - Technicien en géomatique</t>
        </is>
      </c>
      <c r="G2064" s="49">
        <f>E2064&amp;" - "&amp;F2064</f>
        <v/>
      </c>
      <c r="H2064" s="36" t="inlineStr">
        <is>
          <t>RAS</t>
        </is>
      </c>
      <c r="I2064" s="45" t="inlineStr"/>
      <c r="J2064" s="45" t="inlineStr">
        <is>
          <t>RNCP37103</t>
        </is>
      </c>
      <c r="K2064" s="45" t="inlineStr">
        <is>
          <t>Technicien en géomatique</t>
        </is>
      </c>
      <c r="L2064" s="45" t="inlineStr">
        <is>
          <t>25/02/2028</t>
        </is>
      </c>
      <c r="M2064" s="45" t="inlineStr">
        <is>
          <t>12232 (Géomatique) ; 31054 (Informatique - Systèmes d’information et numérique) ; 12505 (Plan local urbanisme)</t>
        </is>
      </c>
      <c r="N2064" s="50" t="inlineStr">
        <is>
          <t>NON</t>
        </is>
      </c>
      <c r="O2064" s="45" t="inlineStr"/>
    </row>
    <row r="2065" ht="28.8" customFormat="1" customHeight="1" s="3">
      <c r="A2065" s="45" t="n"/>
      <c r="B2065" s="46" t="inlineStr">
        <is>
          <t>31006</t>
        </is>
      </c>
      <c r="C2065" s="46">
        <f>LEFT(Tableau1[[#This Row],[Formacode]],3)</f>
        <v/>
      </c>
      <c r="D2065" s="47" t="n">
        <v>37391</v>
      </c>
      <c r="E2065" s="48">
        <f>"RNCP"&amp;D2065</f>
        <v/>
      </c>
      <c r="F2065" s="48" t="inlineStr">
        <is>
          <t>BTS - Cybersécurité, Informatique et réseaux, Électronique  - Option A : « Informatique et réseaux », Option B : « Électronique et réseaux »</t>
        </is>
      </c>
      <c r="G2065" s="49">
        <f>E2065&amp;" - "&amp;F2065</f>
        <v/>
      </c>
      <c r="H2065" s="36" t="inlineStr">
        <is>
          <t>RAS</t>
        </is>
      </c>
      <c r="I2065" s="45" t="inlineStr"/>
      <c r="J2065" s="45" t="inlineStr">
        <is>
          <t>RNCP37391</t>
        </is>
      </c>
      <c r="K2065" s="45" t="inlineStr">
        <is>
          <t>Cybersécurité, Informatique et réseaux, Électronique - Option A : « Informatique et réseaux », Option B : « Électronique et réseaux »</t>
        </is>
      </c>
      <c r="L2065" s="45" t="inlineStr">
        <is>
          <t>31/08/2028</t>
        </is>
      </c>
      <c r="M2065" s="45" t="inlineStr">
        <is>
          <t>24231 (Réseau informatique) ; 31045 (Cybersécurité) ; 24491 (Programmation informatique industrielle) ; 24340 (Maintenance électronique) ; 24392 (Électronique numérique)</t>
        </is>
      </c>
      <c r="N2065" s="50" t="inlineStr">
        <is>
          <t>NON</t>
        </is>
      </c>
      <c r="O2065" s="45" t="inlineStr"/>
    </row>
    <row r="2066" customFormat="1" s="3">
      <c r="A2066" s="45" t="n"/>
      <c r="B2066" s="46" t="inlineStr">
        <is>
          <t>31006</t>
        </is>
      </c>
      <c r="C2066" s="46">
        <f>LEFT(Tableau1[[#This Row],[Formacode]],3)</f>
        <v/>
      </c>
      <c r="D2066" s="47" t="n">
        <v>37488</v>
      </c>
      <c r="E2066" s="48">
        <f>"RNCP"&amp;D2066</f>
        <v/>
      </c>
      <c r="F2066" s="48" t="inlineStr">
        <is>
          <t>CS - Cybersécurité</t>
        </is>
      </c>
      <c r="G2066" s="49">
        <f>E2066&amp;" - "&amp;F2066</f>
        <v/>
      </c>
      <c r="H2066" s="36" t="inlineStr">
        <is>
          <t>RAS</t>
        </is>
      </c>
      <c r="I2066" s="45" t="inlineStr"/>
      <c r="J2066" s="45" t="inlineStr">
        <is>
          <t>RNCP37488</t>
        </is>
      </c>
      <c r="K2066" s="45" t="inlineStr">
        <is>
          <t>Cybersécurité</t>
        </is>
      </c>
      <c r="L2066" s="45" t="inlineStr">
        <is>
          <t>31/08/2028</t>
        </is>
      </c>
      <c r="M2066" s="45" t="inlineStr">
        <is>
          <t>31045 (Cybersécurité)</t>
        </is>
      </c>
      <c r="N2066" s="50" t="inlineStr">
        <is>
          <t>NON</t>
        </is>
      </c>
      <c r="O2066" s="45" t="inlineStr"/>
    </row>
    <row r="2067" customFormat="1" s="3">
      <c r="A2067" s="45" t="n"/>
      <c r="B2067" s="46" t="inlineStr">
        <is>
          <t>31006</t>
        </is>
      </c>
      <c r="C2067" s="46">
        <f>LEFT(Tableau1[[#This Row],[Formacode]],3)</f>
        <v/>
      </c>
      <c r="D2067" s="47" t="n">
        <v>37489</v>
      </c>
      <c r="E2067" s="48">
        <f>"RNCP"&amp;D2067</f>
        <v/>
      </c>
      <c r="F2067" s="48" t="inlineStr">
        <is>
          <t>BAC PRO - Cybersécurité, Informatique et réseaux, Electronique</t>
        </is>
      </c>
      <c r="G2067" s="49">
        <f>E2067&amp;" - "&amp;F2067</f>
        <v/>
      </c>
      <c r="H2067" s="36" t="inlineStr">
        <is>
          <t>RAS</t>
        </is>
      </c>
      <c r="I2067" s="45" t="inlineStr"/>
      <c r="J2067" s="45" t="inlineStr">
        <is>
          <t>RNCP37489</t>
        </is>
      </c>
      <c r="K2067" s="45" t="inlineStr">
        <is>
          <t>Cybersécurité, Informatique et réseaux, Electronique</t>
        </is>
      </c>
      <c r="L2067" s="45" t="inlineStr">
        <is>
          <t>31/08/2028</t>
        </is>
      </c>
      <c r="M2067" s="45" t="inlineStr">
        <is>
          <t>24340 (Maintenance électronique) ; 31045 (Cybersécurité) ; 24252 (Réseau télécom)</t>
        </is>
      </c>
      <c r="N2067" s="50" t="inlineStr">
        <is>
          <t>NON</t>
        </is>
      </c>
      <c r="O2067" s="45" t="inlineStr"/>
    </row>
    <row r="2068" customFormat="1" s="3">
      <c r="A2068" s="45" t="n"/>
      <c r="B2068" s="46" t="inlineStr">
        <is>
          <t>31006</t>
        </is>
      </c>
      <c r="C2068" s="46">
        <f>LEFT(Tableau1[[#This Row],[Formacode]],3)</f>
        <v/>
      </c>
      <c r="D2068" s="47" t="n">
        <v>37674</v>
      </c>
      <c r="E2068" s="48">
        <f>"RNCP"&amp;D2068</f>
        <v/>
      </c>
      <c r="F2068" s="48" t="inlineStr">
        <is>
          <t>TP - Développeur web et web mobile</t>
        </is>
      </c>
      <c r="G2068" s="49">
        <f>E2068&amp;" - "&amp;F2068</f>
        <v/>
      </c>
      <c r="H2068" s="36" t="inlineStr">
        <is>
          <t>RAS</t>
        </is>
      </c>
      <c r="I2068" s="45" t="inlineStr"/>
      <c r="J2068" s="45" t="inlineStr">
        <is>
          <t>RNCP37674</t>
        </is>
      </c>
      <c r="K2068" s="45" t="inlineStr">
        <is>
          <t>Développeur web et web mobile</t>
        </is>
      </c>
      <c r="L2068" s="45" t="inlineStr">
        <is>
          <t>01/09/2028</t>
        </is>
      </c>
      <c r="M2068" s="45" t="inlineStr">
        <is>
          <t>31090 (Développement web) ; 46357 (Qualité web) ; 31006 (Sécurité informatique) ; 70710 (Logiciel gestion de contenu e-commerce)</t>
        </is>
      </c>
      <c r="N2068" s="50" t="inlineStr">
        <is>
          <t>NON</t>
        </is>
      </c>
      <c r="O2068" s="45" t="inlineStr"/>
    </row>
    <row r="2069" customFormat="1" s="3">
      <c r="A2069" s="45" t="n"/>
      <c r="B2069" s="46" t="inlineStr">
        <is>
          <t>31006</t>
        </is>
      </c>
      <c r="C2069" s="46">
        <f>LEFT(Tableau1[[#This Row],[Formacode]],3)</f>
        <v/>
      </c>
      <c r="D2069" s="47" t="n">
        <v>37680</v>
      </c>
      <c r="E2069" s="48">
        <f>"RNCP"&amp;D2069</f>
        <v/>
      </c>
      <c r="F2069" s="48" t="inlineStr">
        <is>
          <t>TP - Administrateur d'infrastructures sécurisées</t>
        </is>
      </c>
      <c r="G2069" s="49">
        <f>E2069&amp;" - "&amp;F2069</f>
        <v/>
      </c>
      <c r="H2069" s="36" t="inlineStr">
        <is>
          <t>RAS</t>
        </is>
      </c>
      <c r="I2069" s="45" t="inlineStr"/>
      <c r="J2069" s="45" t="inlineStr">
        <is>
          <t>RNCP37680</t>
        </is>
      </c>
      <c r="K2069" s="45" t="inlineStr">
        <is>
          <t>Administrateur d'infrastructures sécurisées</t>
        </is>
      </c>
      <c r="L2069" s="45" t="inlineStr">
        <is>
          <t>28/02/2027</t>
        </is>
      </c>
      <c r="M2069" s="45" t="inlineStr">
        <is>
          <t>31015 (Virtualisation) ; 31006 (Sécurité informatique) ; 24273 (Architecture réseau) ; 31034 (Administration système)</t>
        </is>
      </c>
      <c r="N2069" s="50" t="inlineStr">
        <is>
          <t>NON</t>
        </is>
      </c>
      <c r="O2069" s="45" t="inlineStr"/>
    </row>
    <row r="2070" customFormat="1" s="3">
      <c r="A2070" s="51" t="n"/>
      <c r="B2070" s="52" t="inlineStr">
        <is>
          <t>31006</t>
        </is>
      </c>
      <c r="C2070" s="52">
        <f>LEFT(Tableau1[[#This Row],[Formacode]],3)</f>
        <v/>
      </c>
      <c r="D2070" s="53" t="n">
        <v>37778</v>
      </c>
      <c r="E2070" s="54">
        <f>"RNCP"&amp;D2070</f>
        <v/>
      </c>
      <c r="F2070" s="54" t="inlineStr">
        <is>
          <t>Développeur de solutions numériques sécurisées</t>
        </is>
      </c>
      <c r="G2070" s="55">
        <f>E2070&amp;" - "&amp;F2070</f>
        <v/>
      </c>
      <c r="H2070" s="37" t="inlineStr">
        <is>
          <t>À vérifier</t>
        </is>
      </c>
      <c r="I2070" s="51" t="inlineStr">
        <is>
          <t>Successeur déjà publié : RNCP42620 (Développeur de solutions numériques sécurisées) — préparer la bascule de l'offre CPF | Échéance le 19/07/2026 (dans 1 j)</t>
        </is>
      </c>
      <c r="J2070" s="51" t="inlineStr">
        <is>
          <t>RNCP42620</t>
        </is>
      </c>
      <c r="K2070" s="51" t="inlineStr">
        <is>
          <t>Développeur de solutions numériques sécurisées</t>
        </is>
      </c>
      <c r="L2070" s="51" t="inlineStr">
        <is>
          <t>19/07/2026</t>
        </is>
      </c>
      <c r="M2070" s="51" t="inlineStr">
        <is>
          <t>31067 (Développement informatique) ; 31006 (Sécurité informatique)</t>
        </is>
      </c>
      <c r="N2070" s="56" t="inlineStr">
        <is>
          <t>OUI</t>
        </is>
      </c>
      <c r="O2070" s="41" t="inlineStr">
        <is>
          <t>Successeur(s) modifié(s) : RNCP42620</t>
        </is>
      </c>
    </row>
    <row r="2071" customFormat="1" s="3">
      <c r="A2071" s="51" t="n"/>
      <c r="B2071" s="52" t="inlineStr">
        <is>
          <t>31006</t>
        </is>
      </c>
      <c r="C2071" s="52">
        <f>LEFT(Tableau1[[#This Row],[Formacode]],3)</f>
        <v/>
      </c>
      <c r="D2071" s="53" t="n">
        <v>37796</v>
      </c>
      <c r="E2071" s="54">
        <f>"RNCP"&amp;D2071</f>
        <v/>
      </c>
      <c r="F2071" s="54" t="inlineStr">
        <is>
          <t>Gestionnaire de la sécurité des données, des réseaux et des systèmes</t>
        </is>
      </c>
      <c r="G2071" s="55">
        <f>E2071&amp;" - "&amp;F2071</f>
        <v/>
      </c>
      <c r="H2071" s="37" t="inlineStr">
        <is>
          <t>À vérifier</t>
        </is>
      </c>
      <c r="I2071" s="51" t="inlineStr">
        <is>
          <t>Successeur déjà publié : RNCP42345 (Expert cybersécurité) — préparer la bascule de l'offre CPF | Échéance le 19/07/2026 (dans 1 j)</t>
        </is>
      </c>
      <c r="J2071" s="51" t="inlineStr">
        <is>
          <t>RNCP42345</t>
        </is>
      </c>
      <c r="K2071" s="51" t="inlineStr">
        <is>
          <t>Expert cybersécurité</t>
        </is>
      </c>
      <c r="L2071" s="51" t="inlineStr">
        <is>
          <t>19/07/2026</t>
        </is>
      </c>
      <c r="M2071" s="51" t="inlineStr">
        <is>
          <t>31045 (Cybersécurité) ; 31038 (Audit informatique) ; 24231 (Réseau informatique) ; 31094 (Gestion projet informatique)</t>
        </is>
      </c>
      <c r="N2071" s="62" t="inlineStr">
        <is>
          <t>NON</t>
        </is>
      </c>
      <c r="O2071" s="51" t="inlineStr"/>
    </row>
    <row r="2072" customFormat="1" s="3">
      <c r="A2072" s="45" t="n"/>
      <c r="B2072" s="46" t="inlineStr">
        <is>
          <t>31006</t>
        </is>
      </c>
      <c r="C2072" s="46">
        <f>LEFT(Tableau1[[#This Row],[Formacode]],3)</f>
        <v/>
      </c>
      <c r="D2072" s="47" t="n">
        <v>37873</v>
      </c>
      <c r="E2072" s="48">
        <f>"RNCP"&amp;D2072</f>
        <v/>
      </c>
      <c r="F2072" s="48" t="inlineStr">
        <is>
          <t>TP - Concepteur développeur d'applications</t>
        </is>
      </c>
      <c r="G2072" s="49">
        <f>E2072&amp;" - "&amp;F2072</f>
        <v/>
      </c>
      <c r="H2072" s="36" t="inlineStr">
        <is>
          <t>RAS</t>
        </is>
      </c>
      <c r="I2072" s="45" t="inlineStr"/>
      <c r="J2072" s="45" t="inlineStr">
        <is>
          <t>RNCP37873</t>
        </is>
      </c>
      <c r="K2072" s="45" t="inlineStr">
        <is>
          <t>Concepteur développeur d'applications</t>
        </is>
      </c>
      <c r="L2072" s="45" t="inlineStr">
        <is>
          <t>18/12/2028</t>
        </is>
      </c>
      <c r="M2072" s="45" t="inlineStr">
        <is>
          <t>31067 (Développement informatique) ; 31036 (Administration base de données) ; 31010 (Architecture web) ; 31084 (Informatique de gestion) ; 31006 (Sécurité informatique)</t>
        </is>
      </c>
      <c r="N2072" s="50" t="inlineStr">
        <is>
          <t>NON</t>
        </is>
      </c>
      <c r="O2072" s="45" t="inlineStr"/>
    </row>
    <row r="2073" customFormat="1" s="3">
      <c r="A2073" s="51" t="n"/>
      <c r="B2073" s="52" t="inlineStr">
        <is>
          <t>31006</t>
        </is>
      </c>
      <c r="C2073" s="52">
        <f>LEFT(Tableau1[[#This Row],[Formacode]],3)</f>
        <v/>
      </c>
      <c r="D2073" s="53" t="n">
        <v>37985</v>
      </c>
      <c r="E2073" s="54">
        <f>"RNCP"&amp;D2073</f>
        <v/>
      </c>
      <c r="F2073" s="54" t="inlineStr">
        <is>
          <t>Expert en ingénierie logicielle</t>
        </is>
      </c>
      <c r="G2073" s="55">
        <f>E2073&amp;" - "&amp;F2073</f>
        <v/>
      </c>
      <c r="H2073" s="37" t="inlineStr">
        <is>
          <t>À vérifier</t>
        </is>
      </c>
      <c r="I2073" s="51" t="inlineStr">
        <is>
          <t>Successeur déjà publié : RNCP42505 (Expert en ingénierie logicielle) — préparer la bascule de l'offre CPF | Échéance le 20/09/2026 (dans 64 j)</t>
        </is>
      </c>
      <c r="J2073" s="51" t="inlineStr">
        <is>
          <t>RNCP42505</t>
        </is>
      </c>
      <c r="K2073" s="51" t="inlineStr">
        <is>
          <t>Expert en ingénierie logicielle</t>
        </is>
      </c>
      <c r="L2073" s="51" t="inlineStr">
        <is>
          <t>20/09/2026</t>
        </is>
      </c>
      <c r="M2073" s="51" t="inlineStr">
        <is>
          <t>31057 (Génie logiciel) ; 31067 (Développement informatique) ; 31006 (Sécurité informatique) ; 31009 (Architecture système information)</t>
        </is>
      </c>
      <c r="N2073" s="62" t="inlineStr">
        <is>
          <t>NON</t>
        </is>
      </c>
      <c r="O2073" s="51" t="inlineStr"/>
    </row>
    <row r="2074" customFormat="1" s="3">
      <c r="A2074" s="51" t="n"/>
      <c r="B2074" s="52" t="inlineStr">
        <is>
          <t>31006</t>
        </is>
      </c>
      <c r="C2074" s="52">
        <f>LEFT(Tableau1[[#This Row],[Formacode]],3)</f>
        <v/>
      </c>
      <c r="D2074" s="53" t="n">
        <v>37987</v>
      </c>
      <c r="E2074" s="54">
        <f>"RNCP"&amp;D2074</f>
        <v/>
      </c>
      <c r="F2074" s="54" t="inlineStr">
        <is>
          <t>Spécialiste en cybersécurité</t>
        </is>
      </c>
      <c r="G2074" s="55">
        <f>E2074&amp;" - "&amp;F2074</f>
        <v/>
      </c>
      <c r="H2074" s="37" t="inlineStr">
        <is>
          <t>À vérifier</t>
        </is>
      </c>
      <c r="I2074" s="51" t="inlineStr">
        <is>
          <t>Successeur déjà publié : RNCP42503 (Spécialiste en cybersécurité) — préparer la bascule de l'offre CPF | Échéance le 20/09/2026 (dans 64 j)</t>
        </is>
      </c>
      <c r="J2074" s="51" t="inlineStr">
        <is>
          <t>RNCP42503</t>
        </is>
      </c>
      <c r="K2074" s="51" t="inlineStr">
        <is>
          <t>Spécialiste en cybersécurité</t>
        </is>
      </c>
      <c r="L2074" s="51" t="inlineStr">
        <is>
          <t>20/09/2026</t>
        </is>
      </c>
      <c r="M2074" s="51" t="inlineStr">
        <is>
          <t>31045 (Cybersécurité) ; 31038 (Audit informatique) ; 31032 (Système exploitation informatique) ; 24220 (Gestion réseau informatique)</t>
        </is>
      </c>
      <c r="N2074" s="62" t="inlineStr">
        <is>
          <t>NON</t>
        </is>
      </c>
      <c r="O2074" s="51" t="inlineStr"/>
    </row>
    <row r="2075" customFormat="1" s="3">
      <c r="A2075" s="51" t="n"/>
      <c r="B2075" s="52" t="inlineStr">
        <is>
          <t>31006</t>
        </is>
      </c>
      <c r="C2075" s="52">
        <f>LEFT(Tableau1[[#This Row],[Formacode]],3)</f>
        <v/>
      </c>
      <c r="D2075" s="53" t="n">
        <v>38018</v>
      </c>
      <c r="E2075" s="54">
        <f>"RNCP"&amp;D2075</f>
        <v/>
      </c>
      <c r="F2075" s="54" t="inlineStr">
        <is>
          <t>Chef de projet digital</t>
        </is>
      </c>
      <c r="G2075" s="55">
        <f>E2075&amp;" - "&amp;F2075</f>
        <v/>
      </c>
      <c r="H2075" s="37" t="inlineStr">
        <is>
          <t>À vérifier</t>
        </is>
      </c>
      <c r="I2075" s="51" t="inlineStr">
        <is>
          <t>Échéance le 20/09/2026 (dans 64 j)</t>
        </is>
      </c>
      <c r="J2075" s="51" t="inlineStr">
        <is>
          <t>RNCP38018</t>
        </is>
      </c>
      <c r="K2075" s="51" t="inlineStr">
        <is>
          <t>Chef de projet digital</t>
        </is>
      </c>
      <c r="L2075" s="51" t="inlineStr">
        <is>
          <t>20/09/2026</t>
        </is>
      </c>
      <c r="M2075" s="51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075" s="62" t="inlineStr">
        <is>
          <t>NON</t>
        </is>
      </c>
      <c r="O2075" s="51" t="inlineStr"/>
    </row>
    <row r="2076" customFormat="1" s="3">
      <c r="A2076" s="45" t="n"/>
      <c r="B2076" s="46" t="inlineStr">
        <is>
          <t>31006</t>
        </is>
      </c>
      <c r="C2076" s="46">
        <f>LEFT(Tableau1[[#This Row],[Formacode]],3)</f>
        <v/>
      </c>
      <c r="D2076" s="47" t="n">
        <v>38108</v>
      </c>
      <c r="E2076" s="48">
        <f>"RNCP"&amp;D2076</f>
        <v/>
      </c>
      <c r="F2076" s="48" t="inlineStr">
        <is>
          <t>Administrateur de systèmes et réseaux sécurisés</t>
        </is>
      </c>
      <c r="G2076" s="49">
        <f>E2076&amp;" - "&amp;F2076</f>
        <v/>
      </c>
      <c r="H2076" s="36" t="inlineStr">
        <is>
          <t>RAS</t>
        </is>
      </c>
      <c r="I2076" s="45" t="inlineStr"/>
      <c r="J2076" s="45" t="inlineStr">
        <is>
          <t>RNCP38108</t>
        </is>
      </c>
      <c r="K2076" s="45" t="inlineStr">
        <is>
          <t>Administrateur de systèmes et réseaux sécurisés</t>
        </is>
      </c>
      <c r="L2076" s="45" t="inlineStr">
        <is>
          <t>18/10/2028</t>
        </is>
      </c>
      <c r="M2076" s="45" t="inlineStr">
        <is>
          <t>31034 (Administration système) ; 24273 (Architecture réseau) ; 24220 (Gestion réseau informatique) ; 31008 (Système information) ; 31006 (Sécurité informatique)</t>
        </is>
      </c>
      <c r="N2076" s="50" t="inlineStr">
        <is>
          <t>NON</t>
        </is>
      </c>
      <c r="O2076" s="45" t="inlineStr"/>
    </row>
    <row r="2077" customFormat="1" s="3">
      <c r="A2077" s="45" t="n"/>
      <c r="B2077" s="46" t="inlineStr">
        <is>
          <t>31006</t>
        </is>
      </c>
      <c r="C2077" s="46">
        <f>LEFT(Tableau1[[#This Row],[Formacode]],3)</f>
        <v/>
      </c>
      <c r="D2077" s="47" t="n">
        <v>38117</v>
      </c>
      <c r="E2077" s="48">
        <f>"RNCP"&amp;D2077</f>
        <v/>
      </c>
      <c r="F2077" s="48" t="inlineStr">
        <is>
          <t>Ingénieur systèmes, réseaux et cybersécurité</t>
        </is>
      </c>
      <c r="G2077" s="49">
        <f>E2077&amp;" - "&amp;F2077</f>
        <v/>
      </c>
      <c r="H2077" s="36" t="inlineStr">
        <is>
          <t>RAS</t>
        </is>
      </c>
      <c r="I2077" s="45" t="inlineStr"/>
      <c r="J2077" s="45" t="inlineStr">
        <is>
          <t>RNCP38117</t>
        </is>
      </c>
      <c r="K2077" s="45" t="inlineStr">
        <is>
          <t>Ingénieur systèmes, réseaux et cybersécurité</t>
        </is>
      </c>
      <c r="L2077" s="45" t="inlineStr">
        <is>
          <t>18/10/2028</t>
        </is>
      </c>
      <c r="M2077" s="45" t="inlineStr">
        <is>
          <t>31034 (Administration système) ; 24231 (Réseau informatique) ; 31006 (Sécurité informatique) ; 31094 (Gestion projet informatique) ; 31009 (Architecture système information)</t>
        </is>
      </c>
      <c r="N2077" s="50" t="inlineStr">
        <is>
          <t>NON</t>
        </is>
      </c>
      <c r="O2077" s="45" t="inlineStr"/>
    </row>
    <row r="2078" customFormat="1" s="3">
      <c r="A2078" s="51" t="n"/>
      <c r="B2078" s="52" t="inlineStr">
        <is>
          <t>31006</t>
        </is>
      </c>
      <c r="C2078" s="52">
        <f>LEFT(Tableau1[[#This Row],[Formacode]],3)</f>
        <v/>
      </c>
      <c r="D2078" s="53" t="n">
        <v>38463</v>
      </c>
      <c r="E2078" s="54">
        <f>"RNCP"&amp;D2078</f>
        <v/>
      </c>
      <c r="F2078" s="54" t="inlineStr">
        <is>
          <t>Expert en développement de solutions de cybersécurité</t>
        </is>
      </c>
      <c r="G2078" s="55">
        <f>E2078&amp;" - "&amp;F2078</f>
        <v/>
      </c>
      <c r="H2078" s="37" t="inlineStr">
        <is>
          <t>À vérifier</t>
        </is>
      </c>
      <c r="I2078" s="51" t="inlineStr">
        <is>
          <t>Échéance le 21/12/2026 (dans 156 j)</t>
        </is>
      </c>
      <c r="J2078" s="51" t="inlineStr">
        <is>
          <t>RNCP38463</t>
        </is>
      </c>
      <c r="K2078" s="51" t="inlineStr">
        <is>
          <t>Expert en développement de solutions de cybersécurité</t>
        </is>
      </c>
      <c r="L2078" s="51" t="inlineStr">
        <is>
          <t>21/12/2026</t>
        </is>
      </c>
      <c r="M2078" s="51" t="inlineStr">
        <is>
          <t>31045 (Cybersécurité)</t>
        </is>
      </c>
      <c r="N2078" s="62" t="inlineStr">
        <is>
          <t>NON</t>
        </is>
      </c>
      <c r="O2078" s="51" t="inlineStr"/>
    </row>
    <row r="2079" customFormat="1" s="3">
      <c r="A2079" s="45" t="n"/>
      <c r="B2079" s="46" t="inlineStr">
        <is>
          <t>31006</t>
        </is>
      </c>
      <c r="C2079" s="46">
        <f>LEFT(Tableau1[[#This Row],[Formacode]],3)</f>
        <v/>
      </c>
      <c r="D2079" s="47" t="n">
        <v>38585</v>
      </c>
      <c r="E2079" s="48">
        <f>"RNCP"&amp;D2079</f>
        <v/>
      </c>
      <c r="F2079" s="48" t="inlineStr">
        <is>
          <t>Délégué à la protection des données (MS)</t>
        </is>
      </c>
      <c r="G2079" s="49">
        <f>E2079&amp;" - "&amp;F2079</f>
        <v/>
      </c>
      <c r="H2079" s="36" t="inlineStr">
        <is>
          <t>RAS</t>
        </is>
      </c>
      <c r="I2079" s="45" t="inlineStr"/>
      <c r="J2079" s="45" t="inlineStr">
        <is>
          <t>RNCP38585</t>
        </is>
      </c>
      <c r="K2079" s="45" t="inlineStr">
        <is>
          <t>Délégué à la protection des données (MS)</t>
        </is>
      </c>
      <c r="L2079" s="45" t="inlineStr">
        <is>
          <t>09/02/2027</t>
        </is>
      </c>
      <c r="M2079" s="45" t="inlineStr">
        <is>
          <t>13238 (Règlement général protection données) ; 31006 (Sécurité informatique)</t>
        </is>
      </c>
      <c r="N2079" s="50" t="inlineStr">
        <is>
          <t>NON</t>
        </is>
      </c>
      <c r="O2079" s="45" t="inlineStr"/>
    </row>
    <row r="2080" customFormat="1" s="3">
      <c r="A2080" s="45" t="n"/>
      <c r="B2080" s="46" t="inlineStr">
        <is>
          <t>31006</t>
        </is>
      </c>
      <c r="C2080" s="46">
        <f>LEFT(Tableau1[[#This Row],[Formacode]],3)</f>
        <v/>
      </c>
      <c r="D2080" s="47" t="n">
        <v>38905</v>
      </c>
      <c r="E2080" s="48">
        <f>"RNCP"&amp;D2080</f>
        <v/>
      </c>
      <c r="F2080" s="48" t="inlineStr">
        <is>
          <t>Manager de projets informatiques</t>
        </is>
      </c>
      <c r="G2080" s="49">
        <f>E2080&amp;" - "&amp;F2080</f>
        <v/>
      </c>
      <c r="H2080" s="36" t="inlineStr">
        <is>
          <t>RAS</t>
        </is>
      </c>
      <c r="I2080" s="45" t="inlineStr"/>
      <c r="J2080" s="45" t="inlineStr">
        <is>
          <t>RNCP38905</t>
        </is>
      </c>
      <c r="K2080" s="45" t="inlineStr">
        <is>
          <t>Manager de projets informatiques</t>
        </is>
      </c>
      <c r="L2080" s="45" t="inlineStr">
        <is>
          <t>26/04/2027</t>
        </is>
      </c>
      <c r="M2080" s="45" t="inlineStr">
        <is>
          <t>31094 (Gestion projet informatique) ; 31006 (Sécurité informatique) ; 31009 (Architecture système information)</t>
        </is>
      </c>
      <c r="N2080" s="50" t="inlineStr">
        <is>
          <t>NON</t>
        </is>
      </c>
      <c r="O2080" s="45" t="inlineStr"/>
    </row>
    <row r="2081" customFormat="1" s="3">
      <c r="A2081" s="45" t="n"/>
      <c r="B2081" s="46" t="inlineStr">
        <is>
          <t>31006</t>
        </is>
      </c>
      <c r="C2081" s="46">
        <f>LEFT(Tableau1[[#This Row],[Formacode]],3)</f>
        <v/>
      </c>
      <c r="D2081" s="47" t="n">
        <v>39425</v>
      </c>
      <c r="E2081" s="48">
        <f>"RNCP"&amp;D2081</f>
        <v/>
      </c>
      <c r="F2081" s="48" t="inlineStr">
        <is>
          <t>Diplôme visé - Expert en Ingénierie Informatique et Innovation Numérique</t>
        </is>
      </c>
      <c r="G2081" s="49">
        <f>E2081&amp;" - "&amp;F2081</f>
        <v/>
      </c>
      <c r="H2081" s="36" t="inlineStr">
        <is>
          <t>RAS</t>
        </is>
      </c>
      <c r="I2081" s="45" t="inlineStr"/>
      <c r="J2081" s="45" t="inlineStr">
        <is>
          <t>RNCP39425</t>
        </is>
      </c>
      <c r="K2081" s="45" t="inlineStr">
        <is>
          <t>Expert en Ingénierie Informatique et Innovation Numérique</t>
        </is>
      </c>
      <c r="L2081" s="45" t="inlineStr">
        <is>
          <t>31/08/2029</t>
        </is>
      </c>
      <c r="M2081" s="45" t="inlineStr">
        <is>
          <t>31054 (Informatique - Systèmes d’information et numérique) ; 32070 (Innovation entreprise)</t>
        </is>
      </c>
      <c r="N2081" s="50" t="inlineStr">
        <is>
          <t>NON</t>
        </is>
      </c>
      <c r="O2081" s="45" t="inlineStr"/>
    </row>
    <row r="2082" customFormat="1" s="3">
      <c r="A2082" s="45" t="n"/>
      <c r="B2082" s="46" t="inlineStr">
        <is>
          <t>31006</t>
        </is>
      </c>
      <c r="C2082" s="46">
        <f>LEFT(Tableau1[[#This Row],[Formacode]],3)</f>
        <v/>
      </c>
      <c r="D2082" s="47" t="n">
        <v>39445</v>
      </c>
      <c r="E2082" s="48">
        <f>"RNCP"&amp;D2082</f>
        <v/>
      </c>
      <c r="F2082" s="48" t="inlineStr">
        <is>
          <t>Titre ingénieur - Ingénieur diplômé de l'Institut supérieur d'électronique de Paris</t>
        </is>
      </c>
      <c r="G2082" s="49">
        <f>E2082&amp;" - "&amp;F2082</f>
        <v/>
      </c>
      <c r="H2082" s="36" t="inlineStr">
        <is>
          <t>RAS</t>
        </is>
      </c>
      <c r="I2082" s="45" t="inlineStr"/>
      <c r="J2082" s="45" t="inlineStr">
        <is>
          <t>RNCP39445</t>
        </is>
      </c>
      <c r="K2082" s="45" t="inlineStr">
        <is>
          <t>Ingénieur diplômé de l'Institut supérieur d'électronique de Paris</t>
        </is>
      </c>
      <c r="L2082" s="45" t="inlineStr">
        <is>
          <t>31/08/2029</t>
        </is>
      </c>
      <c r="M2082" s="45" t="inlineStr">
        <is>
          <t>24354 (Électronique) ; 31054 (Informatique - Systèmes d’information et numérique) ; 32062 (Recherche développement) ; 15099 (Résolution problème)</t>
        </is>
      </c>
      <c r="N2082" s="50" t="inlineStr">
        <is>
          <t>NON</t>
        </is>
      </c>
      <c r="O2082" s="45" t="inlineStr"/>
    </row>
    <row r="2083" customFormat="1" s="3">
      <c r="A2083" s="45" t="n"/>
      <c r="B2083" s="46" t="inlineStr">
        <is>
          <t>31006</t>
        </is>
      </c>
      <c r="C2083" s="46">
        <f>LEFT(Tableau1[[#This Row],[Formacode]],3)</f>
        <v/>
      </c>
      <c r="D2083" s="47" t="n">
        <v>39582</v>
      </c>
      <c r="E2083" s="48">
        <f>"RNCP"&amp;D2083</f>
        <v/>
      </c>
      <c r="F2083" s="48" t="inlineStr">
        <is>
          <t>Expert en architecture des systèmes d’information</t>
        </is>
      </c>
      <c r="G2083" s="49">
        <f>E2083&amp;" - "&amp;F2083</f>
        <v/>
      </c>
      <c r="H2083" s="36" t="inlineStr">
        <is>
          <t>RAS</t>
        </is>
      </c>
      <c r="I2083" s="45" t="inlineStr"/>
      <c r="J2083" s="45" t="inlineStr">
        <is>
          <t>RNCP39582</t>
        </is>
      </c>
      <c r="K2083" s="45" t="inlineStr">
        <is>
          <t>Expert en architecture des systèmes d’information</t>
        </is>
      </c>
      <c r="L2083" s="45" t="inlineStr">
        <is>
          <t>01/10/2029</t>
        </is>
      </c>
      <c r="M2083" s="45" t="inlineStr">
        <is>
          <t>31054 (Informatique - Systèmes d’information et numérique)</t>
        </is>
      </c>
      <c r="N2083" s="50" t="inlineStr">
        <is>
          <t>NON</t>
        </is>
      </c>
      <c r="O2083" s="45" t="inlineStr"/>
    </row>
    <row r="2084" ht="28.8" customFormat="1" customHeight="1" s="3">
      <c r="A2084" s="45" t="n"/>
      <c r="B2084" s="46" t="inlineStr">
        <is>
          <t>31006</t>
        </is>
      </c>
      <c r="C2084" s="46">
        <f>LEFT(Tableau1[[#This Row],[Formacode]],3)</f>
        <v/>
      </c>
      <c r="D2084" s="47" t="n">
        <v>39586</v>
      </c>
      <c r="E2084" s="48">
        <f>"RNCP"&amp;D2084</f>
        <v/>
      </c>
      <c r="F2084" s="48" t="inlineStr">
        <is>
          <t>Ingénieur en science des données spécialisé en infrastructure data ou en apprentissage automatique</t>
        </is>
      </c>
      <c r="G2084" s="49">
        <f>E2084&amp;" - "&amp;F2084</f>
        <v/>
      </c>
      <c r="H2084" s="36" t="inlineStr">
        <is>
          <t>RAS</t>
        </is>
      </c>
      <c r="I2084" s="45" t="inlineStr"/>
      <c r="J2084" s="45" t="inlineStr">
        <is>
          <t>RNCP39586</t>
        </is>
      </c>
      <c r="K2084" s="45" t="inlineStr">
        <is>
          <t>Ingénieur en science des données spécialisé en infrastructure data ou en apprentissage automatique</t>
        </is>
      </c>
      <c r="L2084" s="45" t="inlineStr">
        <is>
          <t>01/10/2029</t>
        </is>
      </c>
      <c r="M2084" s="45" t="inlineStr">
        <is>
          <t>31054 (Informatique - Systèmes d’information et numérique)</t>
        </is>
      </c>
      <c r="N2084" s="50" t="inlineStr">
        <is>
          <t>NON</t>
        </is>
      </c>
      <c r="O2084" s="45" t="inlineStr"/>
    </row>
    <row r="2085" customFormat="1" s="3">
      <c r="A2085" s="45" t="n"/>
      <c r="B2085" s="46" t="inlineStr">
        <is>
          <t>31006</t>
        </is>
      </c>
      <c r="C2085" s="46">
        <f>LEFT(Tableau1[[#This Row],[Formacode]],3)</f>
        <v/>
      </c>
      <c r="D2085" s="47" t="n">
        <v>39609</v>
      </c>
      <c r="E2085" s="48">
        <f>"RNCP"&amp;D2085</f>
        <v/>
      </c>
      <c r="F2085" s="48" t="inlineStr">
        <is>
          <t>Concepteur développeur web full-stack</t>
        </is>
      </c>
      <c r="G2085" s="49">
        <f>E2085&amp;" - "&amp;F2085</f>
        <v/>
      </c>
      <c r="H2085" s="36" t="inlineStr">
        <is>
          <t>RAS</t>
        </is>
      </c>
      <c r="I2085" s="45" t="inlineStr"/>
      <c r="J2085" s="45" t="inlineStr">
        <is>
          <t>RNCP39609</t>
        </is>
      </c>
      <c r="K2085" s="45" t="inlineStr">
        <is>
          <t>Concepteur développeur web full-stack</t>
        </is>
      </c>
      <c r="L2085" s="45" t="inlineStr">
        <is>
          <t>01/10/2028</t>
        </is>
      </c>
      <c r="M2085" s="45" t="inlineStr">
        <is>
          <t>31090 (Développement web) ; 30854 (Langages informatiques) ; 46339 (Conduite projet numérique) ; 31006 (Sécurité informatique)</t>
        </is>
      </c>
      <c r="N2085" s="50" t="inlineStr">
        <is>
          <t>NON</t>
        </is>
      </c>
      <c r="O2085" s="45" t="inlineStr"/>
    </row>
    <row r="2086" customFormat="1" s="3">
      <c r="A2086" s="45" t="n"/>
      <c r="B2086" s="46" t="inlineStr">
        <is>
          <t>31006</t>
        </is>
      </c>
      <c r="C2086" s="46">
        <f>LEFT(Tableau1[[#This Row],[Formacode]],3)</f>
        <v/>
      </c>
      <c r="D2086" s="47" t="n">
        <v>40165</v>
      </c>
      <c r="E2086" s="48">
        <f>"RNCP"&amp;D2086</f>
        <v/>
      </c>
      <c r="F2086" s="48" t="inlineStr">
        <is>
          <t>Expert en architectures sécurisées des systèmes d'information</t>
        </is>
      </c>
      <c r="G2086" s="49">
        <f>E2086&amp;" - "&amp;F2086</f>
        <v/>
      </c>
      <c r="H2086" s="36" t="inlineStr">
        <is>
          <t>RAS</t>
        </is>
      </c>
      <c r="I2086" s="45" t="inlineStr"/>
      <c r="J2086" s="45" t="inlineStr">
        <is>
          <t>RNCP40165</t>
        </is>
      </c>
      <c r="K2086" s="45" t="inlineStr">
        <is>
          <t>Expert en architectures sécurisées des systèmes d'information</t>
        </is>
      </c>
      <c r="L2086" s="45" t="inlineStr">
        <is>
          <t>31/01/2028</t>
        </is>
      </c>
      <c r="M2086" s="45" t="inlineStr">
        <is>
          <t>31009 (Architecture système information) ; 31006 (Sécurité informatique) ; 31094 (Gestion projet informatique)</t>
        </is>
      </c>
      <c r="N2086" s="50" t="inlineStr">
        <is>
          <t>NON</t>
        </is>
      </c>
      <c r="O2086" s="45" t="inlineStr"/>
    </row>
    <row r="2087" customFormat="1" s="3">
      <c r="A2087" s="45" t="n"/>
      <c r="B2087" s="46" t="inlineStr">
        <is>
          <t>31006</t>
        </is>
      </c>
      <c r="C2087" s="46">
        <f>LEFT(Tableau1[[#This Row],[Formacode]],3)</f>
        <v/>
      </c>
      <c r="D2087" s="47" t="n">
        <v>40166</v>
      </c>
      <c r="E2087" s="48">
        <f>"RNCP"&amp;D2087</f>
        <v/>
      </c>
      <c r="F2087" s="48" t="inlineStr">
        <is>
          <t>Expert en développement et déploiement de solutions numériques sécurisées</t>
        </is>
      </c>
      <c r="G2087" s="49">
        <f>E2087&amp;" - "&amp;F2087</f>
        <v/>
      </c>
      <c r="H2087" s="36" t="inlineStr">
        <is>
          <t>RAS</t>
        </is>
      </c>
      <c r="I2087" s="45" t="inlineStr"/>
      <c r="J2087" s="45" t="inlineStr">
        <is>
          <t>RNCP40166</t>
        </is>
      </c>
      <c r="K2087" s="45" t="inlineStr">
        <is>
          <t>Expert en développement et déploiement de solutions numériques sécurisées</t>
        </is>
      </c>
      <c r="L2087" s="45" t="inlineStr">
        <is>
          <t>31/01/2028</t>
        </is>
      </c>
      <c r="M2087" s="45" t="inlineStr">
        <is>
          <t>31094 (Gestion projet informatique) ; 31006 (Sécurité informatique) ; 31018 (Architecture orientée services) ; 31057 (Génie logiciel)</t>
        </is>
      </c>
      <c r="N2087" s="50" t="inlineStr">
        <is>
          <t>NON</t>
        </is>
      </c>
      <c r="O2087" s="45" t="inlineStr"/>
    </row>
    <row r="2088" customFormat="1" s="3">
      <c r="A2088" s="45" t="n"/>
      <c r="B2088" s="46" t="inlineStr">
        <is>
          <t>31006</t>
        </is>
      </c>
      <c r="C2088" s="46">
        <f>LEFT(Tableau1[[#This Row],[Formacode]],3)</f>
        <v/>
      </c>
      <c r="D2088" s="47" t="n">
        <v>40167</v>
      </c>
      <c r="E2088" s="48">
        <f>"RNCP"&amp;D2088</f>
        <v/>
      </c>
      <c r="F2088" s="48" t="inlineStr">
        <is>
          <t>Expert en ingénierie de données massives et intelligence artificielle</t>
        </is>
      </c>
      <c r="G2088" s="49">
        <f>E2088&amp;" - "&amp;F2088</f>
        <v/>
      </c>
      <c r="H2088" s="36" t="inlineStr">
        <is>
          <t>RAS</t>
        </is>
      </c>
      <c r="I2088" s="45" t="inlineStr"/>
      <c r="J2088" s="45" t="inlineStr">
        <is>
          <t>RNCP40167</t>
        </is>
      </c>
      <c r="K2088" s="45" t="inlineStr">
        <is>
          <t>Expert en ingénierie de données massives et intelligence artificielle</t>
        </is>
      </c>
      <c r="L2088" s="45" t="inlineStr">
        <is>
          <t>31/01/2028</t>
        </is>
      </c>
      <c r="M2088" s="45" t="inlineStr">
        <is>
          <t>31023 (Gestion données massives) ; 11031 (Modèle mathématique) ; 31028 (Intelligence artificielle) ; 31094 (Gestion projet informatique) ; 31006 (Sécurité informatique)</t>
        </is>
      </c>
      <c r="N2088" s="50" t="inlineStr">
        <is>
          <t>NON</t>
        </is>
      </c>
      <c r="O2088" s="45" t="inlineStr"/>
    </row>
    <row r="2089" customFormat="1" s="3">
      <c r="A2089" s="45" t="n"/>
      <c r="B2089" s="46" t="inlineStr">
        <is>
          <t>31006</t>
        </is>
      </c>
      <c r="C2089" s="46">
        <f>LEFT(Tableau1[[#This Row],[Formacode]],3)</f>
        <v/>
      </c>
      <c r="D2089" s="47" t="n">
        <v>40168</v>
      </c>
      <c r="E2089" s="48">
        <f>"RNCP"&amp;D2089</f>
        <v/>
      </c>
      <c r="F2089" s="48" t="inlineStr">
        <is>
          <t>Directeur de projets informatiques</t>
        </is>
      </c>
      <c r="G2089" s="49">
        <f>E2089&amp;" - "&amp;F2089</f>
        <v/>
      </c>
      <c r="H2089" s="36" t="inlineStr">
        <is>
          <t>RAS</t>
        </is>
      </c>
      <c r="I2089" s="45" t="inlineStr"/>
      <c r="J2089" s="45" t="inlineStr">
        <is>
          <t>RNCP40168</t>
        </is>
      </c>
      <c r="K2089" s="45" t="inlineStr">
        <is>
          <t>Directeur de projets informatiques</t>
        </is>
      </c>
      <c r="L2089" s="45" t="inlineStr">
        <is>
          <t>31/01/2028</t>
        </is>
      </c>
      <c r="M2089" s="45" t="inlineStr">
        <is>
          <t>31094 (Gestion projet informatique) ; 31009 (Architecture système information) ; 31006 (Sécurité informatique)</t>
        </is>
      </c>
      <c r="N2089" s="50" t="inlineStr">
        <is>
          <t>NON</t>
        </is>
      </c>
      <c r="O2089" s="45" t="inlineStr"/>
    </row>
    <row r="2090" customFormat="1" s="3">
      <c r="A2090" s="45" t="n"/>
      <c r="B2090" s="46" t="inlineStr">
        <is>
          <t>31006</t>
        </is>
      </c>
      <c r="C2090" s="46">
        <f>LEFT(Tableau1[[#This Row],[Formacode]],3)</f>
        <v/>
      </c>
      <c r="D2090" s="47" t="n">
        <v>40356</v>
      </c>
      <c r="E2090" s="48">
        <f>"RNCP"&amp;D2090</f>
        <v/>
      </c>
      <c r="F2090" s="48" t="inlineStr">
        <is>
          <t>Administrateur systèmes, réseaux et cybersécurité</t>
        </is>
      </c>
      <c r="G2090" s="49">
        <f>E2090&amp;" - "&amp;F2090</f>
        <v/>
      </c>
      <c r="H2090" s="36" t="inlineStr">
        <is>
          <t>RAS</t>
        </is>
      </c>
      <c r="I2090" s="45" t="inlineStr"/>
      <c r="J2090" s="45" t="inlineStr">
        <is>
          <t>RNCP40356</t>
        </is>
      </c>
      <c r="K2090" s="45" t="inlineStr">
        <is>
          <t>Administrateur systèmes, réseaux et cybersécurité</t>
        </is>
      </c>
      <c r="L2090" s="45" t="inlineStr">
        <is>
          <t>28/03/2030</t>
        </is>
      </c>
      <c r="M2090" s="45" t="inlineStr">
        <is>
          <t>31034 (Administration système) ; 31032 (Système exploitation informatique) ; 31006 (Sécurité informatique) ; 24231 (Réseau informatique) ; 31008 (Système information)</t>
        </is>
      </c>
      <c r="N2090" s="50" t="inlineStr">
        <is>
          <t>NON</t>
        </is>
      </c>
      <c r="O2090" s="45" t="inlineStr"/>
    </row>
    <row r="2091" customFormat="1" s="3">
      <c r="A2091" s="45" t="n"/>
      <c r="B2091" s="46" t="inlineStr">
        <is>
          <t>31006</t>
        </is>
      </c>
      <c r="C2091" s="46">
        <f>LEFT(Tableau1[[#This Row],[Formacode]],3)</f>
        <v/>
      </c>
      <c r="D2091" s="47" t="n">
        <v>40363</v>
      </c>
      <c r="E2091" s="48">
        <f>"RNCP"&amp;D2091</f>
        <v/>
      </c>
      <c r="F2091" s="48" t="inlineStr">
        <is>
          <t>Expert en études et développement du système d'information</t>
        </is>
      </c>
      <c r="G2091" s="49">
        <f>E2091&amp;" - "&amp;F2091</f>
        <v/>
      </c>
      <c r="H2091" s="36" t="inlineStr">
        <is>
          <t>RAS</t>
        </is>
      </c>
      <c r="I2091" s="45" t="inlineStr"/>
      <c r="J2091" s="45" t="inlineStr">
        <is>
          <t>RNCP40363</t>
        </is>
      </c>
      <c r="K2091" s="45" t="inlineStr">
        <is>
          <t>Expert en études et développement du système d'information</t>
        </is>
      </c>
      <c r="L2091" s="45" t="inlineStr">
        <is>
          <t>28/03/2028</t>
        </is>
      </c>
      <c r="M2091" s="45" t="inlineStr">
        <is>
          <t>31054 (Informatique - Systèmes d’information et numérique)</t>
        </is>
      </c>
      <c r="N2091" s="50" t="inlineStr">
        <is>
          <t>NON</t>
        </is>
      </c>
      <c r="O2091" s="45" t="inlineStr"/>
    </row>
    <row r="2092" customFormat="1" s="3">
      <c r="A2092" s="45" t="n"/>
      <c r="B2092" s="46" t="inlineStr">
        <is>
          <t>31006</t>
        </is>
      </c>
      <c r="C2092" s="46">
        <f>LEFT(Tableau1[[#This Row],[Formacode]],3)</f>
        <v/>
      </c>
      <c r="D2092" s="47" t="n">
        <v>40448</v>
      </c>
      <c r="E2092" s="48">
        <f>"RNCP"&amp;D2092</f>
        <v/>
      </c>
      <c r="F2092" s="48" t="inlineStr">
        <is>
          <t>Grade_Licence - Sciences et Ingénierie - Systèmes Numériques pour la Santé</t>
        </is>
      </c>
      <c r="G2092" s="49">
        <f>E2092&amp;" - "&amp;F2092</f>
        <v/>
      </c>
      <c r="H2092" s="36" t="inlineStr">
        <is>
          <t>RAS</t>
        </is>
      </c>
      <c r="I2092" s="45" t="inlineStr"/>
      <c r="J2092" s="45" t="inlineStr">
        <is>
          <t>RNCP40448</t>
        </is>
      </c>
      <c r="K2092" s="45" t="inlineStr">
        <is>
          <t>Sciences et Ingénierie - Systèmes Numériques pour la Santé</t>
        </is>
      </c>
      <c r="L2092" s="45" t="inlineStr">
        <is>
          <t>31/08/2027</t>
        </is>
      </c>
      <c r="M2092" s="45" t="inlineStr">
        <is>
          <t>31036 (Administration base de données) ; 31085 (Informatisation des processus) ; 31045 (Cybersécurité) ; 43417 (Gestion technique hôpital)</t>
        </is>
      </c>
      <c r="N2092" s="50" t="inlineStr">
        <is>
          <t>NON</t>
        </is>
      </c>
      <c r="O2092" s="45" t="inlineStr"/>
    </row>
    <row r="2093" customFormat="1" s="3">
      <c r="A2093" s="45" t="n"/>
      <c r="B2093" s="46" t="inlineStr">
        <is>
          <t>31006</t>
        </is>
      </c>
      <c r="C2093" s="46">
        <f>LEFT(Tableau1[[#This Row],[Formacode]],3)</f>
        <v/>
      </c>
      <c r="D2093" s="47" t="n">
        <v>40573</v>
      </c>
      <c r="E2093" s="48">
        <f>"RNCP"&amp;D2093</f>
        <v/>
      </c>
      <c r="F2093" s="48" t="inlineStr">
        <is>
          <t>Expert en informatique et systèmes d’information</t>
        </is>
      </c>
      <c r="G2093" s="49">
        <f>E2093&amp;" - "&amp;F2093</f>
        <v/>
      </c>
      <c r="H2093" s="36" t="inlineStr">
        <is>
          <t>RAS</t>
        </is>
      </c>
      <c r="I2093" s="45" t="inlineStr"/>
      <c r="J2093" s="45" t="inlineStr">
        <is>
          <t>RNCP40573</t>
        </is>
      </c>
      <c r="K2093" s="45" t="inlineStr">
        <is>
          <t>Expert en informatique et systèmes d’information</t>
        </is>
      </c>
      <c r="L2093" s="45" t="inlineStr">
        <is>
          <t>30/04/2030</t>
        </is>
      </c>
      <c r="M2093" s="45" t="inlineStr">
        <is>
          <t>31006 (Sécurité informatique) ; 30854 (Langages informatiques) ; 31025 (Analyse de données) ; 31094 (Gestion projet informatique) ; 31028 (Intelligence artificielle)</t>
        </is>
      </c>
      <c r="N2093" s="50" t="inlineStr">
        <is>
          <t>NON</t>
        </is>
      </c>
      <c r="O2093" s="45" t="inlineStr"/>
    </row>
    <row r="2094" customFormat="1" s="3">
      <c r="A2094" s="45" t="n"/>
      <c r="B2094" s="46" t="inlineStr">
        <is>
          <t>31006</t>
        </is>
      </c>
      <c r="C2094" s="46">
        <f>LEFT(Tableau1[[#This Row],[Formacode]],3)</f>
        <v/>
      </c>
      <c r="D2094" s="47" t="n">
        <v>40593</v>
      </c>
      <c r="E2094" s="48">
        <f>"RNCP"&amp;D2094</f>
        <v/>
      </c>
      <c r="F2094" s="48" t="inlineStr">
        <is>
          <t>Product builder no code</t>
        </is>
      </c>
      <c r="G2094" s="49">
        <f>E2094&amp;" - "&amp;F2094</f>
        <v/>
      </c>
      <c r="H2094" s="36" t="inlineStr">
        <is>
          <t>RAS</t>
        </is>
      </c>
      <c r="I2094" s="45" t="inlineStr"/>
      <c r="J2094" s="45" t="inlineStr">
        <is>
          <t>RNCP40593</t>
        </is>
      </c>
      <c r="K2094" s="45" t="inlineStr">
        <is>
          <t>Product builder no code</t>
        </is>
      </c>
      <c r="L2094" s="45" t="inlineStr">
        <is>
          <t>30/04/2028</t>
        </is>
      </c>
      <c r="M2094" s="45" t="inlineStr">
        <is>
          <t>31086 (Développement Low Code - No Code) ; 46334 (Maquettage site web) ; 31094 (Gestion projet informatique) ; 72454 (Application) ; 32012 (Gestion processus)</t>
        </is>
      </c>
      <c r="N2094" s="50" t="inlineStr">
        <is>
          <t>NON</t>
        </is>
      </c>
      <c r="O2094" s="45" t="inlineStr"/>
    </row>
    <row r="2095" customFormat="1" s="3">
      <c r="A2095" s="45" t="n"/>
      <c r="B2095" s="46" t="inlineStr">
        <is>
          <t>31006</t>
        </is>
      </c>
      <c r="C2095" s="46">
        <f>LEFT(Tableau1[[#This Row],[Formacode]],3)</f>
        <v/>
      </c>
      <c r="D2095" s="47" t="n">
        <v>40658</v>
      </c>
      <c r="E2095" s="48">
        <f>"RNCP"&amp;D2095</f>
        <v/>
      </c>
      <c r="F2095" s="48" t="inlineStr">
        <is>
          <t>Architecte des systèmes d'information dans les processus industriels</t>
        </is>
      </c>
      <c r="G2095" s="49">
        <f>E2095&amp;" - "&amp;F2095</f>
        <v/>
      </c>
      <c r="H2095" s="36" t="inlineStr">
        <is>
          <t>RAS</t>
        </is>
      </c>
      <c r="I2095" s="45" t="inlineStr"/>
      <c r="J2095" s="45" t="inlineStr">
        <is>
          <t>RNCP40658</t>
        </is>
      </c>
      <c r="K2095" s="45" t="inlineStr">
        <is>
          <t>Architecte des systèmes d'information dans les processus industriels</t>
        </is>
      </c>
      <c r="L2095" s="45" t="inlineStr">
        <is>
          <t>23/05/2028</t>
        </is>
      </c>
      <c r="M2095" s="45" t="inlineStr">
        <is>
          <t>31009 (Architecture système information) ; 24426 (Informatique industrielle) ; 31006 (Sécurité informatique) ; 24231 (Réseau informatique) ; 24491 (Programmation informatique industrielle)</t>
        </is>
      </c>
      <c r="N2095" s="50" t="inlineStr">
        <is>
          <t>NON</t>
        </is>
      </c>
      <c r="O2095" s="45" t="inlineStr"/>
    </row>
    <row r="2096" customFormat="1" s="3">
      <c r="A2096" s="45" t="n"/>
      <c r="B2096" s="46" t="inlineStr">
        <is>
          <t>31006</t>
        </is>
      </c>
      <c r="C2096" s="46">
        <f>LEFT(Tableau1[[#This Row],[Formacode]],3)</f>
        <v/>
      </c>
      <c r="D2096" s="47" t="n">
        <v>40897</v>
      </c>
      <c r="E2096" s="48">
        <f>"RNCP"&amp;D2096</f>
        <v/>
      </c>
      <c r="F2096" s="48" t="inlineStr">
        <is>
          <t>Expert en cybersécurité</t>
        </is>
      </c>
      <c r="G2096" s="49">
        <f>E2096&amp;" - "&amp;F2096</f>
        <v/>
      </c>
      <c r="H2096" s="36" t="inlineStr">
        <is>
          <t>RAS</t>
        </is>
      </c>
      <c r="I2096" s="45" t="inlineStr"/>
      <c r="J2096" s="45" t="inlineStr">
        <is>
          <t>RNCP40897</t>
        </is>
      </c>
      <c r="K2096" s="45" t="inlineStr">
        <is>
          <t>Expert en cybersécurité</t>
        </is>
      </c>
      <c r="L2096" s="45" t="inlineStr">
        <is>
          <t>25/06/2028</t>
        </is>
      </c>
      <c r="M2096" s="45" t="inlineStr">
        <is>
          <t>31045 (Cybersécurité) ; 31038 (Audit informatique) ; 31008 (Système information) ; 42881 (Risque criminel entreprise)</t>
        </is>
      </c>
      <c r="N2096" s="50" t="inlineStr">
        <is>
          <t>NON</t>
        </is>
      </c>
      <c r="O2096" s="45" t="inlineStr"/>
    </row>
    <row r="2097" customFormat="1" s="3">
      <c r="A2097" s="45" t="n"/>
      <c r="B2097" s="46" t="inlineStr">
        <is>
          <t>31006</t>
        </is>
      </c>
      <c r="C2097" s="46">
        <f>LEFT(Tableau1[[#This Row],[Formacode]],3)</f>
        <v/>
      </c>
      <c r="D2097" s="47" t="n">
        <v>41823</v>
      </c>
      <c r="E2097" s="48">
        <f>"RNCP"&amp;D2097</f>
        <v/>
      </c>
      <c r="F2097" s="48" t="inlineStr">
        <is>
          <t>Titre ingénieur - Ingénieur diplômé de l’ESIEE IT - CCI Paris Ile-de-France Éducation</t>
        </is>
      </c>
      <c r="G2097" s="49">
        <f>E2097&amp;" - "&amp;F2097</f>
        <v/>
      </c>
      <c r="H2097" s="36" t="inlineStr">
        <is>
          <t>RAS</t>
        </is>
      </c>
      <c r="I2097" s="45" t="inlineStr"/>
      <c r="J2097" s="45" t="inlineStr">
        <is>
          <t>RNCP41823</t>
        </is>
      </c>
      <c r="K2097" s="45" t="inlineStr">
        <is>
          <t>Ingénieur diplômé de l’ESIEE IT - CCI Paris Ile-de-France Éducation</t>
        </is>
      </c>
      <c r="L2097" s="45" t="inlineStr">
        <is>
          <t>31/08/2027</t>
        </is>
      </c>
      <c r="M2097" s="45" t="inlineStr">
        <is>
          <t>31054 (Informatique - Systèmes d’information et numérique) ; 32062 (Recherche développement) ; 15099 (Résolution problème)</t>
        </is>
      </c>
      <c r="N2097" s="50" t="inlineStr">
        <is>
          <t>NON</t>
        </is>
      </c>
      <c r="O2097" s="45" t="inlineStr"/>
    </row>
    <row r="2098" customFormat="1" s="3">
      <c r="A2098" s="63" t="n"/>
      <c r="B2098" s="64" t="inlineStr">
        <is>
          <t>31008</t>
        </is>
      </c>
      <c r="C2098" s="64">
        <f>LEFT(Tableau1[[#This Row],[Formacode]],3)</f>
        <v/>
      </c>
      <c r="D2098" s="65" t="n">
        <v>35435</v>
      </c>
      <c r="E2098" s="66">
        <f>"RNCP"&amp;D2098</f>
        <v/>
      </c>
      <c r="F2098" s="66" t="inlineStr">
        <is>
          <t>Manager en ingénierie informatique</t>
        </is>
      </c>
      <c r="G2098" s="67">
        <f>E2098&amp;" - "&amp;F2098</f>
        <v/>
      </c>
      <c r="H2098" s="38" t="inlineStr">
        <is>
          <t>Expiré / remplacé</t>
        </is>
      </c>
      <c r="I2098" s="63" t="inlineStr">
        <is>
          <t>Fiche inactive — remplacée par RNCP41880 (Manager en ingénierie informatique)</t>
        </is>
      </c>
      <c r="J2098" s="63" t="inlineStr">
        <is>
          <t>RNCP41880</t>
        </is>
      </c>
      <c r="K2098" s="63" t="inlineStr">
        <is>
          <t>Manager en ingénierie informatique</t>
        </is>
      </c>
      <c r="L2098" s="63" t="inlineStr">
        <is>
          <t>17/03/2026</t>
        </is>
      </c>
      <c r="M2098" s="63" t="inlineStr">
        <is>
          <t>31009 (Architecture système information) ; 31006 (Sécurité informatique) ; 31028 (Intelligence artificielle) ; 31057 (Génie logiciel)</t>
        </is>
      </c>
      <c r="N2098" s="68" t="inlineStr">
        <is>
          <t>NON</t>
        </is>
      </c>
      <c r="O2098" s="63" t="inlineStr"/>
    </row>
    <row r="2099" customFormat="1" s="3">
      <c r="A2099" s="63" t="n"/>
      <c r="B2099" s="64" t="inlineStr">
        <is>
          <t>31008</t>
        </is>
      </c>
      <c r="C2099" s="64">
        <f>LEFT(Tableau1[[#This Row],[Formacode]],3)</f>
        <v/>
      </c>
      <c r="D2099" s="65" t="n">
        <v>35584</v>
      </c>
      <c r="E2099" s="66">
        <f>"RNCP"&amp;D2099</f>
        <v/>
      </c>
      <c r="F2099" s="66" t="inlineStr">
        <is>
          <t>Expert en informatique et système d'information</t>
        </is>
      </c>
      <c r="G2099" s="67">
        <f>E2099&amp;" - "&amp;F2099</f>
        <v/>
      </c>
      <c r="H2099" s="38" t="inlineStr">
        <is>
          <t>Expiré / remplacé</t>
        </is>
      </c>
      <c r="I2099" s="63" t="inlineStr">
        <is>
          <t>Fiche inactive — remplacée par RNCP42317 (Expert en informatique et système d'information)</t>
        </is>
      </c>
      <c r="J2099" s="63" t="inlineStr">
        <is>
          <t>RNCP42317</t>
        </is>
      </c>
      <c r="K2099" s="63" t="inlineStr">
        <is>
          <t>Expert en informatique et système d'information</t>
        </is>
      </c>
      <c r="L2099" s="63" t="inlineStr">
        <is>
          <t>19/05/2026</t>
        </is>
      </c>
      <c r="M2099" s="63" t="inlineStr">
        <is>
          <t>31008 (Système information) ; 31094 (Gestion projet informatique) ; 31084 (Informatique de gestion) ; 31025 (Analyse de données) ; 31067 (Développement informatique)</t>
        </is>
      </c>
      <c r="N2099" s="68" t="inlineStr">
        <is>
          <t>NON</t>
        </is>
      </c>
      <c r="O2099" s="63" t="inlineStr"/>
    </row>
    <row r="2100" customFormat="1" s="3">
      <c r="A2100" s="51" t="n"/>
      <c r="B2100" s="52" t="inlineStr">
        <is>
          <t>31008</t>
        </is>
      </c>
      <c r="C2100" s="52">
        <f>LEFT(Tableau1[[#This Row],[Formacode]],3)</f>
        <v/>
      </c>
      <c r="D2100" s="53" t="n">
        <v>36061</v>
      </c>
      <c r="E2100" s="54">
        <f>"RNCP"&amp;D2100</f>
        <v/>
      </c>
      <c r="F2100" s="54" t="inlineStr">
        <is>
          <t>TP - Administrateur système DevOps</t>
        </is>
      </c>
      <c r="G2100" s="55">
        <f>E2100&amp;" - "&amp;F2100</f>
        <v/>
      </c>
      <c r="H2100" s="37" t="inlineStr">
        <is>
          <t>À vérifier</t>
        </is>
      </c>
      <c r="I2100" s="51" t="inlineStr">
        <is>
          <t>Successeur déjà publié : RNCP42532 (Administrateur système DevOps) — préparer la bascule de l'offre CPF | Échéance le 30/11/2026 (dans 135 j)</t>
        </is>
      </c>
      <c r="J2100" s="51" t="inlineStr">
        <is>
          <t>RNCP42532</t>
        </is>
      </c>
      <c r="K2100" s="51" t="inlineStr">
        <is>
          <t>Administrateur système DevOps</t>
        </is>
      </c>
      <c r="L2100" s="51" t="inlineStr">
        <is>
          <t>30/11/2026</t>
        </is>
      </c>
      <c r="M2100" s="51" t="inlineStr">
        <is>
          <t>31034 (Administration système) ; 31021 (Linux) ; 31011 (Cloud Computing) ; 30812 (Langage Python)</t>
        </is>
      </c>
      <c r="N2100" s="62" t="inlineStr">
        <is>
          <t>NON</t>
        </is>
      </c>
      <c r="O2100" s="51" t="inlineStr"/>
    </row>
    <row r="2101" customFormat="1" s="3">
      <c r="A2101" s="45" t="n"/>
      <c r="B2101" s="46" t="inlineStr">
        <is>
          <t>31008</t>
        </is>
      </c>
      <c r="C2101" s="46">
        <f>LEFT(Tableau1[[#This Row],[Formacode]],3)</f>
        <v/>
      </c>
      <c r="D2101" s="47" t="n">
        <v>36909</v>
      </c>
      <c r="E2101" s="48">
        <f>"RNCP"&amp;D2101</f>
        <v/>
      </c>
      <c r="F2101" s="48" t="inlineStr">
        <is>
          <t>Manager du numérique et du système d’information</t>
        </is>
      </c>
      <c r="G2101" s="49">
        <f>E2101&amp;" - "&amp;F2101</f>
        <v/>
      </c>
      <c r="H2101" s="36" t="inlineStr">
        <is>
          <t>RAS</t>
        </is>
      </c>
      <c r="I2101" s="45" t="inlineStr"/>
      <c r="J2101" s="45" t="inlineStr">
        <is>
          <t>RNCP36909</t>
        </is>
      </c>
      <c r="K2101" s="45" t="inlineStr">
        <is>
          <t>Manager du numérique et du système d’information</t>
        </is>
      </c>
      <c r="L2101" s="45" t="inlineStr">
        <is>
          <t>29/09/2027</t>
        </is>
      </c>
      <c r="M2101" s="45" t="inlineStr">
        <is>
          <t>31094 (Gestion projet informatique) ; 31009 (Architecture système information)</t>
        </is>
      </c>
      <c r="N2101" s="50" t="inlineStr">
        <is>
          <t>NON</t>
        </is>
      </c>
      <c r="O2101" s="45" t="inlineStr"/>
    </row>
    <row r="2102" customFormat="1" s="3">
      <c r="A2102" s="45" t="n"/>
      <c r="B2102" s="46" t="inlineStr">
        <is>
          <t>31008</t>
        </is>
      </c>
      <c r="C2102" s="46">
        <f>LEFT(Tableau1[[#This Row],[Formacode]],3)</f>
        <v/>
      </c>
      <c r="D2102" s="47" t="n">
        <v>37103</v>
      </c>
      <c r="E2102" s="48">
        <f>"RNCP"&amp;D2102</f>
        <v/>
      </c>
      <c r="F2102" s="48" t="inlineStr">
        <is>
          <t>TP - Technicien en géomatique</t>
        </is>
      </c>
      <c r="G2102" s="49">
        <f>E2102&amp;" - "&amp;F2102</f>
        <v/>
      </c>
      <c r="H2102" s="36" t="inlineStr">
        <is>
          <t>RAS</t>
        </is>
      </c>
      <c r="I2102" s="45" t="inlineStr"/>
      <c r="J2102" s="45" t="inlineStr">
        <is>
          <t>RNCP37103</t>
        </is>
      </c>
      <c r="K2102" s="45" t="inlineStr">
        <is>
          <t>Technicien en géomatique</t>
        </is>
      </c>
      <c r="L2102" s="45" t="inlineStr">
        <is>
          <t>25/02/2028</t>
        </is>
      </c>
      <c r="M2102" s="45" t="inlineStr">
        <is>
          <t>12232 (Géomatique) ; 31054 (Informatique - Systèmes d’information et numérique) ; 12505 (Plan local urbanisme)</t>
        </is>
      </c>
      <c r="N2102" s="50" t="inlineStr">
        <is>
          <t>NON</t>
        </is>
      </c>
      <c r="O2102" s="45" t="inlineStr"/>
    </row>
    <row r="2103" customFormat="1" s="3">
      <c r="A2103" s="63" t="n"/>
      <c r="B2103" s="64" t="inlineStr">
        <is>
          <t>31008</t>
        </is>
      </c>
      <c r="C2103" s="64">
        <f>LEFT(Tableau1[[#This Row],[Formacode]],3)</f>
        <v/>
      </c>
      <c r="D2103" s="65" t="n">
        <v>37621</v>
      </c>
      <c r="E2103" s="66">
        <f>"RNCP"&amp;D2103</f>
        <v/>
      </c>
      <c r="F2103" s="66" t="inlineStr">
        <is>
          <t>Consultant en systèmes d’information (MS)</t>
        </is>
      </c>
      <c r="G2103" s="67">
        <f>E2103&amp;" - "&amp;F2103</f>
        <v/>
      </c>
      <c r="H2103" s="38" t="inlineStr">
        <is>
          <t>Expiré / remplacé</t>
        </is>
      </c>
      <c r="I2103" s="63" t="inlineStr">
        <is>
          <t>Fiche inactive — remplacée par RNCP41877 (Consultant en systèmes d'information (MS))</t>
        </is>
      </c>
      <c r="J2103" s="63" t="inlineStr">
        <is>
          <t>RNCP41877</t>
        </is>
      </c>
      <c r="K2103" s="63" t="inlineStr">
        <is>
          <t>Consultant en systèmes d'information (MS)</t>
        </is>
      </c>
      <c r="L2103" s="63" t="inlineStr">
        <is>
          <t>31/05/2026</t>
        </is>
      </c>
      <c r="M2103" s="63" t="inlineStr">
        <is>
          <t>31009 (Architecture système information) ; 31094 (Gestion projet informatique)</t>
        </is>
      </c>
      <c r="N2103" s="68" t="inlineStr">
        <is>
          <t>NON</t>
        </is>
      </c>
      <c r="O2103" s="63" t="inlineStr"/>
    </row>
    <row r="2104" customFormat="1" s="3">
      <c r="A2104" s="45" t="n"/>
      <c r="B2104" s="46" t="inlineStr">
        <is>
          <t>31008</t>
        </is>
      </c>
      <c r="C2104" s="46">
        <f>LEFT(Tableau1[[#This Row],[Formacode]],3)</f>
        <v/>
      </c>
      <c r="D2104" s="47" t="n">
        <v>37680</v>
      </c>
      <c r="E2104" s="48">
        <f>"RNCP"&amp;D2104</f>
        <v/>
      </c>
      <c r="F2104" s="48" t="inlineStr">
        <is>
          <t>TP - Administrateur d'infrastructures sécurisées</t>
        </is>
      </c>
      <c r="G2104" s="49">
        <f>E2104&amp;" - "&amp;F2104</f>
        <v/>
      </c>
      <c r="H2104" s="36" t="inlineStr">
        <is>
          <t>RAS</t>
        </is>
      </c>
      <c r="I2104" s="45" t="inlineStr"/>
      <c r="J2104" s="45" t="inlineStr">
        <is>
          <t>RNCP37680</t>
        </is>
      </c>
      <c r="K2104" s="45" t="inlineStr">
        <is>
          <t>Administrateur d'infrastructures sécurisées</t>
        </is>
      </c>
      <c r="L2104" s="45" t="inlineStr">
        <is>
          <t>28/02/2027</t>
        </is>
      </c>
      <c r="M2104" s="45" t="inlineStr">
        <is>
          <t>31015 (Virtualisation) ; 31006 (Sécurité informatique) ; 24273 (Architecture réseau) ; 31034 (Administration système)</t>
        </is>
      </c>
      <c r="N2104" s="50" t="inlineStr">
        <is>
          <t>NON</t>
        </is>
      </c>
      <c r="O2104" s="45" t="inlineStr"/>
    </row>
    <row r="2105" customFormat="1" s="3">
      <c r="A2105" s="51" t="n"/>
      <c r="B2105" s="52" t="inlineStr">
        <is>
          <t>31008</t>
        </is>
      </c>
      <c r="C2105" s="52">
        <f>LEFT(Tableau1[[#This Row],[Formacode]],3)</f>
        <v/>
      </c>
      <c r="D2105" s="53" t="n">
        <v>37682</v>
      </c>
      <c r="E2105" s="54">
        <f>"RNCP"&amp;D2105</f>
        <v/>
      </c>
      <c r="F2105" s="54" t="inlineStr">
        <is>
          <t>TP - Technicien supérieur systèmes et réseaux</t>
        </is>
      </c>
      <c r="G2105" s="55">
        <f>E2105&amp;" - "&amp;F2105</f>
        <v/>
      </c>
      <c r="H2105" s="37" t="inlineStr">
        <is>
          <t>À vérifier</t>
        </is>
      </c>
      <c r="I2105" s="51" t="inlineStr">
        <is>
          <t>Successeur déjà publié : RNCP42463 (Technicien supérieur systèmes et réseaux) — préparer la bascule de l'offre CPF | Échéance le 01/09/2026 (dans 45 j)</t>
        </is>
      </c>
      <c r="J2105" s="51" t="inlineStr">
        <is>
          <t>RNCP42463</t>
        </is>
      </c>
      <c r="K2105" s="51" t="inlineStr">
        <is>
          <t>Technicien supérieur systèmes et réseaux</t>
        </is>
      </c>
      <c r="L2105" s="51" t="inlineStr">
        <is>
          <t>01/09/2026</t>
        </is>
      </c>
      <c r="M2105" s="51" t="inlineStr">
        <is>
          <t>31008 (Système information) ; 24231 (Réseau informatique)</t>
        </is>
      </c>
      <c r="N2105" s="62" t="inlineStr">
        <is>
          <t>NON</t>
        </is>
      </c>
      <c r="O2105" s="51" t="inlineStr"/>
    </row>
    <row r="2106" customFormat="1" s="3">
      <c r="A2106" s="51" t="n"/>
      <c r="B2106" s="52" t="inlineStr">
        <is>
          <t>31008</t>
        </is>
      </c>
      <c r="C2106" s="52">
        <f>LEFT(Tableau1[[#This Row],[Formacode]],3)</f>
        <v/>
      </c>
      <c r="D2106" s="53" t="n">
        <v>37785</v>
      </c>
      <c r="E2106" s="54">
        <f>"RNCP"&amp;D2106</f>
        <v/>
      </c>
      <c r="F2106" s="54" t="inlineStr">
        <is>
          <t>Expert en numérisation des systèmes et processus de production industriels</t>
        </is>
      </c>
      <c r="G2106" s="55">
        <f>E2106&amp;" - "&amp;F2106</f>
        <v/>
      </c>
      <c r="H2106" s="37" t="inlineStr">
        <is>
          <t>À vérifier</t>
        </is>
      </c>
      <c r="I2106" s="51" t="inlineStr">
        <is>
          <t>Échéance le 19/07/2026 (dans 1 j)</t>
        </is>
      </c>
      <c r="J2106" s="51" t="inlineStr">
        <is>
          <t>RNCP37785</t>
        </is>
      </c>
      <c r="K2106" s="51" t="inlineStr">
        <is>
          <t>Expert en numérisation des systèmes et processus de production industriels</t>
        </is>
      </c>
      <c r="L2106" s="51" t="inlineStr">
        <is>
          <t>19/07/2026</t>
        </is>
      </c>
      <c r="M2106" s="51" t="inlineStr">
        <is>
          <t>31085 (Informatisation des processus) ; 31049 (Qualité informatique) ; 31008 (Système information)</t>
        </is>
      </c>
      <c r="N2106" s="62" t="inlineStr">
        <is>
          <t>NON</t>
        </is>
      </c>
      <c r="O2106" s="51" t="inlineStr"/>
    </row>
    <row r="2107" customFormat="1" s="3">
      <c r="A2107" s="45" t="n"/>
      <c r="B2107" s="46" t="inlineStr">
        <is>
          <t>31008</t>
        </is>
      </c>
      <c r="C2107" s="46">
        <f>LEFT(Tableau1[[#This Row],[Formacode]],3)</f>
        <v/>
      </c>
      <c r="D2107" s="47" t="n">
        <v>37873</v>
      </c>
      <c r="E2107" s="48">
        <f>"RNCP"&amp;D2107</f>
        <v/>
      </c>
      <c r="F2107" s="48" t="inlineStr">
        <is>
          <t>TP - Concepteur développeur d'applications</t>
        </is>
      </c>
      <c r="G2107" s="49">
        <f>E2107&amp;" - "&amp;F2107</f>
        <v/>
      </c>
      <c r="H2107" s="36" t="inlineStr">
        <is>
          <t>RAS</t>
        </is>
      </c>
      <c r="I2107" s="45" t="inlineStr"/>
      <c r="J2107" s="45" t="inlineStr">
        <is>
          <t>RNCP37873</t>
        </is>
      </c>
      <c r="K2107" s="45" t="inlineStr">
        <is>
          <t>Concepteur développeur d'applications</t>
        </is>
      </c>
      <c r="L2107" s="45" t="inlineStr">
        <is>
          <t>18/12/2028</t>
        </is>
      </c>
      <c r="M2107" s="45" t="inlineStr">
        <is>
          <t>31067 (Développement informatique) ; 31036 (Administration base de données) ; 31010 (Architecture web) ; 31084 (Informatique de gestion) ; 31006 (Sécurité informatique)</t>
        </is>
      </c>
      <c r="N2107" s="50" t="inlineStr">
        <is>
          <t>NON</t>
        </is>
      </c>
      <c r="O2107" s="45" t="inlineStr"/>
    </row>
    <row r="2108" customFormat="1" s="3">
      <c r="A2108" s="51" t="n"/>
      <c r="B2108" s="52" t="inlineStr">
        <is>
          <t>31008</t>
        </is>
      </c>
      <c r="C2108" s="52">
        <f>LEFT(Tableau1[[#This Row],[Formacode]],3)</f>
        <v/>
      </c>
      <c r="D2108" s="53" t="n">
        <v>37985</v>
      </c>
      <c r="E2108" s="54">
        <f>"RNCP"&amp;D2108</f>
        <v/>
      </c>
      <c r="F2108" s="54" t="inlineStr">
        <is>
          <t>Expert en ingénierie logicielle</t>
        </is>
      </c>
      <c r="G2108" s="55">
        <f>E2108&amp;" - "&amp;F2108</f>
        <v/>
      </c>
      <c r="H2108" s="37" t="inlineStr">
        <is>
          <t>À vérifier</t>
        </is>
      </c>
      <c r="I2108" s="51" t="inlineStr">
        <is>
          <t>Successeur déjà publié : RNCP42505 (Expert en ingénierie logicielle) — préparer la bascule de l'offre CPF | Échéance le 20/09/2026 (dans 64 j)</t>
        </is>
      </c>
      <c r="J2108" s="51" t="inlineStr">
        <is>
          <t>RNCP42505</t>
        </is>
      </c>
      <c r="K2108" s="51" t="inlineStr">
        <is>
          <t>Expert en ingénierie logicielle</t>
        </is>
      </c>
      <c r="L2108" s="51" t="inlineStr">
        <is>
          <t>20/09/2026</t>
        </is>
      </c>
      <c r="M2108" s="51" t="inlineStr">
        <is>
          <t>31057 (Génie logiciel) ; 31067 (Développement informatique) ; 31006 (Sécurité informatique) ; 31009 (Architecture système information)</t>
        </is>
      </c>
      <c r="N2108" s="62" t="inlineStr">
        <is>
          <t>NON</t>
        </is>
      </c>
      <c r="O2108" s="51" t="inlineStr"/>
    </row>
    <row r="2109" customFormat="1" s="3">
      <c r="A2109" s="51" t="n"/>
      <c r="B2109" s="52" t="inlineStr">
        <is>
          <t>31008</t>
        </is>
      </c>
      <c r="C2109" s="52">
        <f>LEFT(Tableau1[[#This Row],[Formacode]],3)</f>
        <v/>
      </c>
      <c r="D2109" s="53" t="n">
        <v>38018</v>
      </c>
      <c r="E2109" s="54">
        <f>"RNCP"&amp;D2109</f>
        <v/>
      </c>
      <c r="F2109" s="54" t="inlineStr">
        <is>
          <t>Chef de projet digital</t>
        </is>
      </c>
      <c r="G2109" s="55">
        <f>E2109&amp;" - "&amp;F2109</f>
        <v/>
      </c>
      <c r="H2109" s="37" t="inlineStr">
        <is>
          <t>À vérifier</t>
        </is>
      </c>
      <c r="I2109" s="51" t="inlineStr">
        <is>
          <t>Échéance le 20/09/2026 (dans 64 j)</t>
        </is>
      </c>
      <c r="J2109" s="51" t="inlineStr">
        <is>
          <t>RNCP38018</t>
        </is>
      </c>
      <c r="K2109" s="51" t="inlineStr">
        <is>
          <t>Chef de projet digital</t>
        </is>
      </c>
      <c r="L2109" s="51" t="inlineStr">
        <is>
          <t>20/09/2026</t>
        </is>
      </c>
      <c r="M2109" s="51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109" s="62" t="inlineStr">
        <is>
          <t>NON</t>
        </is>
      </c>
      <c r="O2109" s="51" t="inlineStr"/>
    </row>
    <row r="2110" customFormat="1" s="3">
      <c r="A2110" s="45" t="n"/>
      <c r="B2110" s="46" t="inlineStr">
        <is>
          <t>31008</t>
        </is>
      </c>
      <c r="C2110" s="46">
        <f>LEFT(Tableau1[[#This Row],[Formacode]],3)</f>
        <v/>
      </c>
      <c r="D2110" s="47" t="n">
        <v>38108</v>
      </c>
      <c r="E2110" s="48">
        <f>"RNCP"&amp;D2110</f>
        <v/>
      </c>
      <c r="F2110" s="48" t="inlineStr">
        <is>
          <t>Administrateur de systèmes et réseaux sécurisés</t>
        </is>
      </c>
      <c r="G2110" s="49">
        <f>E2110&amp;" - "&amp;F2110</f>
        <v/>
      </c>
      <c r="H2110" s="36" t="inlineStr">
        <is>
          <t>RAS</t>
        </is>
      </c>
      <c r="I2110" s="45" t="inlineStr"/>
      <c r="J2110" s="45" t="inlineStr">
        <is>
          <t>RNCP38108</t>
        </is>
      </c>
      <c r="K2110" s="45" t="inlineStr">
        <is>
          <t>Administrateur de systèmes et réseaux sécurisés</t>
        </is>
      </c>
      <c r="L2110" s="45" t="inlineStr">
        <is>
          <t>18/10/2028</t>
        </is>
      </c>
      <c r="M2110" s="45" t="inlineStr">
        <is>
          <t>31034 (Administration système) ; 24273 (Architecture réseau) ; 24220 (Gestion réseau informatique) ; 31008 (Système information) ; 31006 (Sécurité informatique)</t>
        </is>
      </c>
      <c r="N2110" s="50" t="inlineStr">
        <is>
          <t>NON</t>
        </is>
      </c>
      <c r="O2110" s="45" t="inlineStr"/>
    </row>
    <row r="2111" customFormat="1" s="3">
      <c r="A2111" s="45" t="n"/>
      <c r="B2111" s="46" t="inlineStr">
        <is>
          <t>31008</t>
        </is>
      </c>
      <c r="C2111" s="46">
        <f>LEFT(Tableau1[[#This Row],[Formacode]],3)</f>
        <v/>
      </c>
      <c r="D2111" s="47" t="n">
        <v>38117</v>
      </c>
      <c r="E2111" s="48">
        <f>"RNCP"&amp;D2111</f>
        <v/>
      </c>
      <c r="F2111" s="48" t="inlineStr">
        <is>
          <t>Ingénieur systèmes, réseaux et cybersécurité</t>
        </is>
      </c>
      <c r="G2111" s="49">
        <f>E2111&amp;" - "&amp;F2111</f>
        <v/>
      </c>
      <c r="H2111" s="36" t="inlineStr">
        <is>
          <t>RAS</t>
        </is>
      </c>
      <c r="I2111" s="45" t="inlineStr"/>
      <c r="J2111" s="45" t="inlineStr">
        <is>
          <t>RNCP38117</t>
        </is>
      </c>
      <c r="K2111" s="45" t="inlineStr">
        <is>
          <t>Ingénieur systèmes, réseaux et cybersécurité</t>
        </is>
      </c>
      <c r="L2111" s="45" t="inlineStr">
        <is>
          <t>18/10/2028</t>
        </is>
      </c>
      <c r="M2111" s="45" t="inlineStr">
        <is>
          <t>31034 (Administration système) ; 24231 (Réseau informatique) ; 31006 (Sécurité informatique) ; 31094 (Gestion projet informatique) ; 31009 (Architecture système information)</t>
        </is>
      </c>
      <c r="N2111" s="50" t="inlineStr">
        <is>
          <t>NON</t>
        </is>
      </c>
      <c r="O2111" s="45" t="inlineStr"/>
    </row>
    <row r="2112" customFormat="1" s="3">
      <c r="A2112" s="45" t="n"/>
      <c r="B2112" s="46" t="inlineStr">
        <is>
          <t>31008</t>
        </is>
      </c>
      <c r="C2112" s="46">
        <f>LEFT(Tableau1[[#This Row],[Formacode]],3)</f>
        <v/>
      </c>
      <c r="D2112" s="47" t="n">
        <v>38478</v>
      </c>
      <c r="E2112" s="48">
        <f>"RNCP"&amp;D2112</f>
        <v/>
      </c>
      <c r="F2112" s="48" t="inlineStr">
        <is>
          <t>Coordinateur de projets informatiques (infrastructures cloud, applicatives ou data)</t>
        </is>
      </c>
      <c r="G2112" s="49">
        <f>E2112&amp;" - "&amp;F2112</f>
        <v/>
      </c>
      <c r="H2112" s="36" t="inlineStr">
        <is>
          <t>RAS</t>
        </is>
      </c>
      <c r="I2112" s="45" t="inlineStr"/>
      <c r="J2112" s="45" t="inlineStr">
        <is>
          <t>RNCP38478</t>
        </is>
      </c>
      <c r="K2112" s="45" t="inlineStr">
        <is>
          <t>Coordinateur de projets informatiques (infrastructures cloud, applicatives ou data)</t>
        </is>
      </c>
      <c r="L2112" s="45" t="inlineStr">
        <is>
          <t>21/12/2028</t>
        </is>
      </c>
      <c r="M2112" s="45" t="inlineStr">
        <is>
          <t>31094 (Gestion projet informatique) ; 31008 (Système information) ; 31067 (Développement informatique) ; 31023 (Gestion données massives)</t>
        </is>
      </c>
      <c r="N2112" s="50" t="inlineStr">
        <is>
          <t>NON</t>
        </is>
      </c>
      <c r="O2112" s="45" t="inlineStr"/>
    </row>
    <row r="2113" customFormat="1" s="3">
      <c r="A2113" s="45" t="n"/>
      <c r="B2113" s="46" t="inlineStr">
        <is>
          <t>31008</t>
        </is>
      </c>
      <c r="C2113" s="46">
        <f>LEFT(Tableau1[[#This Row],[Formacode]],3)</f>
        <v/>
      </c>
      <c r="D2113" s="47" t="n">
        <v>38599</v>
      </c>
      <c r="E2113" s="48">
        <f>"RNCP"&amp;D2113</f>
        <v/>
      </c>
      <c r="F2113" s="48" t="inlineStr">
        <is>
          <t>Manager de programmes et projets SI</t>
        </is>
      </c>
      <c r="G2113" s="49">
        <f>E2113&amp;" - "&amp;F2113</f>
        <v/>
      </c>
      <c r="H2113" s="36" t="inlineStr">
        <is>
          <t>RAS</t>
        </is>
      </c>
      <c r="I2113" s="45" t="inlineStr"/>
      <c r="J2113" s="45" t="inlineStr">
        <is>
          <t>RNCP38599</t>
        </is>
      </c>
      <c r="K2113" s="45" t="inlineStr">
        <is>
          <t>Manager de programmes et projets SI</t>
        </is>
      </c>
      <c r="L2113" s="45" t="inlineStr">
        <is>
          <t>09/02/2027</t>
        </is>
      </c>
      <c r="M2113" s="45" t="inlineStr">
        <is>
          <t>31094 (Gestion projet informatique) ; 31095 (Schéma directeur informatique) ; 31008 (Système information)</t>
        </is>
      </c>
      <c r="N2113" s="50" t="inlineStr">
        <is>
          <t>NON</t>
        </is>
      </c>
      <c r="O2113" s="45" t="inlineStr"/>
    </row>
    <row r="2114" customFormat="1" s="3">
      <c r="A2114" s="63" t="n"/>
      <c r="B2114" s="64" t="inlineStr">
        <is>
          <t>31008</t>
        </is>
      </c>
      <c r="C2114" s="64">
        <f>LEFT(Tableau1[[#This Row],[Formacode]],3)</f>
        <v/>
      </c>
      <c r="D2114" s="65" t="n">
        <v>38777</v>
      </c>
      <c r="E2114" s="66">
        <f>"RNCP"&amp;D2114</f>
        <v/>
      </c>
      <c r="F2114" s="66" t="inlineStr">
        <is>
          <t>Architecte en intelligence artificielle</t>
        </is>
      </c>
      <c r="G2114" s="67">
        <f>E2114&amp;" - "&amp;F2114</f>
        <v/>
      </c>
      <c r="H2114" s="38" t="inlineStr">
        <is>
          <t>Expiré / remplacé</t>
        </is>
      </c>
      <c r="I2114" s="63" t="inlineStr">
        <is>
          <t>Fiche inactive — remplacée par RNCP41993 (Architecte en intelligence artificielle)</t>
        </is>
      </c>
      <c r="J2114" s="63" t="inlineStr">
        <is>
          <t>RNCP41993</t>
        </is>
      </c>
      <c r="K2114" s="63" t="inlineStr">
        <is>
          <t>Architecte en intelligence artificielle</t>
        </is>
      </c>
      <c r="L2114" s="63" t="inlineStr">
        <is>
          <t>27/03/2026</t>
        </is>
      </c>
      <c r="M2114" s="63" t="inlineStr">
        <is>
          <t>31026 (Data science) ; 31028 (Intelligence artificielle) ; 31008 (Système information) ; 31085 (Informatisation des processus)</t>
        </is>
      </c>
      <c r="N2114" s="68" t="inlineStr">
        <is>
          <t>NON</t>
        </is>
      </c>
      <c r="O2114" s="63" t="inlineStr"/>
    </row>
    <row r="2115" customFormat="1" s="3">
      <c r="A2115" s="45" t="n"/>
      <c r="B2115" s="46" t="inlineStr">
        <is>
          <t>31008</t>
        </is>
      </c>
      <c r="C2115" s="46">
        <f>LEFT(Tableau1[[#This Row],[Formacode]],3)</f>
        <v/>
      </c>
      <c r="D2115" s="47" t="n">
        <v>38905</v>
      </c>
      <c r="E2115" s="48">
        <f>"RNCP"&amp;D2115</f>
        <v/>
      </c>
      <c r="F2115" s="48" t="inlineStr">
        <is>
          <t>Manager de projets informatiques</t>
        </is>
      </c>
      <c r="G2115" s="49">
        <f>E2115&amp;" - "&amp;F2115</f>
        <v/>
      </c>
      <c r="H2115" s="36" t="inlineStr">
        <is>
          <t>RAS</t>
        </is>
      </c>
      <c r="I2115" s="45" t="inlineStr"/>
      <c r="J2115" s="45" t="inlineStr">
        <is>
          <t>RNCP38905</t>
        </is>
      </c>
      <c r="K2115" s="45" t="inlineStr">
        <is>
          <t>Manager de projets informatiques</t>
        </is>
      </c>
      <c r="L2115" s="45" t="inlineStr">
        <is>
          <t>26/04/2027</t>
        </is>
      </c>
      <c r="M2115" s="45" t="inlineStr">
        <is>
          <t>31094 (Gestion projet informatique) ; 31006 (Sécurité informatique) ; 31009 (Architecture système information)</t>
        </is>
      </c>
      <c r="N2115" s="50" t="inlineStr">
        <is>
          <t>NON</t>
        </is>
      </c>
      <c r="O2115" s="45" t="inlineStr"/>
    </row>
    <row r="2116" customFormat="1" s="3">
      <c r="A2116" s="45" t="n"/>
      <c r="B2116" s="46" t="inlineStr">
        <is>
          <t>31008</t>
        </is>
      </c>
      <c r="C2116" s="46">
        <f>LEFT(Tableau1[[#This Row],[Formacode]],3)</f>
        <v/>
      </c>
      <c r="D2116" s="47" t="n">
        <v>38906</v>
      </c>
      <c r="E2116" s="48">
        <f>"RNCP"&amp;D2116</f>
        <v/>
      </c>
      <c r="F2116" s="48" t="inlineStr">
        <is>
          <t>Architecte internet des objets</t>
        </is>
      </c>
      <c r="G2116" s="49">
        <f>E2116&amp;" - "&amp;F2116</f>
        <v/>
      </c>
      <c r="H2116" s="36" t="inlineStr">
        <is>
          <t>RAS</t>
        </is>
      </c>
      <c r="I2116" s="45" t="inlineStr"/>
      <c r="J2116" s="45" t="inlineStr">
        <is>
          <t>RNCP38906</t>
        </is>
      </c>
      <c r="K2116" s="45" t="inlineStr">
        <is>
          <t>Architecte internet des objets</t>
        </is>
      </c>
      <c r="L2116" s="45" t="inlineStr">
        <is>
          <t>26/04/2027</t>
        </is>
      </c>
      <c r="M2116" s="45" t="inlineStr">
        <is>
          <t>31009 (Architecture système information) ; 31082 (Intégration informatique) ; 24231 (Réseau informatique)</t>
        </is>
      </c>
      <c r="N2116" s="50" t="inlineStr">
        <is>
          <t>NON</t>
        </is>
      </c>
      <c r="O2116" s="45" t="inlineStr"/>
    </row>
    <row r="2117" customFormat="1" s="3">
      <c r="A2117" s="45" t="n"/>
      <c r="B2117" s="46" t="inlineStr">
        <is>
          <t>31008</t>
        </is>
      </c>
      <c r="C2117" s="46">
        <f>LEFT(Tableau1[[#This Row],[Formacode]],3)</f>
        <v/>
      </c>
      <c r="D2117" s="47" t="n">
        <v>39217</v>
      </c>
      <c r="E2117" s="48">
        <f>"RNCP"&amp;D2117</f>
        <v/>
      </c>
      <c r="F2117" s="48" t="inlineStr">
        <is>
          <t>Expert en digitalisation et exploitation des bâtiments</t>
        </is>
      </c>
      <c r="G2117" s="49">
        <f>E2117&amp;" - "&amp;F2117</f>
        <v/>
      </c>
      <c r="H2117" s="36" t="inlineStr">
        <is>
          <t>RAS</t>
        </is>
      </c>
      <c r="I2117" s="45" t="inlineStr"/>
      <c r="J2117" s="45" t="inlineStr">
        <is>
          <t>RNCP39217</t>
        </is>
      </c>
      <c r="K2117" s="45" t="inlineStr">
        <is>
          <t>Expert en digitalisation et exploitation des bâtiments</t>
        </is>
      </c>
      <c r="L2117" s="45" t="inlineStr">
        <is>
          <t>27/06/2027</t>
        </is>
      </c>
      <c r="M2117" s="45" t="inlineStr">
        <is>
          <t>22211 (Performance énergétique bâtiment) ; 24162 (Gestion énergie) ; 70954 (Logiciel gestion projet) ; 22279 (Maîtrise d'oeuvre BTP) ; 31009 (Architecture système information)</t>
        </is>
      </c>
      <c r="N2117" s="50" t="inlineStr">
        <is>
          <t>NON</t>
        </is>
      </c>
      <c r="O2117" s="45" t="inlineStr"/>
    </row>
    <row r="2118" customFormat="1" s="3">
      <c r="A2118" s="45" t="n"/>
      <c r="B2118" s="46" t="inlineStr">
        <is>
          <t>31008</t>
        </is>
      </c>
      <c r="C2118" s="46">
        <f>LEFT(Tableau1[[#This Row],[Formacode]],3)</f>
        <v/>
      </c>
      <c r="D2118" s="47" t="n">
        <v>39425</v>
      </c>
      <c r="E2118" s="48">
        <f>"RNCP"&amp;D2118</f>
        <v/>
      </c>
      <c r="F2118" s="48" t="inlineStr">
        <is>
          <t>Diplôme visé - Expert en Ingénierie Informatique et Innovation Numérique</t>
        </is>
      </c>
      <c r="G2118" s="49">
        <f>E2118&amp;" - "&amp;F2118</f>
        <v/>
      </c>
      <c r="H2118" s="36" t="inlineStr">
        <is>
          <t>RAS</t>
        </is>
      </c>
      <c r="I2118" s="45" t="inlineStr"/>
      <c r="J2118" s="45" t="inlineStr">
        <is>
          <t>RNCP39425</t>
        </is>
      </c>
      <c r="K2118" s="45" t="inlineStr">
        <is>
          <t>Expert en Ingénierie Informatique et Innovation Numérique</t>
        </is>
      </c>
      <c r="L2118" s="45" t="inlineStr">
        <is>
          <t>31/08/2029</t>
        </is>
      </c>
      <c r="M2118" s="45" t="inlineStr">
        <is>
          <t>31054 (Informatique - Systèmes d’information et numérique) ; 32070 (Innovation entreprise)</t>
        </is>
      </c>
      <c r="N2118" s="50" t="inlineStr">
        <is>
          <t>NON</t>
        </is>
      </c>
      <c r="O2118" s="45" t="inlineStr"/>
    </row>
    <row r="2119" customFormat="1" s="3">
      <c r="A2119" s="45" t="n"/>
      <c r="B2119" s="46" t="inlineStr">
        <is>
          <t>31008</t>
        </is>
      </c>
      <c r="C2119" s="46">
        <f>LEFT(Tableau1[[#This Row],[Formacode]],3)</f>
        <v/>
      </c>
      <c r="D2119" s="47" t="n">
        <v>39445</v>
      </c>
      <c r="E2119" s="48">
        <f>"RNCP"&amp;D2119</f>
        <v/>
      </c>
      <c r="F2119" s="48" t="inlineStr">
        <is>
          <t>Titre ingénieur - Ingénieur diplômé de l'Institut supérieur d'électronique de Paris</t>
        </is>
      </c>
      <c r="G2119" s="49">
        <f>E2119&amp;" - "&amp;F2119</f>
        <v/>
      </c>
      <c r="H2119" s="36" t="inlineStr">
        <is>
          <t>RAS</t>
        </is>
      </c>
      <c r="I2119" s="45" t="inlineStr"/>
      <c r="J2119" s="45" t="inlineStr">
        <is>
          <t>RNCP39445</t>
        </is>
      </c>
      <c r="K2119" s="45" t="inlineStr">
        <is>
          <t>Ingénieur diplômé de l'Institut supérieur d'électronique de Paris</t>
        </is>
      </c>
      <c r="L2119" s="45" t="inlineStr">
        <is>
          <t>31/08/2029</t>
        </is>
      </c>
      <c r="M2119" s="45" t="inlineStr">
        <is>
          <t>24354 (Électronique) ; 31054 (Informatique - Systèmes d’information et numérique) ; 32062 (Recherche développement) ; 15099 (Résolution problème)</t>
        </is>
      </c>
      <c r="N2119" s="50" t="inlineStr">
        <is>
          <t>NON</t>
        </is>
      </c>
      <c r="O2119" s="45" t="inlineStr"/>
    </row>
    <row r="2120" customFormat="1" s="3">
      <c r="A2120" s="45" t="n"/>
      <c r="B2120" s="46" t="inlineStr">
        <is>
          <t>31008</t>
        </is>
      </c>
      <c r="C2120" s="46">
        <f>LEFT(Tableau1[[#This Row],[Formacode]],3)</f>
        <v/>
      </c>
      <c r="D2120" s="47" t="n">
        <v>39582</v>
      </c>
      <c r="E2120" s="48">
        <f>"RNCP"&amp;D2120</f>
        <v/>
      </c>
      <c r="F2120" s="48" t="inlineStr">
        <is>
          <t>Expert en architecture des systèmes d’information</t>
        </is>
      </c>
      <c r="G2120" s="49">
        <f>E2120&amp;" - "&amp;F2120</f>
        <v/>
      </c>
      <c r="H2120" s="36" t="inlineStr">
        <is>
          <t>RAS</t>
        </is>
      </c>
      <c r="I2120" s="45" t="inlineStr"/>
      <c r="J2120" s="45" t="inlineStr">
        <is>
          <t>RNCP39582</t>
        </is>
      </c>
      <c r="K2120" s="45" t="inlineStr">
        <is>
          <t>Expert en architecture des systèmes d’information</t>
        </is>
      </c>
      <c r="L2120" s="45" t="inlineStr">
        <is>
          <t>01/10/2029</t>
        </is>
      </c>
      <c r="M2120" s="45" t="inlineStr">
        <is>
          <t>31054 (Informatique - Systèmes d’information et numérique)</t>
        </is>
      </c>
      <c r="N2120" s="50" t="inlineStr">
        <is>
          <t>NON</t>
        </is>
      </c>
      <c r="O2120" s="45" t="inlineStr"/>
    </row>
    <row r="2121" customFormat="1" s="3">
      <c r="A2121" s="45" t="n"/>
      <c r="B2121" s="46" t="inlineStr">
        <is>
          <t>31008</t>
        </is>
      </c>
      <c r="C2121" s="46">
        <f>LEFT(Tableau1[[#This Row],[Formacode]],3)</f>
        <v/>
      </c>
      <c r="D2121" s="47" t="n">
        <v>39585</v>
      </c>
      <c r="E2121" s="48">
        <f>"RNCP"&amp;D2121</f>
        <v/>
      </c>
      <c r="F2121" s="48" t="inlineStr">
        <is>
          <t>Chef de projet système d'information</t>
        </is>
      </c>
      <c r="G2121" s="49">
        <f>E2121&amp;" - "&amp;F2121</f>
        <v/>
      </c>
      <c r="H2121" s="36" t="inlineStr">
        <is>
          <t>RAS</t>
        </is>
      </c>
      <c r="I2121" s="45" t="inlineStr"/>
      <c r="J2121" s="45" t="inlineStr">
        <is>
          <t>RNCP39585</t>
        </is>
      </c>
      <c r="K2121" s="45" t="inlineStr">
        <is>
          <t>Chef de projet système d'information</t>
        </is>
      </c>
      <c r="L2121" s="45" t="inlineStr">
        <is>
          <t>01/10/2029</t>
        </is>
      </c>
      <c r="M2121" s="45" t="inlineStr">
        <is>
          <t>31094 (Gestion projet informatique) ; 31008 (Système information)</t>
        </is>
      </c>
      <c r="N2121" s="50" t="inlineStr">
        <is>
          <t>NON</t>
        </is>
      </c>
      <c r="O2121" s="45" t="inlineStr"/>
    </row>
    <row r="2122" ht="28.8" customFormat="1" customHeight="1" s="3">
      <c r="A2122" s="45" t="n"/>
      <c r="B2122" s="46" t="inlineStr">
        <is>
          <t>31008</t>
        </is>
      </c>
      <c r="C2122" s="46">
        <f>LEFT(Tableau1[[#This Row],[Formacode]],3)</f>
        <v/>
      </c>
      <c r="D2122" s="47" t="n">
        <v>39586</v>
      </c>
      <c r="E2122" s="48">
        <f>"RNCP"&amp;D2122</f>
        <v/>
      </c>
      <c r="F2122" s="48" t="inlineStr">
        <is>
          <t>Ingénieur en science des données spécialisé en infrastructure data ou en apprentissage automatique</t>
        </is>
      </c>
      <c r="G2122" s="49">
        <f>E2122&amp;" - "&amp;F2122</f>
        <v/>
      </c>
      <c r="H2122" s="36" t="inlineStr">
        <is>
          <t>RAS</t>
        </is>
      </c>
      <c r="I2122" s="45" t="inlineStr"/>
      <c r="J2122" s="45" t="inlineStr">
        <is>
          <t>RNCP39586</t>
        </is>
      </c>
      <c r="K2122" s="45" t="inlineStr">
        <is>
          <t>Ingénieur en science des données spécialisé en infrastructure data ou en apprentissage automatique</t>
        </is>
      </c>
      <c r="L2122" s="45" t="inlineStr">
        <is>
          <t>01/10/2029</t>
        </is>
      </c>
      <c r="M2122" s="45" t="inlineStr">
        <is>
          <t>31054 (Informatique - Systèmes d’information et numérique)</t>
        </is>
      </c>
      <c r="N2122" s="50" t="inlineStr">
        <is>
          <t>NON</t>
        </is>
      </c>
      <c r="O2122" s="45" t="inlineStr"/>
    </row>
    <row r="2123" customFormat="1" s="3">
      <c r="A2123" s="45" t="n"/>
      <c r="B2123" s="46" t="inlineStr">
        <is>
          <t>31008</t>
        </is>
      </c>
      <c r="C2123" s="46">
        <f>LEFT(Tableau1[[#This Row],[Formacode]],3)</f>
        <v/>
      </c>
      <c r="D2123" s="47" t="n">
        <v>39877</v>
      </c>
      <c r="E2123" s="48">
        <f>"RNCP"&amp;D2123</f>
        <v/>
      </c>
      <c r="F2123" s="48" t="inlineStr">
        <is>
          <t>Chef de projet géomatique</t>
        </is>
      </c>
      <c r="G2123" s="49">
        <f>E2123&amp;" - "&amp;F2123</f>
        <v/>
      </c>
      <c r="H2123" s="36" t="inlineStr">
        <is>
          <t>RAS</t>
        </is>
      </c>
      <c r="I2123" s="45" t="inlineStr"/>
      <c r="J2123" s="45" t="inlineStr">
        <is>
          <t>RNCP39877</t>
        </is>
      </c>
      <c r="K2123" s="45" t="inlineStr">
        <is>
          <t>Chef de projet géomatique</t>
        </is>
      </c>
      <c r="L2123" s="45" t="inlineStr">
        <is>
          <t>28/11/2029</t>
        </is>
      </c>
      <c r="M2123" s="45" t="inlineStr">
        <is>
          <t>31008 (Système information) ; 12232 (Géomatique)</t>
        </is>
      </c>
      <c r="N2123" s="50" t="inlineStr">
        <is>
          <t>NON</t>
        </is>
      </c>
      <c r="O2123" s="45" t="inlineStr"/>
    </row>
    <row r="2124" customFormat="1" s="3">
      <c r="A2124" s="45" t="n"/>
      <c r="B2124" s="46" t="inlineStr">
        <is>
          <t>31008</t>
        </is>
      </c>
      <c r="C2124" s="46">
        <f>LEFT(Tableau1[[#This Row],[Formacode]],3)</f>
        <v/>
      </c>
      <c r="D2124" s="47" t="n">
        <v>39880</v>
      </c>
      <c r="E2124" s="48">
        <f>"RNCP"&amp;D2124</f>
        <v/>
      </c>
      <c r="F2124" s="48" t="inlineStr">
        <is>
          <t>Expert en digitalisation et exploitation des bâtiments</t>
        </is>
      </c>
      <c r="G2124" s="49">
        <f>E2124&amp;" - "&amp;F2124</f>
        <v/>
      </c>
      <c r="H2124" s="36" t="inlineStr">
        <is>
          <t>RAS</t>
        </is>
      </c>
      <c r="I2124" s="45" t="inlineStr"/>
      <c r="J2124" s="45" t="inlineStr">
        <is>
          <t>RNCP39880</t>
        </is>
      </c>
      <c r="K2124" s="45" t="inlineStr">
        <is>
          <t>Expert en digitalisation et exploitation des bâtiments</t>
        </is>
      </c>
      <c r="L2124" s="45" t="inlineStr">
        <is>
          <t>28/11/2027</t>
        </is>
      </c>
      <c r="M2124" s="45" t="inlineStr">
        <is>
          <t>22211 (Performance énergétique bâtiment) ; 24162 (Gestion énergie) ; 31042 (Internet des objets)</t>
        </is>
      </c>
      <c r="N2124" s="50" t="inlineStr">
        <is>
          <t>NON</t>
        </is>
      </c>
      <c r="O2124" s="45" t="inlineStr"/>
    </row>
    <row r="2125" customFormat="1" s="3">
      <c r="A2125" s="45" t="n"/>
      <c r="B2125" s="46" t="inlineStr">
        <is>
          <t>31008</t>
        </is>
      </c>
      <c r="C2125" s="46">
        <f>LEFT(Tableau1[[#This Row],[Formacode]],3)</f>
        <v/>
      </c>
      <c r="D2125" s="47" t="n">
        <v>40165</v>
      </c>
      <c r="E2125" s="48">
        <f>"RNCP"&amp;D2125</f>
        <v/>
      </c>
      <c r="F2125" s="48" t="inlineStr">
        <is>
          <t>Expert en architectures sécurisées des systèmes d'information</t>
        </is>
      </c>
      <c r="G2125" s="49">
        <f>E2125&amp;" - "&amp;F2125</f>
        <v/>
      </c>
      <c r="H2125" s="36" t="inlineStr">
        <is>
          <t>RAS</t>
        </is>
      </c>
      <c r="I2125" s="45" t="inlineStr"/>
      <c r="J2125" s="45" t="inlineStr">
        <is>
          <t>RNCP40165</t>
        </is>
      </c>
      <c r="K2125" s="45" t="inlineStr">
        <is>
          <t>Expert en architectures sécurisées des systèmes d'information</t>
        </is>
      </c>
      <c r="L2125" s="45" t="inlineStr">
        <is>
          <t>31/01/2028</t>
        </is>
      </c>
      <c r="M2125" s="45" t="inlineStr">
        <is>
          <t>31009 (Architecture système information) ; 31006 (Sécurité informatique) ; 31094 (Gestion projet informatique)</t>
        </is>
      </c>
      <c r="N2125" s="50" t="inlineStr">
        <is>
          <t>NON</t>
        </is>
      </c>
      <c r="O2125" s="45" t="inlineStr"/>
    </row>
    <row r="2126" customFormat="1" s="3">
      <c r="A2126" s="45" t="n"/>
      <c r="B2126" s="46" t="inlineStr">
        <is>
          <t>31008</t>
        </is>
      </c>
      <c r="C2126" s="46">
        <f>LEFT(Tableau1[[#This Row],[Formacode]],3)</f>
        <v/>
      </c>
      <c r="D2126" s="47" t="n">
        <v>40166</v>
      </c>
      <c r="E2126" s="48">
        <f>"RNCP"&amp;D2126</f>
        <v/>
      </c>
      <c r="F2126" s="48" t="inlineStr">
        <is>
          <t>Expert en développement et déploiement de solutions numériques sécurisées</t>
        </is>
      </c>
      <c r="G2126" s="49">
        <f>E2126&amp;" - "&amp;F2126</f>
        <v/>
      </c>
      <c r="H2126" s="36" t="inlineStr">
        <is>
          <t>RAS</t>
        </is>
      </c>
      <c r="I2126" s="45" t="inlineStr"/>
      <c r="J2126" s="45" t="inlineStr">
        <is>
          <t>RNCP40166</t>
        </is>
      </c>
      <c r="K2126" s="45" t="inlineStr">
        <is>
          <t>Expert en développement et déploiement de solutions numériques sécurisées</t>
        </is>
      </c>
      <c r="L2126" s="45" t="inlineStr">
        <is>
          <t>31/01/2028</t>
        </is>
      </c>
      <c r="M2126" s="45" t="inlineStr">
        <is>
          <t>31094 (Gestion projet informatique) ; 31006 (Sécurité informatique) ; 31018 (Architecture orientée services) ; 31057 (Génie logiciel)</t>
        </is>
      </c>
      <c r="N2126" s="50" t="inlineStr">
        <is>
          <t>NON</t>
        </is>
      </c>
      <c r="O2126" s="45" t="inlineStr"/>
    </row>
    <row r="2127" customFormat="1" s="3">
      <c r="A2127" s="45" t="n"/>
      <c r="B2127" s="46" t="inlineStr">
        <is>
          <t>31008</t>
        </is>
      </c>
      <c r="C2127" s="46">
        <f>LEFT(Tableau1[[#This Row],[Formacode]],3)</f>
        <v/>
      </c>
      <c r="D2127" s="47" t="n">
        <v>40168</v>
      </c>
      <c r="E2127" s="48">
        <f>"RNCP"&amp;D2127</f>
        <v/>
      </c>
      <c r="F2127" s="48" t="inlineStr">
        <is>
          <t>Directeur de projets informatiques</t>
        </is>
      </c>
      <c r="G2127" s="49">
        <f>E2127&amp;" - "&amp;F2127</f>
        <v/>
      </c>
      <c r="H2127" s="36" t="inlineStr">
        <is>
          <t>RAS</t>
        </is>
      </c>
      <c r="I2127" s="45" t="inlineStr"/>
      <c r="J2127" s="45" t="inlineStr">
        <is>
          <t>RNCP40168</t>
        </is>
      </c>
      <c r="K2127" s="45" t="inlineStr">
        <is>
          <t>Directeur de projets informatiques</t>
        </is>
      </c>
      <c r="L2127" s="45" t="inlineStr">
        <is>
          <t>31/01/2028</t>
        </is>
      </c>
      <c r="M2127" s="45" t="inlineStr">
        <is>
          <t>31094 (Gestion projet informatique) ; 31009 (Architecture système information) ; 31006 (Sécurité informatique)</t>
        </is>
      </c>
      <c r="N2127" s="50" t="inlineStr">
        <is>
          <t>NON</t>
        </is>
      </c>
      <c r="O2127" s="45" t="inlineStr"/>
    </row>
    <row r="2128" customFormat="1" s="3">
      <c r="A2128" s="45" t="n"/>
      <c r="B2128" s="46" t="inlineStr">
        <is>
          <t>31008</t>
        </is>
      </c>
      <c r="C2128" s="46">
        <f>LEFT(Tableau1[[#This Row],[Formacode]],3)</f>
        <v/>
      </c>
      <c r="D2128" s="47" t="n">
        <v>40356</v>
      </c>
      <c r="E2128" s="48">
        <f>"RNCP"&amp;D2128</f>
        <v/>
      </c>
      <c r="F2128" s="48" t="inlineStr">
        <is>
          <t>Administrateur systèmes, réseaux et cybersécurité</t>
        </is>
      </c>
      <c r="G2128" s="49">
        <f>E2128&amp;" - "&amp;F2128</f>
        <v/>
      </c>
      <c r="H2128" s="36" t="inlineStr">
        <is>
          <t>RAS</t>
        </is>
      </c>
      <c r="I2128" s="45" t="inlineStr"/>
      <c r="J2128" s="45" t="inlineStr">
        <is>
          <t>RNCP40356</t>
        </is>
      </c>
      <c r="K2128" s="45" t="inlineStr">
        <is>
          <t>Administrateur systèmes, réseaux et cybersécurité</t>
        </is>
      </c>
      <c r="L2128" s="45" t="inlineStr">
        <is>
          <t>28/03/2030</t>
        </is>
      </c>
      <c r="M2128" s="45" t="inlineStr">
        <is>
          <t>31034 (Administration système) ; 31032 (Système exploitation informatique) ; 31006 (Sécurité informatique) ; 24231 (Réseau informatique) ; 31008 (Système information)</t>
        </is>
      </c>
      <c r="N2128" s="50" t="inlineStr">
        <is>
          <t>NON</t>
        </is>
      </c>
      <c r="O2128" s="45" t="inlineStr"/>
    </row>
    <row r="2129" customFormat="1" s="3">
      <c r="A2129" s="45" t="n"/>
      <c r="B2129" s="46" t="inlineStr">
        <is>
          <t>31008</t>
        </is>
      </c>
      <c r="C2129" s="46">
        <f>LEFT(Tableau1[[#This Row],[Formacode]],3)</f>
        <v/>
      </c>
      <c r="D2129" s="47" t="n">
        <v>40363</v>
      </c>
      <c r="E2129" s="48">
        <f>"RNCP"&amp;D2129</f>
        <v/>
      </c>
      <c r="F2129" s="48" t="inlineStr">
        <is>
          <t>Expert en études et développement du système d'information</t>
        </is>
      </c>
      <c r="G2129" s="49">
        <f>E2129&amp;" - "&amp;F2129</f>
        <v/>
      </c>
      <c r="H2129" s="36" t="inlineStr">
        <is>
          <t>RAS</t>
        </is>
      </c>
      <c r="I2129" s="45" t="inlineStr"/>
      <c r="J2129" s="45" t="inlineStr">
        <is>
          <t>RNCP40363</t>
        </is>
      </c>
      <c r="K2129" s="45" t="inlineStr">
        <is>
          <t>Expert en études et développement du système d'information</t>
        </is>
      </c>
      <c r="L2129" s="45" t="inlineStr">
        <is>
          <t>28/03/2028</t>
        </is>
      </c>
      <c r="M2129" s="45" t="inlineStr">
        <is>
          <t>31054 (Informatique - Systèmes d’information et numérique)</t>
        </is>
      </c>
      <c r="N2129" s="50" t="inlineStr">
        <is>
          <t>NON</t>
        </is>
      </c>
      <c r="O2129" s="45" t="inlineStr"/>
    </row>
    <row r="2130" customFormat="1" s="3">
      <c r="A2130" s="45" t="n"/>
      <c r="B2130" s="46" t="inlineStr">
        <is>
          <t>31008</t>
        </is>
      </c>
      <c r="C2130" s="46">
        <f>LEFT(Tableau1[[#This Row],[Formacode]],3)</f>
        <v/>
      </c>
      <c r="D2130" s="47" t="n">
        <v>40572</v>
      </c>
      <c r="E2130" s="48">
        <f>"RNCP"&amp;D2130</f>
        <v/>
      </c>
      <c r="F2130" s="48" t="inlineStr">
        <is>
          <t>Architecte Internet des objets (IoT)</t>
        </is>
      </c>
      <c r="G2130" s="49">
        <f>E2130&amp;" - "&amp;F2130</f>
        <v/>
      </c>
      <c r="H2130" s="36" t="inlineStr">
        <is>
          <t>RAS</t>
        </is>
      </c>
      <c r="I2130" s="45" t="inlineStr"/>
      <c r="J2130" s="45" t="inlineStr">
        <is>
          <t>RNCP40572</t>
        </is>
      </c>
      <c r="K2130" s="45" t="inlineStr">
        <is>
          <t>Architecte Internet des objets (IoT)</t>
        </is>
      </c>
      <c r="L2130" s="45" t="inlineStr">
        <is>
          <t>30/04/2028</t>
        </is>
      </c>
      <c r="M2130" s="45" t="inlineStr">
        <is>
          <t>31009 (Architecture système information) ; 31082 (Intégration informatique) ; 24231 (Réseau informatique)</t>
        </is>
      </c>
      <c r="N2130" s="50" t="inlineStr">
        <is>
          <t>NON</t>
        </is>
      </c>
      <c r="O2130" s="45" t="inlineStr"/>
    </row>
    <row r="2131" customFormat="1" s="3">
      <c r="A2131" s="45" t="n"/>
      <c r="B2131" s="46" t="inlineStr">
        <is>
          <t>31008</t>
        </is>
      </c>
      <c r="C2131" s="46">
        <f>LEFT(Tableau1[[#This Row],[Formacode]],3)</f>
        <v/>
      </c>
      <c r="D2131" s="47" t="n">
        <v>40593</v>
      </c>
      <c r="E2131" s="48">
        <f>"RNCP"&amp;D2131</f>
        <v/>
      </c>
      <c r="F2131" s="48" t="inlineStr">
        <is>
          <t>Product builder no code</t>
        </is>
      </c>
      <c r="G2131" s="49">
        <f>E2131&amp;" - "&amp;F2131</f>
        <v/>
      </c>
      <c r="H2131" s="36" t="inlineStr">
        <is>
          <t>RAS</t>
        </is>
      </c>
      <c r="I2131" s="45" t="inlineStr"/>
      <c r="J2131" s="45" t="inlineStr">
        <is>
          <t>RNCP40593</t>
        </is>
      </c>
      <c r="K2131" s="45" t="inlineStr">
        <is>
          <t>Product builder no code</t>
        </is>
      </c>
      <c r="L2131" s="45" t="inlineStr">
        <is>
          <t>30/04/2028</t>
        </is>
      </c>
      <c r="M2131" s="45" t="inlineStr">
        <is>
          <t>31086 (Développement Low Code - No Code) ; 46334 (Maquettage site web) ; 31094 (Gestion projet informatique) ; 72454 (Application) ; 32012 (Gestion processus)</t>
        </is>
      </c>
      <c r="N2131" s="50" t="inlineStr">
        <is>
          <t>NON</t>
        </is>
      </c>
      <c r="O2131" s="45" t="inlineStr"/>
    </row>
    <row r="2132" customFormat="1" s="3">
      <c r="A2132" s="45" t="n"/>
      <c r="B2132" s="46" t="inlineStr">
        <is>
          <t>31008</t>
        </is>
      </c>
      <c r="C2132" s="46">
        <f>LEFT(Tableau1[[#This Row],[Formacode]],3)</f>
        <v/>
      </c>
      <c r="D2132" s="47" t="n">
        <v>40658</v>
      </c>
      <c r="E2132" s="48">
        <f>"RNCP"&amp;D2132</f>
        <v/>
      </c>
      <c r="F2132" s="48" t="inlineStr">
        <is>
          <t>Architecte des systèmes d'information dans les processus industriels</t>
        </is>
      </c>
      <c r="G2132" s="49">
        <f>E2132&amp;" - "&amp;F2132</f>
        <v/>
      </c>
      <c r="H2132" s="36" t="inlineStr">
        <is>
          <t>RAS</t>
        </is>
      </c>
      <c r="I2132" s="45" t="inlineStr"/>
      <c r="J2132" s="45" t="inlineStr">
        <is>
          <t>RNCP40658</t>
        </is>
      </c>
      <c r="K2132" s="45" t="inlineStr">
        <is>
          <t>Architecte des systèmes d'information dans les processus industriels</t>
        </is>
      </c>
      <c r="L2132" s="45" t="inlineStr">
        <is>
          <t>23/05/2028</t>
        </is>
      </c>
      <c r="M2132" s="45" t="inlineStr">
        <is>
          <t>31009 (Architecture système information) ; 24426 (Informatique industrielle) ; 31006 (Sécurité informatique) ; 24231 (Réseau informatique) ; 24491 (Programmation informatique industrielle)</t>
        </is>
      </c>
      <c r="N2132" s="50" t="inlineStr">
        <is>
          <t>NON</t>
        </is>
      </c>
      <c r="O2132" s="45" t="inlineStr"/>
    </row>
    <row r="2133" customFormat="1" s="3">
      <c r="A2133" s="45" t="n"/>
      <c r="B2133" s="46" t="inlineStr">
        <is>
          <t>31008</t>
        </is>
      </c>
      <c r="C2133" s="46">
        <f>LEFT(Tableau1[[#This Row],[Formacode]],3)</f>
        <v/>
      </c>
      <c r="D2133" s="47" t="n">
        <v>40659</v>
      </c>
      <c r="E2133" s="48">
        <f>"RNCP"&amp;D2133</f>
        <v/>
      </c>
      <c r="F2133" s="48" t="inlineStr">
        <is>
          <t>Manager green IT</t>
        </is>
      </c>
      <c r="G2133" s="49">
        <f>E2133&amp;" - "&amp;F2133</f>
        <v/>
      </c>
      <c r="H2133" s="36" t="inlineStr">
        <is>
          <t>RAS</t>
        </is>
      </c>
      <c r="I2133" s="45" t="inlineStr"/>
      <c r="J2133" s="45" t="inlineStr">
        <is>
          <t>RNCP40659</t>
        </is>
      </c>
      <c r="K2133" s="45" t="inlineStr">
        <is>
          <t>Manager green IT</t>
        </is>
      </c>
      <c r="L2133" s="45" t="inlineStr">
        <is>
          <t>23/05/2028</t>
        </is>
      </c>
      <c r="M2133" s="45" t="inlineStr">
        <is>
          <t>12545 (Bilan carbone) ; 12522 (Développement durable) ; 31002 (Informatique verte) ; 31008 (Système information) ; 32008 (Responsabilité sociétale entreprise)</t>
        </is>
      </c>
      <c r="N2133" s="50" t="inlineStr">
        <is>
          <t>NON</t>
        </is>
      </c>
      <c r="O2133" s="45" t="inlineStr"/>
    </row>
    <row r="2134" customFormat="1" s="3">
      <c r="A2134" s="45" t="n"/>
      <c r="B2134" s="46" t="inlineStr">
        <is>
          <t>31008</t>
        </is>
      </c>
      <c r="C2134" s="46">
        <f>LEFT(Tableau1[[#This Row],[Formacode]],3)</f>
        <v/>
      </c>
      <c r="D2134" s="47" t="n">
        <v>40799</v>
      </c>
      <c r="E2134" s="48">
        <f>"RNCP"&amp;D2134</f>
        <v/>
      </c>
      <c r="F2134" s="48" t="inlineStr">
        <is>
          <t>TP - Technicien informatique de proximité</t>
        </is>
      </c>
      <c r="G2134" s="49">
        <f>E2134&amp;" - "&amp;F2134</f>
        <v/>
      </c>
      <c r="H2134" s="36" t="inlineStr">
        <is>
          <t>RAS</t>
        </is>
      </c>
      <c r="I2134" s="45" t="inlineStr"/>
      <c r="J2134" s="45" t="inlineStr">
        <is>
          <t>RNCP40799</t>
        </is>
      </c>
      <c r="K2134" s="45" t="inlineStr">
        <is>
          <t>Technicien informatique de proximité</t>
        </is>
      </c>
      <c r="L2134" s="45" t="inlineStr">
        <is>
          <t>01/09/2030</t>
        </is>
      </c>
      <c r="M2134" s="45" t="inlineStr">
        <is>
          <t>31051 (Maintenance assistance informatique) ; 31080 (Matériel informatique) ; 31016 (Architecture mobile) ; 24231 (Réseau informatique)</t>
        </is>
      </c>
      <c r="N2134" s="50" t="inlineStr">
        <is>
          <t>NON</t>
        </is>
      </c>
      <c r="O2134" s="45" t="inlineStr"/>
    </row>
    <row r="2135" customFormat="1" s="3">
      <c r="A2135" s="45" t="n"/>
      <c r="B2135" s="46" t="inlineStr">
        <is>
          <t>31008</t>
        </is>
      </c>
      <c r="C2135" s="46">
        <f>LEFT(Tableau1[[#This Row],[Formacode]],3)</f>
        <v/>
      </c>
      <c r="D2135" s="47" t="n">
        <v>40897</v>
      </c>
      <c r="E2135" s="48">
        <f>"RNCP"&amp;D2135</f>
        <v/>
      </c>
      <c r="F2135" s="48" t="inlineStr">
        <is>
          <t>Expert en cybersécurité</t>
        </is>
      </c>
      <c r="G2135" s="49">
        <f>E2135&amp;" - "&amp;F2135</f>
        <v/>
      </c>
      <c r="H2135" s="36" t="inlineStr">
        <is>
          <t>RAS</t>
        </is>
      </c>
      <c r="I2135" s="45" t="inlineStr"/>
      <c r="J2135" s="45" t="inlineStr">
        <is>
          <t>RNCP40897</t>
        </is>
      </c>
      <c r="K2135" s="45" t="inlineStr">
        <is>
          <t>Expert en cybersécurité</t>
        </is>
      </c>
      <c r="L2135" s="45" t="inlineStr">
        <is>
          <t>25/06/2028</t>
        </is>
      </c>
      <c r="M2135" s="45" t="inlineStr">
        <is>
          <t>31045 (Cybersécurité) ; 31038 (Audit informatique) ; 31008 (Système information) ; 42881 (Risque criminel entreprise)</t>
        </is>
      </c>
      <c r="N2135" s="50" t="inlineStr">
        <is>
          <t>NON</t>
        </is>
      </c>
      <c r="O2135" s="45" t="inlineStr"/>
    </row>
    <row r="2136" customFormat="1" s="3">
      <c r="A2136" s="45" t="n"/>
      <c r="B2136" s="46" t="inlineStr">
        <is>
          <t>31008</t>
        </is>
      </c>
      <c r="C2136" s="46">
        <f>LEFT(Tableau1[[#This Row],[Formacode]],3)</f>
        <v/>
      </c>
      <c r="D2136" s="47" t="n">
        <v>40932</v>
      </c>
      <c r="E2136" s="48">
        <f>"RNCP"&amp;D2136</f>
        <v/>
      </c>
      <c r="F2136" s="48" t="inlineStr">
        <is>
          <t>Expert numérique des systèmes et processus industriels</t>
        </is>
      </c>
      <c r="G2136" s="49">
        <f>E2136&amp;" - "&amp;F2136</f>
        <v/>
      </c>
      <c r="H2136" s="36" t="inlineStr">
        <is>
          <t>RAS</t>
        </is>
      </c>
      <c r="I2136" s="45" t="inlineStr"/>
      <c r="J2136" s="45" t="inlineStr">
        <is>
          <t>RNCP40932</t>
        </is>
      </c>
      <c r="K2136" s="45" t="inlineStr">
        <is>
          <t>Expert numérique des systèmes et processus industriels</t>
        </is>
      </c>
      <c r="L2136" s="45" t="inlineStr">
        <is>
          <t>25/06/2028</t>
        </is>
      </c>
      <c r="M2136" s="45" t="inlineStr">
        <is>
          <t>31085 (Informatisation des processus) ; 46390 (Numérisation données) ; 31008 (Système information) ; 31606 (Conduite projet industriel)</t>
        </is>
      </c>
      <c r="N2136" s="50" t="inlineStr">
        <is>
          <t>NON</t>
        </is>
      </c>
      <c r="O2136" s="45" t="inlineStr"/>
    </row>
    <row r="2137" customFormat="1" s="3">
      <c r="A2137" s="45" t="n"/>
      <c r="B2137" s="46" t="inlineStr">
        <is>
          <t>31008</t>
        </is>
      </c>
      <c r="C2137" s="46">
        <f>LEFT(Tableau1[[#This Row],[Formacode]],3)</f>
        <v/>
      </c>
      <c r="D2137" s="47" t="n">
        <v>41412</v>
      </c>
      <c r="E2137" s="48">
        <f>"RNCP"&amp;D2137</f>
        <v/>
      </c>
      <c r="F2137" s="48" t="inlineStr">
        <is>
          <t>Architecte IoT et sécurité des systèmes connectés</t>
        </is>
      </c>
      <c r="G2137" s="49">
        <f>E2137&amp;" - "&amp;F2137</f>
        <v/>
      </c>
      <c r="H2137" s="36" t="inlineStr">
        <is>
          <t>RAS</t>
        </is>
      </c>
      <c r="I2137" s="45" t="inlineStr"/>
      <c r="J2137" s="45" t="inlineStr">
        <is>
          <t>RNCP41412</t>
        </is>
      </c>
      <c r="K2137" s="45" t="inlineStr">
        <is>
          <t>Architecte IoT et sécurité des systèmes connectés</t>
        </is>
      </c>
      <c r="L2137" s="45" t="inlineStr">
        <is>
          <t>27/10/2028</t>
        </is>
      </c>
      <c r="M2137" s="45" t="inlineStr">
        <is>
          <t>31023 (Gestion données massives) ; 31042 (Internet des objets)</t>
        </is>
      </c>
      <c r="N2137" s="50" t="inlineStr">
        <is>
          <t>NON</t>
        </is>
      </c>
      <c r="O2137" s="45" t="inlineStr"/>
    </row>
    <row r="2138" customFormat="1" s="3">
      <c r="A2138" s="45" t="n"/>
      <c r="B2138" s="46" t="inlineStr">
        <is>
          <t>31008</t>
        </is>
      </c>
      <c r="C2138" s="46">
        <f>LEFT(Tableau1[[#This Row],[Formacode]],3)</f>
        <v/>
      </c>
      <c r="D2138" s="47" t="n">
        <v>41450</v>
      </c>
      <c r="E2138" s="48">
        <f>"RNCP"&amp;D2138</f>
        <v/>
      </c>
      <c r="F2138" s="48" t="inlineStr">
        <is>
          <t>Expert en développement numérique responsable</t>
        </is>
      </c>
      <c r="G2138" s="49">
        <f>E2138&amp;" - "&amp;F2138</f>
        <v/>
      </c>
      <c r="H2138" s="36" t="inlineStr">
        <is>
          <t>RAS</t>
        </is>
      </c>
      <c r="I2138" s="45" t="inlineStr"/>
      <c r="J2138" s="45" t="inlineStr">
        <is>
          <t>RNCP41450</t>
        </is>
      </c>
      <c r="K2138" s="45" t="inlineStr">
        <is>
          <t>Expert en développement numérique responsable</t>
        </is>
      </c>
      <c r="L2138" s="45" t="inlineStr">
        <is>
          <t>27/10/2028</t>
        </is>
      </c>
      <c r="M2138" s="45" t="inlineStr">
        <is>
          <t>31002 (Informatique verte) ; 31094 (Gestion projet informatique) ; 31009 (Architecture système information)</t>
        </is>
      </c>
      <c r="N2138" s="50" t="inlineStr">
        <is>
          <t>NON</t>
        </is>
      </c>
      <c r="O2138" s="45" t="inlineStr"/>
    </row>
    <row r="2139" customFormat="1" s="3">
      <c r="A2139" s="45" t="n"/>
      <c r="B2139" s="46" t="inlineStr">
        <is>
          <t>31008</t>
        </is>
      </c>
      <c r="C2139" s="46">
        <f>LEFT(Tableau1[[#This Row],[Formacode]],3)</f>
        <v/>
      </c>
      <c r="D2139" s="47" t="n">
        <v>41701</v>
      </c>
      <c r="E2139" s="48">
        <f>"RNCP"&amp;D2139</f>
        <v/>
      </c>
      <c r="F2139" s="48" t="inlineStr">
        <is>
          <t>Concepteur développeur de solutions blockchain</t>
        </is>
      </c>
      <c r="G2139" s="49">
        <f>E2139&amp;" - "&amp;F2139</f>
        <v/>
      </c>
      <c r="H2139" s="36" t="inlineStr">
        <is>
          <t>RAS</t>
        </is>
      </c>
      <c r="I2139" s="45" t="inlineStr"/>
      <c r="J2139" s="45" t="inlineStr">
        <is>
          <t>RNCP41701</t>
        </is>
      </c>
      <c r="K2139" s="45" t="inlineStr">
        <is>
          <t>Concepteur développeur de solutions blockchain</t>
        </is>
      </c>
      <c r="L2139" s="45" t="inlineStr">
        <is>
          <t>27/10/2028</t>
        </is>
      </c>
      <c r="M2139" s="45" t="inlineStr">
        <is>
          <t>31004 (Blockchain) ; 31094 (Gestion projet informatique) ; 31009 (Architecture système information) ; 31067 (Développement informatique)</t>
        </is>
      </c>
      <c r="N2139" s="50" t="inlineStr">
        <is>
          <t>NON</t>
        </is>
      </c>
      <c r="O2139" s="45" t="inlineStr"/>
    </row>
    <row r="2140" customFormat="1" s="3">
      <c r="A2140" s="45" t="n"/>
      <c r="B2140" s="46" t="inlineStr">
        <is>
          <t>31008</t>
        </is>
      </c>
      <c r="C2140" s="46">
        <f>LEFT(Tableau1[[#This Row],[Formacode]],3)</f>
        <v/>
      </c>
      <c r="D2140" s="47" t="n">
        <v>41823</v>
      </c>
      <c r="E2140" s="48">
        <f>"RNCP"&amp;D2140</f>
        <v/>
      </c>
      <c r="F2140" s="48" t="inlineStr">
        <is>
          <t>Titre ingénieur - Ingénieur diplômé de l’ESIEE IT - CCI Paris Ile-de-France Éducation</t>
        </is>
      </c>
      <c r="G2140" s="49">
        <f>E2140&amp;" - "&amp;F2140</f>
        <v/>
      </c>
      <c r="H2140" s="36" t="inlineStr">
        <is>
          <t>RAS</t>
        </is>
      </c>
      <c r="I2140" s="45" t="inlineStr"/>
      <c r="J2140" s="45" t="inlineStr">
        <is>
          <t>RNCP41823</t>
        </is>
      </c>
      <c r="K2140" s="45" t="inlineStr">
        <is>
          <t>Ingénieur diplômé de l’ESIEE IT - CCI Paris Ile-de-France Éducation</t>
        </is>
      </c>
      <c r="L2140" s="45" t="inlineStr">
        <is>
          <t>31/08/2027</t>
        </is>
      </c>
      <c r="M2140" s="45" t="inlineStr">
        <is>
          <t>31054 (Informatique - Systèmes d’information et numérique) ; 32062 (Recherche développement) ; 15099 (Résolution problème)</t>
        </is>
      </c>
      <c r="N2140" s="50" t="inlineStr">
        <is>
          <t>NON</t>
        </is>
      </c>
      <c r="O2140" s="45" t="inlineStr"/>
    </row>
    <row r="2141" customFormat="1" s="3">
      <c r="A2141" s="63" t="n"/>
      <c r="B2141" s="64" t="inlineStr">
        <is>
          <t>31023</t>
        </is>
      </c>
      <c r="C2141" s="64">
        <f>LEFT(Tableau1[[#This Row],[Formacode]],3)</f>
        <v/>
      </c>
      <c r="D2141" s="65" t="n">
        <v>35584</v>
      </c>
      <c r="E2141" s="66">
        <f>"RNCP"&amp;D2141</f>
        <v/>
      </c>
      <c r="F2141" s="66" t="inlineStr">
        <is>
          <t>Expert en informatique et système d'information</t>
        </is>
      </c>
      <c r="G2141" s="67">
        <f>E2141&amp;" - "&amp;F2141</f>
        <v/>
      </c>
      <c r="H2141" s="38" t="inlineStr">
        <is>
          <t>Expiré / remplacé</t>
        </is>
      </c>
      <c r="I2141" s="63" t="inlineStr">
        <is>
          <t>Fiche inactive — remplacée par RNCP42317 (Expert en informatique et système d'information)</t>
        </is>
      </c>
      <c r="J2141" s="63" t="inlineStr">
        <is>
          <t>RNCP42317</t>
        </is>
      </c>
      <c r="K2141" s="63" t="inlineStr">
        <is>
          <t>Expert en informatique et système d'information</t>
        </is>
      </c>
      <c r="L2141" s="63" t="inlineStr">
        <is>
          <t>19/05/2026</t>
        </is>
      </c>
      <c r="M2141" s="63" t="inlineStr">
        <is>
          <t>31008 (Système information) ; 31094 (Gestion projet informatique) ; 31084 (Informatique de gestion) ; 31025 (Analyse de données) ; 31067 (Développement informatique)</t>
        </is>
      </c>
      <c r="N2141" s="68" t="inlineStr">
        <is>
          <t>NON</t>
        </is>
      </c>
      <c r="O2141" s="63" t="inlineStr"/>
    </row>
    <row r="2142" customFormat="1" s="3">
      <c r="A2142" s="45" t="n"/>
      <c r="B2142" s="46" t="inlineStr">
        <is>
          <t>31023</t>
        </is>
      </c>
      <c r="C2142" s="46">
        <f>LEFT(Tableau1[[#This Row],[Formacode]],3)</f>
        <v/>
      </c>
      <c r="D2142" s="47" t="n">
        <v>37103</v>
      </c>
      <c r="E2142" s="48">
        <f>"RNCP"&amp;D2142</f>
        <v/>
      </c>
      <c r="F2142" s="48" t="inlineStr">
        <is>
          <t>TP - Technicien en géomatique</t>
        </is>
      </c>
      <c r="G2142" s="49">
        <f>E2142&amp;" - "&amp;F2142</f>
        <v/>
      </c>
      <c r="H2142" s="36" t="inlineStr">
        <is>
          <t>RAS</t>
        </is>
      </c>
      <c r="I2142" s="45" t="inlineStr"/>
      <c r="J2142" s="45" t="inlineStr">
        <is>
          <t>RNCP37103</t>
        </is>
      </c>
      <c r="K2142" s="45" t="inlineStr">
        <is>
          <t>Technicien en géomatique</t>
        </is>
      </c>
      <c r="L2142" s="45" t="inlineStr">
        <is>
          <t>25/02/2028</t>
        </is>
      </c>
      <c r="M2142" s="45" t="inlineStr">
        <is>
          <t>12232 (Géomatique) ; 31054 (Informatique - Systèmes d’information et numérique) ; 12505 (Plan local urbanisme)</t>
        </is>
      </c>
      <c r="N2142" s="50" t="inlineStr">
        <is>
          <t>NON</t>
        </is>
      </c>
      <c r="O2142" s="45" t="inlineStr"/>
    </row>
    <row r="2143" customFormat="1" s="3">
      <c r="A2143" s="63" t="n"/>
      <c r="B2143" s="64" t="inlineStr">
        <is>
          <t>31023</t>
        </is>
      </c>
      <c r="C2143" s="64">
        <f>LEFT(Tableau1[[#This Row],[Formacode]],3)</f>
        <v/>
      </c>
      <c r="D2143" s="65" t="n">
        <v>37422</v>
      </c>
      <c r="E2143" s="66">
        <f>"RNCP"&amp;D2143</f>
        <v/>
      </c>
      <c r="F2143" s="66" t="inlineStr">
        <is>
          <t>Data Engineer</t>
        </is>
      </c>
      <c r="G2143" s="67">
        <f>E2143&amp;" - "&amp;F2143</f>
        <v/>
      </c>
      <c r="H2143" s="38" t="inlineStr">
        <is>
          <t>Expiré / remplacé</t>
        </is>
      </c>
      <c r="I2143" s="63" t="inlineStr">
        <is>
          <t>Fiche inactive — remplacée par RNCP42149 (Data engineer)</t>
        </is>
      </c>
      <c r="J2143" s="63" t="inlineStr">
        <is>
          <t>RNCP42149</t>
        </is>
      </c>
      <c r="K2143" s="63" t="inlineStr">
        <is>
          <t>Data engineer</t>
        </is>
      </c>
      <c r="L2143" s="63" t="inlineStr">
        <is>
          <t>27/03/2026</t>
        </is>
      </c>
      <c r="M2143" s="63" t="inlineStr">
        <is>
          <t>31094 (Gestion projet informatique) ; 31028 (Intelligence artificielle) ; 31023 (Gestion données massives)</t>
        </is>
      </c>
      <c r="N2143" s="68" t="inlineStr">
        <is>
          <t>NON</t>
        </is>
      </c>
      <c r="O2143" s="63" t="inlineStr"/>
    </row>
    <row r="2144" customFormat="1" s="3">
      <c r="A2144" s="45" t="n"/>
      <c r="B2144" s="46" t="inlineStr">
        <is>
          <t>31023</t>
        </is>
      </c>
      <c r="C2144" s="46">
        <f>LEFT(Tableau1[[#This Row],[Formacode]],3)</f>
        <v/>
      </c>
      <c r="D2144" s="47" t="n">
        <v>37837</v>
      </c>
      <c r="E2144" s="48">
        <f>"RNCP"&amp;D2144</f>
        <v/>
      </c>
      <c r="F2144" s="48" t="inlineStr">
        <is>
          <t>Data analyst</t>
        </is>
      </c>
      <c r="G2144" s="49">
        <f>E2144&amp;" - "&amp;F2144</f>
        <v/>
      </c>
      <c r="H2144" s="36" t="inlineStr">
        <is>
          <t>RAS</t>
        </is>
      </c>
      <c r="I2144" s="45" t="inlineStr"/>
      <c r="J2144" s="45" t="inlineStr">
        <is>
          <t>RNCP37837</t>
        </is>
      </c>
      <c r="K2144" s="45" t="inlineStr">
        <is>
          <t>Data analyst</t>
        </is>
      </c>
      <c r="L2144" s="45" t="inlineStr">
        <is>
          <t>19/07/2028</t>
        </is>
      </c>
      <c r="M2144" s="45" t="inlineStr">
        <is>
          <t>31025 (Analyse de données) ; 31035 (Data visualisation) ; 31052 (Data Warehouse)</t>
        </is>
      </c>
      <c r="N2144" s="50" t="inlineStr">
        <is>
          <t>NON</t>
        </is>
      </c>
      <c r="O2144" s="45" t="inlineStr"/>
    </row>
    <row r="2145" customFormat="1" s="3">
      <c r="A2145" s="51" t="n"/>
      <c r="B2145" s="52" t="inlineStr">
        <is>
          <t>31023</t>
        </is>
      </c>
      <c r="C2145" s="52">
        <f>LEFT(Tableau1[[#This Row],[Formacode]],3)</f>
        <v/>
      </c>
      <c r="D2145" s="53" t="n">
        <v>38018</v>
      </c>
      <c r="E2145" s="54">
        <f>"RNCP"&amp;D2145</f>
        <v/>
      </c>
      <c r="F2145" s="54" t="inlineStr">
        <is>
          <t>Chef de projet digital</t>
        </is>
      </c>
      <c r="G2145" s="55">
        <f>E2145&amp;" - "&amp;F2145</f>
        <v/>
      </c>
      <c r="H2145" s="37" t="inlineStr">
        <is>
          <t>À vérifier</t>
        </is>
      </c>
      <c r="I2145" s="51" t="inlineStr">
        <is>
          <t>Échéance le 20/09/2026 (dans 64 j)</t>
        </is>
      </c>
      <c r="J2145" s="51" t="inlineStr">
        <is>
          <t>RNCP38018</t>
        </is>
      </c>
      <c r="K2145" s="51" t="inlineStr">
        <is>
          <t>Chef de projet digital</t>
        </is>
      </c>
      <c r="L2145" s="51" t="inlineStr">
        <is>
          <t>20/09/2026</t>
        </is>
      </c>
      <c r="M2145" s="51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145" s="62" t="inlineStr">
        <is>
          <t>NON</t>
        </is>
      </c>
      <c r="O2145" s="51" t="inlineStr"/>
    </row>
    <row r="2146" customFormat="1" s="3">
      <c r="A2146" s="45" t="n"/>
      <c r="B2146" s="46" t="inlineStr">
        <is>
          <t>31023</t>
        </is>
      </c>
      <c r="C2146" s="46">
        <f>LEFT(Tableau1[[#This Row],[Formacode]],3)</f>
        <v/>
      </c>
      <c r="D2146" s="47" t="n">
        <v>38478</v>
      </c>
      <c r="E2146" s="48">
        <f>"RNCP"&amp;D2146</f>
        <v/>
      </c>
      <c r="F2146" s="48" t="inlineStr">
        <is>
          <t>Coordinateur de projets informatiques (infrastructures cloud, applicatives ou data)</t>
        </is>
      </c>
      <c r="G2146" s="49">
        <f>E2146&amp;" - "&amp;F2146</f>
        <v/>
      </c>
      <c r="H2146" s="36" t="inlineStr">
        <is>
          <t>RAS</t>
        </is>
      </c>
      <c r="I2146" s="45" t="inlineStr"/>
      <c r="J2146" s="45" t="inlineStr">
        <is>
          <t>RNCP38478</t>
        </is>
      </c>
      <c r="K2146" s="45" t="inlineStr">
        <is>
          <t>Coordinateur de projets informatiques (infrastructures cloud, applicatives ou data)</t>
        </is>
      </c>
      <c r="L2146" s="45" t="inlineStr">
        <is>
          <t>21/12/2028</t>
        </is>
      </c>
      <c r="M2146" s="45" t="inlineStr">
        <is>
          <t>31094 (Gestion projet informatique) ; 31008 (Système information) ; 31067 (Développement informatique) ; 31023 (Gestion données massives)</t>
        </is>
      </c>
      <c r="N2146" s="50" t="inlineStr">
        <is>
          <t>NON</t>
        </is>
      </c>
      <c r="O2146" s="45" t="inlineStr"/>
    </row>
    <row r="2147" customFormat="1" s="3">
      <c r="A2147" s="63" t="n"/>
      <c r="B2147" s="64" t="inlineStr">
        <is>
          <t>31023</t>
        </is>
      </c>
      <c r="C2147" s="64">
        <f>LEFT(Tableau1[[#This Row],[Formacode]],3)</f>
        <v/>
      </c>
      <c r="D2147" s="65" t="n">
        <v>38777</v>
      </c>
      <c r="E2147" s="66">
        <f>"RNCP"&amp;D2147</f>
        <v/>
      </c>
      <c r="F2147" s="66" t="inlineStr">
        <is>
          <t>Architecte en intelligence artificielle</t>
        </is>
      </c>
      <c r="G2147" s="67">
        <f>E2147&amp;" - "&amp;F2147</f>
        <v/>
      </c>
      <c r="H2147" s="38" t="inlineStr">
        <is>
          <t>Expiré / remplacé</t>
        </is>
      </c>
      <c r="I2147" s="63" t="inlineStr">
        <is>
          <t>Fiche inactive — remplacée par RNCP41993 (Architecte en intelligence artificielle)</t>
        </is>
      </c>
      <c r="J2147" s="63" t="inlineStr">
        <is>
          <t>RNCP41993</t>
        </is>
      </c>
      <c r="K2147" s="63" t="inlineStr">
        <is>
          <t>Architecte en intelligence artificielle</t>
        </is>
      </c>
      <c r="L2147" s="63" t="inlineStr">
        <is>
          <t>27/03/2026</t>
        </is>
      </c>
      <c r="M2147" s="63" t="inlineStr">
        <is>
          <t>31026 (Data science) ; 31028 (Intelligence artificielle) ; 31008 (Système information) ; 31085 (Informatisation des processus)</t>
        </is>
      </c>
      <c r="N2147" s="68" t="inlineStr">
        <is>
          <t>NON</t>
        </is>
      </c>
      <c r="O2147" s="63" t="inlineStr"/>
    </row>
    <row r="2148" customFormat="1" s="3">
      <c r="A2148" s="63" t="n"/>
      <c r="B2148" s="64" t="inlineStr">
        <is>
          <t>31023</t>
        </is>
      </c>
      <c r="C2148" s="64">
        <f>LEFT(Tableau1[[#This Row],[Formacode]],3)</f>
        <v/>
      </c>
      <c r="D2148" s="65" t="n">
        <v>38919</v>
      </c>
      <c r="E2148" s="66">
        <f>"RNCP"&amp;D2148</f>
        <v/>
      </c>
      <c r="F2148" s="66" t="inlineStr">
        <is>
          <t>Data engineer</t>
        </is>
      </c>
      <c r="G2148" s="67">
        <f>E2148&amp;" - "&amp;F2148</f>
        <v/>
      </c>
      <c r="H2148" s="38" t="inlineStr">
        <is>
          <t>Expiré / remplacé</t>
        </is>
      </c>
      <c r="I2148" s="63" t="inlineStr">
        <is>
          <t>Fiche inactive — remplacée par RNCP42655 (Data engineer)</t>
        </is>
      </c>
      <c r="J2148" s="63" t="inlineStr">
        <is>
          <t>RNCP42655</t>
        </is>
      </c>
      <c r="K2148" s="63" t="inlineStr">
        <is>
          <t>Data engineer</t>
        </is>
      </c>
      <c r="L2148" s="63" t="inlineStr">
        <is>
          <t>26/04/2026</t>
        </is>
      </c>
      <c r="M2148" s="63" t="inlineStr">
        <is>
          <t>31023 (Gestion données massives) ; 31094 (Gestion projet informatique) ; 31028 (Intelligence artificielle)</t>
        </is>
      </c>
      <c r="N2148" s="56" t="inlineStr">
        <is>
          <t>OUI</t>
        </is>
      </c>
      <c r="O2148" s="41" t="inlineStr">
        <is>
          <t>Successeur(s) modifié(s) : RNCP42655</t>
        </is>
      </c>
    </row>
    <row r="2149" customFormat="1" s="3">
      <c r="A2149" s="45" t="n"/>
      <c r="B2149" s="46" t="inlineStr">
        <is>
          <t>31023</t>
        </is>
      </c>
      <c r="C2149" s="46">
        <f>LEFT(Tableau1[[#This Row],[Formacode]],3)</f>
        <v/>
      </c>
      <c r="D2149" s="47" t="n">
        <v>39425</v>
      </c>
      <c r="E2149" s="48">
        <f>"RNCP"&amp;D2149</f>
        <v/>
      </c>
      <c r="F2149" s="48" t="inlineStr">
        <is>
          <t>Diplôme visé - Expert en Ingénierie Informatique et Innovation Numérique</t>
        </is>
      </c>
      <c r="G2149" s="49">
        <f>E2149&amp;" - "&amp;F2149</f>
        <v/>
      </c>
      <c r="H2149" s="36" t="inlineStr">
        <is>
          <t>RAS</t>
        </is>
      </c>
      <c r="I2149" s="45" t="inlineStr"/>
      <c r="J2149" s="45" t="inlineStr">
        <is>
          <t>RNCP39425</t>
        </is>
      </c>
      <c r="K2149" s="45" t="inlineStr">
        <is>
          <t>Expert en Ingénierie Informatique et Innovation Numérique</t>
        </is>
      </c>
      <c r="L2149" s="45" t="inlineStr">
        <is>
          <t>31/08/2029</t>
        </is>
      </c>
      <c r="M2149" s="45" t="inlineStr">
        <is>
          <t>31054 (Informatique - Systèmes d’information et numérique) ; 32070 (Innovation entreprise)</t>
        </is>
      </c>
      <c r="N2149" s="50" t="inlineStr">
        <is>
          <t>NON</t>
        </is>
      </c>
      <c r="O2149" s="45" t="inlineStr"/>
    </row>
    <row r="2150" customFormat="1" s="3">
      <c r="A2150" s="45" t="n"/>
      <c r="B2150" s="46" t="inlineStr">
        <is>
          <t>31023</t>
        </is>
      </c>
      <c r="C2150" s="46">
        <f>LEFT(Tableau1[[#This Row],[Formacode]],3)</f>
        <v/>
      </c>
      <c r="D2150" s="47" t="n">
        <v>39445</v>
      </c>
      <c r="E2150" s="48">
        <f>"RNCP"&amp;D2150</f>
        <v/>
      </c>
      <c r="F2150" s="48" t="inlineStr">
        <is>
          <t>Titre ingénieur - Ingénieur diplômé de l'Institut supérieur d'électronique de Paris</t>
        </is>
      </c>
      <c r="G2150" s="49">
        <f>E2150&amp;" - "&amp;F2150</f>
        <v/>
      </c>
      <c r="H2150" s="36" t="inlineStr">
        <is>
          <t>RAS</t>
        </is>
      </c>
      <c r="I2150" s="45" t="inlineStr"/>
      <c r="J2150" s="45" t="inlineStr">
        <is>
          <t>RNCP39445</t>
        </is>
      </c>
      <c r="K2150" s="45" t="inlineStr">
        <is>
          <t>Ingénieur diplômé de l'Institut supérieur d'électronique de Paris</t>
        </is>
      </c>
      <c r="L2150" s="45" t="inlineStr">
        <is>
          <t>31/08/2029</t>
        </is>
      </c>
      <c r="M2150" s="45" t="inlineStr">
        <is>
          <t>24354 (Électronique) ; 31054 (Informatique - Systèmes d’information et numérique) ; 32062 (Recherche développement) ; 15099 (Résolution problème)</t>
        </is>
      </c>
      <c r="N2150" s="50" t="inlineStr">
        <is>
          <t>NON</t>
        </is>
      </c>
      <c r="O2150" s="45" t="inlineStr"/>
    </row>
    <row r="2151" customFormat="1" s="3">
      <c r="A2151" s="45" t="n"/>
      <c r="B2151" s="46" t="inlineStr">
        <is>
          <t>31023</t>
        </is>
      </c>
      <c r="C2151" s="46">
        <f>LEFT(Tableau1[[#This Row],[Formacode]],3)</f>
        <v/>
      </c>
      <c r="D2151" s="47" t="n">
        <v>39582</v>
      </c>
      <c r="E2151" s="48">
        <f>"RNCP"&amp;D2151</f>
        <v/>
      </c>
      <c r="F2151" s="48" t="inlineStr">
        <is>
          <t>Expert en architecture des systèmes d’information</t>
        </is>
      </c>
      <c r="G2151" s="49">
        <f>E2151&amp;" - "&amp;F2151</f>
        <v/>
      </c>
      <c r="H2151" s="36" t="inlineStr">
        <is>
          <t>RAS</t>
        </is>
      </c>
      <c r="I2151" s="45" t="inlineStr"/>
      <c r="J2151" s="45" t="inlineStr">
        <is>
          <t>RNCP39582</t>
        </is>
      </c>
      <c r="K2151" s="45" t="inlineStr">
        <is>
          <t>Expert en architecture des systèmes d’information</t>
        </is>
      </c>
      <c r="L2151" s="45" t="inlineStr">
        <is>
          <t>01/10/2029</t>
        </is>
      </c>
      <c r="M2151" s="45" t="inlineStr">
        <is>
          <t>31054 (Informatique - Systèmes d’information et numérique)</t>
        </is>
      </c>
      <c r="N2151" s="50" t="inlineStr">
        <is>
          <t>NON</t>
        </is>
      </c>
      <c r="O2151" s="45" t="inlineStr"/>
    </row>
    <row r="2152" ht="28.8" customFormat="1" customHeight="1" s="3">
      <c r="A2152" s="45" t="n"/>
      <c r="B2152" s="46" t="inlineStr">
        <is>
          <t>31023</t>
        </is>
      </c>
      <c r="C2152" s="46">
        <f>LEFT(Tableau1[[#This Row],[Formacode]],3)</f>
        <v/>
      </c>
      <c r="D2152" s="47" t="n">
        <v>39586</v>
      </c>
      <c r="E2152" s="48">
        <f>"RNCP"&amp;D2152</f>
        <v/>
      </c>
      <c r="F2152" s="48" t="inlineStr">
        <is>
          <t>Ingénieur en science des données spécialisé en infrastructure data ou en apprentissage automatique</t>
        </is>
      </c>
      <c r="G2152" s="49">
        <f>E2152&amp;" - "&amp;F2152</f>
        <v/>
      </c>
      <c r="H2152" s="36" t="inlineStr">
        <is>
          <t>RAS</t>
        </is>
      </c>
      <c r="I2152" s="45" t="inlineStr"/>
      <c r="J2152" s="45" t="inlineStr">
        <is>
          <t>RNCP39586</t>
        </is>
      </c>
      <c r="K2152" s="45" t="inlineStr">
        <is>
          <t>Ingénieur en science des données spécialisé en infrastructure data ou en apprentissage automatique</t>
        </is>
      </c>
      <c r="L2152" s="45" t="inlineStr">
        <is>
          <t>01/10/2029</t>
        </is>
      </c>
      <c r="M2152" s="45" t="inlineStr">
        <is>
          <t>31054 (Informatique - Systèmes d’information et numérique)</t>
        </is>
      </c>
      <c r="N2152" s="50" t="inlineStr">
        <is>
          <t>NON</t>
        </is>
      </c>
      <c r="O2152" s="45" t="inlineStr"/>
    </row>
    <row r="2153" customFormat="1" s="3">
      <c r="A2153" s="45" t="n"/>
      <c r="B2153" s="46" t="inlineStr">
        <is>
          <t>31023</t>
        </is>
      </c>
      <c r="C2153" s="46">
        <f>LEFT(Tableau1[[#This Row],[Formacode]],3)</f>
        <v/>
      </c>
      <c r="D2153" s="47" t="n">
        <v>39591</v>
      </c>
      <c r="E2153" s="48">
        <f>"RNCP"&amp;D2153</f>
        <v/>
      </c>
      <c r="F2153" s="48" t="inlineStr">
        <is>
          <t>Manager en data marketing</t>
        </is>
      </c>
      <c r="G2153" s="49">
        <f>E2153&amp;" - "&amp;F2153</f>
        <v/>
      </c>
      <c r="H2153" s="36" t="inlineStr">
        <is>
          <t>RAS</t>
        </is>
      </c>
      <c r="I2153" s="45" t="inlineStr"/>
      <c r="J2153" s="45" t="inlineStr">
        <is>
          <t>RNCP39591</t>
        </is>
      </c>
      <c r="K2153" s="45" t="inlineStr">
        <is>
          <t>Manager en data marketing</t>
        </is>
      </c>
      <c r="L2153" s="45" t="inlineStr">
        <is>
          <t>01/10/2027</t>
        </is>
      </c>
      <c r="M2153" s="45" t="inlineStr">
        <is>
          <t>31023 (Gestion données massives) ; 34093 (Marketing digital) ; 34057 (Marketing stratégique)</t>
        </is>
      </c>
      <c r="N2153" s="50" t="inlineStr">
        <is>
          <t>NON</t>
        </is>
      </c>
      <c r="O2153" s="45" t="inlineStr"/>
    </row>
    <row r="2154" customFormat="1" s="3">
      <c r="A2154" s="45" t="n"/>
      <c r="B2154" s="46" t="inlineStr">
        <is>
          <t>31023</t>
        </is>
      </c>
      <c r="C2154" s="46">
        <f>LEFT(Tableau1[[#This Row],[Formacode]],3)</f>
        <v/>
      </c>
      <c r="D2154" s="47" t="n">
        <v>39775</v>
      </c>
      <c r="E2154" s="48">
        <f>"RNCP"&amp;D2154</f>
        <v/>
      </c>
      <c r="F2154" s="48" t="inlineStr">
        <is>
          <t>Expert en ingénierie et science des données</t>
        </is>
      </c>
      <c r="G2154" s="49">
        <f>E2154&amp;" - "&amp;F2154</f>
        <v/>
      </c>
      <c r="H2154" s="36" t="inlineStr">
        <is>
          <t>RAS</t>
        </is>
      </c>
      <c r="I2154" s="45" t="inlineStr"/>
      <c r="J2154" s="45" t="inlineStr">
        <is>
          <t>RNCP39775</t>
        </is>
      </c>
      <c r="K2154" s="45" t="inlineStr">
        <is>
          <t>Expert en ingénierie et science des données</t>
        </is>
      </c>
      <c r="L2154" s="45" t="inlineStr">
        <is>
          <t>31/10/2028</t>
        </is>
      </c>
      <c r="M2154" s="45" t="inlineStr">
        <is>
          <t>31026 (Data science) ; 31028 (Intelligence artificielle) ; 31025 (Analyse de données) ; 31036 (Administration base de données)</t>
        </is>
      </c>
      <c r="N2154" s="50" t="inlineStr">
        <is>
          <t>NON</t>
        </is>
      </c>
      <c r="O2154" s="45" t="inlineStr"/>
    </row>
    <row r="2155" customFormat="1" s="3">
      <c r="A2155" s="45" t="n"/>
      <c r="B2155" s="46" t="inlineStr">
        <is>
          <t>31023</t>
        </is>
      </c>
      <c r="C2155" s="46">
        <f>LEFT(Tableau1[[#This Row],[Formacode]],3)</f>
        <v/>
      </c>
      <c r="D2155" s="47" t="n">
        <v>40167</v>
      </c>
      <c r="E2155" s="48">
        <f>"RNCP"&amp;D2155</f>
        <v/>
      </c>
      <c r="F2155" s="48" t="inlineStr">
        <is>
          <t>Expert en ingénierie de données massives et intelligence artificielle</t>
        </is>
      </c>
      <c r="G2155" s="49">
        <f>E2155&amp;" - "&amp;F2155</f>
        <v/>
      </c>
      <c r="H2155" s="36" t="inlineStr">
        <is>
          <t>RAS</t>
        </is>
      </c>
      <c r="I2155" s="45" t="inlineStr"/>
      <c r="J2155" s="45" t="inlineStr">
        <is>
          <t>RNCP40167</t>
        </is>
      </c>
      <c r="K2155" s="45" t="inlineStr">
        <is>
          <t>Expert en ingénierie de données massives et intelligence artificielle</t>
        </is>
      </c>
      <c r="L2155" s="45" t="inlineStr">
        <is>
          <t>31/01/2028</t>
        </is>
      </c>
      <c r="M2155" s="45" t="inlineStr">
        <is>
          <t>31023 (Gestion données massives) ; 11031 (Modèle mathématique) ; 31028 (Intelligence artificielle) ; 31094 (Gestion projet informatique) ; 31006 (Sécurité informatique)</t>
        </is>
      </c>
      <c r="N2155" s="50" t="inlineStr">
        <is>
          <t>NON</t>
        </is>
      </c>
      <c r="O2155" s="45" t="inlineStr"/>
    </row>
    <row r="2156" customFormat="1" s="3">
      <c r="A2156" s="45" t="n"/>
      <c r="B2156" s="46" t="inlineStr">
        <is>
          <t>31023</t>
        </is>
      </c>
      <c r="C2156" s="46">
        <f>LEFT(Tableau1[[#This Row],[Formacode]],3)</f>
        <v/>
      </c>
      <c r="D2156" s="47" t="n">
        <v>40363</v>
      </c>
      <c r="E2156" s="48">
        <f>"RNCP"&amp;D2156</f>
        <v/>
      </c>
      <c r="F2156" s="48" t="inlineStr">
        <is>
          <t>Expert en études et développement du système d'information</t>
        </is>
      </c>
      <c r="G2156" s="49">
        <f>E2156&amp;" - "&amp;F2156</f>
        <v/>
      </c>
      <c r="H2156" s="36" t="inlineStr">
        <is>
          <t>RAS</t>
        </is>
      </c>
      <c r="I2156" s="45" t="inlineStr"/>
      <c r="J2156" s="45" t="inlineStr">
        <is>
          <t>RNCP40363</t>
        </is>
      </c>
      <c r="K2156" s="45" t="inlineStr">
        <is>
          <t>Expert en études et développement du système d'information</t>
        </is>
      </c>
      <c r="L2156" s="45" t="inlineStr">
        <is>
          <t>28/03/2028</t>
        </is>
      </c>
      <c r="M2156" s="45" t="inlineStr">
        <is>
          <t>31054 (Informatique - Systèmes d’information et numérique)</t>
        </is>
      </c>
      <c r="N2156" s="50" t="inlineStr">
        <is>
          <t>NON</t>
        </is>
      </c>
      <c r="O2156" s="45" t="inlineStr"/>
    </row>
    <row r="2157" customFormat="1" s="3">
      <c r="A2157" s="45" t="n"/>
      <c r="B2157" s="46" t="inlineStr">
        <is>
          <t>31023</t>
        </is>
      </c>
      <c r="C2157" s="46">
        <f>LEFT(Tableau1[[#This Row],[Formacode]],3)</f>
        <v/>
      </c>
      <c r="D2157" s="47" t="n">
        <v>40573</v>
      </c>
      <c r="E2157" s="48">
        <f>"RNCP"&amp;D2157</f>
        <v/>
      </c>
      <c r="F2157" s="48" t="inlineStr">
        <is>
          <t>Expert en informatique et systèmes d’information</t>
        </is>
      </c>
      <c r="G2157" s="49">
        <f>E2157&amp;" - "&amp;F2157</f>
        <v/>
      </c>
      <c r="H2157" s="36" t="inlineStr">
        <is>
          <t>RAS</t>
        </is>
      </c>
      <c r="I2157" s="45" t="inlineStr"/>
      <c r="J2157" s="45" t="inlineStr">
        <is>
          <t>RNCP40573</t>
        </is>
      </c>
      <c r="K2157" s="45" t="inlineStr">
        <is>
          <t>Expert en informatique et systèmes d’information</t>
        </is>
      </c>
      <c r="L2157" s="45" t="inlineStr">
        <is>
          <t>30/04/2030</t>
        </is>
      </c>
      <c r="M2157" s="45" t="inlineStr">
        <is>
          <t>31006 (Sécurité informatique) ; 30854 (Langages informatiques) ; 31025 (Analyse de données) ; 31094 (Gestion projet informatique) ; 31028 (Intelligence artificielle)</t>
        </is>
      </c>
      <c r="N2157" s="50" t="inlineStr">
        <is>
          <t>NON</t>
        </is>
      </c>
      <c r="O2157" s="45" t="inlineStr"/>
    </row>
    <row r="2158" customFormat="1" s="3">
      <c r="A2158" s="45" t="n"/>
      <c r="B2158" s="46" t="inlineStr">
        <is>
          <t>31023</t>
        </is>
      </c>
      <c r="C2158" s="46">
        <f>LEFT(Tableau1[[#This Row],[Formacode]],3)</f>
        <v/>
      </c>
      <c r="D2158" s="47" t="n">
        <v>40589</v>
      </c>
      <c r="E2158" s="48">
        <f>"RNCP"&amp;D2158</f>
        <v/>
      </c>
      <c r="F2158" s="48" t="inlineStr">
        <is>
          <t>Manager expert en transformation numérique</t>
        </is>
      </c>
      <c r="G2158" s="49">
        <f>E2158&amp;" - "&amp;F2158</f>
        <v/>
      </c>
      <c r="H2158" s="36" t="inlineStr">
        <is>
          <t>RAS</t>
        </is>
      </c>
      <c r="I2158" s="45" t="inlineStr"/>
      <c r="J2158" s="45" t="inlineStr">
        <is>
          <t>RNCP40589</t>
        </is>
      </c>
      <c r="K2158" s="45" t="inlineStr">
        <is>
          <t>Manager expert en transformation numérique</t>
        </is>
      </c>
      <c r="L2158" s="45" t="inlineStr">
        <is>
          <t>30/04/2030</t>
        </is>
      </c>
      <c r="M2158" s="45" t="inlineStr">
        <is>
          <t>32016 (Conduite changement technologique) ; 34093 (Marketing digital) ; 31025 (Analyse de données) ; 46347 (Stratégie communication numérique)</t>
        </is>
      </c>
      <c r="N2158" s="50" t="inlineStr">
        <is>
          <t>NON</t>
        </is>
      </c>
      <c r="O2158" s="45" t="inlineStr"/>
    </row>
    <row r="2159" customFormat="1" s="3">
      <c r="A2159" s="45" t="n"/>
      <c r="B2159" s="46" t="inlineStr">
        <is>
          <t>31023</t>
        </is>
      </c>
      <c r="C2159" s="46">
        <f>LEFT(Tableau1[[#This Row],[Formacode]],3)</f>
        <v/>
      </c>
      <c r="D2159" s="47" t="n">
        <v>40593</v>
      </c>
      <c r="E2159" s="48">
        <f>"RNCP"&amp;D2159</f>
        <v/>
      </c>
      <c r="F2159" s="48" t="inlineStr">
        <is>
          <t>Product builder no code</t>
        </is>
      </c>
      <c r="G2159" s="49">
        <f>E2159&amp;" - "&amp;F2159</f>
        <v/>
      </c>
      <c r="H2159" s="36" t="inlineStr">
        <is>
          <t>RAS</t>
        </is>
      </c>
      <c r="I2159" s="45" t="inlineStr"/>
      <c r="J2159" s="45" t="inlineStr">
        <is>
          <t>RNCP40593</t>
        </is>
      </c>
      <c r="K2159" s="45" t="inlineStr">
        <is>
          <t>Product builder no code</t>
        </is>
      </c>
      <c r="L2159" s="45" t="inlineStr">
        <is>
          <t>30/04/2028</t>
        </is>
      </c>
      <c r="M2159" s="45" t="inlineStr">
        <is>
          <t>31086 (Développement Low Code - No Code) ; 46334 (Maquettage site web) ; 31094 (Gestion projet informatique) ; 72454 (Application) ; 32012 (Gestion processus)</t>
        </is>
      </c>
      <c r="N2159" s="50" t="inlineStr">
        <is>
          <t>NON</t>
        </is>
      </c>
      <c r="O2159" s="45" t="inlineStr"/>
    </row>
    <row r="2160" customFormat="1" s="3">
      <c r="A2160" s="45" t="n"/>
      <c r="B2160" s="46" t="inlineStr">
        <is>
          <t>31023</t>
        </is>
      </c>
      <c r="C2160" s="46">
        <f>LEFT(Tableau1[[#This Row],[Formacode]],3)</f>
        <v/>
      </c>
      <c r="D2160" s="47" t="n">
        <v>41412</v>
      </c>
      <c r="E2160" s="48">
        <f>"RNCP"&amp;D2160</f>
        <v/>
      </c>
      <c r="F2160" s="48" t="inlineStr">
        <is>
          <t>Architecte IoT et sécurité des systèmes connectés</t>
        </is>
      </c>
      <c r="G2160" s="49">
        <f>E2160&amp;" - "&amp;F2160</f>
        <v/>
      </c>
      <c r="H2160" s="36" t="inlineStr">
        <is>
          <t>RAS</t>
        </is>
      </c>
      <c r="I2160" s="45" t="inlineStr"/>
      <c r="J2160" s="45" t="inlineStr">
        <is>
          <t>RNCP41412</t>
        </is>
      </c>
      <c r="K2160" s="45" t="inlineStr">
        <is>
          <t>Architecte IoT et sécurité des systèmes connectés</t>
        </is>
      </c>
      <c r="L2160" s="45" t="inlineStr">
        <is>
          <t>27/10/2028</t>
        </is>
      </c>
      <c r="M2160" s="45" t="inlineStr">
        <is>
          <t>31023 (Gestion données massives) ; 31042 (Internet des objets)</t>
        </is>
      </c>
      <c r="N2160" s="50" t="inlineStr">
        <is>
          <t>NON</t>
        </is>
      </c>
      <c r="O2160" s="45" t="inlineStr"/>
    </row>
    <row r="2161" customFormat="1" s="3">
      <c r="A2161" s="45" t="n"/>
      <c r="B2161" s="46" t="inlineStr">
        <is>
          <t>31023</t>
        </is>
      </c>
      <c r="C2161" s="46">
        <f>LEFT(Tableau1[[#This Row],[Formacode]],3)</f>
        <v/>
      </c>
      <c r="D2161" s="47" t="n">
        <v>41823</v>
      </c>
      <c r="E2161" s="48">
        <f>"RNCP"&amp;D2161</f>
        <v/>
      </c>
      <c r="F2161" s="48" t="inlineStr">
        <is>
          <t>Titre ingénieur - Ingénieur diplômé de l’ESIEE IT - CCI Paris Ile-de-France Éducation</t>
        </is>
      </c>
      <c r="G2161" s="49">
        <f>E2161&amp;" - "&amp;F2161</f>
        <v/>
      </c>
      <c r="H2161" s="36" t="inlineStr">
        <is>
          <t>RAS</t>
        </is>
      </c>
      <c r="I2161" s="45" t="inlineStr"/>
      <c r="J2161" s="45" t="inlineStr">
        <is>
          <t>RNCP41823</t>
        </is>
      </c>
      <c r="K2161" s="45" t="inlineStr">
        <is>
          <t>Ingénieur diplômé de l’ESIEE IT - CCI Paris Ile-de-France Éducation</t>
        </is>
      </c>
      <c r="L2161" s="45" t="inlineStr">
        <is>
          <t>31/08/2027</t>
        </is>
      </c>
      <c r="M2161" s="45" t="inlineStr">
        <is>
          <t>31054 (Informatique - Systèmes d’information et numérique) ; 32062 (Recherche développement) ; 15099 (Résolution problème)</t>
        </is>
      </c>
      <c r="N2161" s="50" t="inlineStr">
        <is>
          <t>NON</t>
        </is>
      </c>
      <c r="O2161" s="45" t="inlineStr"/>
    </row>
    <row r="2162" customFormat="1" s="3">
      <c r="A2162" s="45" t="n"/>
      <c r="B2162" s="46" t="inlineStr">
        <is>
          <t>31028</t>
        </is>
      </c>
      <c r="C2162" s="46">
        <f>LEFT(Tableau1[[#This Row],[Formacode]],3)</f>
        <v/>
      </c>
      <c r="D2162" s="47" t="n">
        <v>37103</v>
      </c>
      <c r="E2162" s="48">
        <f>"RNCP"&amp;D2162</f>
        <v/>
      </c>
      <c r="F2162" s="48" t="inlineStr">
        <is>
          <t>TP - Technicien en géomatique</t>
        </is>
      </c>
      <c r="G2162" s="49">
        <f>E2162&amp;" - "&amp;F2162</f>
        <v/>
      </c>
      <c r="H2162" s="36" t="inlineStr">
        <is>
          <t>RAS</t>
        </is>
      </c>
      <c r="I2162" s="45" t="inlineStr"/>
      <c r="J2162" s="45" t="inlineStr">
        <is>
          <t>RNCP37103</t>
        </is>
      </c>
      <c r="K2162" s="45" t="inlineStr">
        <is>
          <t>Technicien en géomatique</t>
        </is>
      </c>
      <c r="L2162" s="45" t="inlineStr">
        <is>
          <t>25/02/2028</t>
        </is>
      </c>
      <c r="M2162" s="45" t="inlineStr">
        <is>
          <t>12232 (Géomatique) ; 31054 (Informatique - Systèmes d’information et numérique) ; 12505 (Plan local urbanisme)</t>
        </is>
      </c>
      <c r="N2162" s="50" t="inlineStr">
        <is>
          <t>NON</t>
        </is>
      </c>
      <c r="O2162" s="45" t="inlineStr"/>
    </row>
    <row r="2163" customFormat="1" s="3">
      <c r="A2163" s="51" t="n"/>
      <c r="B2163" s="52" t="inlineStr">
        <is>
          <t>31028</t>
        </is>
      </c>
      <c r="C2163" s="52">
        <f>LEFT(Tableau1[[#This Row],[Formacode]],3)</f>
        <v/>
      </c>
      <c r="D2163" s="53" t="n">
        <v>38018</v>
      </c>
      <c r="E2163" s="54">
        <f>"RNCP"&amp;D2163</f>
        <v/>
      </c>
      <c r="F2163" s="54" t="inlineStr">
        <is>
          <t>Chef de projet digital</t>
        </is>
      </c>
      <c r="G2163" s="55">
        <f>E2163&amp;" - "&amp;F2163</f>
        <v/>
      </c>
      <c r="H2163" s="37" t="inlineStr">
        <is>
          <t>À vérifier</t>
        </is>
      </c>
      <c r="I2163" s="51" t="inlineStr">
        <is>
          <t>Échéance le 20/09/2026 (dans 64 j)</t>
        </is>
      </c>
      <c r="J2163" s="51" t="inlineStr">
        <is>
          <t>RNCP38018</t>
        </is>
      </c>
      <c r="K2163" s="51" t="inlineStr">
        <is>
          <t>Chef de projet digital</t>
        </is>
      </c>
      <c r="L2163" s="51" t="inlineStr">
        <is>
          <t>20/09/2026</t>
        </is>
      </c>
      <c r="M2163" s="51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163" s="62" t="inlineStr">
        <is>
          <t>NON</t>
        </is>
      </c>
      <c r="O2163" s="51" t="inlineStr"/>
    </row>
    <row r="2164" customFormat="1" s="3">
      <c r="A2164" s="63" t="n"/>
      <c r="B2164" s="64" t="inlineStr">
        <is>
          <t>31028</t>
        </is>
      </c>
      <c r="C2164" s="64">
        <f>LEFT(Tableau1[[#This Row],[Formacode]],3)</f>
        <v/>
      </c>
      <c r="D2164" s="65" t="n">
        <v>38777</v>
      </c>
      <c r="E2164" s="66">
        <f>"RNCP"&amp;D2164</f>
        <v/>
      </c>
      <c r="F2164" s="66" t="inlineStr">
        <is>
          <t>Architecte en intelligence artificielle</t>
        </is>
      </c>
      <c r="G2164" s="67">
        <f>E2164&amp;" - "&amp;F2164</f>
        <v/>
      </c>
      <c r="H2164" s="38" t="inlineStr">
        <is>
          <t>Expiré / remplacé</t>
        </is>
      </c>
      <c r="I2164" s="63" t="inlineStr">
        <is>
          <t>Fiche inactive — remplacée par RNCP41993 (Architecte en intelligence artificielle)</t>
        </is>
      </c>
      <c r="J2164" s="63" t="inlineStr">
        <is>
          <t>RNCP41993</t>
        </is>
      </c>
      <c r="K2164" s="63" t="inlineStr">
        <is>
          <t>Architecte en intelligence artificielle</t>
        </is>
      </c>
      <c r="L2164" s="63" t="inlineStr">
        <is>
          <t>27/03/2026</t>
        </is>
      </c>
      <c r="M2164" s="63" t="inlineStr">
        <is>
          <t>31026 (Data science) ; 31028 (Intelligence artificielle) ; 31008 (Système information) ; 31085 (Informatisation des processus)</t>
        </is>
      </c>
      <c r="N2164" s="68" t="inlineStr">
        <is>
          <t>NON</t>
        </is>
      </c>
      <c r="O2164" s="63" t="inlineStr"/>
    </row>
    <row r="2165" customFormat="1" s="3">
      <c r="A2165" s="63" t="n"/>
      <c r="B2165" s="64" t="inlineStr">
        <is>
          <t>31028</t>
        </is>
      </c>
      <c r="C2165" s="64">
        <f>LEFT(Tableau1[[#This Row],[Formacode]],3)</f>
        <v/>
      </c>
      <c r="D2165" s="65" t="n">
        <v>38919</v>
      </c>
      <c r="E2165" s="66">
        <f>"RNCP"&amp;D2165</f>
        <v/>
      </c>
      <c r="F2165" s="66" t="inlineStr">
        <is>
          <t>Data engineer</t>
        </is>
      </c>
      <c r="G2165" s="67">
        <f>E2165&amp;" - "&amp;F2165</f>
        <v/>
      </c>
      <c r="H2165" s="38" t="inlineStr">
        <is>
          <t>Expiré / remplacé</t>
        </is>
      </c>
      <c r="I2165" s="63" t="inlineStr">
        <is>
          <t>Fiche inactive — remplacée par RNCP42655 (Data engineer)</t>
        </is>
      </c>
      <c r="J2165" s="63" t="inlineStr">
        <is>
          <t>RNCP42655</t>
        </is>
      </c>
      <c r="K2165" s="63" t="inlineStr">
        <is>
          <t>Data engineer</t>
        </is>
      </c>
      <c r="L2165" s="63" t="inlineStr">
        <is>
          <t>26/04/2026</t>
        </is>
      </c>
      <c r="M2165" s="63" t="inlineStr">
        <is>
          <t>31023 (Gestion données massives) ; 31094 (Gestion projet informatique) ; 31028 (Intelligence artificielle)</t>
        </is>
      </c>
      <c r="N2165" s="56" t="inlineStr">
        <is>
          <t>OUI</t>
        </is>
      </c>
      <c r="O2165" s="41" t="inlineStr">
        <is>
          <t>Successeur(s) modifié(s) : RNCP42655</t>
        </is>
      </c>
    </row>
    <row r="2166" customFormat="1" s="3">
      <c r="A2166" s="45" t="n"/>
      <c r="B2166" s="46" t="inlineStr">
        <is>
          <t>31028</t>
        </is>
      </c>
      <c r="C2166" s="46">
        <f>LEFT(Tableau1[[#This Row],[Formacode]],3)</f>
        <v/>
      </c>
      <c r="D2166" s="47" t="n">
        <v>39425</v>
      </c>
      <c r="E2166" s="48">
        <f>"RNCP"&amp;D2166</f>
        <v/>
      </c>
      <c r="F2166" s="48" t="inlineStr">
        <is>
          <t>Diplôme visé - Expert en Ingénierie Informatique et Innovation Numérique</t>
        </is>
      </c>
      <c r="G2166" s="49">
        <f>E2166&amp;" - "&amp;F2166</f>
        <v/>
      </c>
      <c r="H2166" s="36" t="inlineStr">
        <is>
          <t>RAS</t>
        </is>
      </c>
      <c r="I2166" s="45" t="inlineStr"/>
      <c r="J2166" s="45" t="inlineStr">
        <is>
          <t>RNCP39425</t>
        </is>
      </c>
      <c r="K2166" s="45" t="inlineStr">
        <is>
          <t>Expert en Ingénierie Informatique et Innovation Numérique</t>
        </is>
      </c>
      <c r="L2166" s="45" t="inlineStr">
        <is>
          <t>31/08/2029</t>
        </is>
      </c>
      <c r="M2166" s="45" t="inlineStr">
        <is>
          <t>31054 (Informatique - Systèmes d’information et numérique) ; 32070 (Innovation entreprise)</t>
        </is>
      </c>
      <c r="N2166" s="50" t="inlineStr">
        <is>
          <t>NON</t>
        </is>
      </c>
      <c r="O2166" s="45" t="inlineStr"/>
    </row>
    <row r="2167" customFormat="1" s="3">
      <c r="A2167" s="45" t="n"/>
      <c r="B2167" s="46" t="inlineStr">
        <is>
          <t>31028</t>
        </is>
      </c>
      <c r="C2167" s="46">
        <f>LEFT(Tableau1[[#This Row],[Formacode]],3)</f>
        <v/>
      </c>
      <c r="D2167" s="47" t="n">
        <v>39445</v>
      </c>
      <c r="E2167" s="48">
        <f>"RNCP"&amp;D2167</f>
        <v/>
      </c>
      <c r="F2167" s="48" t="inlineStr">
        <is>
          <t>Titre ingénieur - Ingénieur diplômé de l'Institut supérieur d'électronique de Paris</t>
        </is>
      </c>
      <c r="G2167" s="49">
        <f>E2167&amp;" - "&amp;F2167</f>
        <v/>
      </c>
      <c r="H2167" s="36" t="inlineStr">
        <is>
          <t>RAS</t>
        </is>
      </c>
      <c r="I2167" s="45" t="inlineStr"/>
      <c r="J2167" s="45" t="inlineStr">
        <is>
          <t>RNCP39445</t>
        </is>
      </c>
      <c r="K2167" s="45" t="inlineStr">
        <is>
          <t>Ingénieur diplômé de l'Institut supérieur d'électronique de Paris</t>
        </is>
      </c>
      <c r="L2167" s="45" t="inlineStr">
        <is>
          <t>31/08/2029</t>
        </is>
      </c>
      <c r="M2167" s="45" t="inlineStr">
        <is>
          <t>24354 (Électronique) ; 31054 (Informatique - Systèmes d’information et numérique) ; 32062 (Recherche développement) ; 15099 (Résolution problème)</t>
        </is>
      </c>
      <c r="N2167" s="50" t="inlineStr">
        <is>
          <t>NON</t>
        </is>
      </c>
      <c r="O2167" s="45" t="inlineStr"/>
    </row>
    <row r="2168" customFormat="1" s="3">
      <c r="A2168" s="45" t="n"/>
      <c r="B2168" s="46" t="inlineStr">
        <is>
          <t>31028</t>
        </is>
      </c>
      <c r="C2168" s="46">
        <f>LEFT(Tableau1[[#This Row],[Formacode]],3)</f>
        <v/>
      </c>
      <c r="D2168" s="47" t="n">
        <v>39582</v>
      </c>
      <c r="E2168" s="48">
        <f>"RNCP"&amp;D2168</f>
        <v/>
      </c>
      <c r="F2168" s="48" t="inlineStr">
        <is>
          <t>Expert en architecture des systèmes d’information</t>
        </is>
      </c>
      <c r="G2168" s="49">
        <f>E2168&amp;" - "&amp;F2168</f>
        <v/>
      </c>
      <c r="H2168" s="36" t="inlineStr">
        <is>
          <t>RAS</t>
        </is>
      </c>
      <c r="I2168" s="45" t="inlineStr"/>
      <c r="J2168" s="45" t="inlineStr">
        <is>
          <t>RNCP39582</t>
        </is>
      </c>
      <c r="K2168" s="45" t="inlineStr">
        <is>
          <t>Expert en architecture des systèmes d’information</t>
        </is>
      </c>
      <c r="L2168" s="45" t="inlineStr">
        <is>
          <t>01/10/2029</t>
        </is>
      </c>
      <c r="M2168" s="45" t="inlineStr">
        <is>
          <t>31054 (Informatique - Systèmes d’information et numérique)</t>
        </is>
      </c>
      <c r="N2168" s="50" t="inlineStr">
        <is>
          <t>NON</t>
        </is>
      </c>
      <c r="O2168" s="45" t="inlineStr"/>
    </row>
    <row r="2169" ht="28.8" customFormat="1" customHeight="1" s="3">
      <c r="A2169" s="45" t="n"/>
      <c r="B2169" s="46" t="inlineStr">
        <is>
          <t>31028</t>
        </is>
      </c>
      <c r="C2169" s="46">
        <f>LEFT(Tableau1[[#This Row],[Formacode]],3)</f>
        <v/>
      </c>
      <c r="D2169" s="47" t="n">
        <v>39586</v>
      </c>
      <c r="E2169" s="48">
        <f>"RNCP"&amp;D2169</f>
        <v/>
      </c>
      <c r="F2169" s="48" t="inlineStr">
        <is>
          <t>Ingénieur en science des données spécialisé en infrastructure data ou en apprentissage automatique</t>
        </is>
      </c>
      <c r="G2169" s="49">
        <f>E2169&amp;" - "&amp;F2169</f>
        <v/>
      </c>
      <c r="H2169" s="36" t="inlineStr">
        <is>
          <t>RAS</t>
        </is>
      </c>
      <c r="I2169" s="45" t="inlineStr"/>
      <c r="J2169" s="45" t="inlineStr">
        <is>
          <t>RNCP39586</t>
        </is>
      </c>
      <c r="K2169" s="45" t="inlineStr">
        <is>
          <t>Ingénieur en science des données spécialisé en infrastructure data ou en apprentissage automatique</t>
        </is>
      </c>
      <c r="L2169" s="45" t="inlineStr">
        <is>
          <t>01/10/2029</t>
        </is>
      </c>
      <c r="M2169" s="45" t="inlineStr">
        <is>
          <t>31054 (Informatique - Systèmes d’information et numérique)</t>
        </is>
      </c>
      <c r="N2169" s="50" t="inlineStr">
        <is>
          <t>NON</t>
        </is>
      </c>
      <c r="O2169" s="45" t="inlineStr"/>
    </row>
    <row r="2170" customFormat="1" s="3">
      <c r="A2170" s="45" t="n"/>
      <c r="B2170" s="46" t="inlineStr">
        <is>
          <t>31028</t>
        </is>
      </c>
      <c r="C2170" s="46">
        <f>LEFT(Tableau1[[#This Row],[Formacode]],3)</f>
        <v/>
      </c>
      <c r="D2170" s="47" t="n">
        <v>39775</v>
      </c>
      <c r="E2170" s="48">
        <f>"RNCP"&amp;D2170</f>
        <v/>
      </c>
      <c r="F2170" s="48" t="inlineStr">
        <is>
          <t>Expert en ingénierie et science des données</t>
        </is>
      </c>
      <c r="G2170" s="49">
        <f>E2170&amp;" - "&amp;F2170</f>
        <v/>
      </c>
      <c r="H2170" s="36" t="inlineStr">
        <is>
          <t>RAS</t>
        </is>
      </c>
      <c r="I2170" s="45" t="inlineStr"/>
      <c r="J2170" s="45" t="inlineStr">
        <is>
          <t>RNCP39775</t>
        </is>
      </c>
      <c r="K2170" s="45" t="inlineStr">
        <is>
          <t>Expert en ingénierie et science des données</t>
        </is>
      </c>
      <c r="L2170" s="45" t="inlineStr">
        <is>
          <t>31/10/2028</t>
        </is>
      </c>
      <c r="M2170" s="45" t="inlineStr">
        <is>
          <t>31026 (Data science) ; 31028 (Intelligence artificielle) ; 31025 (Analyse de données) ; 31036 (Administration base de données)</t>
        </is>
      </c>
      <c r="N2170" s="50" t="inlineStr">
        <is>
          <t>NON</t>
        </is>
      </c>
      <c r="O2170" s="45" t="inlineStr"/>
    </row>
    <row r="2171" customFormat="1" s="3">
      <c r="A2171" s="45" t="n"/>
      <c r="B2171" s="46" t="inlineStr">
        <is>
          <t>31028</t>
        </is>
      </c>
      <c r="C2171" s="46">
        <f>LEFT(Tableau1[[#This Row],[Formacode]],3)</f>
        <v/>
      </c>
      <c r="D2171" s="47" t="n">
        <v>40167</v>
      </c>
      <c r="E2171" s="48">
        <f>"RNCP"&amp;D2171</f>
        <v/>
      </c>
      <c r="F2171" s="48" t="inlineStr">
        <is>
          <t>Expert en ingénierie de données massives et intelligence artificielle</t>
        </is>
      </c>
      <c r="G2171" s="49">
        <f>E2171&amp;" - "&amp;F2171</f>
        <v/>
      </c>
      <c r="H2171" s="36" t="inlineStr">
        <is>
          <t>RAS</t>
        </is>
      </c>
      <c r="I2171" s="45" t="inlineStr"/>
      <c r="J2171" s="45" t="inlineStr">
        <is>
          <t>RNCP40167</t>
        </is>
      </c>
      <c r="K2171" s="45" t="inlineStr">
        <is>
          <t>Expert en ingénierie de données massives et intelligence artificielle</t>
        </is>
      </c>
      <c r="L2171" s="45" t="inlineStr">
        <is>
          <t>31/01/2028</t>
        </is>
      </c>
      <c r="M2171" s="45" t="inlineStr">
        <is>
          <t>31023 (Gestion données massives) ; 11031 (Modèle mathématique) ; 31028 (Intelligence artificielle) ; 31094 (Gestion projet informatique) ; 31006 (Sécurité informatique)</t>
        </is>
      </c>
      <c r="N2171" s="50" t="inlineStr">
        <is>
          <t>NON</t>
        </is>
      </c>
      <c r="O2171" s="45" t="inlineStr"/>
    </row>
    <row r="2172" customFormat="1" s="3">
      <c r="A2172" s="45" t="n"/>
      <c r="B2172" s="46" t="inlineStr">
        <is>
          <t>31028</t>
        </is>
      </c>
      <c r="C2172" s="46">
        <f>LEFT(Tableau1[[#This Row],[Formacode]],3)</f>
        <v/>
      </c>
      <c r="D2172" s="47" t="n">
        <v>40363</v>
      </c>
      <c r="E2172" s="48">
        <f>"RNCP"&amp;D2172</f>
        <v/>
      </c>
      <c r="F2172" s="48" t="inlineStr">
        <is>
          <t>Expert en études et développement du système d'information</t>
        </is>
      </c>
      <c r="G2172" s="49">
        <f>E2172&amp;" - "&amp;F2172</f>
        <v/>
      </c>
      <c r="H2172" s="36" t="inlineStr">
        <is>
          <t>RAS</t>
        </is>
      </c>
      <c r="I2172" s="45" t="inlineStr"/>
      <c r="J2172" s="45" t="inlineStr">
        <is>
          <t>RNCP40363</t>
        </is>
      </c>
      <c r="K2172" s="45" t="inlineStr">
        <is>
          <t>Expert en études et développement du système d'information</t>
        </is>
      </c>
      <c r="L2172" s="45" t="inlineStr">
        <is>
          <t>28/03/2028</t>
        </is>
      </c>
      <c r="M2172" s="45" t="inlineStr">
        <is>
          <t>31054 (Informatique - Systèmes d’information et numérique)</t>
        </is>
      </c>
      <c r="N2172" s="50" t="inlineStr">
        <is>
          <t>NON</t>
        </is>
      </c>
      <c r="O2172" s="45" t="inlineStr"/>
    </row>
    <row r="2173" customFormat="1" s="3">
      <c r="A2173" s="45" t="n"/>
      <c r="B2173" s="46" t="inlineStr">
        <is>
          <t>31028</t>
        </is>
      </c>
      <c r="C2173" s="46">
        <f>LEFT(Tableau1[[#This Row],[Formacode]],3)</f>
        <v/>
      </c>
      <c r="D2173" s="47" t="n">
        <v>40573</v>
      </c>
      <c r="E2173" s="48">
        <f>"RNCP"&amp;D2173</f>
        <v/>
      </c>
      <c r="F2173" s="48" t="inlineStr">
        <is>
          <t>Expert en informatique et systèmes d’information</t>
        </is>
      </c>
      <c r="G2173" s="49">
        <f>E2173&amp;" - "&amp;F2173</f>
        <v/>
      </c>
      <c r="H2173" s="36" t="inlineStr">
        <is>
          <t>RAS</t>
        </is>
      </c>
      <c r="I2173" s="45" t="inlineStr"/>
      <c r="J2173" s="45" t="inlineStr">
        <is>
          <t>RNCP40573</t>
        </is>
      </c>
      <c r="K2173" s="45" t="inlineStr">
        <is>
          <t>Expert en informatique et systèmes d’information</t>
        </is>
      </c>
      <c r="L2173" s="45" t="inlineStr">
        <is>
          <t>30/04/2030</t>
        </is>
      </c>
      <c r="M2173" s="45" t="inlineStr">
        <is>
          <t>31006 (Sécurité informatique) ; 30854 (Langages informatiques) ; 31025 (Analyse de données) ; 31094 (Gestion projet informatique) ; 31028 (Intelligence artificielle)</t>
        </is>
      </c>
      <c r="N2173" s="50" t="inlineStr">
        <is>
          <t>NON</t>
        </is>
      </c>
      <c r="O2173" s="45" t="inlineStr"/>
    </row>
    <row r="2174" customFormat="1" s="3">
      <c r="A2174" s="45" t="n"/>
      <c r="B2174" s="46" t="inlineStr">
        <is>
          <t>31028</t>
        </is>
      </c>
      <c r="C2174" s="46">
        <f>LEFT(Tableau1[[#This Row],[Formacode]],3)</f>
        <v/>
      </c>
      <c r="D2174" s="47" t="n">
        <v>40593</v>
      </c>
      <c r="E2174" s="48">
        <f>"RNCP"&amp;D2174</f>
        <v/>
      </c>
      <c r="F2174" s="48" t="inlineStr">
        <is>
          <t>Product builder no code</t>
        </is>
      </c>
      <c r="G2174" s="49">
        <f>E2174&amp;" - "&amp;F2174</f>
        <v/>
      </c>
      <c r="H2174" s="36" t="inlineStr">
        <is>
          <t>RAS</t>
        </is>
      </c>
      <c r="I2174" s="45" t="inlineStr"/>
      <c r="J2174" s="45" t="inlineStr">
        <is>
          <t>RNCP40593</t>
        </is>
      </c>
      <c r="K2174" s="45" t="inlineStr">
        <is>
          <t>Product builder no code</t>
        </is>
      </c>
      <c r="L2174" s="45" t="inlineStr">
        <is>
          <t>30/04/2028</t>
        </is>
      </c>
      <c r="M2174" s="45" t="inlineStr">
        <is>
          <t>31086 (Développement Low Code - No Code) ; 46334 (Maquettage site web) ; 31094 (Gestion projet informatique) ; 72454 (Application) ; 32012 (Gestion processus)</t>
        </is>
      </c>
      <c r="N2174" s="50" t="inlineStr">
        <is>
          <t>NON</t>
        </is>
      </c>
      <c r="O2174" s="45" t="inlineStr"/>
    </row>
    <row r="2175" customFormat="1" s="3">
      <c r="A2175" s="45" t="n"/>
      <c r="B2175" s="46" t="inlineStr">
        <is>
          <t>31028</t>
        </is>
      </c>
      <c r="C2175" s="46">
        <f>LEFT(Tableau1[[#This Row],[Formacode]],3)</f>
        <v/>
      </c>
      <c r="D2175" s="47" t="n">
        <v>41300</v>
      </c>
      <c r="E2175" s="48">
        <f>"RNCP"&amp;D2175</f>
        <v/>
      </c>
      <c r="F2175" s="48" t="inlineStr">
        <is>
          <t>Créateur de produits technologiques et durables (MS)</t>
        </is>
      </c>
      <c r="G2175" s="49">
        <f>E2175&amp;" - "&amp;F2175</f>
        <v/>
      </c>
      <c r="H2175" s="36" t="inlineStr">
        <is>
          <t>RAS</t>
        </is>
      </c>
      <c r="I2175" s="45" t="inlineStr"/>
      <c r="J2175" s="45" t="inlineStr">
        <is>
          <t>RNCP41300</t>
        </is>
      </c>
      <c r="K2175" s="45" t="inlineStr">
        <is>
          <t>Créateur de produits technologiques et durables (MS)</t>
        </is>
      </c>
      <c r="L2175" s="45" t="inlineStr">
        <is>
          <t>24/09/2030</t>
        </is>
      </c>
      <c r="M2175" s="45" t="inlineStr">
        <is>
          <t>12522 (Développement durable) ; 45027 (Art appliqué) ; 31684 (CAO) ; 31028 (Intelligence artificielle) ; 31606 (Conduite projet industriel)</t>
        </is>
      </c>
      <c r="N2175" s="50" t="inlineStr">
        <is>
          <t>NON</t>
        </is>
      </c>
      <c r="O2175" s="45" t="inlineStr"/>
    </row>
    <row r="2176" customFormat="1" s="3">
      <c r="A2176" s="45" t="n"/>
      <c r="B2176" s="46" t="inlineStr">
        <is>
          <t>31028</t>
        </is>
      </c>
      <c r="C2176" s="46">
        <f>LEFT(Tableau1[[#This Row],[Formacode]],3)</f>
        <v/>
      </c>
      <c r="D2176" s="47" t="n">
        <v>41823</v>
      </c>
      <c r="E2176" s="48">
        <f>"RNCP"&amp;D2176</f>
        <v/>
      </c>
      <c r="F2176" s="48" t="inlineStr">
        <is>
          <t>Titre ingénieur - Ingénieur diplômé de l’ESIEE IT - CCI Paris Ile-de-France Éducation</t>
        </is>
      </c>
      <c r="G2176" s="49">
        <f>E2176&amp;" - "&amp;F2176</f>
        <v/>
      </c>
      <c r="H2176" s="36" t="inlineStr">
        <is>
          <t>RAS</t>
        </is>
      </c>
      <c r="I2176" s="45" t="inlineStr"/>
      <c r="J2176" s="45" t="inlineStr">
        <is>
          <t>RNCP41823</t>
        </is>
      </c>
      <c r="K2176" s="45" t="inlineStr">
        <is>
          <t>Ingénieur diplômé de l’ESIEE IT - CCI Paris Ile-de-France Éducation</t>
        </is>
      </c>
      <c r="L2176" s="45" t="inlineStr">
        <is>
          <t>31/08/2027</t>
        </is>
      </c>
      <c r="M2176" s="45" t="inlineStr">
        <is>
          <t>31054 (Informatique - Systèmes d’information et numérique) ; 32062 (Recherche développement) ; 15099 (Résolution problème)</t>
        </is>
      </c>
      <c r="N2176" s="50" t="inlineStr">
        <is>
          <t>NON</t>
        </is>
      </c>
      <c r="O2176" s="45" t="inlineStr"/>
    </row>
    <row r="2177" customFormat="1" s="3">
      <c r="A2177" s="51" t="n"/>
      <c r="B2177" s="52" t="inlineStr">
        <is>
          <t>31032</t>
        </is>
      </c>
      <c r="C2177" s="52">
        <f>LEFT(Tableau1[[#This Row],[Formacode]],3)</f>
        <v/>
      </c>
      <c r="D2177" s="53" t="n">
        <v>36061</v>
      </c>
      <c r="E2177" s="54">
        <f>"RNCP"&amp;D2177</f>
        <v/>
      </c>
      <c r="F2177" s="54" t="inlineStr">
        <is>
          <t>TP - Administrateur système DevOps</t>
        </is>
      </c>
      <c r="G2177" s="55">
        <f>E2177&amp;" - "&amp;F2177</f>
        <v/>
      </c>
      <c r="H2177" s="37" t="inlineStr">
        <is>
          <t>À vérifier</t>
        </is>
      </c>
      <c r="I2177" s="51" t="inlineStr">
        <is>
          <t>Successeur déjà publié : RNCP42532 (Administrateur système DevOps) — préparer la bascule de l'offre CPF | Échéance le 30/11/2026 (dans 135 j)</t>
        </is>
      </c>
      <c r="J2177" s="51" t="inlineStr">
        <is>
          <t>RNCP42532</t>
        </is>
      </c>
      <c r="K2177" s="51" t="inlineStr">
        <is>
          <t>Administrateur système DevOps</t>
        </is>
      </c>
      <c r="L2177" s="51" t="inlineStr">
        <is>
          <t>30/11/2026</t>
        </is>
      </c>
      <c r="M2177" s="51" t="inlineStr">
        <is>
          <t>31034 (Administration système) ; 31021 (Linux) ; 31011 (Cloud Computing) ; 30812 (Langage Python)</t>
        </is>
      </c>
      <c r="N2177" s="62" t="inlineStr">
        <is>
          <t>NON</t>
        </is>
      </c>
      <c r="O2177" s="51" t="inlineStr"/>
    </row>
    <row r="2178" customFormat="1" s="3">
      <c r="A2178" s="45" t="n"/>
      <c r="B2178" s="46" t="inlineStr">
        <is>
          <t>31032</t>
        </is>
      </c>
      <c r="C2178" s="46">
        <f>LEFT(Tableau1[[#This Row],[Formacode]],3)</f>
        <v/>
      </c>
      <c r="D2178" s="47" t="n">
        <v>37103</v>
      </c>
      <c r="E2178" s="48">
        <f>"RNCP"&amp;D2178</f>
        <v/>
      </c>
      <c r="F2178" s="48" t="inlineStr">
        <is>
          <t>TP - Technicien en géomatique</t>
        </is>
      </c>
      <c r="G2178" s="49">
        <f>E2178&amp;" - "&amp;F2178</f>
        <v/>
      </c>
      <c r="H2178" s="36" t="inlineStr">
        <is>
          <t>RAS</t>
        </is>
      </c>
      <c r="I2178" s="45" t="inlineStr"/>
      <c r="J2178" s="45" t="inlineStr">
        <is>
          <t>RNCP37103</t>
        </is>
      </c>
      <c r="K2178" s="45" t="inlineStr">
        <is>
          <t>Technicien en géomatique</t>
        </is>
      </c>
      <c r="L2178" s="45" t="inlineStr">
        <is>
          <t>25/02/2028</t>
        </is>
      </c>
      <c r="M2178" s="45" t="inlineStr">
        <is>
          <t>12232 (Géomatique) ; 31054 (Informatique - Systèmes d’information et numérique) ; 12505 (Plan local urbanisme)</t>
        </is>
      </c>
      <c r="N2178" s="50" t="inlineStr">
        <is>
          <t>NON</t>
        </is>
      </c>
      <c r="O2178" s="45" t="inlineStr"/>
    </row>
    <row r="2179" customFormat="1" s="3">
      <c r="A2179" s="51" t="n"/>
      <c r="B2179" s="52" t="inlineStr">
        <is>
          <t>31032</t>
        </is>
      </c>
      <c r="C2179" s="52">
        <f>LEFT(Tableau1[[#This Row],[Formacode]],3)</f>
        <v/>
      </c>
      <c r="D2179" s="53" t="n">
        <v>38018</v>
      </c>
      <c r="E2179" s="54">
        <f>"RNCP"&amp;D2179</f>
        <v/>
      </c>
      <c r="F2179" s="54" t="inlineStr">
        <is>
          <t>Chef de projet digital</t>
        </is>
      </c>
      <c r="G2179" s="55">
        <f>E2179&amp;" - "&amp;F2179</f>
        <v/>
      </c>
      <c r="H2179" s="37" t="inlineStr">
        <is>
          <t>À vérifier</t>
        </is>
      </c>
      <c r="I2179" s="51" t="inlineStr">
        <is>
          <t>Échéance le 20/09/2026 (dans 64 j)</t>
        </is>
      </c>
      <c r="J2179" s="51" t="inlineStr">
        <is>
          <t>RNCP38018</t>
        </is>
      </c>
      <c r="K2179" s="51" t="inlineStr">
        <is>
          <t>Chef de projet digital</t>
        </is>
      </c>
      <c r="L2179" s="51" t="inlineStr">
        <is>
          <t>20/09/2026</t>
        </is>
      </c>
      <c r="M2179" s="51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179" s="62" t="inlineStr">
        <is>
          <t>NON</t>
        </is>
      </c>
      <c r="O2179" s="51" t="inlineStr"/>
    </row>
    <row r="2180" customFormat="1" s="3">
      <c r="A2180" s="45" t="n"/>
      <c r="B2180" s="46" t="inlineStr">
        <is>
          <t>31032</t>
        </is>
      </c>
      <c r="C2180" s="46">
        <f>LEFT(Tableau1[[#This Row],[Formacode]],3)</f>
        <v/>
      </c>
      <c r="D2180" s="47" t="n">
        <v>39425</v>
      </c>
      <c r="E2180" s="48">
        <f>"RNCP"&amp;D2180</f>
        <v/>
      </c>
      <c r="F2180" s="48" t="inlineStr">
        <is>
          <t>Diplôme visé - Expert en Ingénierie Informatique et Innovation Numérique</t>
        </is>
      </c>
      <c r="G2180" s="49">
        <f>E2180&amp;" - "&amp;F2180</f>
        <v/>
      </c>
      <c r="H2180" s="36" t="inlineStr">
        <is>
          <t>RAS</t>
        </is>
      </c>
      <c r="I2180" s="45" t="inlineStr"/>
      <c r="J2180" s="45" t="inlineStr">
        <is>
          <t>RNCP39425</t>
        </is>
      </c>
      <c r="K2180" s="45" t="inlineStr">
        <is>
          <t>Expert en Ingénierie Informatique et Innovation Numérique</t>
        </is>
      </c>
      <c r="L2180" s="45" t="inlineStr">
        <is>
          <t>31/08/2029</t>
        </is>
      </c>
      <c r="M2180" s="45" t="inlineStr">
        <is>
          <t>31054 (Informatique - Systèmes d’information et numérique) ; 32070 (Innovation entreprise)</t>
        </is>
      </c>
      <c r="N2180" s="50" t="inlineStr">
        <is>
          <t>NON</t>
        </is>
      </c>
      <c r="O2180" s="45" t="inlineStr"/>
    </row>
    <row r="2181" customFormat="1" s="3">
      <c r="A2181" s="45" t="n"/>
      <c r="B2181" s="46" t="inlineStr">
        <is>
          <t>31032</t>
        </is>
      </c>
      <c r="C2181" s="46">
        <f>LEFT(Tableau1[[#This Row],[Formacode]],3)</f>
        <v/>
      </c>
      <c r="D2181" s="47" t="n">
        <v>39445</v>
      </c>
      <c r="E2181" s="48">
        <f>"RNCP"&amp;D2181</f>
        <v/>
      </c>
      <c r="F2181" s="48" t="inlineStr">
        <is>
          <t>Titre ingénieur - Ingénieur diplômé de l'Institut supérieur d'électronique de Paris</t>
        </is>
      </c>
      <c r="G2181" s="49">
        <f>E2181&amp;" - "&amp;F2181</f>
        <v/>
      </c>
      <c r="H2181" s="36" t="inlineStr">
        <is>
          <t>RAS</t>
        </is>
      </c>
      <c r="I2181" s="45" t="inlineStr"/>
      <c r="J2181" s="45" t="inlineStr">
        <is>
          <t>RNCP39445</t>
        </is>
      </c>
      <c r="K2181" s="45" t="inlineStr">
        <is>
          <t>Ingénieur diplômé de l'Institut supérieur d'électronique de Paris</t>
        </is>
      </c>
      <c r="L2181" s="45" t="inlineStr">
        <is>
          <t>31/08/2029</t>
        </is>
      </c>
      <c r="M2181" s="45" t="inlineStr">
        <is>
          <t>24354 (Électronique) ; 31054 (Informatique - Systèmes d’information et numérique) ; 32062 (Recherche développement) ; 15099 (Résolution problème)</t>
        </is>
      </c>
      <c r="N2181" s="50" t="inlineStr">
        <is>
          <t>NON</t>
        </is>
      </c>
      <c r="O2181" s="45" t="inlineStr"/>
    </row>
    <row r="2182" customFormat="1" s="3">
      <c r="A2182" s="45" t="n"/>
      <c r="B2182" s="46" t="inlineStr">
        <is>
          <t>31032</t>
        </is>
      </c>
      <c r="C2182" s="46">
        <f>LEFT(Tableau1[[#This Row],[Formacode]],3)</f>
        <v/>
      </c>
      <c r="D2182" s="47" t="n">
        <v>39582</v>
      </c>
      <c r="E2182" s="48">
        <f>"RNCP"&amp;D2182</f>
        <v/>
      </c>
      <c r="F2182" s="48" t="inlineStr">
        <is>
          <t>Expert en architecture des systèmes d’information</t>
        </is>
      </c>
      <c r="G2182" s="49">
        <f>E2182&amp;" - "&amp;F2182</f>
        <v/>
      </c>
      <c r="H2182" s="36" t="inlineStr">
        <is>
          <t>RAS</t>
        </is>
      </c>
      <c r="I2182" s="45" t="inlineStr"/>
      <c r="J2182" s="45" t="inlineStr">
        <is>
          <t>RNCP39582</t>
        </is>
      </c>
      <c r="K2182" s="45" t="inlineStr">
        <is>
          <t>Expert en architecture des systèmes d’information</t>
        </is>
      </c>
      <c r="L2182" s="45" t="inlineStr">
        <is>
          <t>01/10/2029</t>
        </is>
      </c>
      <c r="M2182" s="45" t="inlineStr">
        <is>
          <t>31054 (Informatique - Systèmes d’information et numérique)</t>
        </is>
      </c>
      <c r="N2182" s="50" t="inlineStr">
        <is>
          <t>NON</t>
        </is>
      </c>
      <c r="O2182" s="45" t="inlineStr"/>
    </row>
    <row r="2183" ht="28.8" customFormat="1" customHeight="1" s="3">
      <c r="A2183" s="45" t="n"/>
      <c r="B2183" s="46" t="inlineStr">
        <is>
          <t>31032</t>
        </is>
      </c>
      <c r="C2183" s="46">
        <f>LEFT(Tableau1[[#This Row],[Formacode]],3)</f>
        <v/>
      </c>
      <c r="D2183" s="47" t="n">
        <v>39586</v>
      </c>
      <c r="E2183" s="48">
        <f>"RNCP"&amp;D2183</f>
        <v/>
      </c>
      <c r="F2183" s="48" t="inlineStr">
        <is>
          <t>Ingénieur en science des données spécialisé en infrastructure data ou en apprentissage automatique</t>
        </is>
      </c>
      <c r="G2183" s="49">
        <f>E2183&amp;" - "&amp;F2183</f>
        <v/>
      </c>
      <c r="H2183" s="36" t="inlineStr">
        <is>
          <t>RAS</t>
        </is>
      </c>
      <c r="I2183" s="45" t="inlineStr"/>
      <c r="J2183" s="45" t="inlineStr">
        <is>
          <t>RNCP39586</t>
        </is>
      </c>
      <c r="K2183" s="45" t="inlineStr">
        <is>
          <t>Ingénieur en science des données spécialisé en infrastructure data ou en apprentissage automatique</t>
        </is>
      </c>
      <c r="L2183" s="45" t="inlineStr">
        <is>
          <t>01/10/2029</t>
        </is>
      </c>
      <c r="M2183" s="45" t="inlineStr">
        <is>
          <t>31054 (Informatique - Systèmes d’information et numérique)</t>
        </is>
      </c>
      <c r="N2183" s="50" t="inlineStr">
        <is>
          <t>NON</t>
        </is>
      </c>
      <c r="O2183" s="45" t="inlineStr"/>
    </row>
    <row r="2184" customFormat="1" s="3">
      <c r="A2184" s="45" t="n"/>
      <c r="B2184" s="46" t="inlineStr">
        <is>
          <t>31032</t>
        </is>
      </c>
      <c r="C2184" s="46">
        <f>LEFT(Tableau1[[#This Row],[Formacode]],3)</f>
        <v/>
      </c>
      <c r="D2184" s="47" t="n">
        <v>40356</v>
      </c>
      <c r="E2184" s="48">
        <f>"RNCP"&amp;D2184</f>
        <v/>
      </c>
      <c r="F2184" s="48" t="inlineStr">
        <is>
          <t>Administrateur systèmes, réseaux et cybersécurité</t>
        </is>
      </c>
      <c r="G2184" s="49">
        <f>E2184&amp;" - "&amp;F2184</f>
        <v/>
      </c>
      <c r="H2184" s="36" t="inlineStr">
        <is>
          <t>RAS</t>
        </is>
      </c>
      <c r="I2184" s="45" t="inlineStr"/>
      <c r="J2184" s="45" t="inlineStr">
        <is>
          <t>RNCP40356</t>
        </is>
      </c>
      <c r="K2184" s="45" t="inlineStr">
        <is>
          <t>Administrateur systèmes, réseaux et cybersécurité</t>
        </is>
      </c>
      <c r="L2184" s="45" t="inlineStr">
        <is>
          <t>28/03/2030</t>
        </is>
      </c>
      <c r="M2184" s="45" t="inlineStr">
        <is>
          <t>31034 (Administration système) ; 31032 (Système exploitation informatique) ; 31006 (Sécurité informatique) ; 24231 (Réseau informatique) ; 31008 (Système information)</t>
        </is>
      </c>
      <c r="N2184" s="50" t="inlineStr">
        <is>
          <t>NON</t>
        </is>
      </c>
      <c r="O2184" s="45" t="inlineStr"/>
    </row>
    <row r="2185" customFormat="1" s="3">
      <c r="A2185" s="45" t="n"/>
      <c r="B2185" s="46" t="inlineStr">
        <is>
          <t>31032</t>
        </is>
      </c>
      <c r="C2185" s="46">
        <f>LEFT(Tableau1[[#This Row],[Formacode]],3)</f>
        <v/>
      </c>
      <c r="D2185" s="47" t="n">
        <v>40357</v>
      </c>
      <c r="E2185" s="48">
        <f>"RNCP"&amp;D2185</f>
        <v/>
      </c>
      <c r="F2185" s="48" t="inlineStr">
        <is>
          <t>Technicien informatique en installation, maintenance et support</t>
        </is>
      </c>
      <c r="G2185" s="49">
        <f>E2185&amp;" - "&amp;F2185</f>
        <v/>
      </c>
      <c r="H2185" s="36" t="inlineStr">
        <is>
          <t>RAS</t>
        </is>
      </c>
      <c r="I2185" s="45" t="inlineStr"/>
      <c r="J2185" s="45" t="inlineStr">
        <is>
          <t>RNCP40357</t>
        </is>
      </c>
      <c r="K2185" s="45" t="inlineStr">
        <is>
          <t>Technicien informatique en installation, maintenance et support</t>
        </is>
      </c>
      <c r="L2185" s="45" t="inlineStr">
        <is>
          <t>28/03/2030</t>
        </is>
      </c>
      <c r="M2185" s="45" t="inlineStr">
        <is>
          <t>31081 (Gestion parc informatique) ; 31032 (Système exploitation informatique) ; 24220 (Gestion réseau informatique)</t>
        </is>
      </c>
      <c r="N2185" s="50" t="inlineStr">
        <is>
          <t>NON</t>
        </is>
      </c>
      <c r="O2185" s="45" t="inlineStr"/>
    </row>
    <row r="2186" customFormat="1" s="3">
      <c r="A2186" s="45" t="n"/>
      <c r="B2186" s="46" t="inlineStr">
        <is>
          <t>31032</t>
        </is>
      </c>
      <c r="C2186" s="46">
        <f>LEFT(Tableau1[[#This Row],[Formacode]],3)</f>
        <v/>
      </c>
      <c r="D2186" s="47" t="n">
        <v>40363</v>
      </c>
      <c r="E2186" s="48">
        <f>"RNCP"&amp;D2186</f>
        <v/>
      </c>
      <c r="F2186" s="48" t="inlineStr">
        <is>
          <t>Expert en études et développement du système d'information</t>
        </is>
      </c>
      <c r="G2186" s="49">
        <f>E2186&amp;" - "&amp;F2186</f>
        <v/>
      </c>
      <c r="H2186" s="36" t="inlineStr">
        <is>
          <t>RAS</t>
        </is>
      </c>
      <c r="I2186" s="45" t="inlineStr"/>
      <c r="J2186" s="45" t="inlineStr">
        <is>
          <t>RNCP40363</t>
        </is>
      </c>
      <c r="K2186" s="45" t="inlineStr">
        <is>
          <t>Expert en études et développement du système d'information</t>
        </is>
      </c>
      <c r="L2186" s="45" t="inlineStr">
        <is>
          <t>28/03/2028</t>
        </is>
      </c>
      <c r="M2186" s="45" t="inlineStr">
        <is>
          <t>31054 (Informatique - Systèmes d’information et numérique)</t>
        </is>
      </c>
      <c r="N2186" s="50" t="inlineStr">
        <is>
          <t>NON</t>
        </is>
      </c>
      <c r="O2186" s="45" t="inlineStr"/>
    </row>
    <row r="2187" customFormat="1" s="3">
      <c r="A2187" s="45" t="n"/>
      <c r="B2187" s="46" t="inlineStr">
        <is>
          <t>31032</t>
        </is>
      </c>
      <c r="C2187" s="46">
        <f>LEFT(Tableau1[[#This Row],[Formacode]],3)</f>
        <v/>
      </c>
      <c r="D2187" s="47" t="n">
        <v>40593</v>
      </c>
      <c r="E2187" s="48">
        <f>"RNCP"&amp;D2187</f>
        <v/>
      </c>
      <c r="F2187" s="48" t="inlineStr">
        <is>
          <t>Product builder no code</t>
        </is>
      </c>
      <c r="G2187" s="49">
        <f>E2187&amp;" - "&amp;F2187</f>
        <v/>
      </c>
      <c r="H2187" s="36" t="inlineStr">
        <is>
          <t>RAS</t>
        </is>
      </c>
      <c r="I2187" s="45" t="inlineStr"/>
      <c r="J2187" s="45" t="inlineStr">
        <is>
          <t>RNCP40593</t>
        </is>
      </c>
      <c r="K2187" s="45" t="inlineStr">
        <is>
          <t>Product builder no code</t>
        </is>
      </c>
      <c r="L2187" s="45" t="inlineStr">
        <is>
          <t>30/04/2028</t>
        </is>
      </c>
      <c r="M2187" s="45" t="inlineStr">
        <is>
          <t>31086 (Développement Low Code - No Code) ; 46334 (Maquettage site web) ; 31094 (Gestion projet informatique) ; 72454 (Application) ; 32012 (Gestion processus)</t>
        </is>
      </c>
      <c r="N2187" s="50" t="inlineStr">
        <is>
          <t>NON</t>
        </is>
      </c>
      <c r="O2187" s="45" t="inlineStr"/>
    </row>
    <row r="2188" customFormat="1" s="3">
      <c r="A2188" s="45" t="n"/>
      <c r="B2188" s="46" t="inlineStr">
        <is>
          <t>31032</t>
        </is>
      </c>
      <c r="C2188" s="46">
        <f>LEFT(Tableau1[[#This Row],[Formacode]],3)</f>
        <v/>
      </c>
      <c r="D2188" s="47" t="n">
        <v>41823</v>
      </c>
      <c r="E2188" s="48">
        <f>"RNCP"&amp;D2188</f>
        <v/>
      </c>
      <c r="F2188" s="48" t="inlineStr">
        <is>
          <t>Titre ingénieur - Ingénieur diplômé de l’ESIEE IT - CCI Paris Ile-de-France Éducation</t>
        </is>
      </c>
      <c r="G2188" s="49">
        <f>E2188&amp;" - "&amp;F2188</f>
        <v/>
      </c>
      <c r="H2188" s="36" t="inlineStr">
        <is>
          <t>RAS</t>
        </is>
      </c>
      <c r="I2188" s="45" t="inlineStr"/>
      <c r="J2188" s="45" t="inlineStr">
        <is>
          <t>RNCP41823</t>
        </is>
      </c>
      <c r="K2188" s="45" t="inlineStr">
        <is>
          <t>Ingénieur diplômé de l’ESIEE IT - CCI Paris Ile-de-France Éducation</t>
        </is>
      </c>
      <c r="L2188" s="45" t="inlineStr">
        <is>
          <t>31/08/2027</t>
        </is>
      </c>
      <c r="M2188" s="45" t="inlineStr">
        <is>
          <t>31054 (Informatique - Systèmes d’information et numérique) ; 32062 (Recherche développement) ; 15099 (Résolution problème)</t>
        </is>
      </c>
      <c r="N2188" s="50" t="inlineStr">
        <is>
          <t>NON</t>
        </is>
      </c>
      <c r="O2188" s="45" t="inlineStr"/>
    </row>
    <row r="2189" customFormat="1" s="3">
      <c r="A2189" s="63" t="n"/>
      <c r="B2189" s="64" t="inlineStr">
        <is>
          <t>31034</t>
        </is>
      </c>
      <c r="C2189" s="64">
        <f>LEFT(Tableau1[[#This Row],[Formacode]],3)</f>
        <v/>
      </c>
      <c r="D2189" s="65" t="n">
        <v>35594</v>
      </c>
      <c r="E2189" s="66">
        <f>"RNCP"&amp;D2189</f>
        <v/>
      </c>
      <c r="F2189" s="66" t="inlineStr">
        <is>
          <t>Administrateur systèmes, réseaux et bases de données</t>
        </is>
      </c>
      <c r="G2189" s="67">
        <f>E2189&amp;" - "&amp;F2189</f>
        <v/>
      </c>
      <c r="H2189" s="38" t="inlineStr">
        <is>
          <t>Expiré / remplacé</t>
        </is>
      </c>
      <c r="I2189" s="63" t="inlineStr">
        <is>
          <t>Fiche inactive — remplacée par RNCP41996 (Administrateur systèmes, réseaux et bases de données)</t>
        </is>
      </c>
      <c r="J2189" s="63" t="inlineStr">
        <is>
          <t>RNCP41996</t>
        </is>
      </c>
      <c r="K2189" s="63" t="inlineStr">
        <is>
          <t>Administrateur systèmes, réseaux et bases de données</t>
        </is>
      </c>
      <c r="L2189" s="63" t="inlineStr">
        <is>
          <t>19/05/2026</t>
        </is>
      </c>
      <c r="M2189" s="63" t="inlineStr">
        <is>
          <t>31034 (Administration système)</t>
        </is>
      </c>
      <c r="N2189" s="68" t="inlineStr">
        <is>
          <t>NON</t>
        </is>
      </c>
      <c r="O2189" s="63" t="inlineStr"/>
    </row>
    <row r="2190" customFormat="1" s="3">
      <c r="A2190" s="51" t="n"/>
      <c r="B2190" s="52" t="inlineStr">
        <is>
          <t>31034</t>
        </is>
      </c>
      <c r="C2190" s="52">
        <f>LEFT(Tableau1[[#This Row],[Formacode]],3)</f>
        <v/>
      </c>
      <c r="D2190" s="53" t="n">
        <v>36061</v>
      </c>
      <c r="E2190" s="54">
        <f>"RNCP"&amp;D2190</f>
        <v/>
      </c>
      <c r="F2190" s="54" t="inlineStr">
        <is>
          <t>TP - Administrateur système DevOps</t>
        </is>
      </c>
      <c r="G2190" s="55">
        <f>E2190&amp;" - "&amp;F2190</f>
        <v/>
      </c>
      <c r="H2190" s="37" t="inlineStr">
        <is>
          <t>À vérifier</t>
        </is>
      </c>
      <c r="I2190" s="51" t="inlineStr">
        <is>
          <t>Successeur déjà publié : RNCP42532 (Administrateur système DevOps) — préparer la bascule de l'offre CPF | Échéance le 30/11/2026 (dans 135 j)</t>
        </is>
      </c>
      <c r="J2190" s="51" t="inlineStr">
        <is>
          <t>RNCP42532</t>
        </is>
      </c>
      <c r="K2190" s="51" t="inlineStr">
        <is>
          <t>Administrateur système DevOps</t>
        </is>
      </c>
      <c r="L2190" s="51" t="inlineStr">
        <is>
          <t>30/11/2026</t>
        </is>
      </c>
      <c r="M2190" s="51" t="inlineStr">
        <is>
          <t>31034 (Administration système) ; 31021 (Linux) ; 31011 (Cloud Computing) ; 30812 (Langage Python)</t>
        </is>
      </c>
      <c r="N2190" s="62" t="inlineStr">
        <is>
          <t>NON</t>
        </is>
      </c>
      <c r="O2190" s="51" t="inlineStr"/>
    </row>
    <row r="2191" customFormat="1" s="3">
      <c r="A2191" s="45" t="n"/>
      <c r="B2191" s="46" t="inlineStr">
        <is>
          <t>31034</t>
        </is>
      </c>
      <c r="C2191" s="46">
        <f>LEFT(Tableau1[[#This Row],[Formacode]],3)</f>
        <v/>
      </c>
      <c r="D2191" s="47" t="n">
        <v>36462</v>
      </c>
      <c r="E2191" s="48">
        <f>"RNCP"&amp;D2191</f>
        <v/>
      </c>
      <c r="F2191" s="48" t="inlineStr">
        <is>
          <t>Technicien systèmes réseaux et sécurité</t>
        </is>
      </c>
      <c r="G2191" s="49">
        <f>E2191&amp;" - "&amp;F2191</f>
        <v/>
      </c>
      <c r="H2191" s="36" t="inlineStr">
        <is>
          <t>RAS</t>
        </is>
      </c>
      <c r="I2191" s="45" t="inlineStr"/>
      <c r="J2191" s="45" t="inlineStr">
        <is>
          <t>RNCP36462</t>
        </is>
      </c>
      <c r="K2191" s="45" t="inlineStr">
        <is>
          <t>Technicien systèmes réseaux et sécurité</t>
        </is>
      </c>
      <c r="L2191" s="45" t="inlineStr">
        <is>
          <t>01/06/2027</t>
        </is>
      </c>
      <c r="M2191" s="45" t="inlineStr">
        <is>
          <t>31034 (Administration système)</t>
        </is>
      </c>
      <c r="N2191" s="50" t="inlineStr">
        <is>
          <t>NON</t>
        </is>
      </c>
      <c r="O2191" s="45" t="inlineStr"/>
    </row>
    <row r="2192" customFormat="1" s="3">
      <c r="A2192" s="45" t="n"/>
      <c r="B2192" s="46" t="inlineStr">
        <is>
          <t>31034</t>
        </is>
      </c>
      <c r="C2192" s="46">
        <f>LEFT(Tableau1[[#This Row],[Formacode]],3)</f>
        <v/>
      </c>
      <c r="D2192" s="47" t="n">
        <v>37103</v>
      </c>
      <c r="E2192" s="48">
        <f>"RNCP"&amp;D2192</f>
        <v/>
      </c>
      <c r="F2192" s="48" t="inlineStr">
        <is>
          <t>TP - Technicien en géomatique</t>
        </is>
      </c>
      <c r="G2192" s="49">
        <f>E2192&amp;" - "&amp;F2192</f>
        <v/>
      </c>
      <c r="H2192" s="36" t="inlineStr">
        <is>
          <t>RAS</t>
        </is>
      </c>
      <c r="I2192" s="45" t="inlineStr"/>
      <c r="J2192" s="45" t="inlineStr">
        <is>
          <t>RNCP37103</t>
        </is>
      </c>
      <c r="K2192" s="45" t="inlineStr">
        <is>
          <t>Technicien en géomatique</t>
        </is>
      </c>
      <c r="L2192" s="45" t="inlineStr">
        <is>
          <t>25/02/2028</t>
        </is>
      </c>
      <c r="M2192" s="45" t="inlineStr">
        <is>
          <t>12232 (Géomatique) ; 31054 (Informatique - Systèmes d’information et numérique) ; 12505 (Plan local urbanisme)</t>
        </is>
      </c>
      <c r="N2192" s="50" t="inlineStr">
        <is>
          <t>NON</t>
        </is>
      </c>
      <c r="O2192" s="45" t="inlineStr"/>
    </row>
    <row r="2193" customFormat="1" s="3">
      <c r="A2193" s="45" t="n"/>
      <c r="B2193" s="46" t="inlineStr">
        <is>
          <t>31034</t>
        </is>
      </c>
      <c r="C2193" s="46">
        <f>LEFT(Tableau1[[#This Row],[Formacode]],3)</f>
        <v/>
      </c>
      <c r="D2193" s="47" t="n">
        <v>37680</v>
      </c>
      <c r="E2193" s="48">
        <f>"RNCP"&amp;D2193</f>
        <v/>
      </c>
      <c r="F2193" s="48" t="inlineStr">
        <is>
          <t>TP - Administrateur d'infrastructures sécurisées</t>
        </is>
      </c>
      <c r="G2193" s="49">
        <f>E2193&amp;" - "&amp;F2193</f>
        <v/>
      </c>
      <c r="H2193" s="36" t="inlineStr">
        <is>
          <t>RAS</t>
        </is>
      </c>
      <c r="I2193" s="45" t="inlineStr"/>
      <c r="J2193" s="45" t="inlineStr">
        <is>
          <t>RNCP37680</t>
        </is>
      </c>
      <c r="K2193" s="45" t="inlineStr">
        <is>
          <t>Administrateur d'infrastructures sécurisées</t>
        </is>
      </c>
      <c r="L2193" s="45" t="inlineStr">
        <is>
          <t>28/02/2027</t>
        </is>
      </c>
      <c r="M2193" s="45" t="inlineStr">
        <is>
          <t>31015 (Virtualisation) ; 31006 (Sécurité informatique) ; 24273 (Architecture réseau) ; 31034 (Administration système)</t>
        </is>
      </c>
      <c r="N2193" s="50" t="inlineStr">
        <is>
          <t>NON</t>
        </is>
      </c>
      <c r="O2193" s="45" t="inlineStr"/>
    </row>
    <row r="2194" customFormat="1" s="3">
      <c r="A2194" s="51" t="n"/>
      <c r="B2194" s="52" t="inlineStr">
        <is>
          <t>31034</t>
        </is>
      </c>
      <c r="C2194" s="52">
        <f>LEFT(Tableau1[[#This Row],[Formacode]],3)</f>
        <v/>
      </c>
      <c r="D2194" s="53" t="n">
        <v>38018</v>
      </c>
      <c r="E2194" s="54">
        <f>"RNCP"&amp;D2194</f>
        <v/>
      </c>
      <c r="F2194" s="54" t="inlineStr">
        <is>
          <t>Chef de projet digital</t>
        </is>
      </c>
      <c r="G2194" s="55">
        <f>E2194&amp;" - "&amp;F2194</f>
        <v/>
      </c>
      <c r="H2194" s="37" t="inlineStr">
        <is>
          <t>À vérifier</t>
        </is>
      </c>
      <c r="I2194" s="51" t="inlineStr">
        <is>
          <t>Échéance le 20/09/2026 (dans 64 j)</t>
        </is>
      </c>
      <c r="J2194" s="51" t="inlineStr">
        <is>
          <t>RNCP38018</t>
        </is>
      </c>
      <c r="K2194" s="51" t="inlineStr">
        <is>
          <t>Chef de projet digital</t>
        </is>
      </c>
      <c r="L2194" s="51" t="inlineStr">
        <is>
          <t>20/09/2026</t>
        </is>
      </c>
      <c r="M2194" s="51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194" s="62" t="inlineStr">
        <is>
          <t>NON</t>
        </is>
      </c>
      <c r="O2194" s="51" t="inlineStr"/>
    </row>
    <row r="2195" customFormat="1" s="3">
      <c r="A2195" s="45" t="n"/>
      <c r="B2195" s="46" t="inlineStr">
        <is>
          <t>31034</t>
        </is>
      </c>
      <c r="C2195" s="46">
        <f>LEFT(Tableau1[[#This Row],[Formacode]],3)</f>
        <v/>
      </c>
      <c r="D2195" s="47" t="n">
        <v>38108</v>
      </c>
      <c r="E2195" s="48">
        <f>"RNCP"&amp;D2195</f>
        <v/>
      </c>
      <c r="F2195" s="48" t="inlineStr">
        <is>
          <t>Administrateur de systèmes et réseaux sécurisés</t>
        </is>
      </c>
      <c r="G2195" s="49">
        <f>E2195&amp;" - "&amp;F2195</f>
        <v/>
      </c>
      <c r="H2195" s="36" t="inlineStr">
        <is>
          <t>RAS</t>
        </is>
      </c>
      <c r="I2195" s="45" t="inlineStr"/>
      <c r="J2195" s="45" t="inlineStr">
        <is>
          <t>RNCP38108</t>
        </is>
      </c>
      <c r="K2195" s="45" t="inlineStr">
        <is>
          <t>Administrateur de systèmes et réseaux sécurisés</t>
        </is>
      </c>
      <c r="L2195" s="45" t="inlineStr">
        <is>
          <t>18/10/2028</t>
        </is>
      </c>
      <c r="M2195" s="45" t="inlineStr">
        <is>
          <t>31034 (Administration système) ; 24273 (Architecture réseau) ; 24220 (Gestion réseau informatique) ; 31008 (Système information) ; 31006 (Sécurité informatique)</t>
        </is>
      </c>
      <c r="N2195" s="50" t="inlineStr">
        <is>
          <t>NON</t>
        </is>
      </c>
      <c r="O2195" s="45" t="inlineStr"/>
    </row>
    <row r="2196" customFormat="1" s="3">
      <c r="A2196" s="45" t="n"/>
      <c r="B2196" s="46" t="inlineStr">
        <is>
          <t>31034</t>
        </is>
      </c>
      <c r="C2196" s="46">
        <f>LEFT(Tableau1[[#This Row],[Formacode]],3)</f>
        <v/>
      </c>
      <c r="D2196" s="47" t="n">
        <v>38117</v>
      </c>
      <c r="E2196" s="48">
        <f>"RNCP"&amp;D2196</f>
        <v/>
      </c>
      <c r="F2196" s="48" t="inlineStr">
        <is>
          <t>Ingénieur systèmes, réseaux et cybersécurité</t>
        </is>
      </c>
      <c r="G2196" s="49">
        <f>E2196&amp;" - "&amp;F2196</f>
        <v/>
      </c>
      <c r="H2196" s="36" t="inlineStr">
        <is>
          <t>RAS</t>
        </is>
      </c>
      <c r="I2196" s="45" t="inlineStr"/>
      <c r="J2196" s="45" t="inlineStr">
        <is>
          <t>RNCP38117</t>
        </is>
      </c>
      <c r="K2196" s="45" t="inlineStr">
        <is>
          <t>Ingénieur systèmes, réseaux et cybersécurité</t>
        </is>
      </c>
      <c r="L2196" s="45" t="inlineStr">
        <is>
          <t>18/10/2028</t>
        </is>
      </c>
      <c r="M2196" s="45" t="inlineStr">
        <is>
          <t>31034 (Administration système) ; 24231 (Réseau informatique) ; 31006 (Sécurité informatique) ; 31094 (Gestion projet informatique) ; 31009 (Architecture système information)</t>
        </is>
      </c>
      <c r="N2196" s="50" t="inlineStr">
        <is>
          <t>NON</t>
        </is>
      </c>
      <c r="O2196" s="45" t="inlineStr"/>
    </row>
    <row r="2197" customFormat="1" s="3">
      <c r="A2197" s="45" t="n"/>
      <c r="B2197" s="46" t="inlineStr">
        <is>
          <t>31034</t>
        </is>
      </c>
      <c r="C2197" s="46">
        <f>LEFT(Tableau1[[#This Row],[Formacode]],3)</f>
        <v/>
      </c>
      <c r="D2197" s="47" t="n">
        <v>38906</v>
      </c>
      <c r="E2197" s="48">
        <f>"RNCP"&amp;D2197</f>
        <v/>
      </c>
      <c r="F2197" s="48" t="inlineStr">
        <is>
          <t>Architecte internet des objets</t>
        </is>
      </c>
      <c r="G2197" s="49">
        <f>E2197&amp;" - "&amp;F2197</f>
        <v/>
      </c>
      <c r="H2197" s="36" t="inlineStr">
        <is>
          <t>RAS</t>
        </is>
      </c>
      <c r="I2197" s="45" t="inlineStr"/>
      <c r="J2197" s="45" t="inlineStr">
        <is>
          <t>RNCP38906</t>
        </is>
      </c>
      <c r="K2197" s="45" t="inlineStr">
        <is>
          <t>Architecte internet des objets</t>
        </is>
      </c>
      <c r="L2197" s="45" t="inlineStr">
        <is>
          <t>26/04/2027</t>
        </is>
      </c>
      <c r="M2197" s="45" t="inlineStr">
        <is>
          <t>31009 (Architecture système information) ; 31082 (Intégration informatique) ; 24231 (Réseau informatique)</t>
        </is>
      </c>
      <c r="N2197" s="50" t="inlineStr">
        <is>
          <t>NON</t>
        </is>
      </c>
      <c r="O2197" s="45" t="inlineStr"/>
    </row>
    <row r="2198" customFormat="1" s="3">
      <c r="A2198" s="45" t="n"/>
      <c r="B2198" s="46" t="inlineStr">
        <is>
          <t>31034</t>
        </is>
      </c>
      <c r="C2198" s="46">
        <f>LEFT(Tableau1[[#This Row],[Formacode]],3)</f>
        <v/>
      </c>
      <c r="D2198" s="47" t="n">
        <v>39425</v>
      </c>
      <c r="E2198" s="48">
        <f>"RNCP"&amp;D2198</f>
        <v/>
      </c>
      <c r="F2198" s="48" t="inlineStr">
        <is>
          <t>Diplôme visé - Expert en Ingénierie Informatique et Innovation Numérique</t>
        </is>
      </c>
      <c r="G2198" s="49">
        <f>E2198&amp;" - "&amp;F2198</f>
        <v/>
      </c>
      <c r="H2198" s="36" t="inlineStr">
        <is>
          <t>RAS</t>
        </is>
      </c>
      <c r="I2198" s="45" t="inlineStr"/>
      <c r="J2198" s="45" t="inlineStr">
        <is>
          <t>RNCP39425</t>
        </is>
      </c>
      <c r="K2198" s="45" t="inlineStr">
        <is>
          <t>Expert en Ingénierie Informatique et Innovation Numérique</t>
        </is>
      </c>
      <c r="L2198" s="45" t="inlineStr">
        <is>
          <t>31/08/2029</t>
        </is>
      </c>
      <c r="M2198" s="45" t="inlineStr">
        <is>
          <t>31054 (Informatique - Systèmes d’information et numérique) ; 32070 (Innovation entreprise)</t>
        </is>
      </c>
      <c r="N2198" s="50" t="inlineStr">
        <is>
          <t>NON</t>
        </is>
      </c>
      <c r="O2198" s="45" t="inlineStr"/>
    </row>
    <row r="2199" customFormat="1" s="3">
      <c r="A2199" s="45" t="n"/>
      <c r="B2199" s="46" t="inlineStr">
        <is>
          <t>31034</t>
        </is>
      </c>
      <c r="C2199" s="46">
        <f>LEFT(Tableau1[[#This Row],[Formacode]],3)</f>
        <v/>
      </c>
      <c r="D2199" s="47" t="n">
        <v>39445</v>
      </c>
      <c r="E2199" s="48">
        <f>"RNCP"&amp;D2199</f>
        <v/>
      </c>
      <c r="F2199" s="48" t="inlineStr">
        <is>
          <t>Titre ingénieur - Ingénieur diplômé de l'Institut supérieur d'électronique de Paris</t>
        </is>
      </c>
      <c r="G2199" s="49">
        <f>E2199&amp;" - "&amp;F2199</f>
        <v/>
      </c>
      <c r="H2199" s="36" t="inlineStr">
        <is>
          <t>RAS</t>
        </is>
      </c>
      <c r="I2199" s="45" t="inlineStr"/>
      <c r="J2199" s="45" t="inlineStr">
        <is>
          <t>RNCP39445</t>
        </is>
      </c>
      <c r="K2199" s="45" t="inlineStr">
        <is>
          <t>Ingénieur diplômé de l'Institut supérieur d'électronique de Paris</t>
        </is>
      </c>
      <c r="L2199" s="45" t="inlineStr">
        <is>
          <t>31/08/2029</t>
        </is>
      </c>
      <c r="M2199" s="45" t="inlineStr">
        <is>
          <t>24354 (Électronique) ; 31054 (Informatique - Systèmes d’information et numérique) ; 32062 (Recherche développement) ; 15099 (Résolution problème)</t>
        </is>
      </c>
      <c r="N2199" s="50" t="inlineStr">
        <is>
          <t>NON</t>
        </is>
      </c>
      <c r="O2199" s="45" t="inlineStr"/>
    </row>
    <row r="2200" customFormat="1" s="3">
      <c r="A2200" s="45" t="n"/>
      <c r="B2200" s="46" t="inlineStr">
        <is>
          <t>31034</t>
        </is>
      </c>
      <c r="C2200" s="46">
        <f>LEFT(Tableau1[[#This Row],[Formacode]],3)</f>
        <v/>
      </c>
      <c r="D2200" s="47" t="n">
        <v>39582</v>
      </c>
      <c r="E2200" s="48">
        <f>"RNCP"&amp;D2200</f>
        <v/>
      </c>
      <c r="F2200" s="48" t="inlineStr">
        <is>
          <t>Expert en architecture des systèmes d’information</t>
        </is>
      </c>
      <c r="G2200" s="49">
        <f>E2200&amp;" - "&amp;F2200</f>
        <v/>
      </c>
      <c r="H2200" s="36" t="inlineStr">
        <is>
          <t>RAS</t>
        </is>
      </c>
      <c r="I2200" s="45" t="inlineStr"/>
      <c r="J2200" s="45" t="inlineStr">
        <is>
          <t>RNCP39582</t>
        </is>
      </c>
      <c r="K2200" s="45" t="inlineStr">
        <is>
          <t>Expert en architecture des systèmes d’information</t>
        </is>
      </c>
      <c r="L2200" s="45" t="inlineStr">
        <is>
          <t>01/10/2029</t>
        </is>
      </c>
      <c r="M2200" s="45" t="inlineStr">
        <is>
          <t>31054 (Informatique - Systèmes d’information et numérique)</t>
        </is>
      </c>
      <c r="N2200" s="50" t="inlineStr">
        <is>
          <t>NON</t>
        </is>
      </c>
      <c r="O2200" s="45" t="inlineStr"/>
    </row>
    <row r="2201" ht="28.8" customFormat="1" customHeight="1" s="3">
      <c r="A2201" s="45" t="n"/>
      <c r="B2201" s="46" t="inlineStr">
        <is>
          <t>31034</t>
        </is>
      </c>
      <c r="C2201" s="46">
        <f>LEFT(Tableau1[[#This Row],[Formacode]],3)</f>
        <v/>
      </c>
      <c r="D2201" s="47" t="n">
        <v>39586</v>
      </c>
      <c r="E2201" s="48">
        <f>"RNCP"&amp;D2201</f>
        <v/>
      </c>
      <c r="F2201" s="48" t="inlineStr">
        <is>
          <t>Ingénieur en science des données spécialisé en infrastructure data ou en apprentissage automatique</t>
        </is>
      </c>
      <c r="G2201" s="49">
        <f>E2201&amp;" - "&amp;F2201</f>
        <v/>
      </c>
      <c r="H2201" s="36" t="inlineStr">
        <is>
          <t>RAS</t>
        </is>
      </c>
      <c r="I2201" s="45" t="inlineStr"/>
      <c r="J2201" s="45" t="inlineStr">
        <is>
          <t>RNCP39586</t>
        </is>
      </c>
      <c r="K2201" s="45" t="inlineStr">
        <is>
          <t>Ingénieur en science des données spécialisé en infrastructure data ou en apprentissage automatique</t>
        </is>
      </c>
      <c r="L2201" s="45" t="inlineStr">
        <is>
          <t>01/10/2029</t>
        </is>
      </c>
      <c r="M2201" s="45" t="inlineStr">
        <is>
          <t>31054 (Informatique - Systèmes d’information et numérique)</t>
        </is>
      </c>
      <c r="N2201" s="50" t="inlineStr">
        <is>
          <t>NON</t>
        </is>
      </c>
      <c r="O2201" s="45" t="inlineStr"/>
    </row>
    <row r="2202" customFormat="1" s="3">
      <c r="A2202" s="45" t="n"/>
      <c r="B2202" s="46" t="inlineStr">
        <is>
          <t>31034</t>
        </is>
      </c>
      <c r="C2202" s="46">
        <f>LEFT(Tableau1[[#This Row],[Formacode]],3)</f>
        <v/>
      </c>
      <c r="D2202" s="47" t="n">
        <v>40356</v>
      </c>
      <c r="E2202" s="48">
        <f>"RNCP"&amp;D2202</f>
        <v/>
      </c>
      <c r="F2202" s="48" t="inlineStr">
        <is>
          <t>Administrateur systèmes, réseaux et cybersécurité</t>
        </is>
      </c>
      <c r="G2202" s="49">
        <f>E2202&amp;" - "&amp;F2202</f>
        <v/>
      </c>
      <c r="H2202" s="36" t="inlineStr">
        <is>
          <t>RAS</t>
        </is>
      </c>
      <c r="I2202" s="45" t="inlineStr"/>
      <c r="J2202" s="45" t="inlineStr">
        <is>
          <t>RNCP40356</t>
        </is>
      </c>
      <c r="K2202" s="45" t="inlineStr">
        <is>
          <t>Administrateur systèmes, réseaux et cybersécurité</t>
        </is>
      </c>
      <c r="L2202" s="45" t="inlineStr">
        <is>
          <t>28/03/2030</t>
        </is>
      </c>
      <c r="M2202" s="45" t="inlineStr">
        <is>
          <t>31034 (Administration système) ; 31032 (Système exploitation informatique) ; 31006 (Sécurité informatique) ; 24231 (Réseau informatique) ; 31008 (Système information)</t>
        </is>
      </c>
      <c r="N2202" s="50" t="inlineStr">
        <is>
          <t>NON</t>
        </is>
      </c>
      <c r="O2202" s="45" t="inlineStr"/>
    </row>
    <row r="2203" customFormat="1" s="3">
      <c r="A2203" s="45" t="n"/>
      <c r="B2203" s="46" t="inlineStr">
        <is>
          <t>31034</t>
        </is>
      </c>
      <c r="C2203" s="46">
        <f>LEFT(Tableau1[[#This Row],[Formacode]],3)</f>
        <v/>
      </c>
      <c r="D2203" s="47" t="n">
        <v>40363</v>
      </c>
      <c r="E2203" s="48">
        <f>"RNCP"&amp;D2203</f>
        <v/>
      </c>
      <c r="F2203" s="48" t="inlineStr">
        <is>
          <t>Expert en études et développement du système d'information</t>
        </is>
      </c>
      <c r="G2203" s="49">
        <f>E2203&amp;" - "&amp;F2203</f>
        <v/>
      </c>
      <c r="H2203" s="36" t="inlineStr">
        <is>
          <t>RAS</t>
        </is>
      </c>
      <c r="I2203" s="45" t="inlineStr"/>
      <c r="J2203" s="45" t="inlineStr">
        <is>
          <t>RNCP40363</t>
        </is>
      </c>
      <c r="K2203" s="45" t="inlineStr">
        <is>
          <t>Expert en études et développement du système d'information</t>
        </is>
      </c>
      <c r="L2203" s="45" t="inlineStr">
        <is>
          <t>28/03/2028</t>
        </is>
      </c>
      <c r="M2203" s="45" t="inlineStr">
        <is>
          <t>31054 (Informatique - Systèmes d’information et numérique)</t>
        </is>
      </c>
      <c r="N2203" s="50" t="inlineStr">
        <is>
          <t>NON</t>
        </is>
      </c>
      <c r="O2203" s="45" t="inlineStr"/>
    </row>
    <row r="2204" customFormat="1" s="3">
      <c r="A2204" s="45" t="n"/>
      <c r="B2204" s="46" t="inlineStr">
        <is>
          <t>31034</t>
        </is>
      </c>
      <c r="C2204" s="46">
        <f>LEFT(Tableau1[[#This Row],[Formacode]],3)</f>
        <v/>
      </c>
      <c r="D2204" s="47" t="n">
        <v>40572</v>
      </c>
      <c r="E2204" s="48">
        <f>"RNCP"&amp;D2204</f>
        <v/>
      </c>
      <c r="F2204" s="48" t="inlineStr">
        <is>
          <t>Architecte Internet des objets (IoT)</t>
        </is>
      </c>
      <c r="G2204" s="49">
        <f>E2204&amp;" - "&amp;F2204</f>
        <v/>
      </c>
      <c r="H2204" s="36" t="inlineStr">
        <is>
          <t>RAS</t>
        </is>
      </c>
      <c r="I2204" s="45" t="inlineStr"/>
      <c r="J2204" s="45" t="inlineStr">
        <is>
          <t>RNCP40572</t>
        </is>
      </c>
      <c r="K2204" s="45" t="inlineStr">
        <is>
          <t>Architecte Internet des objets (IoT)</t>
        </is>
      </c>
      <c r="L2204" s="45" t="inlineStr">
        <is>
          <t>30/04/2028</t>
        </is>
      </c>
      <c r="M2204" s="45" t="inlineStr">
        <is>
          <t>31009 (Architecture système information) ; 31082 (Intégration informatique) ; 24231 (Réseau informatique)</t>
        </is>
      </c>
      <c r="N2204" s="50" t="inlineStr">
        <is>
          <t>NON</t>
        </is>
      </c>
      <c r="O2204" s="45" t="inlineStr"/>
    </row>
    <row r="2205" customFormat="1" s="3">
      <c r="A2205" s="45" t="n"/>
      <c r="B2205" s="46" t="inlineStr">
        <is>
          <t>31034</t>
        </is>
      </c>
      <c r="C2205" s="46">
        <f>LEFT(Tableau1[[#This Row],[Formacode]],3)</f>
        <v/>
      </c>
      <c r="D2205" s="47" t="n">
        <v>40593</v>
      </c>
      <c r="E2205" s="48">
        <f>"RNCP"&amp;D2205</f>
        <v/>
      </c>
      <c r="F2205" s="48" t="inlineStr">
        <is>
          <t>Product builder no code</t>
        </is>
      </c>
      <c r="G2205" s="49">
        <f>E2205&amp;" - "&amp;F2205</f>
        <v/>
      </c>
      <c r="H2205" s="36" t="inlineStr">
        <is>
          <t>RAS</t>
        </is>
      </c>
      <c r="I2205" s="45" t="inlineStr"/>
      <c r="J2205" s="45" t="inlineStr">
        <is>
          <t>RNCP40593</t>
        </is>
      </c>
      <c r="K2205" s="45" t="inlineStr">
        <is>
          <t>Product builder no code</t>
        </is>
      </c>
      <c r="L2205" s="45" t="inlineStr">
        <is>
          <t>30/04/2028</t>
        </is>
      </c>
      <c r="M2205" s="45" t="inlineStr">
        <is>
          <t>31086 (Développement Low Code - No Code) ; 46334 (Maquettage site web) ; 31094 (Gestion projet informatique) ; 72454 (Application) ; 32012 (Gestion processus)</t>
        </is>
      </c>
      <c r="N2205" s="50" t="inlineStr">
        <is>
          <t>NON</t>
        </is>
      </c>
      <c r="O2205" s="45" t="inlineStr"/>
    </row>
    <row r="2206" customFormat="1" s="3">
      <c r="A2206" s="45" t="n"/>
      <c r="B2206" s="46" t="inlineStr">
        <is>
          <t>31034</t>
        </is>
      </c>
      <c r="C2206" s="46">
        <f>LEFT(Tableau1[[#This Row],[Formacode]],3)</f>
        <v/>
      </c>
      <c r="D2206" s="47" t="n">
        <v>41823</v>
      </c>
      <c r="E2206" s="48">
        <f>"RNCP"&amp;D2206</f>
        <v/>
      </c>
      <c r="F2206" s="48" t="inlineStr">
        <is>
          <t>Titre ingénieur - Ingénieur diplômé de l’ESIEE IT - CCI Paris Ile-de-France Éducation</t>
        </is>
      </c>
      <c r="G2206" s="49">
        <f>E2206&amp;" - "&amp;F2206</f>
        <v/>
      </c>
      <c r="H2206" s="36" t="inlineStr">
        <is>
          <t>RAS</t>
        </is>
      </c>
      <c r="I2206" s="45" t="inlineStr"/>
      <c r="J2206" s="45" t="inlineStr">
        <is>
          <t>RNCP41823</t>
        </is>
      </c>
      <c r="K2206" s="45" t="inlineStr">
        <is>
          <t>Ingénieur diplômé de l’ESIEE IT - CCI Paris Ile-de-France Éducation</t>
        </is>
      </c>
      <c r="L2206" s="45" t="inlineStr">
        <is>
          <t>31/08/2027</t>
        </is>
      </c>
      <c r="M2206" s="45" t="inlineStr">
        <is>
          <t>31054 (Informatique - Systèmes d’information et numérique) ; 32062 (Recherche développement) ; 15099 (Résolution problème)</t>
        </is>
      </c>
      <c r="N2206" s="50" t="inlineStr">
        <is>
          <t>NON</t>
        </is>
      </c>
      <c r="O2206" s="45" t="inlineStr"/>
    </row>
    <row r="2207" customFormat="1" s="3">
      <c r="A2207" s="45" t="n"/>
      <c r="B2207" s="46" t="inlineStr">
        <is>
          <t>31036</t>
        </is>
      </c>
      <c r="C2207" s="46">
        <f>LEFT(Tableau1[[#This Row],[Formacode]],3)</f>
        <v/>
      </c>
      <c r="D2207" s="47" t="n">
        <v>37103</v>
      </c>
      <c r="E2207" s="48">
        <f>"RNCP"&amp;D2207</f>
        <v/>
      </c>
      <c r="F2207" s="48" t="inlineStr">
        <is>
          <t>TP - Technicien en géomatique</t>
        </is>
      </c>
      <c r="G2207" s="49">
        <f>E2207&amp;" - "&amp;F2207</f>
        <v/>
      </c>
      <c r="H2207" s="36" t="inlineStr">
        <is>
          <t>RAS</t>
        </is>
      </c>
      <c r="I2207" s="45" t="inlineStr"/>
      <c r="J2207" s="45" t="inlineStr">
        <is>
          <t>RNCP37103</t>
        </is>
      </c>
      <c r="K2207" s="45" t="inlineStr">
        <is>
          <t>Technicien en géomatique</t>
        </is>
      </c>
      <c r="L2207" s="45" t="inlineStr">
        <is>
          <t>25/02/2028</t>
        </is>
      </c>
      <c r="M2207" s="45" t="inlineStr">
        <is>
          <t>12232 (Géomatique) ; 31054 (Informatique - Systèmes d’information et numérique) ; 12505 (Plan local urbanisme)</t>
        </is>
      </c>
      <c r="N2207" s="50" t="inlineStr">
        <is>
          <t>NON</t>
        </is>
      </c>
      <c r="O2207" s="45" t="inlineStr"/>
    </row>
    <row r="2208" customFormat="1" s="3">
      <c r="A2208" s="45" t="n"/>
      <c r="B2208" s="46" t="inlineStr">
        <is>
          <t>31036</t>
        </is>
      </c>
      <c r="C2208" s="46">
        <f>LEFT(Tableau1[[#This Row],[Formacode]],3)</f>
        <v/>
      </c>
      <c r="D2208" s="47" t="n">
        <v>37873</v>
      </c>
      <c r="E2208" s="48">
        <f>"RNCP"&amp;D2208</f>
        <v/>
      </c>
      <c r="F2208" s="48" t="inlineStr">
        <is>
          <t>TP - Concepteur développeur d'applications</t>
        </is>
      </c>
      <c r="G2208" s="49">
        <f>E2208&amp;" - "&amp;F2208</f>
        <v/>
      </c>
      <c r="H2208" s="36" t="inlineStr">
        <is>
          <t>RAS</t>
        </is>
      </c>
      <c r="I2208" s="45" t="inlineStr"/>
      <c r="J2208" s="45" t="inlineStr">
        <is>
          <t>RNCP37873</t>
        </is>
      </c>
      <c r="K2208" s="45" t="inlineStr">
        <is>
          <t>Concepteur développeur d'applications</t>
        </is>
      </c>
      <c r="L2208" s="45" t="inlineStr">
        <is>
          <t>18/12/2028</t>
        </is>
      </c>
      <c r="M2208" s="45" t="inlineStr">
        <is>
          <t>31067 (Développement informatique) ; 31036 (Administration base de données) ; 31010 (Architecture web) ; 31084 (Informatique de gestion) ; 31006 (Sécurité informatique)</t>
        </is>
      </c>
      <c r="N2208" s="50" t="inlineStr">
        <is>
          <t>NON</t>
        </is>
      </c>
      <c r="O2208" s="45" t="inlineStr"/>
    </row>
    <row r="2209" customFormat="1" s="3">
      <c r="A2209" s="51" t="n"/>
      <c r="B2209" s="52" t="inlineStr">
        <is>
          <t>31036</t>
        </is>
      </c>
      <c r="C2209" s="52">
        <f>LEFT(Tableau1[[#This Row],[Formacode]],3)</f>
        <v/>
      </c>
      <c r="D2209" s="53" t="n">
        <v>38018</v>
      </c>
      <c r="E2209" s="54">
        <f>"RNCP"&amp;D2209</f>
        <v/>
      </c>
      <c r="F2209" s="54" t="inlineStr">
        <is>
          <t>Chef de projet digital</t>
        </is>
      </c>
      <c r="G2209" s="55">
        <f>E2209&amp;" - "&amp;F2209</f>
        <v/>
      </c>
      <c r="H2209" s="37" t="inlineStr">
        <is>
          <t>À vérifier</t>
        </is>
      </c>
      <c r="I2209" s="51" t="inlineStr">
        <is>
          <t>Échéance le 20/09/2026 (dans 64 j)</t>
        </is>
      </c>
      <c r="J2209" s="51" t="inlineStr">
        <is>
          <t>RNCP38018</t>
        </is>
      </c>
      <c r="K2209" s="51" t="inlineStr">
        <is>
          <t>Chef de projet digital</t>
        </is>
      </c>
      <c r="L2209" s="51" t="inlineStr">
        <is>
          <t>20/09/2026</t>
        </is>
      </c>
      <c r="M2209" s="51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209" s="62" t="inlineStr">
        <is>
          <t>NON</t>
        </is>
      </c>
      <c r="O2209" s="51" t="inlineStr"/>
    </row>
    <row r="2210" customFormat="1" s="3">
      <c r="A2210" s="45" t="n"/>
      <c r="B2210" s="46" t="inlineStr">
        <is>
          <t>31036</t>
        </is>
      </c>
      <c r="C2210" s="46">
        <f>LEFT(Tableau1[[#This Row],[Formacode]],3)</f>
        <v/>
      </c>
      <c r="D2210" s="47" t="n">
        <v>39425</v>
      </c>
      <c r="E2210" s="48">
        <f>"RNCP"&amp;D2210</f>
        <v/>
      </c>
      <c r="F2210" s="48" t="inlineStr">
        <is>
          <t>Diplôme visé - Expert en Ingénierie Informatique et Innovation Numérique</t>
        </is>
      </c>
      <c r="G2210" s="49">
        <f>E2210&amp;" - "&amp;F2210</f>
        <v/>
      </c>
      <c r="H2210" s="36" t="inlineStr">
        <is>
          <t>RAS</t>
        </is>
      </c>
      <c r="I2210" s="45" t="inlineStr"/>
      <c r="J2210" s="45" t="inlineStr">
        <is>
          <t>RNCP39425</t>
        </is>
      </c>
      <c r="K2210" s="45" t="inlineStr">
        <is>
          <t>Expert en Ingénierie Informatique et Innovation Numérique</t>
        </is>
      </c>
      <c r="L2210" s="45" t="inlineStr">
        <is>
          <t>31/08/2029</t>
        </is>
      </c>
      <c r="M2210" s="45" t="inlineStr">
        <is>
          <t>31054 (Informatique - Systèmes d’information et numérique) ; 32070 (Innovation entreprise)</t>
        </is>
      </c>
      <c r="N2210" s="50" t="inlineStr">
        <is>
          <t>NON</t>
        </is>
      </c>
      <c r="O2210" s="45" t="inlineStr"/>
    </row>
    <row r="2211" customFormat="1" s="3">
      <c r="A2211" s="45" t="n"/>
      <c r="B2211" s="46" t="inlineStr">
        <is>
          <t>31036</t>
        </is>
      </c>
      <c r="C2211" s="46">
        <f>LEFT(Tableau1[[#This Row],[Formacode]],3)</f>
        <v/>
      </c>
      <c r="D2211" s="47" t="n">
        <v>39445</v>
      </c>
      <c r="E2211" s="48">
        <f>"RNCP"&amp;D2211</f>
        <v/>
      </c>
      <c r="F2211" s="48" t="inlineStr">
        <is>
          <t>Titre ingénieur - Ingénieur diplômé de l'Institut supérieur d'électronique de Paris</t>
        </is>
      </c>
      <c r="G2211" s="49">
        <f>E2211&amp;" - "&amp;F2211</f>
        <v/>
      </c>
      <c r="H2211" s="36" t="inlineStr">
        <is>
          <t>RAS</t>
        </is>
      </c>
      <c r="I2211" s="45" t="inlineStr"/>
      <c r="J2211" s="45" t="inlineStr">
        <is>
          <t>RNCP39445</t>
        </is>
      </c>
      <c r="K2211" s="45" t="inlineStr">
        <is>
          <t>Ingénieur diplômé de l'Institut supérieur d'électronique de Paris</t>
        </is>
      </c>
      <c r="L2211" s="45" t="inlineStr">
        <is>
          <t>31/08/2029</t>
        </is>
      </c>
      <c r="M2211" s="45" t="inlineStr">
        <is>
          <t>24354 (Électronique) ; 31054 (Informatique - Systèmes d’information et numérique) ; 32062 (Recherche développement) ; 15099 (Résolution problème)</t>
        </is>
      </c>
      <c r="N2211" s="50" t="inlineStr">
        <is>
          <t>NON</t>
        </is>
      </c>
      <c r="O2211" s="45" t="inlineStr"/>
    </row>
    <row r="2212" customFormat="1" s="3">
      <c r="A2212" s="45" t="n"/>
      <c r="B2212" s="46" t="inlineStr">
        <is>
          <t>31036</t>
        </is>
      </c>
      <c r="C2212" s="46">
        <f>LEFT(Tableau1[[#This Row],[Formacode]],3)</f>
        <v/>
      </c>
      <c r="D2212" s="47" t="n">
        <v>39582</v>
      </c>
      <c r="E2212" s="48">
        <f>"RNCP"&amp;D2212</f>
        <v/>
      </c>
      <c r="F2212" s="48" t="inlineStr">
        <is>
          <t>Expert en architecture des systèmes d’information</t>
        </is>
      </c>
      <c r="G2212" s="49">
        <f>E2212&amp;" - "&amp;F2212</f>
        <v/>
      </c>
      <c r="H2212" s="36" t="inlineStr">
        <is>
          <t>RAS</t>
        </is>
      </c>
      <c r="I2212" s="45" t="inlineStr"/>
      <c r="J2212" s="45" t="inlineStr">
        <is>
          <t>RNCP39582</t>
        </is>
      </c>
      <c r="K2212" s="45" t="inlineStr">
        <is>
          <t>Expert en architecture des systèmes d’information</t>
        </is>
      </c>
      <c r="L2212" s="45" t="inlineStr">
        <is>
          <t>01/10/2029</t>
        </is>
      </c>
      <c r="M2212" s="45" t="inlineStr">
        <is>
          <t>31054 (Informatique - Systèmes d’information et numérique)</t>
        </is>
      </c>
      <c r="N2212" s="50" t="inlineStr">
        <is>
          <t>NON</t>
        </is>
      </c>
      <c r="O2212" s="45" t="inlineStr"/>
    </row>
    <row r="2213" ht="28.8" customFormat="1" customHeight="1" s="3">
      <c r="A2213" s="45" t="n"/>
      <c r="B2213" s="46" t="inlineStr">
        <is>
          <t>31036</t>
        </is>
      </c>
      <c r="C2213" s="46">
        <f>LEFT(Tableau1[[#This Row],[Formacode]],3)</f>
        <v/>
      </c>
      <c r="D2213" s="47" t="n">
        <v>39586</v>
      </c>
      <c r="E2213" s="48">
        <f>"RNCP"&amp;D2213</f>
        <v/>
      </c>
      <c r="F2213" s="48" t="inlineStr">
        <is>
          <t>Ingénieur en science des données spécialisé en infrastructure data ou en apprentissage automatique</t>
        </is>
      </c>
      <c r="G2213" s="49">
        <f>E2213&amp;" - "&amp;F2213</f>
        <v/>
      </c>
      <c r="H2213" s="36" t="inlineStr">
        <is>
          <t>RAS</t>
        </is>
      </c>
      <c r="I2213" s="45" t="inlineStr"/>
      <c r="J2213" s="45" t="inlineStr">
        <is>
          <t>RNCP39586</t>
        </is>
      </c>
      <c r="K2213" s="45" t="inlineStr">
        <is>
          <t>Ingénieur en science des données spécialisé en infrastructure data ou en apprentissage automatique</t>
        </is>
      </c>
      <c r="L2213" s="45" t="inlineStr">
        <is>
          <t>01/10/2029</t>
        </is>
      </c>
      <c r="M2213" s="45" t="inlineStr">
        <is>
          <t>31054 (Informatique - Systèmes d’information et numérique)</t>
        </is>
      </c>
      <c r="N2213" s="50" t="inlineStr">
        <is>
          <t>NON</t>
        </is>
      </c>
      <c r="O2213" s="45" t="inlineStr"/>
    </row>
    <row r="2214" customFormat="1" s="3">
      <c r="A2214" s="45" t="n"/>
      <c r="B2214" s="46" t="inlineStr">
        <is>
          <t>31036</t>
        </is>
      </c>
      <c r="C2214" s="46">
        <f>LEFT(Tableau1[[#This Row],[Formacode]],3)</f>
        <v/>
      </c>
      <c r="D2214" s="47" t="n">
        <v>39775</v>
      </c>
      <c r="E2214" s="48">
        <f>"RNCP"&amp;D2214</f>
        <v/>
      </c>
      <c r="F2214" s="48" t="inlineStr">
        <is>
          <t>Expert en ingénierie et science des données</t>
        </is>
      </c>
      <c r="G2214" s="49">
        <f>E2214&amp;" - "&amp;F2214</f>
        <v/>
      </c>
      <c r="H2214" s="36" t="inlineStr">
        <is>
          <t>RAS</t>
        </is>
      </c>
      <c r="I2214" s="45" t="inlineStr"/>
      <c r="J2214" s="45" t="inlineStr">
        <is>
          <t>RNCP39775</t>
        </is>
      </c>
      <c r="K2214" s="45" t="inlineStr">
        <is>
          <t>Expert en ingénierie et science des données</t>
        </is>
      </c>
      <c r="L2214" s="45" t="inlineStr">
        <is>
          <t>31/10/2028</t>
        </is>
      </c>
      <c r="M2214" s="45" t="inlineStr">
        <is>
          <t>31026 (Data science) ; 31028 (Intelligence artificielle) ; 31025 (Analyse de données) ; 31036 (Administration base de données)</t>
        </is>
      </c>
      <c r="N2214" s="50" t="inlineStr">
        <is>
          <t>NON</t>
        </is>
      </c>
      <c r="O2214" s="45" t="inlineStr"/>
    </row>
    <row r="2215" customFormat="1" s="3">
      <c r="A2215" s="45" t="n"/>
      <c r="B2215" s="46" t="inlineStr">
        <is>
          <t>31036</t>
        </is>
      </c>
      <c r="C2215" s="46">
        <f>LEFT(Tableau1[[#This Row],[Formacode]],3)</f>
        <v/>
      </c>
      <c r="D2215" s="47" t="n">
        <v>40363</v>
      </c>
      <c r="E2215" s="48">
        <f>"RNCP"&amp;D2215</f>
        <v/>
      </c>
      <c r="F2215" s="48" t="inlineStr">
        <is>
          <t>Expert en études et développement du système d'information</t>
        </is>
      </c>
      <c r="G2215" s="49">
        <f>E2215&amp;" - "&amp;F2215</f>
        <v/>
      </c>
      <c r="H2215" s="36" t="inlineStr">
        <is>
          <t>RAS</t>
        </is>
      </c>
      <c r="I2215" s="45" t="inlineStr"/>
      <c r="J2215" s="45" t="inlineStr">
        <is>
          <t>RNCP40363</t>
        </is>
      </c>
      <c r="K2215" s="45" t="inlineStr">
        <is>
          <t>Expert en études et développement du système d'information</t>
        </is>
      </c>
      <c r="L2215" s="45" t="inlineStr">
        <is>
          <t>28/03/2028</t>
        </is>
      </c>
      <c r="M2215" s="45" t="inlineStr">
        <is>
          <t>31054 (Informatique - Systèmes d’information et numérique)</t>
        </is>
      </c>
      <c r="N2215" s="50" t="inlineStr">
        <is>
          <t>NON</t>
        </is>
      </c>
      <c r="O2215" s="45" t="inlineStr"/>
    </row>
    <row r="2216" customFormat="1" s="3">
      <c r="A2216" s="45" t="n"/>
      <c r="B2216" s="46" t="inlineStr">
        <is>
          <t>31036</t>
        </is>
      </c>
      <c r="C2216" s="46">
        <f>LEFT(Tableau1[[#This Row],[Formacode]],3)</f>
        <v/>
      </c>
      <c r="D2216" s="47" t="n">
        <v>40448</v>
      </c>
      <c r="E2216" s="48">
        <f>"RNCP"&amp;D2216</f>
        <v/>
      </c>
      <c r="F2216" s="48" t="inlineStr">
        <is>
          <t>Grade_Licence - Sciences et Ingénierie - Systèmes Numériques pour la Santé</t>
        </is>
      </c>
      <c r="G2216" s="49">
        <f>E2216&amp;" - "&amp;F2216</f>
        <v/>
      </c>
      <c r="H2216" s="36" t="inlineStr">
        <is>
          <t>RAS</t>
        </is>
      </c>
      <c r="I2216" s="45" t="inlineStr"/>
      <c r="J2216" s="45" t="inlineStr">
        <is>
          <t>RNCP40448</t>
        </is>
      </c>
      <c r="K2216" s="45" t="inlineStr">
        <is>
          <t>Sciences et Ingénierie - Systèmes Numériques pour la Santé</t>
        </is>
      </c>
      <c r="L2216" s="45" t="inlineStr">
        <is>
          <t>31/08/2027</t>
        </is>
      </c>
      <c r="M2216" s="45" t="inlineStr">
        <is>
          <t>31036 (Administration base de données) ; 31085 (Informatisation des processus) ; 31045 (Cybersécurité) ; 43417 (Gestion technique hôpital)</t>
        </is>
      </c>
      <c r="N2216" s="50" t="inlineStr">
        <is>
          <t>NON</t>
        </is>
      </c>
      <c r="O2216" s="45" t="inlineStr"/>
    </row>
    <row r="2217" customFormat="1" s="3">
      <c r="A2217" s="45" t="n"/>
      <c r="B2217" s="46" t="inlineStr">
        <is>
          <t>31036</t>
        </is>
      </c>
      <c r="C2217" s="46">
        <f>LEFT(Tableau1[[#This Row],[Formacode]],3)</f>
        <v/>
      </c>
      <c r="D2217" s="47" t="n">
        <v>40593</v>
      </c>
      <c r="E2217" s="48">
        <f>"RNCP"&amp;D2217</f>
        <v/>
      </c>
      <c r="F2217" s="48" t="inlineStr">
        <is>
          <t>Product builder no code</t>
        </is>
      </c>
      <c r="G2217" s="49">
        <f>E2217&amp;" - "&amp;F2217</f>
        <v/>
      </c>
      <c r="H2217" s="36" t="inlineStr">
        <is>
          <t>RAS</t>
        </is>
      </c>
      <c r="I2217" s="45" t="inlineStr"/>
      <c r="J2217" s="45" t="inlineStr">
        <is>
          <t>RNCP40593</t>
        </is>
      </c>
      <c r="K2217" s="45" t="inlineStr">
        <is>
          <t>Product builder no code</t>
        </is>
      </c>
      <c r="L2217" s="45" t="inlineStr">
        <is>
          <t>30/04/2028</t>
        </is>
      </c>
      <c r="M2217" s="45" t="inlineStr">
        <is>
          <t>31086 (Développement Low Code - No Code) ; 46334 (Maquettage site web) ; 31094 (Gestion projet informatique) ; 72454 (Application) ; 32012 (Gestion processus)</t>
        </is>
      </c>
      <c r="N2217" s="50" t="inlineStr">
        <is>
          <t>NON</t>
        </is>
      </c>
      <c r="O2217" s="45" t="inlineStr"/>
    </row>
    <row r="2218" customFormat="1" s="3">
      <c r="A2218" s="45" t="n"/>
      <c r="B2218" s="46" t="inlineStr">
        <is>
          <t>31036</t>
        </is>
      </c>
      <c r="C2218" s="46">
        <f>LEFT(Tableau1[[#This Row],[Formacode]],3)</f>
        <v/>
      </c>
      <c r="D2218" s="47" t="n">
        <v>41823</v>
      </c>
      <c r="E2218" s="48">
        <f>"RNCP"&amp;D2218</f>
        <v/>
      </c>
      <c r="F2218" s="48" t="inlineStr">
        <is>
          <t>Titre ingénieur - Ingénieur diplômé de l’ESIEE IT - CCI Paris Ile-de-France Éducation</t>
        </is>
      </c>
      <c r="G2218" s="49">
        <f>E2218&amp;" - "&amp;F2218</f>
        <v/>
      </c>
      <c r="H2218" s="36" t="inlineStr">
        <is>
          <t>RAS</t>
        </is>
      </c>
      <c r="I2218" s="45" t="inlineStr"/>
      <c r="J2218" s="45" t="inlineStr">
        <is>
          <t>RNCP41823</t>
        </is>
      </c>
      <c r="K2218" s="45" t="inlineStr">
        <is>
          <t>Ingénieur diplômé de l’ESIEE IT - CCI Paris Ile-de-France Éducation</t>
        </is>
      </c>
      <c r="L2218" s="45" t="inlineStr">
        <is>
          <t>31/08/2027</t>
        </is>
      </c>
      <c r="M2218" s="45" t="inlineStr">
        <is>
          <t>31054 (Informatique - Systèmes d’information et numérique) ; 32062 (Recherche développement) ; 15099 (Résolution problème)</t>
        </is>
      </c>
      <c r="N2218" s="50" t="inlineStr">
        <is>
          <t>NON</t>
        </is>
      </c>
      <c r="O2218" s="45" t="inlineStr"/>
    </row>
    <row r="2219" customFormat="1" s="3">
      <c r="A2219" s="45" t="n"/>
      <c r="B2219" s="46" t="inlineStr">
        <is>
          <t>31038</t>
        </is>
      </c>
      <c r="C2219" s="46">
        <f>LEFT(Tableau1[[#This Row],[Formacode]],3)</f>
        <v/>
      </c>
      <c r="D2219" s="47" t="n">
        <v>37103</v>
      </c>
      <c r="E2219" s="48">
        <f>"RNCP"&amp;D2219</f>
        <v/>
      </c>
      <c r="F2219" s="48" t="inlineStr">
        <is>
          <t>TP - Technicien en géomatique</t>
        </is>
      </c>
      <c r="G2219" s="49">
        <f>E2219&amp;" - "&amp;F2219</f>
        <v/>
      </c>
      <c r="H2219" s="36" t="inlineStr">
        <is>
          <t>RAS</t>
        </is>
      </c>
      <c r="I2219" s="45" t="inlineStr"/>
      <c r="J2219" s="45" t="inlineStr">
        <is>
          <t>RNCP37103</t>
        </is>
      </c>
      <c r="K2219" s="45" t="inlineStr">
        <is>
          <t>Technicien en géomatique</t>
        </is>
      </c>
      <c r="L2219" s="45" t="inlineStr">
        <is>
          <t>25/02/2028</t>
        </is>
      </c>
      <c r="M2219" s="45" t="inlineStr">
        <is>
          <t>12232 (Géomatique) ; 31054 (Informatique - Systèmes d’information et numérique) ; 12505 (Plan local urbanisme)</t>
        </is>
      </c>
      <c r="N2219" s="50" t="inlineStr">
        <is>
          <t>NON</t>
        </is>
      </c>
      <c r="O2219" s="45" t="inlineStr"/>
    </row>
    <row r="2220" customFormat="1" s="3">
      <c r="A2220" s="51" t="n"/>
      <c r="B2220" s="52" t="inlineStr">
        <is>
          <t>31038</t>
        </is>
      </c>
      <c r="C2220" s="52">
        <f>LEFT(Tableau1[[#This Row],[Formacode]],3)</f>
        <v/>
      </c>
      <c r="D2220" s="53" t="n">
        <v>37796</v>
      </c>
      <c r="E2220" s="54">
        <f>"RNCP"&amp;D2220</f>
        <v/>
      </c>
      <c r="F2220" s="54" t="inlineStr">
        <is>
          <t>Gestionnaire de la sécurité des données, des réseaux et des systèmes</t>
        </is>
      </c>
      <c r="G2220" s="55">
        <f>E2220&amp;" - "&amp;F2220</f>
        <v/>
      </c>
      <c r="H2220" s="37" t="inlineStr">
        <is>
          <t>À vérifier</t>
        </is>
      </c>
      <c r="I2220" s="51" t="inlineStr">
        <is>
          <t>Successeur déjà publié : RNCP42345 (Expert cybersécurité) — préparer la bascule de l'offre CPF | Échéance le 19/07/2026 (dans 1 j)</t>
        </is>
      </c>
      <c r="J2220" s="51" t="inlineStr">
        <is>
          <t>RNCP42345</t>
        </is>
      </c>
      <c r="K2220" s="51" t="inlineStr">
        <is>
          <t>Expert cybersécurité</t>
        </is>
      </c>
      <c r="L2220" s="51" t="inlineStr">
        <is>
          <t>19/07/2026</t>
        </is>
      </c>
      <c r="M2220" s="51" t="inlineStr">
        <is>
          <t>31045 (Cybersécurité) ; 31038 (Audit informatique) ; 24231 (Réseau informatique) ; 31094 (Gestion projet informatique)</t>
        </is>
      </c>
      <c r="N2220" s="62" t="inlineStr">
        <is>
          <t>NON</t>
        </is>
      </c>
      <c r="O2220" s="51" t="inlineStr"/>
    </row>
    <row r="2221" customFormat="1" s="3">
      <c r="A2221" s="51" t="n"/>
      <c r="B2221" s="52" t="inlineStr">
        <is>
          <t>31038</t>
        </is>
      </c>
      <c r="C2221" s="52">
        <f>LEFT(Tableau1[[#This Row],[Formacode]],3)</f>
        <v/>
      </c>
      <c r="D2221" s="53" t="n">
        <v>38018</v>
      </c>
      <c r="E2221" s="54">
        <f>"RNCP"&amp;D2221</f>
        <v/>
      </c>
      <c r="F2221" s="54" t="inlineStr">
        <is>
          <t>Chef de projet digital</t>
        </is>
      </c>
      <c r="G2221" s="55">
        <f>E2221&amp;" - "&amp;F2221</f>
        <v/>
      </c>
      <c r="H2221" s="37" t="inlineStr">
        <is>
          <t>À vérifier</t>
        </is>
      </c>
      <c r="I2221" s="51" t="inlineStr">
        <is>
          <t>Échéance le 20/09/2026 (dans 64 j)</t>
        </is>
      </c>
      <c r="J2221" s="51" t="inlineStr">
        <is>
          <t>RNCP38018</t>
        </is>
      </c>
      <c r="K2221" s="51" t="inlineStr">
        <is>
          <t>Chef de projet digital</t>
        </is>
      </c>
      <c r="L2221" s="51" t="inlineStr">
        <is>
          <t>20/09/2026</t>
        </is>
      </c>
      <c r="M2221" s="51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221" s="62" t="inlineStr">
        <is>
          <t>NON</t>
        </is>
      </c>
      <c r="O2221" s="51" t="inlineStr"/>
    </row>
    <row r="2222" customFormat="1" s="3">
      <c r="A2222" s="45" t="n"/>
      <c r="B2222" s="46" t="inlineStr">
        <is>
          <t>31038</t>
        </is>
      </c>
      <c r="C2222" s="46">
        <f>LEFT(Tableau1[[#This Row],[Formacode]],3)</f>
        <v/>
      </c>
      <c r="D2222" s="47" t="n">
        <v>39425</v>
      </c>
      <c r="E2222" s="48">
        <f>"RNCP"&amp;D2222</f>
        <v/>
      </c>
      <c r="F2222" s="48" t="inlineStr">
        <is>
          <t>Diplôme visé - Expert en Ingénierie Informatique et Innovation Numérique</t>
        </is>
      </c>
      <c r="G2222" s="49">
        <f>E2222&amp;" - "&amp;F2222</f>
        <v/>
      </c>
      <c r="H2222" s="36" t="inlineStr">
        <is>
          <t>RAS</t>
        </is>
      </c>
      <c r="I2222" s="45" t="inlineStr"/>
      <c r="J2222" s="45" t="inlineStr">
        <is>
          <t>RNCP39425</t>
        </is>
      </c>
      <c r="K2222" s="45" t="inlineStr">
        <is>
          <t>Expert en Ingénierie Informatique et Innovation Numérique</t>
        </is>
      </c>
      <c r="L2222" s="45" t="inlineStr">
        <is>
          <t>31/08/2029</t>
        </is>
      </c>
      <c r="M2222" s="45" t="inlineStr">
        <is>
          <t>31054 (Informatique - Systèmes d’information et numérique) ; 32070 (Innovation entreprise)</t>
        </is>
      </c>
      <c r="N2222" s="50" t="inlineStr">
        <is>
          <t>NON</t>
        </is>
      </c>
      <c r="O2222" s="45" t="inlineStr"/>
    </row>
    <row r="2223" customFormat="1" s="3">
      <c r="A2223" s="45" t="n"/>
      <c r="B2223" s="46" t="inlineStr">
        <is>
          <t>31038</t>
        </is>
      </c>
      <c r="C2223" s="46">
        <f>LEFT(Tableau1[[#This Row],[Formacode]],3)</f>
        <v/>
      </c>
      <c r="D2223" s="47" t="n">
        <v>39445</v>
      </c>
      <c r="E2223" s="48">
        <f>"RNCP"&amp;D2223</f>
        <v/>
      </c>
      <c r="F2223" s="48" t="inlineStr">
        <is>
          <t>Titre ingénieur - Ingénieur diplômé de l'Institut supérieur d'électronique de Paris</t>
        </is>
      </c>
      <c r="G2223" s="49">
        <f>E2223&amp;" - "&amp;F2223</f>
        <v/>
      </c>
      <c r="H2223" s="36" t="inlineStr">
        <is>
          <t>RAS</t>
        </is>
      </c>
      <c r="I2223" s="45" t="inlineStr"/>
      <c r="J2223" s="45" t="inlineStr">
        <is>
          <t>RNCP39445</t>
        </is>
      </c>
      <c r="K2223" s="45" t="inlineStr">
        <is>
          <t>Ingénieur diplômé de l'Institut supérieur d'électronique de Paris</t>
        </is>
      </c>
      <c r="L2223" s="45" t="inlineStr">
        <is>
          <t>31/08/2029</t>
        </is>
      </c>
      <c r="M2223" s="45" t="inlineStr">
        <is>
          <t>24354 (Électronique) ; 31054 (Informatique - Systèmes d’information et numérique) ; 32062 (Recherche développement) ; 15099 (Résolution problème)</t>
        </is>
      </c>
      <c r="N2223" s="50" t="inlineStr">
        <is>
          <t>NON</t>
        </is>
      </c>
      <c r="O2223" s="45" t="inlineStr"/>
    </row>
    <row r="2224" customFormat="1" s="3">
      <c r="A2224" s="45" t="n"/>
      <c r="B2224" s="46" t="inlineStr">
        <is>
          <t>31038</t>
        </is>
      </c>
      <c r="C2224" s="46">
        <f>LEFT(Tableau1[[#This Row],[Formacode]],3)</f>
        <v/>
      </c>
      <c r="D2224" s="47" t="n">
        <v>39582</v>
      </c>
      <c r="E2224" s="48">
        <f>"RNCP"&amp;D2224</f>
        <v/>
      </c>
      <c r="F2224" s="48" t="inlineStr">
        <is>
          <t>Expert en architecture des systèmes d’information</t>
        </is>
      </c>
      <c r="G2224" s="49">
        <f>E2224&amp;" - "&amp;F2224</f>
        <v/>
      </c>
      <c r="H2224" s="36" t="inlineStr">
        <is>
          <t>RAS</t>
        </is>
      </c>
      <c r="I2224" s="45" t="inlineStr"/>
      <c r="J2224" s="45" t="inlineStr">
        <is>
          <t>RNCP39582</t>
        </is>
      </c>
      <c r="K2224" s="45" t="inlineStr">
        <is>
          <t>Expert en architecture des systèmes d’information</t>
        </is>
      </c>
      <c r="L2224" s="45" t="inlineStr">
        <is>
          <t>01/10/2029</t>
        </is>
      </c>
      <c r="M2224" s="45" t="inlineStr">
        <is>
          <t>31054 (Informatique - Systèmes d’information et numérique)</t>
        </is>
      </c>
      <c r="N2224" s="50" t="inlineStr">
        <is>
          <t>NON</t>
        </is>
      </c>
      <c r="O2224" s="45" t="inlineStr"/>
    </row>
    <row r="2225" ht="28.8" customFormat="1" customHeight="1" s="3">
      <c r="A2225" s="45" t="n"/>
      <c r="B2225" s="46" t="inlineStr">
        <is>
          <t>31038</t>
        </is>
      </c>
      <c r="C2225" s="46">
        <f>LEFT(Tableau1[[#This Row],[Formacode]],3)</f>
        <v/>
      </c>
      <c r="D2225" s="47" t="n">
        <v>39586</v>
      </c>
      <c r="E2225" s="48">
        <f>"RNCP"&amp;D2225</f>
        <v/>
      </c>
      <c r="F2225" s="48" t="inlineStr">
        <is>
          <t>Ingénieur en science des données spécialisé en infrastructure data ou en apprentissage automatique</t>
        </is>
      </c>
      <c r="G2225" s="49">
        <f>E2225&amp;" - "&amp;F2225</f>
        <v/>
      </c>
      <c r="H2225" s="36" t="inlineStr">
        <is>
          <t>RAS</t>
        </is>
      </c>
      <c r="I2225" s="45" t="inlineStr"/>
      <c r="J2225" s="45" t="inlineStr">
        <is>
          <t>RNCP39586</t>
        </is>
      </c>
      <c r="K2225" s="45" t="inlineStr">
        <is>
          <t>Ingénieur en science des données spécialisé en infrastructure data ou en apprentissage automatique</t>
        </is>
      </c>
      <c r="L2225" s="45" t="inlineStr">
        <is>
          <t>01/10/2029</t>
        </is>
      </c>
      <c r="M2225" s="45" t="inlineStr">
        <is>
          <t>31054 (Informatique - Systèmes d’information et numérique)</t>
        </is>
      </c>
      <c r="N2225" s="50" t="inlineStr">
        <is>
          <t>NON</t>
        </is>
      </c>
      <c r="O2225" s="45" t="inlineStr"/>
    </row>
    <row r="2226" customFormat="1" s="3">
      <c r="A2226" s="45" t="n"/>
      <c r="B2226" s="46" t="inlineStr">
        <is>
          <t>31038</t>
        </is>
      </c>
      <c r="C2226" s="46">
        <f>LEFT(Tableau1[[#This Row],[Formacode]],3)</f>
        <v/>
      </c>
      <c r="D2226" s="47" t="n">
        <v>40363</v>
      </c>
      <c r="E2226" s="48">
        <f>"RNCP"&amp;D2226</f>
        <v/>
      </c>
      <c r="F2226" s="48" t="inlineStr">
        <is>
          <t>Expert en études et développement du système d'information</t>
        </is>
      </c>
      <c r="G2226" s="49">
        <f>E2226&amp;" - "&amp;F2226</f>
        <v/>
      </c>
      <c r="H2226" s="36" t="inlineStr">
        <is>
          <t>RAS</t>
        </is>
      </c>
      <c r="I2226" s="45" t="inlineStr"/>
      <c r="J2226" s="45" t="inlineStr">
        <is>
          <t>RNCP40363</t>
        </is>
      </c>
      <c r="K2226" s="45" t="inlineStr">
        <is>
          <t>Expert en études et développement du système d'information</t>
        </is>
      </c>
      <c r="L2226" s="45" t="inlineStr">
        <is>
          <t>28/03/2028</t>
        </is>
      </c>
      <c r="M2226" s="45" t="inlineStr">
        <is>
          <t>31054 (Informatique - Systèmes d’information et numérique)</t>
        </is>
      </c>
      <c r="N2226" s="50" t="inlineStr">
        <is>
          <t>NON</t>
        </is>
      </c>
      <c r="O2226" s="45" t="inlineStr"/>
    </row>
    <row r="2227" customFormat="1" s="3">
      <c r="A2227" s="45" t="n"/>
      <c r="B2227" s="46" t="inlineStr">
        <is>
          <t>31038</t>
        </is>
      </c>
      <c r="C2227" s="46">
        <f>LEFT(Tableau1[[#This Row],[Formacode]],3)</f>
        <v/>
      </c>
      <c r="D2227" s="47" t="n">
        <v>40593</v>
      </c>
      <c r="E2227" s="48">
        <f>"RNCP"&amp;D2227</f>
        <v/>
      </c>
      <c r="F2227" s="48" t="inlineStr">
        <is>
          <t>Product builder no code</t>
        </is>
      </c>
      <c r="G2227" s="49">
        <f>E2227&amp;" - "&amp;F2227</f>
        <v/>
      </c>
      <c r="H2227" s="36" t="inlineStr">
        <is>
          <t>RAS</t>
        </is>
      </c>
      <c r="I2227" s="45" t="inlineStr"/>
      <c r="J2227" s="45" t="inlineStr">
        <is>
          <t>RNCP40593</t>
        </is>
      </c>
      <c r="K2227" s="45" t="inlineStr">
        <is>
          <t>Product builder no code</t>
        </is>
      </c>
      <c r="L2227" s="45" t="inlineStr">
        <is>
          <t>30/04/2028</t>
        </is>
      </c>
      <c r="M2227" s="45" t="inlineStr">
        <is>
          <t>31086 (Développement Low Code - No Code) ; 46334 (Maquettage site web) ; 31094 (Gestion projet informatique) ; 72454 (Application) ; 32012 (Gestion processus)</t>
        </is>
      </c>
      <c r="N2227" s="50" t="inlineStr">
        <is>
          <t>NON</t>
        </is>
      </c>
      <c r="O2227" s="45" t="inlineStr"/>
    </row>
    <row r="2228" customFormat="1" s="3">
      <c r="A2228" s="45" t="n"/>
      <c r="B2228" s="46" t="inlineStr">
        <is>
          <t>31038</t>
        </is>
      </c>
      <c r="C2228" s="46">
        <f>LEFT(Tableau1[[#This Row],[Formacode]],3)</f>
        <v/>
      </c>
      <c r="D2228" s="47" t="n">
        <v>40897</v>
      </c>
      <c r="E2228" s="48">
        <f>"RNCP"&amp;D2228</f>
        <v/>
      </c>
      <c r="F2228" s="48" t="inlineStr">
        <is>
          <t>Expert en cybersécurité</t>
        </is>
      </c>
      <c r="G2228" s="49">
        <f>E2228&amp;" - "&amp;F2228</f>
        <v/>
      </c>
      <c r="H2228" s="36" t="inlineStr">
        <is>
          <t>RAS</t>
        </is>
      </c>
      <c r="I2228" s="45" t="inlineStr"/>
      <c r="J2228" s="45" t="inlineStr">
        <is>
          <t>RNCP40897</t>
        </is>
      </c>
      <c r="K2228" s="45" t="inlineStr">
        <is>
          <t>Expert en cybersécurité</t>
        </is>
      </c>
      <c r="L2228" s="45" t="inlineStr">
        <is>
          <t>25/06/2028</t>
        </is>
      </c>
      <c r="M2228" s="45" t="inlineStr">
        <is>
          <t>31045 (Cybersécurité) ; 31038 (Audit informatique) ; 31008 (Système information) ; 42881 (Risque criminel entreprise)</t>
        </is>
      </c>
      <c r="N2228" s="50" t="inlineStr">
        <is>
          <t>NON</t>
        </is>
      </c>
      <c r="O2228" s="45" t="inlineStr"/>
    </row>
    <row r="2229" customFormat="1" s="3">
      <c r="A2229" s="45" t="n"/>
      <c r="B2229" s="46" t="inlineStr">
        <is>
          <t>31038</t>
        </is>
      </c>
      <c r="C2229" s="46">
        <f>LEFT(Tableau1[[#This Row],[Formacode]],3)</f>
        <v/>
      </c>
      <c r="D2229" s="47" t="n">
        <v>41823</v>
      </c>
      <c r="E2229" s="48">
        <f>"RNCP"&amp;D2229</f>
        <v/>
      </c>
      <c r="F2229" s="48" t="inlineStr">
        <is>
          <t>Titre ingénieur - Ingénieur diplômé de l’ESIEE IT - CCI Paris Ile-de-France Éducation</t>
        </is>
      </c>
      <c r="G2229" s="49">
        <f>E2229&amp;" - "&amp;F2229</f>
        <v/>
      </c>
      <c r="H2229" s="36" t="inlineStr">
        <is>
          <t>RAS</t>
        </is>
      </c>
      <c r="I2229" s="45" t="inlineStr"/>
      <c r="J2229" s="45" t="inlineStr">
        <is>
          <t>RNCP41823</t>
        </is>
      </c>
      <c r="K2229" s="45" t="inlineStr">
        <is>
          <t>Ingénieur diplômé de l’ESIEE IT - CCI Paris Ile-de-France Éducation</t>
        </is>
      </c>
      <c r="L2229" s="45" t="inlineStr">
        <is>
          <t>31/08/2027</t>
        </is>
      </c>
      <c r="M2229" s="45" t="inlineStr">
        <is>
          <t>31054 (Informatique - Systèmes d’information et numérique) ; 32062 (Recherche développement) ; 15099 (Résolution problème)</t>
        </is>
      </c>
      <c r="N2229" s="50" t="inlineStr">
        <is>
          <t>NON</t>
        </is>
      </c>
      <c r="O2229" s="45" t="inlineStr"/>
    </row>
    <row r="2230" customFormat="1" s="3">
      <c r="A2230" s="45" t="n"/>
      <c r="B2230" s="46" t="inlineStr">
        <is>
          <t>31049</t>
        </is>
      </c>
      <c r="C2230" s="46">
        <f>LEFT(Tableau1[[#This Row],[Formacode]],3)</f>
        <v/>
      </c>
      <c r="D2230" s="47" t="n">
        <v>37103</v>
      </c>
      <c r="E2230" s="48">
        <f>"RNCP"&amp;D2230</f>
        <v/>
      </c>
      <c r="F2230" s="48" t="inlineStr">
        <is>
          <t>TP - Technicien en géomatique</t>
        </is>
      </c>
      <c r="G2230" s="49">
        <f>E2230&amp;" - "&amp;F2230</f>
        <v/>
      </c>
      <c r="H2230" s="36" t="inlineStr">
        <is>
          <t>RAS</t>
        </is>
      </c>
      <c r="I2230" s="45" t="inlineStr"/>
      <c r="J2230" s="45" t="inlineStr">
        <is>
          <t>RNCP37103</t>
        </is>
      </c>
      <c r="K2230" s="45" t="inlineStr">
        <is>
          <t>Technicien en géomatique</t>
        </is>
      </c>
      <c r="L2230" s="45" t="inlineStr">
        <is>
          <t>25/02/2028</t>
        </is>
      </c>
      <c r="M2230" s="45" t="inlineStr">
        <is>
          <t>12232 (Géomatique) ; 31054 (Informatique - Systèmes d’information et numérique) ; 12505 (Plan local urbanisme)</t>
        </is>
      </c>
      <c r="N2230" s="50" t="inlineStr">
        <is>
          <t>NON</t>
        </is>
      </c>
      <c r="O2230" s="45" t="inlineStr"/>
    </row>
    <row r="2231" customFormat="1" s="3">
      <c r="A2231" s="51" t="n"/>
      <c r="B2231" s="52" t="inlineStr">
        <is>
          <t>31049</t>
        </is>
      </c>
      <c r="C2231" s="52">
        <f>LEFT(Tableau1[[#This Row],[Formacode]],3)</f>
        <v/>
      </c>
      <c r="D2231" s="53" t="n">
        <v>37785</v>
      </c>
      <c r="E2231" s="54">
        <f>"RNCP"&amp;D2231</f>
        <v/>
      </c>
      <c r="F2231" s="54" t="inlineStr">
        <is>
          <t>Expert en numérisation des systèmes et processus de production industriels</t>
        </is>
      </c>
      <c r="G2231" s="55">
        <f>E2231&amp;" - "&amp;F2231</f>
        <v/>
      </c>
      <c r="H2231" s="37" t="inlineStr">
        <is>
          <t>À vérifier</t>
        </is>
      </c>
      <c r="I2231" s="51" t="inlineStr">
        <is>
          <t>Échéance le 19/07/2026 (dans 1 j)</t>
        </is>
      </c>
      <c r="J2231" s="51" t="inlineStr">
        <is>
          <t>RNCP37785</t>
        </is>
      </c>
      <c r="K2231" s="51" t="inlineStr">
        <is>
          <t>Expert en numérisation des systèmes et processus de production industriels</t>
        </is>
      </c>
      <c r="L2231" s="51" t="inlineStr">
        <is>
          <t>19/07/2026</t>
        </is>
      </c>
      <c r="M2231" s="51" t="inlineStr">
        <is>
          <t>31085 (Informatisation des processus) ; 31049 (Qualité informatique) ; 31008 (Système information)</t>
        </is>
      </c>
      <c r="N2231" s="62" t="inlineStr">
        <is>
          <t>NON</t>
        </is>
      </c>
      <c r="O2231" s="51" t="inlineStr"/>
    </row>
    <row r="2232" customFormat="1" s="3">
      <c r="A2232" s="51" t="n"/>
      <c r="B2232" s="52" t="inlineStr">
        <is>
          <t>31049</t>
        </is>
      </c>
      <c r="C2232" s="52">
        <f>LEFT(Tableau1[[#This Row],[Formacode]],3)</f>
        <v/>
      </c>
      <c r="D2232" s="53" t="n">
        <v>38018</v>
      </c>
      <c r="E2232" s="54">
        <f>"RNCP"&amp;D2232</f>
        <v/>
      </c>
      <c r="F2232" s="54" t="inlineStr">
        <is>
          <t>Chef de projet digital</t>
        </is>
      </c>
      <c r="G2232" s="55">
        <f>E2232&amp;" - "&amp;F2232</f>
        <v/>
      </c>
      <c r="H2232" s="37" t="inlineStr">
        <is>
          <t>À vérifier</t>
        </is>
      </c>
      <c r="I2232" s="51" t="inlineStr">
        <is>
          <t>Échéance le 20/09/2026 (dans 64 j)</t>
        </is>
      </c>
      <c r="J2232" s="51" t="inlineStr">
        <is>
          <t>RNCP38018</t>
        </is>
      </c>
      <c r="K2232" s="51" t="inlineStr">
        <is>
          <t>Chef de projet digital</t>
        </is>
      </c>
      <c r="L2232" s="51" t="inlineStr">
        <is>
          <t>20/09/2026</t>
        </is>
      </c>
      <c r="M2232" s="51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232" s="62" t="inlineStr">
        <is>
          <t>NON</t>
        </is>
      </c>
      <c r="O2232" s="51" t="inlineStr"/>
    </row>
    <row r="2233" customFormat="1" s="3">
      <c r="A2233" s="45" t="n"/>
      <c r="B2233" s="46" t="inlineStr">
        <is>
          <t>31049</t>
        </is>
      </c>
      <c r="C2233" s="46">
        <f>LEFT(Tableau1[[#This Row],[Formacode]],3)</f>
        <v/>
      </c>
      <c r="D2233" s="47" t="n">
        <v>39425</v>
      </c>
      <c r="E2233" s="48">
        <f>"RNCP"&amp;D2233</f>
        <v/>
      </c>
      <c r="F2233" s="48" t="inlineStr">
        <is>
          <t>Diplôme visé - Expert en Ingénierie Informatique et Innovation Numérique</t>
        </is>
      </c>
      <c r="G2233" s="49">
        <f>E2233&amp;" - "&amp;F2233</f>
        <v/>
      </c>
      <c r="H2233" s="36" t="inlineStr">
        <is>
          <t>RAS</t>
        </is>
      </c>
      <c r="I2233" s="45" t="inlineStr"/>
      <c r="J2233" s="45" t="inlineStr">
        <is>
          <t>RNCP39425</t>
        </is>
      </c>
      <c r="K2233" s="45" t="inlineStr">
        <is>
          <t>Expert en Ingénierie Informatique et Innovation Numérique</t>
        </is>
      </c>
      <c r="L2233" s="45" t="inlineStr">
        <is>
          <t>31/08/2029</t>
        </is>
      </c>
      <c r="M2233" s="45" t="inlineStr">
        <is>
          <t>31054 (Informatique - Systèmes d’information et numérique) ; 32070 (Innovation entreprise)</t>
        </is>
      </c>
      <c r="N2233" s="50" t="inlineStr">
        <is>
          <t>NON</t>
        </is>
      </c>
      <c r="O2233" s="45" t="inlineStr"/>
    </row>
    <row r="2234" customFormat="1" s="3">
      <c r="A2234" s="45" t="n"/>
      <c r="B2234" s="46" t="inlineStr">
        <is>
          <t>31049</t>
        </is>
      </c>
      <c r="C2234" s="46">
        <f>LEFT(Tableau1[[#This Row],[Formacode]],3)</f>
        <v/>
      </c>
      <c r="D2234" s="47" t="n">
        <v>39445</v>
      </c>
      <c r="E2234" s="48">
        <f>"RNCP"&amp;D2234</f>
        <v/>
      </c>
      <c r="F2234" s="48" t="inlineStr">
        <is>
          <t>Titre ingénieur - Ingénieur diplômé de l'Institut supérieur d'électronique de Paris</t>
        </is>
      </c>
      <c r="G2234" s="49">
        <f>E2234&amp;" - "&amp;F2234</f>
        <v/>
      </c>
      <c r="H2234" s="36" t="inlineStr">
        <is>
          <t>RAS</t>
        </is>
      </c>
      <c r="I2234" s="45" t="inlineStr"/>
      <c r="J2234" s="45" t="inlineStr">
        <is>
          <t>RNCP39445</t>
        </is>
      </c>
      <c r="K2234" s="45" t="inlineStr">
        <is>
          <t>Ingénieur diplômé de l'Institut supérieur d'électronique de Paris</t>
        </is>
      </c>
      <c r="L2234" s="45" t="inlineStr">
        <is>
          <t>31/08/2029</t>
        </is>
      </c>
      <c r="M2234" s="45" t="inlineStr">
        <is>
          <t>24354 (Électronique) ; 31054 (Informatique - Systèmes d’information et numérique) ; 32062 (Recherche développement) ; 15099 (Résolution problème)</t>
        </is>
      </c>
      <c r="N2234" s="50" t="inlineStr">
        <is>
          <t>NON</t>
        </is>
      </c>
      <c r="O2234" s="45" t="inlineStr"/>
    </row>
    <row r="2235" customFormat="1" s="3">
      <c r="A2235" s="45" t="n"/>
      <c r="B2235" s="46" t="inlineStr">
        <is>
          <t>31049</t>
        </is>
      </c>
      <c r="C2235" s="46">
        <f>LEFT(Tableau1[[#This Row],[Formacode]],3)</f>
        <v/>
      </c>
      <c r="D2235" s="47" t="n">
        <v>39582</v>
      </c>
      <c r="E2235" s="48">
        <f>"RNCP"&amp;D2235</f>
        <v/>
      </c>
      <c r="F2235" s="48" t="inlineStr">
        <is>
          <t>Expert en architecture des systèmes d’information</t>
        </is>
      </c>
      <c r="G2235" s="49">
        <f>E2235&amp;" - "&amp;F2235</f>
        <v/>
      </c>
      <c r="H2235" s="36" t="inlineStr">
        <is>
          <t>RAS</t>
        </is>
      </c>
      <c r="I2235" s="45" t="inlineStr"/>
      <c r="J2235" s="45" t="inlineStr">
        <is>
          <t>RNCP39582</t>
        </is>
      </c>
      <c r="K2235" s="45" t="inlineStr">
        <is>
          <t>Expert en architecture des systèmes d’information</t>
        </is>
      </c>
      <c r="L2235" s="45" t="inlineStr">
        <is>
          <t>01/10/2029</t>
        </is>
      </c>
      <c r="M2235" s="45" t="inlineStr">
        <is>
          <t>31054 (Informatique - Systèmes d’information et numérique)</t>
        </is>
      </c>
      <c r="N2235" s="50" t="inlineStr">
        <is>
          <t>NON</t>
        </is>
      </c>
      <c r="O2235" s="45" t="inlineStr"/>
    </row>
    <row r="2236" ht="28.8" customFormat="1" customHeight="1" s="3">
      <c r="A2236" s="45" t="n"/>
      <c r="B2236" s="46" t="inlineStr">
        <is>
          <t>31049</t>
        </is>
      </c>
      <c r="C2236" s="46">
        <f>LEFT(Tableau1[[#This Row],[Formacode]],3)</f>
        <v/>
      </c>
      <c r="D2236" s="47" t="n">
        <v>39586</v>
      </c>
      <c r="E2236" s="48">
        <f>"RNCP"&amp;D2236</f>
        <v/>
      </c>
      <c r="F2236" s="48" t="inlineStr">
        <is>
          <t>Ingénieur en science des données spécialisé en infrastructure data ou en apprentissage automatique</t>
        </is>
      </c>
      <c r="G2236" s="49">
        <f>E2236&amp;" - "&amp;F2236</f>
        <v/>
      </c>
      <c r="H2236" s="36" t="inlineStr">
        <is>
          <t>RAS</t>
        </is>
      </c>
      <c r="I2236" s="45" t="inlineStr"/>
      <c r="J2236" s="45" t="inlineStr">
        <is>
          <t>RNCP39586</t>
        </is>
      </c>
      <c r="K2236" s="45" t="inlineStr">
        <is>
          <t>Ingénieur en science des données spécialisé en infrastructure data ou en apprentissage automatique</t>
        </is>
      </c>
      <c r="L2236" s="45" t="inlineStr">
        <is>
          <t>01/10/2029</t>
        </is>
      </c>
      <c r="M2236" s="45" t="inlineStr">
        <is>
          <t>31054 (Informatique - Systèmes d’information et numérique)</t>
        </is>
      </c>
      <c r="N2236" s="50" t="inlineStr">
        <is>
          <t>NON</t>
        </is>
      </c>
      <c r="O2236" s="45" t="inlineStr"/>
    </row>
    <row r="2237" customFormat="1" s="3">
      <c r="A2237" s="45" t="n"/>
      <c r="B2237" s="46" t="inlineStr">
        <is>
          <t>31049</t>
        </is>
      </c>
      <c r="C2237" s="46">
        <f>LEFT(Tableau1[[#This Row],[Formacode]],3)</f>
        <v/>
      </c>
      <c r="D2237" s="47" t="n">
        <v>40363</v>
      </c>
      <c r="E2237" s="48">
        <f>"RNCP"&amp;D2237</f>
        <v/>
      </c>
      <c r="F2237" s="48" t="inlineStr">
        <is>
          <t>Expert en études et développement du système d'information</t>
        </is>
      </c>
      <c r="G2237" s="49">
        <f>E2237&amp;" - "&amp;F2237</f>
        <v/>
      </c>
      <c r="H2237" s="36" t="inlineStr">
        <is>
          <t>RAS</t>
        </is>
      </c>
      <c r="I2237" s="45" t="inlineStr"/>
      <c r="J2237" s="45" t="inlineStr">
        <is>
          <t>RNCP40363</t>
        </is>
      </c>
      <c r="K2237" s="45" t="inlineStr">
        <is>
          <t>Expert en études et développement du système d'information</t>
        </is>
      </c>
      <c r="L2237" s="45" t="inlineStr">
        <is>
          <t>28/03/2028</t>
        </is>
      </c>
      <c r="M2237" s="45" t="inlineStr">
        <is>
          <t>31054 (Informatique - Systèmes d’information et numérique)</t>
        </is>
      </c>
      <c r="N2237" s="50" t="inlineStr">
        <is>
          <t>NON</t>
        </is>
      </c>
      <c r="O2237" s="45" t="inlineStr"/>
    </row>
    <row r="2238" customFormat="1" s="3">
      <c r="A2238" s="45" t="n"/>
      <c r="B2238" s="46" t="inlineStr">
        <is>
          <t>31049</t>
        </is>
      </c>
      <c r="C2238" s="46">
        <f>LEFT(Tableau1[[#This Row],[Formacode]],3)</f>
        <v/>
      </c>
      <c r="D2238" s="47" t="n">
        <v>40593</v>
      </c>
      <c r="E2238" s="48">
        <f>"RNCP"&amp;D2238</f>
        <v/>
      </c>
      <c r="F2238" s="48" t="inlineStr">
        <is>
          <t>Product builder no code</t>
        </is>
      </c>
      <c r="G2238" s="49">
        <f>E2238&amp;" - "&amp;F2238</f>
        <v/>
      </c>
      <c r="H2238" s="36" t="inlineStr">
        <is>
          <t>RAS</t>
        </is>
      </c>
      <c r="I2238" s="45" t="inlineStr"/>
      <c r="J2238" s="45" t="inlineStr">
        <is>
          <t>RNCP40593</t>
        </is>
      </c>
      <c r="K2238" s="45" t="inlineStr">
        <is>
          <t>Product builder no code</t>
        </is>
      </c>
      <c r="L2238" s="45" t="inlineStr">
        <is>
          <t>30/04/2028</t>
        </is>
      </c>
      <c r="M2238" s="45" t="inlineStr">
        <is>
          <t>31086 (Développement Low Code - No Code) ; 46334 (Maquettage site web) ; 31094 (Gestion projet informatique) ; 72454 (Application) ; 32012 (Gestion processus)</t>
        </is>
      </c>
      <c r="N2238" s="50" t="inlineStr">
        <is>
          <t>NON</t>
        </is>
      </c>
      <c r="O2238" s="45" t="inlineStr"/>
    </row>
    <row r="2239" customFormat="1" s="3">
      <c r="A2239" s="45" t="n"/>
      <c r="B2239" s="46" t="inlineStr">
        <is>
          <t>31049</t>
        </is>
      </c>
      <c r="C2239" s="46">
        <f>LEFT(Tableau1[[#This Row],[Formacode]],3)</f>
        <v/>
      </c>
      <c r="D2239" s="47" t="n">
        <v>41823</v>
      </c>
      <c r="E2239" s="48">
        <f>"RNCP"&amp;D2239</f>
        <v/>
      </c>
      <c r="F2239" s="48" t="inlineStr">
        <is>
          <t>Titre ingénieur - Ingénieur diplômé de l’ESIEE IT - CCI Paris Ile-de-France Éducation</t>
        </is>
      </c>
      <c r="G2239" s="49">
        <f>E2239&amp;" - "&amp;F2239</f>
        <v/>
      </c>
      <c r="H2239" s="36" t="inlineStr">
        <is>
          <t>RAS</t>
        </is>
      </c>
      <c r="I2239" s="45" t="inlineStr"/>
      <c r="J2239" s="45" t="inlineStr">
        <is>
          <t>RNCP41823</t>
        </is>
      </c>
      <c r="K2239" s="45" t="inlineStr">
        <is>
          <t>Ingénieur diplômé de l’ESIEE IT - CCI Paris Ile-de-France Éducation</t>
        </is>
      </c>
      <c r="L2239" s="45" t="inlineStr">
        <is>
          <t>31/08/2027</t>
        </is>
      </c>
      <c r="M2239" s="45" t="inlineStr">
        <is>
          <t>31054 (Informatique - Systèmes d’information et numérique) ; 32062 (Recherche développement) ; 15099 (Résolution problème)</t>
        </is>
      </c>
      <c r="N2239" s="50" t="inlineStr">
        <is>
          <t>NON</t>
        </is>
      </c>
      <c r="O2239" s="45" t="inlineStr"/>
    </row>
    <row r="2240" customFormat="1" s="3">
      <c r="A2240" s="45" t="n"/>
      <c r="B2240" s="46" t="inlineStr">
        <is>
          <t>31053</t>
        </is>
      </c>
      <c r="C2240" s="46">
        <f>LEFT(Tableau1[[#This Row],[Formacode]],3)</f>
        <v/>
      </c>
      <c r="D2240" s="47" t="n">
        <v>37103</v>
      </c>
      <c r="E2240" s="48">
        <f>"RNCP"&amp;D2240</f>
        <v/>
      </c>
      <c r="F2240" s="48" t="inlineStr">
        <is>
          <t>TP - Technicien en géomatique</t>
        </is>
      </c>
      <c r="G2240" s="49">
        <f>E2240&amp;" - "&amp;F2240</f>
        <v/>
      </c>
      <c r="H2240" s="36" t="inlineStr">
        <is>
          <t>RAS</t>
        </is>
      </c>
      <c r="I2240" s="45" t="inlineStr"/>
      <c r="J2240" s="45" t="inlineStr">
        <is>
          <t>RNCP37103</t>
        </is>
      </c>
      <c r="K2240" s="45" t="inlineStr">
        <is>
          <t>Technicien en géomatique</t>
        </is>
      </c>
      <c r="L2240" s="45" t="inlineStr">
        <is>
          <t>25/02/2028</t>
        </is>
      </c>
      <c r="M2240" s="45" t="inlineStr">
        <is>
          <t>12232 (Géomatique) ; 31054 (Informatique - Systèmes d’information et numérique) ; 12505 (Plan local urbanisme)</t>
        </is>
      </c>
      <c r="N2240" s="50" t="inlineStr">
        <is>
          <t>NON</t>
        </is>
      </c>
      <c r="O2240" s="45" t="inlineStr"/>
    </row>
    <row r="2241" customFormat="1" s="3">
      <c r="A2241" s="51" t="n"/>
      <c r="B2241" s="52" t="inlineStr">
        <is>
          <t>31053</t>
        </is>
      </c>
      <c r="C2241" s="52">
        <f>LEFT(Tableau1[[#This Row],[Formacode]],3)</f>
        <v/>
      </c>
      <c r="D2241" s="53" t="n">
        <v>38018</v>
      </c>
      <c r="E2241" s="54">
        <f>"RNCP"&amp;D2241</f>
        <v/>
      </c>
      <c r="F2241" s="54" t="inlineStr">
        <is>
          <t>Chef de projet digital</t>
        </is>
      </c>
      <c r="G2241" s="55">
        <f>E2241&amp;" - "&amp;F2241</f>
        <v/>
      </c>
      <c r="H2241" s="37" t="inlineStr">
        <is>
          <t>À vérifier</t>
        </is>
      </c>
      <c r="I2241" s="51" t="inlineStr">
        <is>
          <t>Échéance le 20/09/2026 (dans 64 j)</t>
        </is>
      </c>
      <c r="J2241" s="51" t="inlineStr">
        <is>
          <t>RNCP38018</t>
        </is>
      </c>
      <c r="K2241" s="51" t="inlineStr">
        <is>
          <t>Chef de projet digital</t>
        </is>
      </c>
      <c r="L2241" s="51" t="inlineStr">
        <is>
          <t>20/09/2026</t>
        </is>
      </c>
      <c r="M2241" s="51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241" s="62" t="inlineStr">
        <is>
          <t>NON</t>
        </is>
      </c>
      <c r="O2241" s="51" t="inlineStr"/>
    </row>
    <row r="2242" customFormat="1" s="3">
      <c r="A2242" s="45" t="n"/>
      <c r="B2242" s="46" t="inlineStr">
        <is>
          <t>31053</t>
        </is>
      </c>
      <c r="C2242" s="46">
        <f>LEFT(Tableau1[[#This Row],[Formacode]],3)</f>
        <v/>
      </c>
      <c r="D2242" s="47" t="n">
        <v>39425</v>
      </c>
      <c r="E2242" s="48">
        <f>"RNCP"&amp;D2242</f>
        <v/>
      </c>
      <c r="F2242" s="48" t="inlineStr">
        <is>
          <t>Diplôme visé - Expert en Ingénierie Informatique et Innovation Numérique</t>
        </is>
      </c>
      <c r="G2242" s="49">
        <f>E2242&amp;" - "&amp;F2242</f>
        <v/>
      </c>
      <c r="H2242" s="36" t="inlineStr">
        <is>
          <t>RAS</t>
        </is>
      </c>
      <c r="I2242" s="45" t="inlineStr"/>
      <c r="J2242" s="45" t="inlineStr">
        <is>
          <t>RNCP39425</t>
        </is>
      </c>
      <c r="K2242" s="45" t="inlineStr">
        <is>
          <t>Expert en Ingénierie Informatique et Innovation Numérique</t>
        </is>
      </c>
      <c r="L2242" s="45" t="inlineStr">
        <is>
          <t>31/08/2029</t>
        </is>
      </c>
      <c r="M2242" s="45" t="inlineStr">
        <is>
          <t>31054 (Informatique - Systèmes d’information et numérique) ; 32070 (Innovation entreprise)</t>
        </is>
      </c>
      <c r="N2242" s="50" t="inlineStr">
        <is>
          <t>NON</t>
        </is>
      </c>
      <c r="O2242" s="45" t="inlineStr"/>
    </row>
    <row r="2243" customFormat="1" s="3">
      <c r="A2243" s="45" t="n"/>
      <c r="B2243" s="46" t="inlineStr">
        <is>
          <t>31053</t>
        </is>
      </c>
      <c r="C2243" s="46">
        <f>LEFT(Tableau1[[#This Row],[Formacode]],3)</f>
        <v/>
      </c>
      <c r="D2243" s="47" t="n">
        <v>39445</v>
      </c>
      <c r="E2243" s="48">
        <f>"RNCP"&amp;D2243</f>
        <v/>
      </c>
      <c r="F2243" s="48" t="inlineStr">
        <is>
          <t>Titre ingénieur - Ingénieur diplômé de l'Institut supérieur d'électronique de Paris</t>
        </is>
      </c>
      <c r="G2243" s="49">
        <f>E2243&amp;" - "&amp;F2243</f>
        <v/>
      </c>
      <c r="H2243" s="36" t="inlineStr">
        <is>
          <t>RAS</t>
        </is>
      </c>
      <c r="I2243" s="45" t="inlineStr"/>
      <c r="J2243" s="45" t="inlineStr">
        <is>
          <t>RNCP39445</t>
        </is>
      </c>
      <c r="K2243" s="45" t="inlineStr">
        <is>
          <t>Ingénieur diplômé de l'Institut supérieur d'électronique de Paris</t>
        </is>
      </c>
      <c r="L2243" s="45" t="inlineStr">
        <is>
          <t>31/08/2029</t>
        </is>
      </c>
      <c r="M2243" s="45" t="inlineStr">
        <is>
          <t>24354 (Électronique) ; 31054 (Informatique - Systèmes d’information et numérique) ; 32062 (Recherche développement) ; 15099 (Résolution problème)</t>
        </is>
      </c>
      <c r="N2243" s="50" t="inlineStr">
        <is>
          <t>NON</t>
        </is>
      </c>
      <c r="O2243" s="45" t="inlineStr"/>
    </row>
    <row r="2244" customFormat="1" s="3">
      <c r="A2244" s="45" t="n"/>
      <c r="B2244" s="46" t="inlineStr">
        <is>
          <t>31053</t>
        </is>
      </c>
      <c r="C2244" s="46">
        <f>LEFT(Tableau1[[#This Row],[Formacode]],3)</f>
        <v/>
      </c>
      <c r="D2244" s="47" t="n">
        <v>39582</v>
      </c>
      <c r="E2244" s="48">
        <f>"RNCP"&amp;D2244</f>
        <v/>
      </c>
      <c r="F2244" s="48" t="inlineStr">
        <is>
          <t>Expert en architecture des systèmes d’information</t>
        </is>
      </c>
      <c r="G2244" s="49">
        <f>E2244&amp;" - "&amp;F2244</f>
        <v/>
      </c>
      <c r="H2244" s="36" t="inlineStr">
        <is>
          <t>RAS</t>
        </is>
      </c>
      <c r="I2244" s="45" t="inlineStr"/>
      <c r="J2244" s="45" t="inlineStr">
        <is>
          <t>RNCP39582</t>
        </is>
      </c>
      <c r="K2244" s="45" t="inlineStr">
        <is>
          <t>Expert en architecture des systèmes d’information</t>
        </is>
      </c>
      <c r="L2244" s="45" t="inlineStr">
        <is>
          <t>01/10/2029</t>
        </is>
      </c>
      <c r="M2244" s="45" t="inlineStr">
        <is>
          <t>31054 (Informatique - Systèmes d’information et numérique)</t>
        </is>
      </c>
      <c r="N2244" s="50" t="inlineStr">
        <is>
          <t>NON</t>
        </is>
      </c>
      <c r="O2244" s="45" t="inlineStr"/>
    </row>
    <row r="2245" ht="28.8" customFormat="1" customHeight="1" s="3">
      <c r="A2245" s="45" t="n"/>
      <c r="B2245" s="46" t="inlineStr">
        <is>
          <t>31053</t>
        </is>
      </c>
      <c r="C2245" s="46">
        <f>LEFT(Tableau1[[#This Row],[Formacode]],3)</f>
        <v/>
      </c>
      <c r="D2245" s="47" t="n">
        <v>39586</v>
      </c>
      <c r="E2245" s="48">
        <f>"RNCP"&amp;D2245</f>
        <v/>
      </c>
      <c r="F2245" s="48" t="inlineStr">
        <is>
          <t>Ingénieur en science des données spécialisé en infrastructure data ou en apprentissage automatique</t>
        </is>
      </c>
      <c r="G2245" s="49">
        <f>E2245&amp;" - "&amp;F2245</f>
        <v/>
      </c>
      <c r="H2245" s="36" t="inlineStr">
        <is>
          <t>RAS</t>
        </is>
      </c>
      <c r="I2245" s="45" t="inlineStr"/>
      <c r="J2245" s="45" t="inlineStr">
        <is>
          <t>RNCP39586</t>
        </is>
      </c>
      <c r="K2245" s="45" t="inlineStr">
        <is>
          <t>Ingénieur en science des données spécialisé en infrastructure data ou en apprentissage automatique</t>
        </is>
      </c>
      <c r="L2245" s="45" t="inlineStr">
        <is>
          <t>01/10/2029</t>
        </is>
      </c>
      <c r="M2245" s="45" t="inlineStr">
        <is>
          <t>31054 (Informatique - Systèmes d’information et numérique)</t>
        </is>
      </c>
      <c r="N2245" s="50" t="inlineStr">
        <is>
          <t>NON</t>
        </is>
      </c>
      <c r="O2245" s="45" t="inlineStr"/>
    </row>
    <row r="2246" customFormat="1" s="3">
      <c r="A2246" s="45" t="n"/>
      <c r="B2246" s="46" t="inlineStr">
        <is>
          <t>31053</t>
        </is>
      </c>
      <c r="C2246" s="46">
        <f>LEFT(Tableau1[[#This Row],[Formacode]],3)</f>
        <v/>
      </c>
      <c r="D2246" s="47" t="n">
        <v>40363</v>
      </c>
      <c r="E2246" s="48">
        <f>"RNCP"&amp;D2246</f>
        <v/>
      </c>
      <c r="F2246" s="48" t="inlineStr">
        <is>
          <t>Expert en études et développement du système d'information</t>
        </is>
      </c>
      <c r="G2246" s="49">
        <f>E2246&amp;" - "&amp;F2246</f>
        <v/>
      </c>
      <c r="H2246" s="36" t="inlineStr">
        <is>
          <t>RAS</t>
        </is>
      </c>
      <c r="I2246" s="45" t="inlineStr"/>
      <c r="J2246" s="45" t="inlineStr">
        <is>
          <t>RNCP40363</t>
        </is>
      </c>
      <c r="K2246" s="45" t="inlineStr">
        <is>
          <t>Expert en études et développement du système d'information</t>
        </is>
      </c>
      <c r="L2246" s="45" t="inlineStr">
        <is>
          <t>28/03/2028</t>
        </is>
      </c>
      <c r="M2246" s="45" t="inlineStr">
        <is>
          <t>31054 (Informatique - Systèmes d’information et numérique)</t>
        </is>
      </c>
      <c r="N2246" s="50" t="inlineStr">
        <is>
          <t>NON</t>
        </is>
      </c>
      <c r="O2246" s="45" t="inlineStr"/>
    </row>
    <row r="2247" customFormat="1" s="3">
      <c r="A2247" s="45" t="n"/>
      <c r="B2247" s="46" t="inlineStr">
        <is>
          <t>31053</t>
        </is>
      </c>
      <c r="C2247" s="46">
        <f>LEFT(Tableau1[[#This Row],[Formacode]],3)</f>
        <v/>
      </c>
      <c r="D2247" s="47" t="n">
        <v>40593</v>
      </c>
      <c r="E2247" s="48">
        <f>"RNCP"&amp;D2247</f>
        <v/>
      </c>
      <c r="F2247" s="48" t="inlineStr">
        <is>
          <t>Product builder no code</t>
        </is>
      </c>
      <c r="G2247" s="49">
        <f>E2247&amp;" - "&amp;F2247</f>
        <v/>
      </c>
      <c r="H2247" s="36" t="inlineStr">
        <is>
          <t>RAS</t>
        </is>
      </c>
      <c r="I2247" s="45" t="inlineStr"/>
      <c r="J2247" s="45" t="inlineStr">
        <is>
          <t>RNCP40593</t>
        </is>
      </c>
      <c r="K2247" s="45" t="inlineStr">
        <is>
          <t>Product builder no code</t>
        </is>
      </c>
      <c r="L2247" s="45" t="inlineStr">
        <is>
          <t>30/04/2028</t>
        </is>
      </c>
      <c r="M2247" s="45" t="inlineStr">
        <is>
          <t>31086 (Développement Low Code - No Code) ; 46334 (Maquettage site web) ; 31094 (Gestion projet informatique) ; 72454 (Application) ; 32012 (Gestion processus)</t>
        </is>
      </c>
      <c r="N2247" s="50" t="inlineStr">
        <is>
          <t>NON</t>
        </is>
      </c>
      <c r="O2247" s="45" t="inlineStr"/>
    </row>
    <row r="2248" customFormat="1" s="3">
      <c r="A2248" s="45" t="n"/>
      <c r="B2248" s="46" t="inlineStr">
        <is>
          <t>31053</t>
        </is>
      </c>
      <c r="C2248" s="46">
        <f>LEFT(Tableau1[[#This Row],[Formacode]],3)</f>
        <v/>
      </c>
      <c r="D2248" s="47" t="n">
        <v>41823</v>
      </c>
      <c r="E2248" s="48">
        <f>"RNCP"&amp;D2248</f>
        <v/>
      </c>
      <c r="F2248" s="48" t="inlineStr">
        <is>
          <t>Titre ingénieur - Ingénieur diplômé de l’ESIEE IT - CCI Paris Ile-de-France Éducation</t>
        </is>
      </c>
      <c r="G2248" s="49">
        <f>E2248&amp;" - "&amp;F2248</f>
        <v/>
      </c>
      <c r="H2248" s="36" t="inlineStr">
        <is>
          <t>RAS</t>
        </is>
      </c>
      <c r="I2248" s="45" t="inlineStr"/>
      <c r="J2248" s="45" t="inlineStr">
        <is>
          <t>RNCP41823</t>
        </is>
      </c>
      <c r="K2248" s="45" t="inlineStr">
        <is>
          <t>Ingénieur diplômé de l’ESIEE IT - CCI Paris Ile-de-France Éducation</t>
        </is>
      </c>
      <c r="L2248" s="45" t="inlineStr">
        <is>
          <t>31/08/2027</t>
        </is>
      </c>
      <c r="M2248" s="45" t="inlineStr">
        <is>
          <t>31054 (Informatique - Systèmes d’information et numérique) ; 32062 (Recherche développement) ; 15099 (Résolution problème)</t>
        </is>
      </c>
      <c r="N2248" s="50" t="inlineStr">
        <is>
          <t>NON</t>
        </is>
      </c>
      <c r="O2248" s="45" t="inlineStr"/>
    </row>
    <row r="2249" customFormat="1" s="3">
      <c r="A2249" s="45" t="n"/>
      <c r="B2249" s="46" t="inlineStr">
        <is>
          <t>31056</t>
        </is>
      </c>
      <c r="C2249" s="46">
        <f>LEFT(Tableau1[[#This Row],[Formacode]],3)</f>
        <v/>
      </c>
      <c r="D2249" s="47" t="n">
        <v>37103</v>
      </c>
      <c r="E2249" s="48">
        <f>"RNCP"&amp;D2249</f>
        <v/>
      </c>
      <c r="F2249" s="48" t="inlineStr">
        <is>
          <t>TP - Technicien en géomatique</t>
        </is>
      </c>
      <c r="G2249" s="49">
        <f>E2249&amp;" - "&amp;F2249</f>
        <v/>
      </c>
      <c r="H2249" s="36" t="inlineStr">
        <is>
          <t>RAS</t>
        </is>
      </c>
      <c r="I2249" s="45" t="inlineStr"/>
      <c r="J2249" s="45" t="inlineStr">
        <is>
          <t>RNCP37103</t>
        </is>
      </c>
      <c r="K2249" s="45" t="inlineStr">
        <is>
          <t>Technicien en géomatique</t>
        </is>
      </c>
      <c r="L2249" s="45" t="inlineStr">
        <is>
          <t>25/02/2028</t>
        </is>
      </c>
      <c r="M2249" s="45" t="inlineStr">
        <is>
          <t>12232 (Géomatique) ; 31054 (Informatique - Systèmes d’information et numérique) ; 12505 (Plan local urbanisme)</t>
        </is>
      </c>
      <c r="N2249" s="50" t="inlineStr">
        <is>
          <t>NON</t>
        </is>
      </c>
      <c r="O2249" s="45" t="inlineStr"/>
    </row>
    <row r="2250" customFormat="1" s="3">
      <c r="A2250" s="51" t="n"/>
      <c r="B2250" s="52" t="inlineStr">
        <is>
          <t>31056</t>
        </is>
      </c>
      <c r="C2250" s="52">
        <f>LEFT(Tableau1[[#This Row],[Formacode]],3)</f>
        <v/>
      </c>
      <c r="D2250" s="53" t="n">
        <v>38018</v>
      </c>
      <c r="E2250" s="54">
        <f>"RNCP"&amp;D2250</f>
        <v/>
      </c>
      <c r="F2250" s="54" t="inlineStr">
        <is>
          <t>Chef de projet digital</t>
        </is>
      </c>
      <c r="G2250" s="55">
        <f>E2250&amp;" - "&amp;F2250</f>
        <v/>
      </c>
      <c r="H2250" s="37" t="inlineStr">
        <is>
          <t>À vérifier</t>
        </is>
      </c>
      <c r="I2250" s="51" t="inlineStr">
        <is>
          <t>Échéance le 20/09/2026 (dans 64 j)</t>
        </is>
      </c>
      <c r="J2250" s="51" t="inlineStr">
        <is>
          <t>RNCP38018</t>
        </is>
      </c>
      <c r="K2250" s="51" t="inlineStr">
        <is>
          <t>Chef de projet digital</t>
        </is>
      </c>
      <c r="L2250" s="51" t="inlineStr">
        <is>
          <t>20/09/2026</t>
        </is>
      </c>
      <c r="M2250" s="51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250" s="62" t="inlineStr">
        <is>
          <t>NON</t>
        </is>
      </c>
      <c r="O2250" s="51" t="inlineStr"/>
    </row>
    <row r="2251" customFormat="1" s="3">
      <c r="A2251" s="45" t="n"/>
      <c r="B2251" s="46" t="inlineStr">
        <is>
          <t>31056</t>
        </is>
      </c>
      <c r="C2251" s="46">
        <f>LEFT(Tableau1[[#This Row],[Formacode]],3)</f>
        <v/>
      </c>
      <c r="D2251" s="47" t="n">
        <v>39425</v>
      </c>
      <c r="E2251" s="48">
        <f>"RNCP"&amp;D2251</f>
        <v/>
      </c>
      <c r="F2251" s="48" t="inlineStr">
        <is>
          <t>Diplôme visé - Expert en Ingénierie Informatique et Innovation Numérique</t>
        </is>
      </c>
      <c r="G2251" s="49">
        <f>E2251&amp;" - "&amp;F2251</f>
        <v/>
      </c>
      <c r="H2251" s="36" t="inlineStr">
        <is>
          <t>RAS</t>
        </is>
      </c>
      <c r="I2251" s="45" t="inlineStr"/>
      <c r="J2251" s="45" t="inlineStr">
        <is>
          <t>RNCP39425</t>
        </is>
      </c>
      <c r="K2251" s="45" t="inlineStr">
        <is>
          <t>Expert en Ingénierie Informatique et Innovation Numérique</t>
        </is>
      </c>
      <c r="L2251" s="45" t="inlineStr">
        <is>
          <t>31/08/2029</t>
        </is>
      </c>
      <c r="M2251" s="45" t="inlineStr">
        <is>
          <t>31054 (Informatique - Systèmes d’information et numérique) ; 32070 (Innovation entreprise)</t>
        </is>
      </c>
      <c r="N2251" s="50" t="inlineStr">
        <is>
          <t>NON</t>
        </is>
      </c>
      <c r="O2251" s="45" t="inlineStr"/>
    </row>
    <row r="2252" customFormat="1" s="3">
      <c r="A2252" s="45" t="n"/>
      <c r="B2252" s="46" t="inlineStr">
        <is>
          <t>31056</t>
        </is>
      </c>
      <c r="C2252" s="46">
        <f>LEFT(Tableau1[[#This Row],[Formacode]],3)</f>
        <v/>
      </c>
      <c r="D2252" s="47" t="n">
        <v>39445</v>
      </c>
      <c r="E2252" s="48">
        <f>"RNCP"&amp;D2252</f>
        <v/>
      </c>
      <c r="F2252" s="48" t="inlineStr">
        <is>
          <t>Titre ingénieur - Ingénieur diplômé de l'Institut supérieur d'électronique de Paris</t>
        </is>
      </c>
      <c r="G2252" s="49">
        <f>E2252&amp;" - "&amp;F2252</f>
        <v/>
      </c>
      <c r="H2252" s="36" t="inlineStr">
        <is>
          <t>RAS</t>
        </is>
      </c>
      <c r="I2252" s="45" t="inlineStr"/>
      <c r="J2252" s="45" t="inlineStr">
        <is>
          <t>RNCP39445</t>
        </is>
      </c>
      <c r="K2252" s="45" t="inlineStr">
        <is>
          <t>Ingénieur diplômé de l'Institut supérieur d'électronique de Paris</t>
        </is>
      </c>
      <c r="L2252" s="45" t="inlineStr">
        <is>
          <t>31/08/2029</t>
        </is>
      </c>
      <c r="M2252" s="45" t="inlineStr">
        <is>
          <t>24354 (Électronique) ; 31054 (Informatique - Systèmes d’information et numérique) ; 32062 (Recherche développement) ; 15099 (Résolution problème)</t>
        </is>
      </c>
      <c r="N2252" s="50" t="inlineStr">
        <is>
          <t>NON</t>
        </is>
      </c>
      <c r="O2252" s="45" t="inlineStr"/>
    </row>
    <row r="2253" customFormat="1" s="3">
      <c r="A2253" s="45" t="n"/>
      <c r="B2253" s="46" t="inlineStr">
        <is>
          <t>31056</t>
        </is>
      </c>
      <c r="C2253" s="46">
        <f>LEFT(Tableau1[[#This Row],[Formacode]],3)</f>
        <v/>
      </c>
      <c r="D2253" s="47" t="n">
        <v>39582</v>
      </c>
      <c r="E2253" s="48">
        <f>"RNCP"&amp;D2253</f>
        <v/>
      </c>
      <c r="F2253" s="48" t="inlineStr">
        <is>
          <t>Expert en architecture des systèmes d’information</t>
        </is>
      </c>
      <c r="G2253" s="49">
        <f>E2253&amp;" - "&amp;F2253</f>
        <v/>
      </c>
      <c r="H2253" s="36" t="inlineStr">
        <is>
          <t>RAS</t>
        </is>
      </c>
      <c r="I2253" s="45" t="inlineStr"/>
      <c r="J2253" s="45" t="inlineStr">
        <is>
          <t>RNCP39582</t>
        </is>
      </c>
      <c r="K2253" s="45" t="inlineStr">
        <is>
          <t>Expert en architecture des systèmes d’information</t>
        </is>
      </c>
      <c r="L2253" s="45" t="inlineStr">
        <is>
          <t>01/10/2029</t>
        </is>
      </c>
      <c r="M2253" s="45" t="inlineStr">
        <is>
          <t>31054 (Informatique - Systèmes d’information et numérique)</t>
        </is>
      </c>
      <c r="N2253" s="50" t="inlineStr">
        <is>
          <t>NON</t>
        </is>
      </c>
      <c r="O2253" s="45" t="inlineStr"/>
    </row>
    <row r="2254" ht="28.8" customFormat="1" customHeight="1" s="3">
      <c r="A2254" s="45" t="n"/>
      <c r="B2254" s="46" t="inlineStr">
        <is>
          <t>31056</t>
        </is>
      </c>
      <c r="C2254" s="46">
        <f>LEFT(Tableau1[[#This Row],[Formacode]],3)</f>
        <v/>
      </c>
      <c r="D2254" s="47" t="n">
        <v>39586</v>
      </c>
      <c r="E2254" s="48">
        <f>"RNCP"&amp;D2254</f>
        <v/>
      </c>
      <c r="F2254" s="48" t="inlineStr">
        <is>
          <t>Ingénieur en science des données spécialisé en infrastructure data ou en apprentissage automatique</t>
        </is>
      </c>
      <c r="G2254" s="49">
        <f>E2254&amp;" - "&amp;F2254</f>
        <v/>
      </c>
      <c r="H2254" s="36" t="inlineStr">
        <is>
          <t>RAS</t>
        </is>
      </c>
      <c r="I2254" s="45" t="inlineStr"/>
      <c r="J2254" s="45" t="inlineStr">
        <is>
          <t>RNCP39586</t>
        </is>
      </c>
      <c r="K2254" s="45" t="inlineStr">
        <is>
          <t>Ingénieur en science des données spécialisé en infrastructure data ou en apprentissage automatique</t>
        </is>
      </c>
      <c r="L2254" s="45" t="inlineStr">
        <is>
          <t>01/10/2029</t>
        </is>
      </c>
      <c r="M2254" s="45" t="inlineStr">
        <is>
          <t>31054 (Informatique - Systèmes d’information et numérique)</t>
        </is>
      </c>
      <c r="N2254" s="50" t="inlineStr">
        <is>
          <t>NON</t>
        </is>
      </c>
      <c r="O2254" s="45" t="inlineStr"/>
    </row>
    <row r="2255" customFormat="1" s="3">
      <c r="A2255" s="45" t="n"/>
      <c r="B2255" s="46" t="inlineStr">
        <is>
          <t>31056</t>
        </is>
      </c>
      <c r="C2255" s="46">
        <f>LEFT(Tableau1[[#This Row],[Formacode]],3)</f>
        <v/>
      </c>
      <c r="D2255" s="47" t="n">
        <v>40363</v>
      </c>
      <c r="E2255" s="48">
        <f>"RNCP"&amp;D2255</f>
        <v/>
      </c>
      <c r="F2255" s="48" t="inlineStr">
        <is>
          <t>Expert en études et développement du système d'information</t>
        </is>
      </c>
      <c r="G2255" s="49">
        <f>E2255&amp;" - "&amp;F2255</f>
        <v/>
      </c>
      <c r="H2255" s="36" t="inlineStr">
        <is>
          <t>RAS</t>
        </is>
      </c>
      <c r="I2255" s="45" t="inlineStr"/>
      <c r="J2255" s="45" t="inlineStr">
        <is>
          <t>RNCP40363</t>
        </is>
      </c>
      <c r="K2255" s="45" t="inlineStr">
        <is>
          <t>Expert en études et développement du système d'information</t>
        </is>
      </c>
      <c r="L2255" s="45" t="inlineStr">
        <is>
          <t>28/03/2028</t>
        </is>
      </c>
      <c r="M2255" s="45" t="inlineStr">
        <is>
          <t>31054 (Informatique - Systèmes d’information et numérique)</t>
        </is>
      </c>
      <c r="N2255" s="50" t="inlineStr">
        <is>
          <t>NON</t>
        </is>
      </c>
      <c r="O2255" s="45" t="inlineStr"/>
    </row>
    <row r="2256" customFormat="1" s="3">
      <c r="A2256" s="45" t="n"/>
      <c r="B2256" s="46" t="inlineStr">
        <is>
          <t>31056</t>
        </is>
      </c>
      <c r="C2256" s="46">
        <f>LEFT(Tableau1[[#This Row],[Formacode]],3)</f>
        <v/>
      </c>
      <c r="D2256" s="47" t="n">
        <v>40593</v>
      </c>
      <c r="E2256" s="48">
        <f>"RNCP"&amp;D2256</f>
        <v/>
      </c>
      <c r="F2256" s="48" t="inlineStr">
        <is>
          <t>Product builder no code</t>
        </is>
      </c>
      <c r="G2256" s="49">
        <f>E2256&amp;" - "&amp;F2256</f>
        <v/>
      </c>
      <c r="H2256" s="36" t="inlineStr">
        <is>
          <t>RAS</t>
        </is>
      </c>
      <c r="I2256" s="45" t="inlineStr"/>
      <c r="J2256" s="45" t="inlineStr">
        <is>
          <t>RNCP40593</t>
        </is>
      </c>
      <c r="K2256" s="45" t="inlineStr">
        <is>
          <t>Product builder no code</t>
        </is>
      </c>
      <c r="L2256" s="45" t="inlineStr">
        <is>
          <t>30/04/2028</t>
        </is>
      </c>
      <c r="M2256" s="45" t="inlineStr">
        <is>
          <t>31086 (Développement Low Code - No Code) ; 46334 (Maquettage site web) ; 31094 (Gestion projet informatique) ; 72454 (Application) ; 32012 (Gestion processus)</t>
        </is>
      </c>
      <c r="N2256" s="50" t="inlineStr">
        <is>
          <t>NON</t>
        </is>
      </c>
      <c r="O2256" s="45" t="inlineStr"/>
    </row>
    <row r="2257" customFormat="1" s="3">
      <c r="A2257" s="45" t="n"/>
      <c r="B2257" s="46" t="inlineStr">
        <is>
          <t>31056</t>
        </is>
      </c>
      <c r="C2257" s="46">
        <f>LEFT(Tableau1[[#This Row],[Formacode]],3)</f>
        <v/>
      </c>
      <c r="D2257" s="47" t="n">
        <v>41823</v>
      </c>
      <c r="E2257" s="48">
        <f>"RNCP"&amp;D2257</f>
        <v/>
      </c>
      <c r="F2257" s="48" t="inlineStr">
        <is>
          <t>Titre ingénieur - Ingénieur diplômé de l’ESIEE IT - CCI Paris Ile-de-France Éducation</t>
        </is>
      </c>
      <c r="G2257" s="49">
        <f>E2257&amp;" - "&amp;F2257</f>
        <v/>
      </c>
      <c r="H2257" s="36" t="inlineStr">
        <is>
          <t>RAS</t>
        </is>
      </c>
      <c r="I2257" s="45" t="inlineStr"/>
      <c r="J2257" s="45" t="inlineStr">
        <is>
          <t>RNCP41823</t>
        </is>
      </c>
      <c r="K2257" s="45" t="inlineStr">
        <is>
          <t>Ingénieur diplômé de l’ESIEE IT - CCI Paris Ile-de-France Éducation</t>
        </is>
      </c>
      <c r="L2257" s="45" t="inlineStr">
        <is>
          <t>31/08/2027</t>
        </is>
      </c>
      <c r="M2257" s="45" t="inlineStr">
        <is>
          <t>31054 (Informatique - Systèmes d’information et numérique) ; 32062 (Recherche développement) ; 15099 (Résolution problème)</t>
        </is>
      </c>
      <c r="N2257" s="50" t="inlineStr">
        <is>
          <t>NON</t>
        </is>
      </c>
      <c r="O2257" s="45" t="inlineStr"/>
    </row>
    <row r="2258" customFormat="1" s="3">
      <c r="A2258" s="45" t="n"/>
      <c r="B2258" s="46" t="inlineStr">
        <is>
          <t>31057</t>
        </is>
      </c>
      <c r="C2258" s="46">
        <f>LEFT(Tableau1[[#This Row],[Formacode]],3)</f>
        <v/>
      </c>
      <c r="D2258" s="47" t="n">
        <v>37103</v>
      </c>
      <c r="E2258" s="48">
        <f>"RNCP"&amp;D2258</f>
        <v/>
      </c>
      <c r="F2258" s="48" t="inlineStr">
        <is>
          <t>TP - Technicien en géomatique</t>
        </is>
      </c>
      <c r="G2258" s="49">
        <f>E2258&amp;" - "&amp;F2258</f>
        <v/>
      </c>
      <c r="H2258" s="36" t="inlineStr">
        <is>
          <t>RAS</t>
        </is>
      </c>
      <c r="I2258" s="45" t="inlineStr"/>
      <c r="J2258" s="45" t="inlineStr">
        <is>
          <t>RNCP37103</t>
        </is>
      </c>
      <c r="K2258" s="45" t="inlineStr">
        <is>
          <t>Technicien en géomatique</t>
        </is>
      </c>
      <c r="L2258" s="45" t="inlineStr">
        <is>
          <t>25/02/2028</t>
        </is>
      </c>
      <c r="M2258" s="45" t="inlineStr">
        <is>
          <t>12232 (Géomatique) ; 31054 (Informatique - Systèmes d’information et numérique) ; 12505 (Plan local urbanisme)</t>
        </is>
      </c>
      <c r="N2258" s="50" t="inlineStr">
        <is>
          <t>NON</t>
        </is>
      </c>
      <c r="O2258" s="45" t="inlineStr"/>
    </row>
    <row r="2259" customFormat="1" s="3">
      <c r="A2259" s="51" t="n"/>
      <c r="B2259" s="52" t="inlineStr">
        <is>
          <t>31057</t>
        </is>
      </c>
      <c r="C2259" s="52">
        <f>LEFT(Tableau1[[#This Row],[Formacode]],3)</f>
        <v/>
      </c>
      <c r="D2259" s="53" t="n">
        <v>37985</v>
      </c>
      <c r="E2259" s="54">
        <f>"RNCP"&amp;D2259</f>
        <v/>
      </c>
      <c r="F2259" s="54" t="inlineStr">
        <is>
          <t>Expert en ingénierie logicielle</t>
        </is>
      </c>
      <c r="G2259" s="55">
        <f>E2259&amp;" - "&amp;F2259</f>
        <v/>
      </c>
      <c r="H2259" s="37" t="inlineStr">
        <is>
          <t>À vérifier</t>
        </is>
      </c>
      <c r="I2259" s="51" t="inlineStr">
        <is>
          <t>Successeur déjà publié : RNCP42505 (Expert en ingénierie logicielle) — préparer la bascule de l'offre CPF | Échéance le 20/09/2026 (dans 64 j)</t>
        </is>
      </c>
      <c r="J2259" s="51" t="inlineStr">
        <is>
          <t>RNCP42505</t>
        </is>
      </c>
      <c r="K2259" s="51" t="inlineStr">
        <is>
          <t>Expert en ingénierie logicielle</t>
        </is>
      </c>
      <c r="L2259" s="51" t="inlineStr">
        <is>
          <t>20/09/2026</t>
        </is>
      </c>
      <c r="M2259" s="51" t="inlineStr">
        <is>
          <t>31057 (Génie logiciel) ; 31067 (Développement informatique) ; 31006 (Sécurité informatique) ; 31009 (Architecture système information)</t>
        </is>
      </c>
      <c r="N2259" s="62" t="inlineStr">
        <is>
          <t>NON</t>
        </is>
      </c>
      <c r="O2259" s="51" t="inlineStr"/>
    </row>
    <row r="2260" customFormat="1" s="3">
      <c r="A2260" s="51" t="n"/>
      <c r="B2260" s="52" t="inlineStr">
        <is>
          <t>31057</t>
        </is>
      </c>
      <c r="C2260" s="52">
        <f>LEFT(Tableau1[[#This Row],[Formacode]],3)</f>
        <v/>
      </c>
      <c r="D2260" s="53" t="n">
        <v>38018</v>
      </c>
      <c r="E2260" s="54">
        <f>"RNCP"&amp;D2260</f>
        <v/>
      </c>
      <c r="F2260" s="54" t="inlineStr">
        <is>
          <t>Chef de projet digital</t>
        </is>
      </c>
      <c r="G2260" s="55">
        <f>E2260&amp;" - "&amp;F2260</f>
        <v/>
      </c>
      <c r="H2260" s="37" t="inlineStr">
        <is>
          <t>À vérifier</t>
        </is>
      </c>
      <c r="I2260" s="51" t="inlineStr">
        <is>
          <t>Échéance le 20/09/2026 (dans 64 j)</t>
        </is>
      </c>
      <c r="J2260" s="51" t="inlineStr">
        <is>
          <t>RNCP38018</t>
        </is>
      </c>
      <c r="K2260" s="51" t="inlineStr">
        <is>
          <t>Chef de projet digital</t>
        </is>
      </c>
      <c r="L2260" s="51" t="inlineStr">
        <is>
          <t>20/09/2026</t>
        </is>
      </c>
      <c r="M2260" s="51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260" s="62" t="inlineStr">
        <is>
          <t>NON</t>
        </is>
      </c>
      <c r="O2260" s="51" t="inlineStr"/>
    </row>
    <row r="2261" customFormat="1" s="3">
      <c r="A2261" s="51" t="n"/>
      <c r="B2261" s="52" t="inlineStr">
        <is>
          <t>31057</t>
        </is>
      </c>
      <c r="C2261" s="52">
        <f>LEFT(Tableau1[[#This Row],[Formacode]],3)</f>
        <v/>
      </c>
      <c r="D2261" s="53" t="n">
        <v>38038</v>
      </c>
      <c r="E2261" s="54">
        <f>"RNCP"&amp;D2261</f>
        <v/>
      </c>
      <c r="F2261" s="54" t="inlineStr">
        <is>
          <t>Développeur concepteur logiciel</t>
        </is>
      </c>
      <c r="G2261" s="55">
        <f>E2261&amp;" - "&amp;F2261</f>
        <v/>
      </c>
      <c r="H2261" s="37" t="inlineStr">
        <is>
          <t>À vérifier</t>
        </is>
      </c>
      <c r="I2261" s="51" t="inlineStr">
        <is>
          <t>Successeur déjà publié : RNCP42641 (Développeur full stack) — préparer la bascule de l'offre CPF | Échéance le 20/09/2026 (dans 64 j)</t>
        </is>
      </c>
      <c r="J2261" s="51" t="inlineStr">
        <is>
          <t>RNCP42641</t>
        </is>
      </c>
      <c r="K2261" s="51" t="inlineStr">
        <is>
          <t>Développeur full stack</t>
        </is>
      </c>
      <c r="L2261" s="51" t="inlineStr">
        <is>
          <t>20/09/2026</t>
        </is>
      </c>
      <c r="M2261" s="51" t="inlineStr">
        <is>
          <t>31067 (Développement informatique) ; 31057 (Génie logiciel)</t>
        </is>
      </c>
      <c r="N2261" s="56" t="inlineStr">
        <is>
          <t>OUI</t>
        </is>
      </c>
      <c r="O2261" s="41" t="inlineStr">
        <is>
          <t>Successeur(s) modifié(s) : RNCP42641</t>
        </is>
      </c>
    </row>
    <row r="2262" customFormat="1" s="3">
      <c r="A2262" s="45" t="n"/>
      <c r="B2262" s="46" t="inlineStr">
        <is>
          <t>31057</t>
        </is>
      </c>
      <c r="C2262" s="46">
        <f>LEFT(Tableau1[[#This Row],[Formacode]],3)</f>
        <v/>
      </c>
      <c r="D2262" s="47" t="n">
        <v>39425</v>
      </c>
      <c r="E2262" s="48">
        <f>"RNCP"&amp;D2262</f>
        <v/>
      </c>
      <c r="F2262" s="48" t="inlineStr">
        <is>
          <t>Diplôme visé - Expert en Ingénierie Informatique et Innovation Numérique</t>
        </is>
      </c>
      <c r="G2262" s="49">
        <f>E2262&amp;" - "&amp;F2262</f>
        <v/>
      </c>
      <c r="H2262" s="36" t="inlineStr">
        <is>
          <t>RAS</t>
        </is>
      </c>
      <c r="I2262" s="45" t="inlineStr"/>
      <c r="J2262" s="45" t="inlineStr">
        <is>
          <t>RNCP39425</t>
        </is>
      </c>
      <c r="K2262" s="45" t="inlineStr">
        <is>
          <t>Expert en Ingénierie Informatique et Innovation Numérique</t>
        </is>
      </c>
      <c r="L2262" s="45" t="inlineStr">
        <is>
          <t>31/08/2029</t>
        </is>
      </c>
      <c r="M2262" s="45" t="inlineStr">
        <is>
          <t>31054 (Informatique - Systèmes d’information et numérique) ; 32070 (Innovation entreprise)</t>
        </is>
      </c>
      <c r="N2262" s="50" t="inlineStr">
        <is>
          <t>NON</t>
        </is>
      </c>
      <c r="O2262" s="45" t="inlineStr"/>
    </row>
    <row r="2263" customFormat="1" s="3">
      <c r="A2263" s="45" t="n"/>
      <c r="B2263" s="46" t="inlineStr">
        <is>
          <t>31057</t>
        </is>
      </c>
      <c r="C2263" s="46">
        <f>LEFT(Tableau1[[#This Row],[Formacode]],3)</f>
        <v/>
      </c>
      <c r="D2263" s="47" t="n">
        <v>39445</v>
      </c>
      <c r="E2263" s="48">
        <f>"RNCP"&amp;D2263</f>
        <v/>
      </c>
      <c r="F2263" s="48" t="inlineStr">
        <is>
          <t>Titre ingénieur - Ingénieur diplômé de l'Institut supérieur d'électronique de Paris</t>
        </is>
      </c>
      <c r="G2263" s="49">
        <f>E2263&amp;" - "&amp;F2263</f>
        <v/>
      </c>
      <c r="H2263" s="36" t="inlineStr">
        <is>
          <t>RAS</t>
        </is>
      </c>
      <c r="I2263" s="45" t="inlineStr"/>
      <c r="J2263" s="45" t="inlineStr">
        <is>
          <t>RNCP39445</t>
        </is>
      </c>
      <c r="K2263" s="45" t="inlineStr">
        <is>
          <t>Ingénieur diplômé de l'Institut supérieur d'électronique de Paris</t>
        </is>
      </c>
      <c r="L2263" s="45" t="inlineStr">
        <is>
          <t>31/08/2029</t>
        </is>
      </c>
      <c r="M2263" s="45" t="inlineStr">
        <is>
          <t>24354 (Électronique) ; 31054 (Informatique - Systèmes d’information et numérique) ; 32062 (Recherche développement) ; 15099 (Résolution problème)</t>
        </is>
      </c>
      <c r="N2263" s="50" t="inlineStr">
        <is>
          <t>NON</t>
        </is>
      </c>
      <c r="O2263" s="45" t="inlineStr"/>
    </row>
    <row r="2264" customFormat="1" s="3">
      <c r="A2264" s="45" t="n"/>
      <c r="B2264" s="46" t="inlineStr">
        <is>
          <t>31057</t>
        </is>
      </c>
      <c r="C2264" s="46">
        <f>LEFT(Tableau1[[#This Row],[Formacode]],3)</f>
        <v/>
      </c>
      <c r="D2264" s="47" t="n">
        <v>39582</v>
      </c>
      <c r="E2264" s="48">
        <f>"RNCP"&amp;D2264</f>
        <v/>
      </c>
      <c r="F2264" s="48" t="inlineStr">
        <is>
          <t>Expert en architecture des systèmes d’information</t>
        </is>
      </c>
      <c r="G2264" s="49">
        <f>E2264&amp;" - "&amp;F2264</f>
        <v/>
      </c>
      <c r="H2264" s="36" t="inlineStr">
        <is>
          <t>RAS</t>
        </is>
      </c>
      <c r="I2264" s="45" t="inlineStr"/>
      <c r="J2264" s="45" t="inlineStr">
        <is>
          <t>RNCP39582</t>
        </is>
      </c>
      <c r="K2264" s="45" t="inlineStr">
        <is>
          <t>Expert en architecture des systèmes d’information</t>
        </is>
      </c>
      <c r="L2264" s="45" t="inlineStr">
        <is>
          <t>01/10/2029</t>
        </is>
      </c>
      <c r="M2264" s="45" t="inlineStr">
        <is>
          <t>31054 (Informatique - Systèmes d’information et numérique)</t>
        </is>
      </c>
      <c r="N2264" s="50" t="inlineStr">
        <is>
          <t>NON</t>
        </is>
      </c>
      <c r="O2264" s="45" t="inlineStr"/>
    </row>
    <row r="2265" customFormat="1" s="3">
      <c r="A2265" s="45" t="n"/>
      <c r="B2265" s="46" t="inlineStr">
        <is>
          <t>31057</t>
        </is>
      </c>
      <c r="C2265" s="46">
        <f>LEFT(Tableau1[[#This Row],[Formacode]],3)</f>
        <v/>
      </c>
      <c r="D2265" s="47" t="n">
        <v>39583</v>
      </c>
      <c r="E2265" s="48">
        <f>"RNCP"&amp;D2265</f>
        <v/>
      </c>
      <c r="F2265" s="48" t="inlineStr">
        <is>
          <t>Expert en développement logiciel</t>
        </is>
      </c>
      <c r="G2265" s="49">
        <f>E2265&amp;" - "&amp;F2265</f>
        <v/>
      </c>
      <c r="H2265" s="36" t="inlineStr">
        <is>
          <t>RAS</t>
        </is>
      </c>
      <c r="I2265" s="45" t="inlineStr"/>
      <c r="J2265" s="45" t="inlineStr">
        <is>
          <t>RNCP39583</t>
        </is>
      </c>
      <c r="K2265" s="45" t="inlineStr">
        <is>
          <t>Expert en développement logiciel</t>
        </is>
      </c>
      <c r="L2265" s="45" t="inlineStr">
        <is>
          <t>01/10/2029</t>
        </is>
      </c>
      <c r="M2265" s="45" t="inlineStr">
        <is>
          <t>31057 (Génie logiciel)</t>
        </is>
      </c>
      <c r="N2265" s="50" t="inlineStr">
        <is>
          <t>NON</t>
        </is>
      </c>
      <c r="O2265" s="45" t="inlineStr"/>
    </row>
    <row r="2266" ht="28.8" customFormat="1" customHeight="1" s="3">
      <c r="A2266" s="45" t="n"/>
      <c r="B2266" s="46" t="inlineStr">
        <is>
          <t>31057</t>
        </is>
      </c>
      <c r="C2266" s="46">
        <f>LEFT(Tableau1[[#This Row],[Formacode]],3)</f>
        <v/>
      </c>
      <c r="D2266" s="47" t="n">
        <v>39586</v>
      </c>
      <c r="E2266" s="48">
        <f>"RNCP"&amp;D2266</f>
        <v/>
      </c>
      <c r="F2266" s="48" t="inlineStr">
        <is>
          <t>Ingénieur en science des données spécialisé en infrastructure data ou en apprentissage automatique</t>
        </is>
      </c>
      <c r="G2266" s="49">
        <f>E2266&amp;" - "&amp;F2266</f>
        <v/>
      </c>
      <c r="H2266" s="36" t="inlineStr">
        <is>
          <t>RAS</t>
        </is>
      </c>
      <c r="I2266" s="45" t="inlineStr"/>
      <c r="J2266" s="45" t="inlineStr">
        <is>
          <t>RNCP39586</t>
        </is>
      </c>
      <c r="K2266" s="45" t="inlineStr">
        <is>
          <t>Ingénieur en science des données spécialisé en infrastructure data ou en apprentissage automatique</t>
        </is>
      </c>
      <c r="L2266" s="45" t="inlineStr">
        <is>
          <t>01/10/2029</t>
        </is>
      </c>
      <c r="M2266" s="45" t="inlineStr">
        <is>
          <t>31054 (Informatique - Systèmes d’information et numérique)</t>
        </is>
      </c>
      <c r="N2266" s="50" t="inlineStr">
        <is>
          <t>NON</t>
        </is>
      </c>
      <c r="O2266" s="45" t="inlineStr"/>
    </row>
    <row r="2267" customFormat="1" s="3">
      <c r="A2267" s="45" t="n"/>
      <c r="B2267" s="46" t="inlineStr">
        <is>
          <t>31057</t>
        </is>
      </c>
      <c r="C2267" s="46">
        <f>LEFT(Tableau1[[#This Row],[Formacode]],3)</f>
        <v/>
      </c>
      <c r="D2267" s="47" t="n">
        <v>40166</v>
      </c>
      <c r="E2267" s="48">
        <f>"RNCP"&amp;D2267</f>
        <v/>
      </c>
      <c r="F2267" s="48" t="inlineStr">
        <is>
          <t>Expert en développement et déploiement de solutions numériques sécurisées</t>
        </is>
      </c>
      <c r="G2267" s="49">
        <f>E2267&amp;" - "&amp;F2267</f>
        <v/>
      </c>
      <c r="H2267" s="36" t="inlineStr">
        <is>
          <t>RAS</t>
        </is>
      </c>
      <c r="I2267" s="45" t="inlineStr"/>
      <c r="J2267" s="45" t="inlineStr">
        <is>
          <t>RNCP40166</t>
        </is>
      </c>
      <c r="K2267" s="45" t="inlineStr">
        <is>
          <t>Expert en développement et déploiement de solutions numériques sécurisées</t>
        </is>
      </c>
      <c r="L2267" s="45" t="inlineStr">
        <is>
          <t>31/01/2028</t>
        </is>
      </c>
      <c r="M2267" s="45" t="inlineStr">
        <is>
          <t>31094 (Gestion projet informatique) ; 31006 (Sécurité informatique) ; 31018 (Architecture orientée services) ; 31057 (Génie logiciel)</t>
        </is>
      </c>
      <c r="N2267" s="50" t="inlineStr">
        <is>
          <t>NON</t>
        </is>
      </c>
      <c r="O2267" s="45" t="inlineStr"/>
    </row>
    <row r="2268" customFormat="1" s="3">
      <c r="A2268" s="45" t="n"/>
      <c r="B2268" s="46" t="inlineStr">
        <is>
          <t>31057</t>
        </is>
      </c>
      <c r="C2268" s="46">
        <f>LEFT(Tableau1[[#This Row],[Formacode]],3)</f>
        <v/>
      </c>
      <c r="D2268" s="47" t="n">
        <v>40363</v>
      </c>
      <c r="E2268" s="48">
        <f>"RNCP"&amp;D2268</f>
        <v/>
      </c>
      <c r="F2268" s="48" t="inlineStr">
        <is>
          <t>Expert en études et développement du système d'information</t>
        </is>
      </c>
      <c r="G2268" s="49">
        <f>E2268&amp;" - "&amp;F2268</f>
        <v/>
      </c>
      <c r="H2268" s="36" t="inlineStr">
        <is>
          <t>RAS</t>
        </is>
      </c>
      <c r="I2268" s="45" t="inlineStr"/>
      <c r="J2268" s="45" t="inlineStr">
        <is>
          <t>RNCP40363</t>
        </is>
      </c>
      <c r="K2268" s="45" t="inlineStr">
        <is>
          <t>Expert en études et développement du système d'information</t>
        </is>
      </c>
      <c r="L2268" s="45" t="inlineStr">
        <is>
          <t>28/03/2028</t>
        </is>
      </c>
      <c r="M2268" s="45" t="inlineStr">
        <is>
          <t>31054 (Informatique - Systèmes d’information et numérique)</t>
        </is>
      </c>
      <c r="N2268" s="50" t="inlineStr">
        <is>
          <t>NON</t>
        </is>
      </c>
      <c r="O2268" s="45" t="inlineStr"/>
    </row>
    <row r="2269" customFormat="1" s="3">
      <c r="A2269" s="45" t="n"/>
      <c r="B2269" s="46" t="inlineStr">
        <is>
          <t>31057</t>
        </is>
      </c>
      <c r="C2269" s="46">
        <f>LEFT(Tableau1[[#This Row],[Formacode]],3)</f>
        <v/>
      </c>
      <c r="D2269" s="47" t="n">
        <v>40593</v>
      </c>
      <c r="E2269" s="48">
        <f>"RNCP"&amp;D2269</f>
        <v/>
      </c>
      <c r="F2269" s="48" t="inlineStr">
        <is>
          <t>Product builder no code</t>
        </is>
      </c>
      <c r="G2269" s="49">
        <f>E2269&amp;" - "&amp;F2269</f>
        <v/>
      </c>
      <c r="H2269" s="36" t="inlineStr">
        <is>
          <t>RAS</t>
        </is>
      </c>
      <c r="I2269" s="45" t="inlineStr"/>
      <c r="J2269" s="45" t="inlineStr">
        <is>
          <t>RNCP40593</t>
        </is>
      </c>
      <c r="K2269" s="45" t="inlineStr">
        <is>
          <t>Product builder no code</t>
        </is>
      </c>
      <c r="L2269" s="45" t="inlineStr">
        <is>
          <t>30/04/2028</t>
        </is>
      </c>
      <c r="M2269" s="45" t="inlineStr">
        <is>
          <t>31086 (Développement Low Code - No Code) ; 46334 (Maquettage site web) ; 31094 (Gestion projet informatique) ; 72454 (Application) ; 32012 (Gestion processus)</t>
        </is>
      </c>
      <c r="N2269" s="50" t="inlineStr">
        <is>
          <t>NON</t>
        </is>
      </c>
      <c r="O2269" s="45" t="inlineStr"/>
    </row>
    <row r="2270" customFormat="1" s="3">
      <c r="A2270" s="45" t="n"/>
      <c r="B2270" s="46" t="inlineStr">
        <is>
          <t>31057</t>
        </is>
      </c>
      <c r="C2270" s="46">
        <f>LEFT(Tableau1[[#This Row],[Formacode]],3)</f>
        <v/>
      </c>
      <c r="D2270" s="47" t="n">
        <v>41030</v>
      </c>
      <c r="E2270" s="48">
        <f>"RNCP"&amp;D2270</f>
        <v/>
      </c>
      <c r="F2270" s="48" t="inlineStr">
        <is>
          <t>Titre ingénieur - Diplôme d'ingénieur d'Efrei Paris (Université Paris- Panthéon Assas)</t>
        </is>
      </c>
      <c r="G2270" s="49">
        <f>E2270&amp;" - "&amp;F2270</f>
        <v/>
      </c>
      <c r="H2270" s="36" t="inlineStr">
        <is>
          <t>RAS</t>
        </is>
      </c>
      <c r="I2270" s="45" t="inlineStr"/>
      <c r="J2270" s="45" t="inlineStr">
        <is>
          <t>RNCP41030</t>
        </is>
      </c>
      <c r="K2270" s="45" t="inlineStr">
        <is>
          <t>Diplôme d'ingénieur d'Efrei Paris (Université Paris- Panthéon Assas)</t>
        </is>
      </c>
      <c r="L2270" s="45" t="inlineStr">
        <is>
          <t>01/09/2030</t>
        </is>
      </c>
      <c r="M2270" s="45" t="inlineStr">
        <is>
          <t>24354 (Électronique) ; 24231 (Réseau informatique) ; 31057 (Génie logiciel) ; 11014 (Algorithme) ; 32062 (Recherche développement)</t>
        </is>
      </c>
      <c r="N2270" s="50" t="inlineStr">
        <is>
          <t>NON</t>
        </is>
      </c>
      <c r="O2270" s="45" t="inlineStr"/>
    </row>
    <row r="2271" customFormat="1" s="3">
      <c r="A2271" s="45" t="n"/>
      <c r="B2271" s="46" t="inlineStr">
        <is>
          <t>31057</t>
        </is>
      </c>
      <c r="C2271" s="46">
        <f>LEFT(Tableau1[[#This Row],[Formacode]],3)</f>
        <v/>
      </c>
      <c r="D2271" s="47" t="n">
        <v>41330</v>
      </c>
      <c r="E2271" s="48">
        <f>"RNCP"&amp;D2271</f>
        <v/>
      </c>
      <c r="F2271" s="48" t="inlineStr">
        <is>
          <t>Expert en développement logiciel</t>
        </is>
      </c>
      <c r="G2271" s="49">
        <f>E2271&amp;" - "&amp;F2271</f>
        <v/>
      </c>
      <c r="H2271" s="36" t="inlineStr">
        <is>
          <t>RAS</t>
        </is>
      </c>
      <c r="I2271" s="45" t="inlineStr"/>
      <c r="J2271" s="45" t="inlineStr">
        <is>
          <t>RNCP41330</t>
        </is>
      </c>
      <c r="K2271" s="45" t="inlineStr">
        <is>
          <t>Expert en développement logiciel</t>
        </is>
      </c>
      <c r="L2271" s="45" t="inlineStr">
        <is>
          <t>24/09/2028</t>
        </is>
      </c>
      <c r="M2271" s="45" t="inlineStr">
        <is>
          <t>31057 (Génie logiciel) ; 31067 (Développement informatique) ; 31094 (Gestion projet informatique)</t>
        </is>
      </c>
      <c r="N2271" s="50" t="inlineStr">
        <is>
          <t>NON</t>
        </is>
      </c>
      <c r="O2271" s="45" t="inlineStr"/>
    </row>
    <row r="2272" customFormat="1" s="3">
      <c r="A2272" s="45" t="n"/>
      <c r="B2272" s="46" t="inlineStr">
        <is>
          <t>31057</t>
        </is>
      </c>
      <c r="C2272" s="46">
        <f>LEFT(Tableau1[[#This Row],[Formacode]],3)</f>
        <v/>
      </c>
      <c r="D2272" s="47" t="n">
        <v>41823</v>
      </c>
      <c r="E2272" s="48">
        <f>"RNCP"&amp;D2272</f>
        <v/>
      </c>
      <c r="F2272" s="48" t="inlineStr">
        <is>
          <t>Titre ingénieur - Ingénieur diplômé de l’ESIEE IT - CCI Paris Ile-de-France Éducation</t>
        </is>
      </c>
      <c r="G2272" s="49">
        <f>E2272&amp;" - "&amp;F2272</f>
        <v/>
      </c>
      <c r="H2272" s="36" t="inlineStr">
        <is>
          <t>RAS</t>
        </is>
      </c>
      <c r="I2272" s="45" t="inlineStr"/>
      <c r="J2272" s="45" t="inlineStr">
        <is>
          <t>RNCP41823</t>
        </is>
      </c>
      <c r="K2272" s="45" t="inlineStr">
        <is>
          <t>Ingénieur diplômé de l’ESIEE IT - CCI Paris Ile-de-France Éducation</t>
        </is>
      </c>
      <c r="L2272" s="45" t="inlineStr">
        <is>
          <t>31/08/2027</t>
        </is>
      </c>
      <c r="M2272" s="45" t="inlineStr">
        <is>
          <t>31054 (Informatique - Systèmes d’information et numérique) ; 32062 (Recherche développement) ; 15099 (Résolution problème)</t>
        </is>
      </c>
      <c r="N2272" s="50" t="inlineStr">
        <is>
          <t>NON</t>
        </is>
      </c>
      <c r="O2272" s="45" t="inlineStr"/>
    </row>
    <row r="2273" customFormat="1" s="3">
      <c r="A2273" s="45" t="n"/>
      <c r="B2273" s="46" t="inlineStr">
        <is>
          <t>31059</t>
        </is>
      </c>
      <c r="C2273" s="46">
        <f>LEFT(Tableau1[[#This Row],[Formacode]],3)</f>
        <v/>
      </c>
      <c r="D2273" s="47" t="n">
        <v>37103</v>
      </c>
      <c r="E2273" s="48">
        <f>"RNCP"&amp;D2273</f>
        <v/>
      </c>
      <c r="F2273" s="48" t="inlineStr">
        <is>
          <t>TP - Technicien en géomatique</t>
        </is>
      </c>
      <c r="G2273" s="49">
        <f>E2273&amp;" - "&amp;F2273</f>
        <v/>
      </c>
      <c r="H2273" s="36" t="inlineStr">
        <is>
          <t>RAS</t>
        </is>
      </c>
      <c r="I2273" s="45" t="inlineStr"/>
      <c r="J2273" s="45" t="inlineStr">
        <is>
          <t>RNCP37103</t>
        </is>
      </c>
      <c r="K2273" s="45" t="inlineStr">
        <is>
          <t>Technicien en géomatique</t>
        </is>
      </c>
      <c r="L2273" s="45" t="inlineStr">
        <is>
          <t>25/02/2028</t>
        </is>
      </c>
      <c r="M2273" s="45" t="inlineStr">
        <is>
          <t>12232 (Géomatique) ; 31054 (Informatique - Systèmes d’information et numérique) ; 12505 (Plan local urbanisme)</t>
        </is>
      </c>
      <c r="N2273" s="50" t="inlineStr">
        <is>
          <t>NON</t>
        </is>
      </c>
      <c r="O2273" s="45" t="inlineStr"/>
    </row>
    <row r="2274" customFormat="1" s="3">
      <c r="A2274" s="51" t="n"/>
      <c r="B2274" s="52" t="inlineStr">
        <is>
          <t>31059</t>
        </is>
      </c>
      <c r="C2274" s="52">
        <f>LEFT(Tableau1[[#This Row],[Formacode]],3)</f>
        <v/>
      </c>
      <c r="D2274" s="53" t="n">
        <v>38018</v>
      </c>
      <c r="E2274" s="54">
        <f>"RNCP"&amp;D2274</f>
        <v/>
      </c>
      <c r="F2274" s="54" t="inlineStr">
        <is>
          <t>Chef de projet digital</t>
        </is>
      </c>
      <c r="G2274" s="55">
        <f>E2274&amp;" - "&amp;F2274</f>
        <v/>
      </c>
      <c r="H2274" s="37" t="inlineStr">
        <is>
          <t>À vérifier</t>
        </is>
      </c>
      <c r="I2274" s="51" t="inlineStr">
        <is>
          <t>Échéance le 20/09/2026 (dans 64 j)</t>
        </is>
      </c>
      <c r="J2274" s="51" t="inlineStr">
        <is>
          <t>RNCP38018</t>
        </is>
      </c>
      <c r="K2274" s="51" t="inlineStr">
        <is>
          <t>Chef de projet digital</t>
        </is>
      </c>
      <c r="L2274" s="51" t="inlineStr">
        <is>
          <t>20/09/2026</t>
        </is>
      </c>
      <c r="M2274" s="51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274" s="62" t="inlineStr">
        <is>
          <t>NON</t>
        </is>
      </c>
      <c r="O2274" s="51" t="inlineStr"/>
    </row>
    <row r="2275" customFormat="1" s="3">
      <c r="A2275" s="45" t="n"/>
      <c r="B2275" s="46" t="inlineStr">
        <is>
          <t>31059</t>
        </is>
      </c>
      <c r="C2275" s="46">
        <f>LEFT(Tableau1[[#This Row],[Formacode]],3)</f>
        <v/>
      </c>
      <c r="D2275" s="47" t="n">
        <v>39425</v>
      </c>
      <c r="E2275" s="48">
        <f>"RNCP"&amp;D2275</f>
        <v/>
      </c>
      <c r="F2275" s="48" t="inlineStr">
        <is>
          <t>Diplôme visé - Expert en Ingénierie Informatique et Innovation Numérique</t>
        </is>
      </c>
      <c r="G2275" s="49">
        <f>E2275&amp;" - "&amp;F2275</f>
        <v/>
      </c>
      <c r="H2275" s="36" t="inlineStr">
        <is>
          <t>RAS</t>
        </is>
      </c>
      <c r="I2275" s="45" t="inlineStr"/>
      <c r="J2275" s="45" t="inlineStr">
        <is>
          <t>RNCP39425</t>
        </is>
      </c>
      <c r="K2275" s="45" t="inlineStr">
        <is>
          <t>Expert en Ingénierie Informatique et Innovation Numérique</t>
        </is>
      </c>
      <c r="L2275" s="45" t="inlineStr">
        <is>
          <t>31/08/2029</t>
        </is>
      </c>
      <c r="M2275" s="45" t="inlineStr">
        <is>
          <t>31054 (Informatique - Systèmes d’information et numérique) ; 32070 (Innovation entreprise)</t>
        </is>
      </c>
      <c r="N2275" s="50" t="inlineStr">
        <is>
          <t>NON</t>
        </is>
      </c>
      <c r="O2275" s="45" t="inlineStr"/>
    </row>
    <row r="2276" customFormat="1" s="3">
      <c r="A2276" s="45" t="n"/>
      <c r="B2276" s="46" t="inlineStr">
        <is>
          <t>31059</t>
        </is>
      </c>
      <c r="C2276" s="46">
        <f>LEFT(Tableau1[[#This Row],[Formacode]],3)</f>
        <v/>
      </c>
      <c r="D2276" s="47" t="n">
        <v>39445</v>
      </c>
      <c r="E2276" s="48">
        <f>"RNCP"&amp;D2276</f>
        <v/>
      </c>
      <c r="F2276" s="48" t="inlineStr">
        <is>
          <t>Titre ingénieur - Ingénieur diplômé de l'Institut supérieur d'électronique de Paris</t>
        </is>
      </c>
      <c r="G2276" s="49">
        <f>E2276&amp;" - "&amp;F2276</f>
        <v/>
      </c>
      <c r="H2276" s="36" t="inlineStr">
        <is>
          <t>RAS</t>
        </is>
      </c>
      <c r="I2276" s="45" t="inlineStr"/>
      <c r="J2276" s="45" t="inlineStr">
        <is>
          <t>RNCP39445</t>
        </is>
      </c>
      <c r="K2276" s="45" t="inlineStr">
        <is>
          <t>Ingénieur diplômé de l'Institut supérieur d'électronique de Paris</t>
        </is>
      </c>
      <c r="L2276" s="45" t="inlineStr">
        <is>
          <t>31/08/2029</t>
        </is>
      </c>
      <c r="M2276" s="45" t="inlineStr">
        <is>
          <t>24354 (Électronique) ; 31054 (Informatique - Systèmes d’information et numérique) ; 32062 (Recherche développement) ; 15099 (Résolution problème)</t>
        </is>
      </c>
      <c r="N2276" s="50" t="inlineStr">
        <is>
          <t>NON</t>
        </is>
      </c>
      <c r="O2276" s="45" t="inlineStr"/>
    </row>
    <row r="2277" customFormat="1" s="3">
      <c r="A2277" s="45" t="n"/>
      <c r="B2277" s="46" t="inlineStr">
        <is>
          <t>31059</t>
        </is>
      </c>
      <c r="C2277" s="46">
        <f>LEFT(Tableau1[[#This Row],[Formacode]],3)</f>
        <v/>
      </c>
      <c r="D2277" s="47" t="n">
        <v>39582</v>
      </c>
      <c r="E2277" s="48">
        <f>"RNCP"&amp;D2277</f>
        <v/>
      </c>
      <c r="F2277" s="48" t="inlineStr">
        <is>
          <t>Expert en architecture des systèmes d’information</t>
        </is>
      </c>
      <c r="G2277" s="49">
        <f>E2277&amp;" - "&amp;F2277</f>
        <v/>
      </c>
      <c r="H2277" s="36" t="inlineStr">
        <is>
          <t>RAS</t>
        </is>
      </c>
      <c r="I2277" s="45" t="inlineStr"/>
      <c r="J2277" s="45" t="inlineStr">
        <is>
          <t>RNCP39582</t>
        </is>
      </c>
      <c r="K2277" s="45" t="inlineStr">
        <is>
          <t>Expert en architecture des systèmes d’information</t>
        </is>
      </c>
      <c r="L2277" s="45" t="inlineStr">
        <is>
          <t>01/10/2029</t>
        </is>
      </c>
      <c r="M2277" s="45" t="inlineStr">
        <is>
          <t>31054 (Informatique - Systèmes d’information et numérique)</t>
        </is>
      </c>
      <c r="N2277" s="50" t="inlineStr">
        <is>
          <t>NON</t>
        </is>
      </c>
      <c r="O2277" s="45" t="inlineStr"/>
    </row>
    <row r="2278" ht="28.8" customFormat="1" customHeight="1" s="3">
      <c r="A2278" s="45" t="n"/>
      <c r="B2278" s="46" t="inlineStr">
        <is>
          <t>31059</t>
        </is>
      </c>
      <c r="C2278" s="46">
        <f>LEFT(Tableau1[[#This Row],[Formacode]],3)</f>
        <v/>
      </c>
      <c r="D2278" s="47" t="n">
        <v>39586</v>
      </c>
      <c r="E2278" s="48">
        <f>"RNCP"&amp;D2278</f>
        <v/>
      </c>
      <c r="F2278" s="48" t="inlineStr">
        <is>
          <t>Ingénieur en science des données spécialisé en infrastructure data ou en apprentissage automatique</t>
        </is>
      </c>
      <c r="G2278" s="49">
        <f>E2278&amp;" - "&amp;F2278</f>
        <v/>
      </c>
      <c r="H2278" s="36" t="inlineStr">
        <is>
          <t>RAS</t>
        </is>
      </c>
      <c r="I2278" s="45" t="inlineStr"/>
      <c r="J2278" s="45" t="inlineStr">
        <is>
          <t>RNCP39586</t>
        </is>
      </c>
      <c r="K2278" s="45" t="inlineStr">
        <is>
          <t>Ingénieur en science des données spécialisé en infrastructure data ou en apprentissage automatique</t>
        </is>
      </c>
      <c r="L2278" s="45" t="inlineStr">
        <is>
          <t>01/10/2029</t>
        </is>
      </c>
      <c r="M2278" s="45" t="inlineStr">
        <is>
          <t>31054 (Informatique - Systèmes d’information et numérique)</t>
        </is>
      </c>
      <c r="N2278" s="50" t="inlineStr">
        <is>
          <t>NON</t>
        </is>
      </c>
      <c r="O2278" s="45" t="inlineStr"/>
    </row>
    <row r="2279" customFormat="1" s="3">
      <c r="A2279" s="45" t="n"/>
      <c r="B2279" s="46" t="inlineStr">
        <is>
          <t>31059</t>
        </is>
      </c>
      <c r="C2279" s="46">
        <f>LEFT(Tableau1[[#This Row],[Formacode]],3)</f>
        <v/>
      </c>
      <c r="D2279" s="47" t="n">
        <v>40363</v>
      </c>
      <c r="E2279" s="48">
        <f>"RNCP"&amp;D2279</f>
        <v/>
      </c>
      <c r="F2279" s="48" t="inlineStr">
        <is>
          <t>Expert en études et développement du système d'information</t>
        </is>
      </c>
      <c r="G2279" s="49">
        <f>E2279&amp;" - "&amp;F2279</f>
        <v/>
      </c>
      <c r="H2279" s="36" t="inlineStr">
        <is>
          <t>RAS</t>
        </is>
      </c>
      <c r="I2279" s="45" t="inlineStr"/>
      <c r="J2279" s="45" t="inlineStr">
        <is>
          <t>RNCP40363</t>
        </is>
      </c>
      <c r="K2279" s="45" t="inlineStr">
        <is>
          <t>Expert en études et développement du système d'information</t>
        </is>
      </c>
      <c r="L2279" s="45" t="inlineStr">
        <is>
          <t>28/03/2028</t>
        </is>
      </c>
      <c r="M2279" s="45" t="inlineStr">
        <is>
          <t>31054 (Informatique - Systèmes d’information et numérique)</t>
        </is>
      </c>
      <c r="N2279" s="50" t="inlineStr">
        <is>
          <t>NON</t>
        </is>
      </c>
      <c r="O2279" s="45" t="inlineStr"/>
    </row>
    <row r="2280" customFormat="1" s="3">
      <c r="A2280" s="45" t="n"/>
      <c r="B2280" s="46" t="inlineStr">
        <is>
          <t>31059</t>
        </is>
      </c>
      <c r="C2280" s="46">
        <f>LEFT(Tableau1[[#This Row],[Formacode]],3)</f>
        <v/>
      </c>
      <c r="D2280" s="47" t="n">
        <v>40593</v>
      </c>
      <c r="E2280" s="48">
        <f>"RNCP"&amp;D2280</f>
        <v/>
      </c>
      <c r="F2280" s="48" t="inlineStr">
        <is>
          <t>Product builder no code</t>
        </is>
      </c>
      <c r="G2280" s="49">
        <f>E2280&amp;" - "&amp;F2280</f>
        <v/>
      </c>
      <c r="H2280" s="36" t="inlineStr">
        <is>
          <t>RAS</t>
        </is>
      </c>
      <c r="I2280" s="45" t="inlineStr"/>
      <c r="J2280" s="45" t="inlineStr">
        <is>
          <t>RNCP40593</t>
        </is>
      </c>
      <c r="K2280" s="45" t="inlineStr">
        <is>
          <t>Product builder no code</t>
        </is>
      </c>
      <c r="L2280" s="45" t="inlineStr">
        <is>
          <t>30/04/2028</t>
        </is>
      </c>
      <c r="M2280" s="45" t="inlineStr">
        <is>
          <t>31086 (Développement Low Code - No Code) ; 46334 (Maquettage site web) ; 31094 (Gestion projet informatique) ; 72454 (Application) ; 32012 (Gestion processus)</t>
        </is>
      </c>
      <c r="N2280" s="50" t="inlineStr">
        <is>
          <t>NON</t>
        </is>
      </c>
      <c r="O2280" s="45" t="inlineStr"/>
    </row>
    <row r="2281" customFormat="1" s="3">
      <c r="A2281" s="45" t="n"/>
      <c r="B2281" s="46" t="inlineStr">
        <is>
          <t>31059</t>
        </is>
      </c>
      <c r="C2281" s="46">
        <f>LEFT(Tableau1[[#This Row],[Formacode]],3)</f>
        <v/>
      </c>
      <c r="D2281" s="47" t="n">
        <v>41823</v>
      </c>
      <c r="E2281" s="48">
        <f>"RNCP"&amp;D2281</f>
        <v/>
      </c>
      <c r="F2281" s="48" t="inlineStr">
        <is>
          <t>Titre ingénieur - Ingénieur diplômé de l’ESIEE IT - CCI Paris Ile-de-France Éducation</t>
        </is>
      </c>
      <c r="G2281" s="49">
        <f>E2281&amp;" - "&amp;F2281</f>
        <v/>
      </c>
      <c r="H2281" s="36" t="inlineStr">
        <is>
          <t>RAS</t>
        </is>
      </c>
      <c r="I2281" s="45" t="inlineStr"/>
      <c r="J2281" s="45" t="inlineStr">
        <is>
          <t>RNCP41823</t>
        </is>
      </c>
      <c r="K2281" s="45" t="inlineStr">
        <is>
          <t>Ingénieur diplômé de l’ESIEE IT - CCI Paris Ile-de-France Éducation</t>
        </is>
      </c>
      <c r="L2281" s="45" t="inlineStr">
        <is>
          <t>31/08/2027</t>
        </is>
      </c>
      <c r="M2281" s="45" t="inlineStr">
        <is>
          <t>31054 (Informatique - Systèmes d’information et numérique) ; 32062 (Recherche développement) ; 15099 (Résolution problème)</t>
        </is>
      </c>
      <c r="N2281" s="50" t="inlineStr">
        <is>
          <t>NON</t>
        </is>
      </c>
      <c r="O2281" s="45" t="inlineStr"/>
    </row>
    <row r="2282" customFormat="1" s="3">
      <c r="A2282" s="63" t="n"/>
      <c r="B2282" s="64" t="inlineStr">
        <is>
          <t>31067</t>
        </is>
      </c>
      <c r="C2282" s="64">
        <f>LEFT(Tableau1[[#This Row],[Formacode]],3)</f>
        <v/>
      </c>
      <c r="D2282" s="65" t="n">
        <v>35584</v>
      </c>
      <c r="E2282" s="66">
        <f>"RNCP"&amp;D2282</f>
        <v/>
      </c>
      <c r="F2282" s="66" t="inlineStr">
        <is>
          <t>Expert en informatique et système d'information</t>
        </is>
      </c>
      <c r="G2282" s="67">
        <f>E2282&amp;" - "&amp;F2282</f>
        <v/>
      </c>
      <c r="H2282" s="38" t="inlineStr">
        <is>
          <t>Expiré / remplacé</t>
        </is>
      </c>
      <c r="I2282" s="63" t="inlineStr">
        <is>
          <t>Fiche inactive — remplacée par RNCP42317 (Expert en informatique et système d'information)</t>
        </is>
      </c>
      <c r="J2282" s="63" t="inlineStr">
        <is>
          <t>RNCP42317</t>
        </is>
      </c>
      <c r="K2282" s="63" t="inlineStr">
        <is>
          <t>Expert en informatique et système d'information</t>
        </is>
      </c>
      <c r="L2282" s="63" t="inlineStr">
        <is>
          <t>19/05/2026</t>
        </is>
      </c>
      <c r="M2282" s="63" t="inlineStr">
        <is>
          <t>31008 (Système information) ; 31094 (Gestion projet informatique) ; 31084 (Informatique de gestion) ; 31025 (Analyse de données) ; 31067 (Développement informatique)</t>
        </is>
      </c>
      <c r="N2282" s="68" t="inlineStr">
        <is>
          <t>NON</t>
        </is>
      </c>
      <c r="O2282" s="63" t="inlineStr"/>
    </row>
    <row r="2283" customFormat="1" s="3">
      <c r="A2283" s="63" t="n"/>
      <c r="B2283" s="64" t="inlineStr">
        <is>
          <t>31067</t>
        </is>
      </c>
      <c r="C2283" s="64">
        <f>LEFT(Tableau1[[#This Row],[Formacode]],3)</f>
        <v/>
      </c>
      <c r="D2283" s="65" t="n">
        <v>35634</v>
      </c>
      <c r="E2283" s="66">
        <f>"RNCP"&amp;D2283</f>
        <v/>
      </c>
      <c r="F2283" s="66" t="inlineStr">
        <is>
          <t>TP - Concepteur designer UI</t>
        </is>
      </c>
      <c r="G2283" s="67">
        <f>E2283&amp;" - "&amp;F2283</f>
        <v/>
      </c>
      <c r="H2283" s="38" t="inlineStr">
        <is>
          <t>Expiré / remplacé</t>
        </is>
      </c>
      <c r="I2283" s="63" t="inlineStr">
        <is>
          <t>Fiche inactive — remplacée par RNCP42140 (Concepteur designer User Interface)</t>
        </is>
      </c>
      <c r="J2283" s="63" t="inlineStr">
        <is>
          <t>RNCP42140</t>
        </is>
      </c>
      <c r="K2283" s="63" t="inlineStr">
        <is>
          <t>Concepteur designer User Interface</t>
        </is>
      </c>
      <c r="L2283" s="63" t="inlineStr">
        <is>
          <t>13/07/2026</t>
        </is>
      </c>
      <c r="M2283" s="63" t="inlineStr">
        <is>
          <t>46372 (Design interface utilisateur) ; 46072 (Art graphique) ; 31090 (Développement web)</t>
        </is>
      </c>
      <c r="N2283" s="68" t="inlineStr">
        <is>
          <t>NON</t>
        </is>
      </c>
      <c r="O2283" s="63" t="inlineStr"/>
    </row>
    <row r="2284" customFormat="1" s="3">
      <c r="A2284" s="51" t="n"/>
      <c r="B2284" s="52" t="inlineStr">
        <is>
          <t>31067</t>
        </is>
      </c>
      <c r="C2284" s="52">
        <f>LEFT(Tableau1[[#This Row],[Formacode]],3)</f>
        <v/>
      </c>
      <c r="D2284" s="53" t="n">
        <v>35959</v>
      </c>
      <c r="E2284" s="54">
        <f>"RNCP"&amp;D2284</f>
        <v/>
      </c>
      <c r="F2284" s="54" t="inlineStr">
        <is>
          <t>Développeur web</t>
        </is>
      </c>
      <c r="G2284" s="55">
        <f>E2284&amp;" - "&amp;F2284</f>
        <v/>
      </c>
      <c r="H2284" s="37" t="inlineStr">
        <is>
          <t>À vérifier</t>
        </is>
      </c>
      <c r="I2284" s="51" t="inlineStr">
        <is>
          <t>Échéance le 15/10/2026 (dans 89 j)</t>
        </is>
      </c>
      <c r="J2284" s="51" t="inlineStr">
        <is>
          <t>RNCP35959</t>
        </is>
      </c>
      <c r="K2284" s="51" t="inlineStr">
        <is>
          <t>Développeur web</t>
        </is>
      </c>
      <c r="L2284" s="51" t="inlineStr">
        <is>
          <t>15/10/2026</t>
        </is>
      </c>
      <c r="M2284" s="51" t="inlineStr">
        <is>
          <t>31090 (Développement web) ; 46341 (Communication externe) ; 46359 (Réseau social) ; 30805 (Langage PHP)</t>
        </is>
      </c>
      <c r="N2284" s="62" t="inlineStr">
        <is>
          <t>NON</t>
        </is>
      </c>
      <c r="O2284" s="51" t="inlineStr"/>
    </row>
    <row r="2285" customFormat="1" s="3">
      <c r="A2285" s="45" t="n"/>
      <c r="B2285" s="46" t="inlineStr">
        <is>
          <t>31067</t>
        </is>
      </c>
      <c r="C2285" s="46">
        <f>LEFT(Tableau1[[#This Row],[Formacode]],3)</f>
        <v/>
      </c>
      <c r="D2285" s="47" t="n">
        <v>36463</v>
      </c>
      <c r="E2285" s="48">
        <f>"RNCP"&amp;D2285</f>
        <v/>
      </c>
      <c r="F2285" s="48" t="inlineStr">
        <is>
          <t>Concepteur développeur d’applications numériques</t>
        </is>
      </c>
      <c r="G2285" s="49">
        <f>E2285&amp;" - "&amp;F2285</f>
        <v/>
      </c>
      <c r="H2285" s="36" t="inlineStr">
        <is>
          <t>RAS</t>
        </is>
      </c>
      <c r="I2285" s="45" t="inlineStr"/>
      <c r="J2285" s="45" t="inlineStr">
        <is>
          <t>RNCP36463</t>
        </is>
      </c>
      <c r="K2285" s="45" t="inlineStr">
        <is>
          <t>Concepteur développeur d’applications numériques</t>
        </is>
      </c>
      <c r="L2285" s="45" t="inlineStr">
        <is>
          <t>01/06/2027</t>
        </is>
      </c>
      <c r="M2285" s="45" t="inlineStr">
        <is>
          <t>31067 (Développement informatique)</t>
        </is>
      </c>
      <c r="N2285" s="50" t="inlineStr">
        <is>
          <t>NON</t>
        </is>
      </c>
      <c r="O2285" s="45" t="inlineStr"/>
    </row>
    <row r="2286" customFormat="1" s="3">
      <c r="A2286" s="45" t="n"/>
      <c r="B2286" s="46" t="inlineStr">
        <is>
          <t>31067</t>
        </is>
      </c>
      <c r="C2286" s="46">
        <f>LEFT(Tableau1[[#This Row],[Formacode]],3)</f>
        <v/>
      </c>
      <c r="D2286" s="47" t="n">
        <v>36465</v>
      </c>
      <c r="E2286" s="48">
        <f>"RNCP"&amp;D2286</f>
        <v/>
      </c>
      <c r="F2286" s="48" t="inlineStr">
        <is>
          <t>Expert en création numérique interactive</t>
        </is>
      </c>
      <c r="G2286" s="49">
        <f>E2286&amp;" - "&amp;F2286</f>
        <v/>
      </c>
      <c r="H2286" s="36" t="inlineStr">
        <is>
          <t>RAS</t>
        </is>
      </c>
      <c r="I2286" s="45" t="inlineStr"/>
      <c r="J2286" s="45" t="inlineStr">
        <is>
          <t>RNCP36465</t>
        </is>
      </c>
      <c r="K2286" s="45" t="inlineStr">
        <is>
          <t>Expert en création numérique interactive</t>
        </is>
      </c>
      <c r="L2286" s="45" t="inlineStr">
        <is>
          <t>01/06/2027</t>
        </is>
      </c>
      <c r="M2286" s="45" t="inlineStr">
        <is>
          <t>31090 (Développement web) ; 46003 (Infographie) ; 46347 (Stratégie communication numérique)</t>
        </is>
      </c>
      <c r="N2286" s="50" t="inlineStr">
        <is>
          <t>NON</t>
        </is>
      </c>
      <c r="O2286" s="45" t="inlineStr"/>
    </row>
    <row r="2287" customFormat="1" s="3">
      <c r="A2287" s="45" t="n"/>
      <c r="B2287" s="46" t="inlineStr">
        <is>
          <t>31067</t>
        </is>
      </c>
      <c r="C2287" s="46">
        <f>LEFT(Tableau1[[#This Row],[Formacode]],3)</f>
        <v/>
      </c>
      <c r="D2287" s="47" t="n">
        <v>37103</v>
      </c>
      <c r="E2287" s="48">
        <f>"RNCP"&amp;D2287</f>
        <v/>
      </c>
      <c r="F2287" s="48" t="inlineStr">
        <is>
          <t>TP - Technicien en géomatique</t>
        </is>
      </c>
      <c r="G2287" s="49">
        <f>E2287&amp;" - "&amp;F2287</f>
        <v/>
      </c>
      <c r="H2287" s="36" t="inlineStr">
        <is>
          <t>RAS</t>
        </is>
      </c>
      <c r="I2287" s="45" t="inlineStr"/>
      <c r="J2287" s="45" t="inlineStr">
        <is>
          <t>RNCP37103</t>
        </is>
      </c>
      <c r="K2287" s="45" t="inlineStr">
        <is>
          <t>Technicien en géomatique</t>
        </is>
      </c>
      <c r="L2287" s="45" t="inlineStr">
        <is>
          <t>25/02/2028</t>
        </is>
      </c>
      <c r="M2287" s="45" t="inlineStr">
        <is>
          <t>12232 (Géomatique) ; 31054 (Informatique - Systèmes d’information et numérique) ; 12505 (Plan local urbanisme)</t>
        </is>
      </c>
      <c r="N2287" s="50" t="inlineStr">
        <is>
          <t>NON</t>
        </is>
      </c>
      <c r="O2287" s="45" t="inlineStr"/>
    </row>
    <row r="2288" customFormat="1" s="3">
      <c r="A2288" s="45" t="n"/>
      <c r="B2288" s="46" t="inlineStr">
        <is>
          <t>31067</t>
        </is>
      </c>
      <c r="C2288" s="46">
        <f>LEFT(Tableau1[[#This Row],[Formacode]],3)</f>
        <v/>
      </c>
      <c r="D2288" s="47" t="n">
        <v>37674</v>
      </c>
      <c r="E2288" s="48">
        <f>"RNCP"&amp;D2288</f>
        <v/>
      </c>
      <c r="F2288" s="48" t="inlineStr">
        <is>
          <t>TP - Développeur web et web mobile</t>
        </is>
      </c>
      <c r="G2288" s="49">
        <f>E2288&amp;" - "&amp;F2288</f>
        <v/>
      </c>
      <c r="H2288" s="36" t="inlineStr">
        <is>
          <t>RAS</t>
        </is>
      </c>
      <c r="I2288" s="45" t="inlineStr"/>
      <c r="J2288" s="45" t="inlineStr">
        <is>
          <t>RNCP37674</t>
        </is>
      </c>
      <c r="K2288" s="45" t="inlineStr">
        <is>
          <t>Développeur web et web mobile</t>
        </is>
      </c>
      <c r="L2288" s="45" t="inlineStr">
        <is>
          <t>01/09/2028</t>
        </is>
      </c>
      <c r="M2288" s="45" t="inlineStr">
        <is>
          <t>31090 (Développement web) ; 46357 (Qualité web) ; 31006 (Sécurité informatique) ; 70710 (Logiciel gestion de contenu e-commerce)</t>
        </is>
      </c>
      <c r="N2288" s="50" t="inlineStr">
        <is>
          <t>NON</t>
        </is>
      </c>
      <c r="O2288" s="45" t="inlineStr"/>
    </row>
    <row r="2289" customFormat="1" s="3">
      <c r="A2289" s="51" t="n"/>
      <c r="B2289" s="52" t="inlineStr">
        <is>
          <t>31067</t>
        </is>
      </c>
      <c r="C2289" s="52">
        <f>LEFT(Tableau1[[#This Row],[Formacode]],3)</f>
        <v/>
      </c>
      <c r="D2289" s="53" t="n">
        <v>37778</v>
      </c>
      <c r="E2289" s="54">
        <f>"RNCP"&amp;D2289</f>
        <v/>
      </c>
      <c r="F2289" s="54" t="inlineStr">
        <is>
          <t>Développeur de solutions numériques sécurisées</t>
        </is>
      </c>
      <c r="G2289" s="55">
        <f>E2289&amp;" - "&amp;F2289</f>
        <v/>
      </c>
      <c r="H2289" s="37" t="inlineStr">
        <is>
          <t>À vérifier</t>
        </is>
      </c>
      <c r="I2289" s="51" t="inlineStr">
        <is>
          <t>Successeur déjà publié : RNCP42620 (Développeur de solutions numériques sécurisées) — préparer la bascule de l'offre CPF | Échéance le 19/07/2026 (dans 1 j)</t>
        </is>
      </c>
      <c r="J2289" s="51" t="inlineStr">
        <is>
          <t>RNCP42620</t>
        </is>
      </c>
      <c r="K2289" s="51" t="inlineStr">
        <is>
          <t>Développeur de solutions numériques sécurisées</t>
        </is>
      </c>
      <c r="L2289" s="51" t="inlineStr">
        <is>
          <t>19/07/2026</t>
        </is>
      </c>
      <c r="M2289" s="51" t="inlineStr">
        <is>
          <t>31067 (Développement informatique) ; 31006 (Sécurité informatique)</t>
        </is>
      </c>
      <c r="N2289" s="56" t="inlineStr">
        <is>
          <t>OUI</t>
        </is>
      </c>
      <c r="O2289" s="41" t="inlineStr">
        <is>
          <t>Successeur(s) modifié(s) : RNCP42620</t>
        </is>
      </c>
    </row>
    <row r="2290" customFormat="1" s="3">
      <c r="A2290" s="45" t="n"/>
      <c r="B2290" s="46" t="inlineStr">
        <is>
          <t>31067</t>
        </is>
      </c>
      <c r="C2290" s="46">
        <f>LEFT(Tableau1[[#This Row],[Formacode]],3)</f>
        <v/>
      </c>
      <c r="D2290" s="47" t="n">
        <v>37873</v>
      </c>
      <c r="E2290" s="48">
        <f>"RNCP"&amp;D2290</f>
        <v/>
      </c>
      <c r="F2290" s="48" t="inlineStr">
        <is>
          <t>TP - Concepteur développeur d'applications</t>
        </is>
      </c>
      <c r="G2290" s="49">
        <f>E2290&amp;" - "&amp;F2290</f>
        <v/>
      </c>
      <c r="H2290" s="36" t="inlineStr">
        <is>
          <t>RAS</t>
        </is>
      </c>
      <c r="I2290" s="45" t="inlineStr"/>
      <c r="J2290" s="45" t="inlineStr">
        <is>
          <t>RNCP37873</t>
        </is>
      </c>
      <c r="K2290" s="45" t="inlineStr">
        <is>
          <t>Concepteur développeur d'applications</t>
        </is>
      </c>
      <c r="L2290" s="45" t="inlineStr">
        <is>
          <t>18/12/2028</t>
        </is>
      </c>
      <c r="M2290" s="45" t="inlineStr">
        <is>
          <t>31067 (Développement informatique) ; 31036 (Administration base de données) ; 31010 (Architecture web) ; 31084 (Informatique de gestion) ; 31006 (Sécurité informatique)</t>
        </is>
      </c>
      <c r="N2290" s="50" t="inlineStr">
        <is>
          <t>NON</t>
        </is>
      </c>
      <c r="O2290" s="45" t="inlineStr"/>
    </row>
    <row r="2291" customFormat="1" s="3">
      <c r="A2291" s="51" t="n"/>
      <c r="B2291" s="52" t="inlineStr">
        <is>
          <t>31067</t>
        </is>
      </c>
      <c r="C2291" s="52">
        <f>LEFT(Tableau1[[#This Row],[Formacode]],3)</f>
        <v/>
      </c>
      <c r="D2291" s="53" t="n">
        <v>37985</v>
      </c>
      <c r="E2291" s="54">
        <f>"RNCP"&amp;D2291</f>
        <v/>
      </c>
      <c r="F2291" s="54" t="inlineStr">
        <is>
          <t>Expert en ingénierie logicielle</t>
        </is>
      </c>
      <c r="G2291" s="55">
        <f>E2291&amp;" - "&amp;F2291</f>
        <v/>
      </c>
      <c r="H2291" s="37" t="inlineStr">
        <is>
          <t>À vérifier</t>
        </is>
      </c>
      <c r="I2291" s="51" t="inlineStr">
        <is>
          <t>Successeur déjà publié : RNCP42505 (Expert en ingénierie logicielle) — préparer la bascule de l'offre CPF | Échéance le 20/09/2026 (dans 64 j)</t>
        </is>
      </c>
      <c r="J2291" s="51" t="inlineStr">
        <is>
          <t>RNCP42505</t>
        </is>
      </c>
      <c r="K2291" s="51" t="inlineStr">
        <is>
          <t>Expert en ingénierie logicielle</t>
        </is>
      </c>
      <c r="L2291" s="51" t="inlineStr">
        <is>
          <t>20/09/2026</t>
        </is>
      </c>
      <c r="M2291" s="51" t="inlineStr">
        <is>
          <t>31057 (Génie logiciel) ; 31067 (Développement informatique) ; 31006 (Sécurité informatique) ; 31009 (Architecture système information)</t>
        </is>
      </c>
      <c r="N2291" s="62" t="inlineStr">
        <is>
          <t>NON</t>
        </is>
      </c>
      <c r="O2291" s="51" t="inlineStr"/>
    </row>
    <row r="2292" customFormat="1" s="3">
      <c r="A2292" s="51" t="n"/>
      <c r="B2292" s="52" t="inlineStr">
        <is>
          <t>31067</t>
        </is>
      </c>
      <c r="C2292" s="52">
        <f>LEFT(Tableau1[[#This Row],[Formacode]],3)</f>
        <v/>
      </c>
      <c r="D2292" s="53" t="n">
        <v>38018</v>
      </c>
      <c r="E2292" s="54">
        <f>"RNCP"&amp;D2292</f>
        <v/>
      </c>
      <c r="F2292" s="54" t="inlineStr">
        <is>
          <t>Chef de projet digital</t>
        </is>
      </c>
      <c r="G2292" s="55">
        <f>E2292&amp;" - "&amp;F2292</f>
        <v/>
      </c>
      <c r="H2292" s="37" t="inlineStr">
        <is>
          <t>À vérifier</t>
        </is>
      </c>
      <c r="I2292" s="51" t="inlineStr">
        <is>
          <t>Échéance le 20/09/2026 (dans 64 j)</t>
        </is>
      </c>
      <c r="J2292" s="51" t="inlineStr">
        <is>
          <t>RNCP38018</t>
        </is>
      </c>
      <c r="K2292" s="51" t="inlineStr">
        <is>
          <t>Chef de projet digital</t>
        </is>
      </c>
      <c r="L2292" s="51" t="inlineStr">
        <is>
          <t>20/09/2026</t>
        </is>
      </c>
      <c r="M2292" s="51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292" s="62" t="inlineStr">
        <is>
          <t>NON</t>
        </is>
      </c>
      <c r="O2292" s="51" t="inlineStr"/>
    </row>
    <row r="2293" customFormat="1" s="3">
      <c r="A2293" s="51" t="n"/>
      <c r="B2293" s="52" t="inlineStr">
        <is>
          <t>31067</t>
        </is>
      </c>
      <c r="C2293" s="52">
        <f>LEFT(Tableau1[[#This Row],[Formacode]],3)</f>
        <v/>
      </c>
      <c r="D2293" s="53" t="n">
        <v>38038</v>
      </c>
      <c r="E2293" s="54">
        <f>"RNCP"&amp;D2293</f>
        <v/>
      </c>
      <c r="F2293" s="54" t="inlineStr">
        <is>
          <t>Développeur concepteur logiciel</t>
        </is>
      </c>
      <c r="G2293" s="55">
        <f>E2293&amp;" - "&amp;F2293</f>
        <v/>
      </c>
      <c r="H2293" s="37" t="inlineStr">
        <is>
          <t>À vérifier</t>
        </is>
      </c>
      <c r="I2293" s="51" t="inlineStr">
        <is>
          <t>Successeur déjà publié : RNCP42641 (Développeur full stack) — préparer la bascule de l'offre CPF | Échéance le 20/09/2026 (dans 64 j)</t>
        </is>
      </c>
      <c r="J2293" s="51" t="inlineStr">
        <is>
          <t>RNCP42641</t>
        </is>
      </c>
      <c r="K2293" s="51" t="inlineStr">
        <is>
          <t>Développeur full stack</t>
        </is>
      </c>
      <c r="L2293" s="51" t="inlineStr">
        <is>
          <t>20/09/2026</t>
        </is>
      </c>
      <c r="M2293" s="51" t="inlineStr">
        <is>
          <t>31067 (Développement informatique) ; 31057 (Génie logiciel)</t>
        </is>
      </c>
      <c r="N2293" s="56" t="inlineStr">
        <is>
          <t>OUI</t>
        </is>
      </c>
      <c r="O2293" s="41" t="inlineStr">
        <is>
          <t>Successeur(s) modifié(s) : RNCP42641</t>
        </is>
      </c>
    </row>
    <row r="2294" customFormat="1" s="3">
      <c r="A2294" s="51" t="n"/>
      <c r="B2294" s="52" t="inlineStr">
        <is>
          <t>31067</t>
        </is>
      </c>
      <c r="C2294" s="52">
        <f>LEFT(Tableau1[[#This Row],[Formacode]],3)</f>
        <v/>
      </c>
      <c r="D2294" s="53" t="n">
        <v>38145</v>
      </c>
      <c r="E2294" s="54">
        <f>"RNCP"&amp;D2294</f>
        <v/>
      </c>
      <c r="F2294" s="54" t="inlineStr">
        <is>
          <t>Développeur informatique</t>
        </is>
      </c>
      <c r="G2294" s="55">
        <f>E2294&amp;" - "&amp;F2294</f>
        <v/>
      </c>
      <c r="H2294" s="37" t="inlineStr">
        <is>
          <t>À vérifier</t>
        </is>
      </c>
      <c r="I2294" s="51" t="inlineStr">
        <is>
          <t>Échéance le 18/10/2026 (dans 92 j)</t>
        </is>
      </c>
      <c r="J2294" s="51" t="inlineStr">
        <is>
          <t>RNCP38145</t>
        </is>
      </c>
      <c r="K2294" s="51" t="inlineStr">
        <is>
          <t>Développeur informatique</t>
        </is>
      </c>
      <c r="L2294" s="51" t="inlineStr">
        <is>
          <t>18/10/2026</t>
        </is>
      </c>
      <c r="M2294" s="51" t="inlineStr">
        <is>
          <t>31067 (Développement informatique)</t>
        </is>
      </c>
      <c r="N2294" s="62" t="inlineStr">
        <is>
          <t>NON</t>
        </is>
      </c>
      <c r="O2294" s="51" t="inlineStr"/>
    </row>
    <row r="2295" customFormat="1" s="3">
      <c r="A2295" s="45" t="n"/>
      <c r="B2295" s="46" t="inlineStr">
        <is>
          <t>31067</t>
        </is>
      </c>
      <c r="C2295" s="46">
        <f>LEFT(Tableau1[[#This Row],[Formacode]],3)</f>
        <v/>
      </c>
      <c r="D2295" s="47" t="n">
        <v>38478</v>
      </c>
      <c r="E2295" s="48">
        <f>"RNCP"&amp;D2295</f>
        <v/>
      </c>
      <c r="F2295" s="48" t="inlineStr">
        <is>
          <t>Coordinateur de projets informatiques (infrastructures cloud, applicatives ou data)</t>
        </is>
      </c>
      <c r="G2295" s="49">
        <f>E2295&amp;" - "&amp;F2295</f>
        <v/>
      </c>
      <c r="H2295" s="36" t="inlineStr">
        <is>
          <t>RAS</t>
        </is>
      </c>
      <c r="I2295" s="45" t="inlineStr"/>
      <c r="J2295" s="45" t="inlineStr">
        <is>
          <t>RNCP38478</t>
        </is>
      </c>
      <c r="K2295" s="45" t="inlineStr">
        <is>
          <t>Coordinateur de projets informatiques (infrastructures cloud, applicatives ou data)</t>
        </is>
      </c>
      <c r="L2295" s="45" t="inlineStr">
        <is>
          <t>21/12/2028</t>
        </is>
      </c>
      <c r="M2295" s="45" t="inlineStr">
        <is>
          <t>31094 (Gestion projet informatique) ; 31008 (Système information) ; 31067 (Développement informatique) ; 31023 (Gestion données massives)</t>
        </is>
      </c>
      <c r="N2295" s="50" t="inlineStr">
        <is>
          <t>NON</t>
        </is>
      </c>
      <c r="O2295" s="45" t="inlineStr"/>
    </row>
    <row r="2296" customFormat="1" s="3">
      <c r="A2296" s="45" t="n"/>
      <c r="B2296" s="46" t="inlineStr">
        <is>
          <t>31067</t>
        </is>
      </c>
      <c r="C2296" s="46">
        <f>LEFT(Tableau1[[#This Row],[Formacode]],3)</f>
        <v/>
      </c>
      <c r="D2296" s="47" t="n">
        <v>39240</v>
      </c>
      <c r="E2296" s="48">
        <f>"RNCP"&amp;D2296</f>
        <v/>
      </c>
      <c r="F2296" s="48" t="inlineStr">
        <is>
          <t>Concepteur webdesigner</t>
        </is>
      </c>
      <c r="G2296" s="49">
        <f>E2296&amp;" - "&amp;F2296</f>
        <v/>
      </c>
      <c r="H2296" s="36" t="inlineStr">
        <is>
          <t>RAS</t>
        </is>
      </c>
      <c r="I2296" s="45" t="inlineStr"/>
      <c r="J2296" s="45" t="inlineStr">
        <is>
          <t>RNCP39240</t>
        </is>
      </c>
      <c r="K2296" s="45" t="inlineStr">
        <is>
          <t>Concepteur webdesigner</t>
        </is>
      </c>
      <c r="L2296" s="45" t="inlineStr">
        <is>
          <t>27/06/2027</t>
        </is>
      </c>
      <c r="M2296" s="45" t="inlineStr">
        <is>
          <t>46334 (Maquettage site web) ; 31090 (Développement web) ; 46003 (Infographie)</t>
        </is>
      </c>
      <c r="N2296" s="50" t="inlineStr">
        <is>
          <t>NON</t>
        </is>
      </c>
      <c r="O2296" s="45" t="inlineStr"/>
    </row>
    <row r="2297" customFormat="1" s="3">
      <c r="A2297" s="45" t="n"/>
      <c r="B2297" s="46" t="inlineStr">
        <is>
          <t>31067</t>
        </is>
      </c>
      <c r="C2297" s="46">
        <f>LEFT(Tableau1[[#This Row],[Formacode]],3)</f>
        <v/>
      </c>
      <c r="D2297" s="47" t="n">
        <v>39425</v>
      </c>
      <c r="E2297" s="48">
        <f>"RNCP"&amp;D2297</f>
        <v/>
      </c>
      <c r="F2297" s="48" t="inlineStr">
        <is>
          <t>Diplôme visé - Expert en Ingénierie Informatique et Innovation Numérique</t>
        </is>
      </c>
      <c r="G2297" s="49">
        <f>E2297&amp;" - "&amp;F2297</f>
        <v/>
      </c>
      <c r="H2297" s="36" t="inlineStr">
        <is>
          <t>RAS</t>
        </is>
      </c>
      <c r="I2297" s="45" t="inlineStr"/>
      <c r="J2297" s="45" t="inlineStr">
        <is>
          <t>RNCP39425</t>
        </is>
      </c>
      <c r="K2297" s="45" t="inlineStr">
        <is>
          <t>Expert en Ingénierie Informatique et Innovation Numérique</t>
        </is>
      </c>
      <c r="L2297" s="45" t="inlineStr">
        <is>
          <t>31/08/2029</t>
        </is>
      </c>
      <c r="M2297" s="45" t="inlineStr">
        <is>
          <t>31054 (Informatique - Systèmes d’information et numérique) ; 32070 (Innovation entreprise)</t>
        </is>
      </c>
      <c r="N2297" s="50" t="inlineStr">
        <is>
          <t>NON</t>
        </is>
      </c>
      <c r="O2297" s="45" t="inlineStr"/>
    </row>
    <row r="2298" customFormat="1" s="3">
      <c r="A2298" s="45" t="n"/>
      <c r="B2298" s="46" t="inlineStr">
        <is>
          <t>31067</t>
        </is>
      </c>
      <c r="C2298" s="46">
        <f>LEFT(Tableau1[[#This Row],[Formacode]],3)</f>
        <v/>
      </c>
      <c r="D2298" s="47" t="n">
        <v>39445</v>
      </c>
      <c r="E2298" s="48">
        <f>"RNCP"&amp;D2298</f>
        <v/>
      </c>
      <c r="F2298" s="48" t="inlineStr">
        <is>
          <t>Titre ingénieur - Ingénieur diplômé de l'Institut supérieur d'électronique de Paris</t>
        </is>
      </c>
      <c r="G2298" s="49">
        <f>E2298&amp;" - "&amp;F2298</f>
        <v/>
      </c>
      <c r="H2298" s="36" t="inlineStr">
        <is>
          <t>RAS</t>
        </is>
      </c>
      <c r="I2298" s="45" t="inlineStr"/>
      <c r="J2298" s="45" t="inlineStr">
        <is>
          <t>RNCP39445</t>
        </is>
      </c>
      <c r="K2298" s="45" t="inlineStr">
        <is>
          <t>Ingénieur diplômé de l'Institut supérieur d'électronique de Paris</t>
        </is>
      </c>
      <c r="L2298" s="45" t="inlineStr">
        <is>
          <t>31/08/2029</t>
        </is>
      </c>
      <c r="M2298" s="45" t="inlineStr">
        <is>
          <t>24354 (Électronique) ; 31054 (Informatique - Systèmes d’information et numérique) ; 32062 (Recherche développement) ; 15099 (Résolution problème)</t>
        </is>
      </c>
      <c r="N2298" s="50" t="inlineStr">
        <is>
          <t>NON</t>
        </is>
      </c>
      <c r="O2298" s="45" t="inlineStr"/>
    </row>
    <row r="2299" customFormat="1" s="3">
      <c r="A2299" s="45" t="n"/>
      <c r="B2299" s="46" t="inlineStr">
        <is>
          <t>31067</t>
        </is>
      </c>
      <c r="C2299" s="46">
        <f>LEFT(Tableau1[[#This Row],[Formacode]],3)</f>
        <v/>
      </c>
      <c r="D2299" s="47" t="n">
        <v>39582</v>
      </c>
      <c r="E2299" s="48">
        <f>"RNCP"&amp;D2299</f>
        <v/>
      </c>
      <c r="F2299" s="48" t="inlineStr">
        <is>
          <t>Expert en architecture des systèmes d’information</t>
        </is>
      </c>
      <c r="G2299" s="49">
        <f>E2299&amp;" - "&amp;F2299</f>
        <v/>
      </c>
      <c r="H2299" s="36" t="inlineStr">
        <is>
          <t>RAS</t>
        </is>
      </c>
      <c r="I2299" s="45" t="inlineStr"/>
      <c r="J2299" s="45" t="inlineStr">
        <is>
          <t>RNCP39582</t>
        </is>
      </c>
      <c r="K2299" s="45" t="inlineStr">
        <is>
          <t>Expert en architecture des systèmes d’information</t>
        </is>
      </c>
      <c r="L2299" s="45" t="inlineStr">
        <is>
          <t>01/10/2029</t>
        </is>
      </c>
      <c r="M2299" s="45" t="inlineStr">
        <is>
          <t>31054 (Informatique - Systèmes d’information et numérique)</t>
        </is>
      </c>
      <c r="N2299" s="50" t="inlineStr">
        <is>
          <t>NON</t>
        </is>
      </c>
      <c r="O2299" s="45" t="inlineStr"/>
    </row>
    <row r="2300" ht="28.8" customFormat="1" customHeight="1" s="3">
      <c r="A2300" s="45" t="n"/>
      <c r="B2300" s="46" t="inlineStr">
        <is>
          <t>31067</t>
        </is>
      </c>
      <c r="C2300" s="46">
        <f>LEFT(Tableau1[[#This Row],[Formacode]],3)</f>
        <v/>
      </c>
      <c r="D2300" s="47" t="n">
        <v>39586</v>
      </c>
      <c r="E2300" s="48">
        <f>"RNCP"&amp;D2300</f>
        <v/>
      </c>
      <c r="F2300" s="48" t="inlineStr">
        <is>
          <t>Ingénieur en science des données spécialisé en infrastructure data ou en apprentissage automatique</t>
        </is>
      </c>
      <c r="G2300" s="49">
        <f>E2300&amp;" - "&amp;F2300</f>
        <v/>
      </c>
      <c r="H2300" s="36" t="inlineStr">
        <is>
          <t>RAS</t>
        </is>
      </c>
      <c r="I2300" s="45" t="inlineStr"/>
      <c r="J2300" s="45" t="inlineStr">
        <is>
          <t>RNCP39586</t>
        </is>
      </c>
      <c r="K2300" s="45" t="inlineStr">
        <is>
          <t>Ingénieur en science des données spécialisé en infrastructure data ou en apprentissage automatique</t>
        </is>
      </c>
      <c r="L2300" s="45" t="inlineStr">
        <is>
          <t>01/10/2029</t>
        </is>
      </c>
      <c r="M2300" s="45" t="inlineStr">
        <is>
          <t>31054 (Informatique - Systèmes d’information et numérique)</t>
        </is>
      </c>
      <c r="N2300" s="50" t="inlineStr">
        <is>
          <t>NON</t>
        </is>
      </c>
      <c r="O2300" s="45" t="inlineStr"/>
    </row>
    <row r="2301" customFormat="1" s="3">
      <c r="A2301" s="45" t="n"/>
      <c r="B2301" s="46" t="inlineStr">
        <is>
          <t>31067</t>
        </is>
      </c>
      <c r="C2301" s="46">
        <f>LEFT(Tableau1[[#This Row],[Formacode]],3)</f>
        <v/>
      </c>
      <c r="D2301" s="47" t="n">
        <v>39609</v>
      </c>
      <c r="E2301" s="48">
        <f>"RNCP"&amp;D2301</f>
        <v/>
      </c>
      <c r="F2301" s="48" t="inlineStr">
        <is>
          <t>Concepteur développeur web full-stack</t>
        </is>
      </c>
      <c r="G2301" s="49">
        <f>E2301&amp;" - "&amp;F2301</f>
        <v/>
      </c>
      <c r="H2301" s="36" t="inlineStr">
        <is>
          <t>RAS</t>
        </is>
      </c>
      <c r="I2301" s="45" t="inlineStr"/>
      <c r="J2301" s="45" t="inlineStr">
        <is>
          <t>RNCP39609</t>
        </is>
      </c>
      <c r="K2301" s="45" t="inlineStr">
        <is>
          <t>Concepteur développeur web full-stack</t>
        </is>
      </c>
      <c r="L2301" s="45" t="inlineStr">
        <is>
          <t>01/10/2028</t>
        </is>
      </c>
      <c r="M2301" s="45" t="inlineStr">
        <is>
          <t>31090 (Développement web) ; 30854 (Langages informatiques) ; 46339 (Conduite projet numérique) ; 31006 (Sécurité informatique)</t>
        </is>
      </c>
      <c r="N2301" s="50" t="inlineStr">
        <is>
          <t>NON</t>
        </is>
      </c>
      <c r="O2301" s="45" t="inlineStr"/>
    </row>
    <row r="2302" customFormat="1" s="3">
      <c r="A2302" s="45" t="n"/>
      <c r="B2302" s="46" t="inlineStr">
        <is>
          <t>31067</t>
        </is>
      </c>
      <c r="C2302" s="46">
        <f>LEFT(Tableau1[[#This Row],[Formacode]],3)</f>
        <v/>
      </c>
      <c r="D2302" s="47" t="n">
        <v>40363</v>
      </c>
      <c r="E2302" s="48">
        <f>"RNCP"&amp;D2302</f>
        <v/>
      </c>
      <c r="F2302" s="48" t="inlineStr">
        <is>
          <t>Expert en études et développement du système d'information</t>
        </is>
      </c>
      <c r="G2302" s="49">
        <f>E2302&amp;" - "&amp;F2302</f>
        <v/>
      </c>
      <c r="H2302" s="36" t="inlineStr">
        <is>
          <t>RAS</t>
        </is>
      </c>
      <c r="I2302" s="45" t="inlineStr"/>
      <c r="J2302" s="45" t="inlineStr">
        <is>
          <t>RNCP40363</t>
        </is>
      </c>
      <c r="K2302" s="45" t="inlineStr">
        <is>
          <t>Expert en études et développement du système d'information</t>
        </is>
      </c>
      <c r="L2302" s="45" t="inlineStr">
        <is>
          <t>28/03/2028</t>
        </is>
      </c>
      <c r="M2302" s="45" t="inlineStr">
        <is>
          <t>31054 (Informatique - Systèmes d’information et numérique)</t>
        </is>
      </c>
      <c r="N2302" s="50" t="inlineStr">
        <is>
          <t>NON</t>
        </is>
      </c>
      <c r="O2302" s="45" t="inlineStr"/>
    </row>
    <row r="2303" customFormat="1" s="3">
      <c r="A2303" s="45" t="n"/>
      <c r="B2303" s="46" t="inlineStr">
        <is>
          <t>31067</t>
        </is>
      </c>
      <c r="C2303" s="46">
        <f>LEFT(Tableau1[[#This Row],[Formacode]],3)</f>
        <v/>
      </c>
      <c r="D2303" s="47" t="n">
        <v>40593</v>
      </c>
      <c r="E2303" s="48">
        <f>"RNCP"&amp;D2303</f>
        <v/>
      </c>
      <c r="F2303" s="48" t="inlineStr">
        <is>
          <t>Product builder no code</t>
        </is>
      </c>
      <c r="G2303" s="49">
        <f>E2303&amp;" - "&amp;F2303</f>
        <v/>
      </c>
      <c r="H2303" s="36" t="inlineStr">
        <is>
          <t>RAS</t>
        </is>
      </c>
      <c r="I2303" s="45" t="inlineStr"/>
      <c r="J2303" s="45" t="inlineStr">
        <is>
          <t>RNCP40593</t>
        </is>
      </c>
      <c r="K2303" s="45" t="inlineStr">
        <is>
          <t>Product builder no code</t>
        </is>
      </c>
      <c r="L2303" s="45" t="inlineStr">
        <is>
          <t>30/04/2028</t>
        </is>
      </c>
      <c r="M2303" s="45" t="inlineStr">
        <is>
          <t>31086 (Développement Low Code - No Code) ; 46334 (Maquettage site web) ; 31094 (Gestion projet informatique) ; 72454 (Application) ; 32012 (Gestion processus)</t>
        </is>
      </c>
      <c r="N2303" s="50" t="inlineStr">
        <is>
          <t>NON</t>
        </is>
      </c>
      <c r="O2303" s="45" t="inlineStr"/>
    </row>
    <row r="2304" customFormat="1" s="3">
      <c r="A2304" s="45" t="n"/>
      <c r="B2304" s="46" t="inlineStr">
        <is>
          <t>31067</t>
        </is>
      </c>
      <c r="C2304" s="46">
        <f>LEFT(Tableau1[[#This Row],[Formacode]],3)</f>
        <v/>
      </c>
      <c r="D2304" s="47" t="n">
        <v>41089</v>
      </c>
      <c r="E2304" s="48">
        <f>"RNCP"&amp;D2304</f>
        <v/>
      </c>
      <c r="F2304" s="48" t="inlineStr">
        <is>
          <t>Graphiste Eco-concepteur</t>
        </is>
      </c>
      <c r="G2304" s="49">
        <f>E2304&amp;" - "&amp;F2304</f>
        <v/>
      </c>
      <c r="H2304" s="36" t="inlineStr">
        <is>
          <t>RAS</t>
        </is>
      </c>
      <c r="I2304" s="45" t="inlineStr"/>
      <c r="J2304" s="45" t="inlineStr">
        <is>
          <t>RNCP41089</t>
        </is>
      </c>
      <c r="K2304" s="45" t="inlineStr">
        <is>
          <t>Graphiste Eco-concepteur</t>
        </is>
      </c>
      <c r="L2304" s="45" t="inlineStr">
        <is>
          <t>18/07/2028</t>
        </is>
      </c>
      <c r="M2304" s="45" t="inlineStr">
        <is>
          <t>46003 (Infographie) ; 46052 (PAO) ; 46090 (Graphisme publicité) ; 31090 (Développement web)</t>
        </is>
      </c>
      <c r="N2304" s="50" t="inlineStr">
        <is>
          <t>NON</t>
        </is>
      </c>
      <c r="O2304" s="45" t="inlineStr"/>
    </row>
    <row r="2305" customFormat="1" s="3">
      <c r="A2305" s="45" t="n"/>
      <c r="B2305" s="46" t="inlineStr">
        <is>
          <t>31067</t>
        </is>
      </c>
      <c r="C2305" s="46">
        <f>LEFT(Tableau1[[#This Row],[Formacode]],3)</f>
        <v/>
      </c>
      <c r="D2305" s="47" t="n">
        <v>41330</v>
      </c>
      <c r="E2305" s="48">
        <f>"RNCP"&amp;D2305</f>
        <v/>
      </c>
      <c r="F2305" s="48" t="inlineStr">
        <is>
          <t>Expert en développement logiciel</t>
        </is>
      </c>
      <c r="G2305" s="49">
        <f>E2305&amp;" - "&amp;F2305</f>
        <v/>
      </c>
      <c r="H2305" s="36" t="inlineStr">
        <is>
          <t>RAS</t>
        </is>
      </c>
      <c r="I2305" s="45" t="inlineStr"/>
      <c r="J2305" s="45" t="inlineStr">
        <is>
          <t>RNCP41330</t>
        </is>
      </c>
      <c r="K2305" s="45" t="inlineStr">
        <is>
          <t>Expert en développement logiciel</t>
        </is>
      </c>
      <c r="L2305" s="45" t="inlineStr">
        <is>
          <t>24/09/2028</t>
        </is>
      </c>
      <c r="M2305" s="45" t="inlineStr">
        <is>
          <t>31057 (Génie logiciel) ; 31067 (Développement informatique) ; 31094 (Gestion projet informatique)</t>
        </is>
      </c>
      <c r="N2305" s="50" t="inlineStr">
        <is>
          <t>NON</t>
        </is>
      </c>
      <c r="O2305" s="45" t="inlineStr"/>
    </row>
    <row r="2306" customFormat="1" s="3">
      <c r="A2306" s="45" t="n"/>
      <c r="B2306" s="46" t="inlineStr">
        <is>
          <t>31067</t>
        </is>
      </c>
      <c r="C2306" s="46">
        <f>LEFT(Tableau1[[#This Row],[Formacode]],3)</f>
        <v/>
      </c>
      <c r="D2306" s="47" t="n">
        <v>41459</v>
      </c>
      <c r="E2306" s="48">
        <f>"RNCP"&amp;D2306</f>
        <v/>
      </c>
      <c r="F2306" s="48" t="inlineStr">
        <is>
          <t>Product builder no-code</t>
        </is>
      </c>
      <c r="G2306" s="49">
        <f>E2306&amp;" - "&amp;F2306</f>
        <v/>
      </c>
      <c r="H2306" s="36" t="inlineStr">
        <is>
          <t>RAS</t>
        </is>
      </c>
      <c r="I2306" s="45" t="inlineStr"/>
      <c r="J2306" s="45" t="inlineStr">
        <is>
          <t>RNCP41459</t>
        </is>
      </c>
      <c r="K2306" s="45" t="inlineStr">
        <is>
          <t>Product builder no-code</t>
        </is>
      </c>
      <c r="L2306" s="45" t="inlineStr">
        <is>
          <t>27/10/2028</t>
        </is>
      </c>
      <c r="M2306" s="45" t="inlineStr">
        <is>
          <t>31086 (Développement Low Code - No Code) ; 46334 (Maquettage site web) ; 31094 (Gestion projet informatique) ; 72454 (Application) ; 13238 (Règlement général protection données)</t>
        </is>
      </c>
      <c r="N2306" s="50" t="inlineStr">
        <is>
          <t>NON</t>
        </is>
      </c>
      <c r="O2306" s="45" t="inlineStr"/>
    </row>
    <row r="2307" customFormat="1" s="3">
      <c r="A2307" s="45" t="n"/>
      <c r="B2307" s="46" t="inlineStr">
        <is>
          <t>31067</t>
        </is>
      </c>
      <c r="C2307" s="46">
        <f>LEFT(Tableau1[[#This Row],[Formacode]],3)</f>
        <v/>
      </c>
      <c r="D2307" s="47" t="n">
        <v>41643</v>
      </c>
      <c r="E2307" s="48">
        <f>"RNCP"&amp;D2307</f>
        <v/>
      </c>
      <c r="F2307" s="48" t="inlineStr">
        <is>
          <t>Expert en transformation digitale et technologique no code</t>
        </is>
      </c>
      <c r="G2307" s="49">
        <f>E2307&amp;" - "&amp;F2307</f>
        <v/>
      </c>
      <c r="H2307" s="36" t="inlineStr">
        <is>
          <t>RAS</t>
        </is>
      </c>
      <c r="I2307" s="45" t="inlineStr"/>
      <c r="J2307" s="45" t="inlineStr">
        <is>
          <t>RNCP41643</t>
        </is>
      </c>
      <c r="K2307" s="45" t="inlineStr">
        <is>
          <t>Expert en transformation digitale et technologique no code</t>
        </is>
      </c>
      <c r="L2307" s="45" t="inlineStr">
        <is>
          <t>27/11/2028</t>
        </is>
      </c>
      <c r="M2307" s="45" t="inlineStr">
        <is>
          <t>31086 (Développement Low Code - No Code) ; 32008 (Responsabilité sociétale entreprise) ; 32066 (Transition numérique) ; 31094 (Gestion projet informatique) ; 32025 (Stratégie entreprise)</t>
        </is>
      </c>
      <c r="N2307" s="50" t="inlineStr">
        <is>
          <t>NON</t>
        </is>
      </c>
      <c r="O2307" s="45" t="inlineStr"/>
    </row>
    <row r="2308" customFormat="1" s="3">
      <c r="A2308" s="45" t="n"/>
      <c r="B2308" s="46" t="inlineStr">
        <is>
          <t>31067</t>
        </is>
      </c>
      <c r="C2308" s="46">
        <f>LEFT(Tableau1[[#This Row],[Formacode]],3)</f>
        <v/>
      </c>
      <c r="D2308" s="47" t="n">
        <v>41701</v>
      </c>
      <c r="E2308" s="48">
        <f>"RNCP"&amp;D2308</f>
        <v/>
      </c>
      <c r="F2308" s="48" t="inlineStr">
        <is>
          <t>Concepteur développeur de solutions blockchain</t>
        </is>
      </c>
      <c r="G2308" s="49">
        <f>E2308&amp;" - "&amp;F2308</f>
        <v/>
      </c>
      <c r="H2308" s="36" t="inlineStr">
        <is>
          <t>RAS</t>
        </is>
      </c>
      <c r="I2308" s="45" t="inlineStr"/>
      <c r="J2308" s="45" t="inlineStr">
        <is>
          <t>RNCP41701</t>
        </is>
      </c>
      <c r="K2308" s="45" t="inlineStr">
        <is>
          <t>Concepteur développeur de solutions blockchain</t>
        </is>
      </c>
      <c r="L2308" s="45" t="inlineStr">
        <is>
          <t>27/10/2028</t>
        </is>
      </c>
      <c r="M2308" s="45" t="inlineStr">
        <is>
          <t>31004 (Blockchain) ; 31094 (Gestion projet informatique) ; 31009 (Architecture système information) ; 31067 (Développement informatique)</t>
        </is>
      </c>
      <c r="N2308" s="50" t="inlineStr">
        <is>
          <t>NON</t>
        </is>
      </c>
      <c r="O2308" s="45" t="inlineStr"/>
    </row>
    <row r="2309" customFormat="1" s="3">
      <c r="A2309" s="45" t="n"/>
      <c r="B2309" s="46" t="inlineStr">
        <is>
          <t>31067</t>
        </is>
      </c>
      <c r="C2309" s="46">
        <f>LEFT(Tableau1[[#This Row],[Formacode]],3)</f>
        <v/>
      </c>
      <c r="D2309" s="47" t="n">
        <v>41791</v>
      </c>
      <c r="E2309" s="48">
        <f>"RNCP"&amp;D2309</f>
        <v/>
      </c>
      <c r="F2309" s="48" t="inlineStr">
        <is>
          <t>Product builder no code</t>
        </is>
      </c>
      <c r="G2309" s="49">
        <f>E2309&amp;" - "&amp;F2309</f>
        <v/>
      </c>
      <c r="H2309" s="36" t="inlineStr">
        <is>
          <t>RAS</t>
        </is>
      </c>
      <c r="I2309" s="45" t="inlineStr"/>
      <c r="J2309" s="45" t="inlineStr">
        <is>
          <t>RNCP41791</t>
        </is>
      </c>
      <c r="K2309" s="45" t="inlineStr">
        <is>
          <t>Product builder no code</t>
        </is>
      </c>
      <c r="L2309" s="45" t="inlineStr">
        <is>
          <t>18/12/2028</t>
        </is>
      </c>
      <c r="M2309" s="45" t="inlineStr">
        <is>
          <t>31086 (Développement Low Code - No Code) ; 46334 (Maquettage site web) ; 31094 (Gestion projet informatique) ; 72454 (Application) ; 32066 (Transition numérique)</t>
        </is>
      </c>
      <c r="N2309" s="50" t="inlineStr">
        <is>
          <t>NON</t>
        </is>
      </c>
      <c r="O2309" s="45" t="inlineStr"/>
    </row>
    <row r="2310" customFormat="1" s="3">
      <c r="A2310" s="45" t="n"/>
      <c r="B2310" s="46" t="inlineStr">
        <is>
          <t>31067</t>
        </is>
      </c>
      <c r="C2310" s="46">
        <f>LEFT(Tableau1[[#This Row],[Formacode]],3)</f>
        <v/>
      </c>
      <c r="D2310" s="47" t="n">
        <v>41823</v>
      </c>
      <c r="E2310" s="48">
        <f>"RNCP"&amp;D2310</f>
        <v/>
      </c>
      <c r="F2310" s="48" t="inlineStr">
        <is>
          <t>Titre ingénieur - Ingénieur diplômé de l’ESIEE IT - CCI Paris Ile-de-France Éducation</t>
        </is>
      </c>
      <c r="G2310" s="49">
        <f>E2310&amp;" - "&amp;F2310</f>
        <v/>
      </c>
      <c r="H2310" s="36" t="inlineStr">
        <is>
          <t>RAS</t>
        </is>
      </c>
      <c r="I2310" s="45" t="inlineStr"/>
      <c r="J2310" s="45" t="inlineStr">
        <is>
          <t>RNCP41823</t>
        </is>
      </c>
      <c r="K2310" s="45" t="inlineStr">
        <is>
          <t>Ingénieur diplômé de l’ESIEE IT - CCI Paris Ile-de-France Éducation</t>
        </is>
      </c>
      <c r="L2310" s="45" t="inlineStr">
        <is>
          <t>31/08/2027</t>
        </is>
      </c>
      <c r="M2310" s="45" t="inlineStr">
        <is>
          <t>31054 (Informatique - Systèmes d’information et numérique) ; 32062 (Recherche développement) ; 15099 (Résolution problème)</t>
        </is>
      </c>
      <c r="N2310" s="50" t="inlineStr">
        <is>
          <t>NON</t>
        </is>
      </c>
      <c r="O2310" s="45" t="inlineStr"/>
    </row>
    <row r="2311" customFormat="1" s="3">
      <c r="A2311" s="45" t="n"/>
      <c r="B2311" s="46" t="inlineStr">
        <is>
          <t>31069</t>
        </is>
      </c>
      <c r="C2311" s="46">
        <f>LEFT(Tableau1[[#This Row],[Formacode]],3)</f>
        <v/>
      </c>
      <c r="D2311" s="47" t="n">
        <v>37103</v>
      </c>
      <c r="E2311" s="48">
        <f>"RNCP"&amp;D2311</f>
        <v/>
      </c>
      <c r="F2311" s="48" t="inlineStr">
        <is>
          <t>TP - Technicien en géomatique</t>
        </is>
      </c>
      <c r="G2311" s="49">
        <f>E2311&amp;" - "&amp;F2311</f>
        <v/>
      </c>
      <c r="H2311" s="36" t="inlineStr">
        <is>
          <t>RAS</t>
        </is>
      </c>
      <c r="I2311" s="45" t="inlineStr"/>
      <c r="J2311" s="45" t="inlineStr">
        <is>
          <t>RNCP37103</t>
        </is>
      </c>
      <c r="K2311" s="45" t="inlineStr">
        <is>
          <t>Technicien en géomatique</t>
        </is>
      </c>
      <c r="L2311" s="45" t="inlineStr">
        <is>
          <t>25/02/2028</t>
        </is>
      </c>
      <c r="M2311" s="45" t="inlineStr">
        <is>
          <t>12232 (Géomatique) ; 31054 (Informatique - Systèmes d’information et numérique) ; 12505 (Plan local urbanisme)</t>
        </is>
      </c>
      <c r="N2311" s="50" t="inlineStr">
        <is>
          <t>NON</t>
        </is>
      </c>
      <c r="O2311" s="45" t="inlineStr"/>
    </row>
    <row r="2312" customFormat="1" s="3">
      <c r="A2312" s="51" t="n"/>
      <c r="B2312" s="52" t="inlineStr">
        <is>
          <t>31069</t>
        </is>
      </c>
      <c r="C2312" s="52">
        <f>LEFT(Tableau1[[#This Row],[Formacode]],3)</f>
        <v/>
      </c>
      <c r="D2312" s="53" t="n">
        <v>38018</v>
      </c>
      <c r="E2312" s="54">
        <f>"RNCP"&amp;D2312</f>
        <v/>
      </c>
      <c r="F2312" s="54" t="inlineStr">
        <is>
          <t>Chef de projet digital</t>
        </is>
      </c>
      <c r="G2312" s="55">
        <f>E2312&amp;" - "&amp;F2312</f>
        <v/>
      </c>
      <c r="H2312" s="37" t="inlineStr">
        <is>
          <t>À vérifier</t>
        </is>
      </c>
      <c r="I2312" s="51" t="inlineStr">
        <is>
          <t>Échéance le 20/09/2026 (dans 64 j)</t>
        </is>
      </c>
      <c r="J2312" s="51" t="inlineStr">
        <is>
          <t>RNCP38018</t>
        </is>
      </c>
      <c r="K2312" s="51" t="inlineStr">
        <is>
          <t>Chef de projet digital</t>
        </is>
      </c>
      <c r="L2312" s="51" t="inlineStr">
        <is>
          <t>20/09/2026</t>
        </is>
      </c>
      <c r="M2312" s="51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312" s="62" t="inlineStr">
        <is>
          <t>NON</t>
        </is>
      </c>
      <c r="O2312" s="51" t="inlineStr"/>
    </row>
    <row r="2313" customFormat="1" s="3">
      <c r="A2313" s="45" t="n"/>
      <c r="B2313" s="46" t="inlineStr">
        <is>
          <t>31069</t>
        </is>
      </c>
      <c r="C2313" s="46">
        <f>LEFT(Tableau1[[#This Row],[Formacode]],3)</f>
        <v/>
      </c>
      <c r="D2313" s="47" t="n">
        <v>39425</v>
      </c>
      <c r="E2313" s="48">
        <f>"RNCP"&amp;D2313</f>
        <v/>
      </c>
      <c r="F2313" s="48" t="inlineStr">
        <is>
          <t>Diplôme visé - Expert en Ingénierie Informatique et Innovation Numérique</t>
        </is>
      </c>
      <c r="G2313" s="49">
        <f>E2313&amp;" - "&amp;F2313</f>
        <v/>
      </c>
      <c r="H2313" s="36" t="inlineStr">
        <is>
          <t>RAS</t>
        </is>
      </c>
      <c r="I2313" s="45" t="inlineStr"/>
      <c r="J2313" s="45" t="inlineStr">
        <is>
          <t>RNCP39425</t>
        </is>
      </c>
      <c r="K2313" s="45" t="inlineStr">
        <is>
          <t>Expert en Ingénierie Informatique et Innovation Numérique</t>
        </is>
      </c>
      <c r="L2313" s="45" t="inlineStr">
        <is>
          <t>31/08/2029</t>
        </is>
      </c>
      <c r="M2313" s="45" t="inlineStr">
        <is>
          <t>31054 (Informatique - Systèmes d’information et numérique) ; 32070 (Innovation entreprise)</t>
        </is>
      </c>
      <c r="N2313" s="50" t="inlineStr">
        <is>
          <t>NON</t>
        </is>
      </c>
      <c r="O2313" s="45" t="inlineStr"/>
    </row>
    <row r="2314" customFormat="1" s="3">
      <c r="A2314" s="45" t="n"/>
      <c r="B2314" s="46" t="inlineStr">
        <is>
          <t>31069</t>
        </is>
      </c>
      <c r="C2314" s="46">
        <f>LEFT(Tableau1[[#This Row],[Formacode]],3)</f>
        <v/>
      </c>
      <c r="D2314" s="47" t="n">
        <v>39445</v>
      </c>
      <c r="E2314" s="48">
        <f>"RNCP"&amp;D2314</f>
        <v/>
      </c>
      <c r="F2314" s="48" t="inlineStr">
        <is>
          <t>Titre ingénieur - Ingénieur diplômé de l'Institut supérieur d'électronique de Paris</t>
        </is>
      </c>
      <c r="G2314" s="49">
        <f>E2314&amp;" - "&amp;F2314</f>
        <v/>
      </c>
      <c r="H2314" s="36" t="inlineStr">
        <is>
          <t>RAS</t>
        </is>
      </c>
      <c r="I2314" s="45" t="inlineStr"/>
      <c r="J2314" s="45" t="inlineStr">
        <is>
          <t>RNCP39445</t>
        </is>
      </c>
      <c r="K2314" s="45" t="inlineStr">
        <is>
          <t>Ingénieur diplômé de l'Institut supérieur d'électronique de Paris</t>
        </is>
      </c>
      <c r="L2314" s="45" t="inlineStr">
        <is>
          <t>31/08/2029</t>
        </is>
      </c>
      <c r="M2314" s="45" t="inlineStr">
        <is>
          <t>24354 (Électronique) ; 31054 (Informatique - Systèmes d’information et numérique) ; 32062 (Recherche développement) ; 15099 (Résolution problème)</t>
        </is>
      </c>
      <c r="N2314" s="50" t="inlineStr">
        <is>
          <t>NON</t>
        </is>
      </c>
      <c r="O2314" s="45" t="inlineStr"/>
    </row>
    <row r="2315" customFormat="1" s="3">
      <c r="A2315" s="45" t="n"/>
      <c r="B2315" s="46" t="inlineStr">
        <is>
          <t>31069</t>
        </is>
      </c>
      <c r="C2315" s="46">
        <f>LEFT(Tableau1[[#This Row],[Formacode]],3)</f>
        <v/>
      </c>
      <c r="D2315" s="47" t="n">
        <v>39582</v>
      </c>
      <c r="E2315" s="48">
        <f>"RNCP"&amp;D2315</f>
        <v/>
      </c>
      <c r="F2315" s="48" t="inlineStr">
        <is>
          <t>Expert en architecture des systèmes d’information</t>
        </is>
      </c>
      <c r="G2315" s="49">
        <f>E2315&amp;" - "&amp;F2315</f>
        <v/>
      </c>
      <c r="H2315" s="36" t="inlineStr">
        <is>
          <t>RAS</t>
        </is>
      </c>
      <c r="I2315" s="45" t="inlineStr"/>
      <c r="J2315" s="45" t="inlineStr">
        <is>
          <t>RNCP39582</t>
        </is>
      </c>
      <c r="K2315" s="45" t="inlineStr">
        <is>
          <t>Expert en architecture des systèmes d’information</t>
        </is>
      </c>
      <c r="L2315" s="45" t="inlineStr">
        <is>
          <t>01/10/2029</t>
        </is>
      </c>
      <c r="M2315" s="45" t="inlineStr">
        <is>
          <t>31054 (Informatique - Systèmes d’information et numérique)</t>
        </is>
      </c>
      <c r="N2315" s="50" t="inlineStr">
        <is>
          <t>NON</t>
        </is>
      </c>
      <c r="O2315" s="45" t="inlineStr"/>
    </row>
    <row r="2316" ht="28.8" customFormat="1" customHeight="1" s="3">
      <c r="A2316" s="45" t="n"/>
      <c r="B2316" s="46" t="inlineStr">
        <is>
          <t>31069</t>
        </is>
      </c>
      <c r="C2316" s="46">
        <f>LEFT(Tableau1[[#This Row],[Formacode]],3)</f>
        <v/>
      </c>
      <c r="D2316" s="47" t="n">
        <v>39586</v>
      </c>
      <c r="E2316" s="48">
        <f>"RNCP"&amp;D2316</f>
        <v/>
      </c>
      <c r="F2316" s="48" t="inlineStr">
        <is>
          <t>Ingénieur en science des données spécialisé en infrastructure data ou en apprentissage automatique</t>
        </is>
      </c>
      <c r="G2316" s="49">
        <f>E2316&amp;" - "&amp;F2316</f>
        <v/>
      </c>
      <c r="H2316" s="36" t="inlineStr">
        <is>
          <t>RAS</t>
        </is>
      </c>
      <c r="I2316" s="45" t="inlineStr"/>
      <c r="J2316" s="45" t="inlineStr">
        <is>
          <t>RNCP39586</t>
        </is>
      </c>
      <c r="K2316" s="45" t="inlineStr">
        <is>
          <t>Ingénieur en science des données spécialisé en infrastructure data ou en apprentissage automatique</t>
        </is>
      </c>
      <c r="L2316" s="45" t="inlineStr">
        <is>
          <t>01/10/2029</t>
        </is>
      </c>
      <c r="M2316" s="45" t="inlineStr">
        <is>
          <t>31054 (Informatique - Systèmes d’information et numérique)</t>
        </is>
      </c>
      <c r="N2316" s="50" t="inlineStr">
        <is>
          <t>NON</t>
        </is>
      </c>
      <c r="O2316" s="45" t="inlineStr"/>
    </row>
    <row r="2317" customFormat="1" s="3">
      <c r="A2317" s="45" t="n"/>
      <c r="B2317" s="46" t="inlineStr">
        <is>
          <t>31069</t>
        </is>
      </c>
      <c r="C2317" s="46">
        <f>LEFT(Tableau1[[#This Row],[Formacode]],3)</f>
        <v/>
      </c>
      <c r="D2317" s="47" t="n">
        <v>40363</v>
      </c>
      <c r="E2317" s="48">
        <f>"RNCP"&amp;D2317</f>
        <v/>
      </c>
      <c r="F2317" s="48" t="inlineStr">
        <is>
          <t>Expert en études et développement du système d'information</t>
        </is>
      </c>
      <c r="G2317" s="49">
        <f>E2317&amp;" - "&amp;F2317</f>
        <v/>
      </c>
      <c r="H2317" s="36" t="inlineStr">
        <is>
          <t>RAS</t>
        </is>
      </c>
      <c r="I2317" s="45" t="inlineStr"/>
      <c r="J2317" s="45" t="inlineStr">
        <is>
          <t>RNCP40363</t>
        </is>
      </c>
      <c r="K2317" s="45" t="inlineStr">
        <is>
          <t>Expert en études et développement du système d'information</t>
        </is>
      </c>
      <c r="L2317" s="45" t="inlineStr">
        <is>
          <t>28/03/2028</t>
        </is>
      </c>
      <c r="M2317" s="45" t="inlineStr">
        <is>
          <t>31054 (Informatique - Systèmes d’information et numérique)</t>
        </is>
      </c>
      <c r="N2317" s="50" t="inlineStr">
        <is>
          <t>NON</t>
        </is>
      </c>
      <c r="O2317" s="45" t="inlineStr"/>
    </row>
    <row r="2318" customFormat="1" s="3">
      <c r="A2318" s="45" t="n"/>
      <c r="B2318" s="46" t="inlineStr">
        <is>
          <t>31069</t>
        </is>
      </c>
      <c r="C2318" s="46">
        <f>LEFT(Tableau1[[#This Row],[Formacode]],3)</f>
        <v/>
      </c>
      <c r="D2318" s="47" t="n">
        <v>40593</v>
      </c>
      <c r="E2318" s="48">
        <f>"RNCP"&amp;D2318</f>
        <v/>
      </c>
      <c r="F2318" s="48" t="inlineStr">
        <is>
          <t>Product builder no code</t>
        </is>
      </c>
      <c r="G2318" s="49">
        <f>E2318&amp;" - "&amp;F2318</f>
        <v/>
      </c>
      <c r="H2318" s="36" t="inlineStr">
        <is>
          <t>RAS</t>
        </is>
      </c>
      <c r="I2318" s="45" t="inlineStr"/>
      <c r="J2318" s="45" t="inlineStr">
        <is>
          <t>RNCP40593</t>
        </is>
      </c>
      <c r="K2318" s="45" t="inlineStr">
        <is>
          <t>Product builder no code</t>
        </is>
      </c>
      <c r="L2318" s="45" t="inlineStr">
        <is>
          <t>30/04/2028</t>
        </is>
      </c>
      <c r="M2318" s="45" t="inlineStr">
        <is>
          <t>31086 (Développement Low Code - No Code) ; 46334 (Maquettage site web) ; 31094 (Gestion projet informatique) ; 72454 (Application) ; 32012 (Gestion processus)</t>
        </is>
      </c>
      <c r="N2318" s="50" t="inlineStr">
        <is>
          <t>NON</t>
        </is>
      </c>
      <c r="O2318" s="45" t="inlineStr"/>
    </row>
    <row r="2319" customFormat="1" s="3">
      <c r="A2319" s="45" t="n"/>
      <c r="B2319" s="46" t="inlineStr">
        <is>
          <t>31069</t>
        </is>
      </c>
      <c r="C2319" s="46">
        <f>LEFT(Tableau1[[#This Row],[Formacode]],3)</f>
        <v/>
      </c>
      <c r="D2319" s="47" t="n">
        <v>41823</v>
      </c>
      <c r="E2319" s="48">
        <f>"RNCP"&amp;D2319</f>
        <v/>
      </c>
      <c r="F2319" s="48" t="inlineStr">
        <is>
          <t>Titre ingénieur - Ingénieur diplômé de l’ESIEE IT - CCI Paris Ile-de-France Éducation</t>
        </is>
      </c>
      <c r="G2319" s="49">
        <f>E2319&amp;" - "&amp;F2319</f>
        <v/>
      </c>
      <c r="H2319" s="36" t="inlineStr">
        <is>
          <t>RAS</t>
        </is>
      </c>
      <c r="I2319" s="45" t="inlineStr"/>
      <c r="J2319" s="45" t="inlineStr">
        <is>
          <t>RNCP41823</t>
        </is>
      </c>
      <c r="K2319" s="45" t="inlineStr">
        <is>
          <t>Ingénieur diplômé de l’ESIEE IT - CCI Paris Ile-de-France Éducation</t>
        </is>
      </c>
      <c r="L2319" s="45" t="inlineStr">
        <is>
          <t>31/08/2027</t>
        </is>
      </c>
      <c r="M2319" s="45" t="inlineStr">
        <is>
          <t>31054 (Informatique - Systèmes d’information et numérique) ; 32062 (Recherche développement) ; 15099 (Résolution problème)</t>
        </is>
      </c>
      <c r="N2319" s="50" t="inlineStr">
        <is>
          <t>NON</t>
        </is>
      </c>
      <c r="O2319" s="45" t="inlineStr"/>
    </row>
    <row r="2320" customFormat="1" s="3">
      <c r="A2320" s="45" t="n"/>
      <c r="B2320" s="46" t="inlineStr">
        <is>
          <t>31081</t>
        </is>
      </c>
      <c r="C2320" s="46">
        <f>LEFT(Tableau1[[#This Row],[Formacode]],3)</f>
        <v/>
      </c>
      <c r="D2320" s="47" t="n">
        <v>37103</v>
      </c>
      <c r="E2320" s="48">
        <f>"RNCP"&amp;D2320</f>
        <v/>
      </c>
      <c r="F2320" s="48" t="inlineStr">
        <is>
          <t>TP - Technicien en géomatique</t>
        </is>
      </c>
      <c r="G2320" s="49">
        <f>E2320&amp;" - "&amp;F2320</f>
        <v/>
      </c>
      <c r="H2320" s="36" t="inlineStr">
        <is>
          <t>RAS</t>
        </is>
      </c>
      <c r="I2320" s="45" t="inlineStr"/>
      <c r="J2320" s="45" t="inlineStr">
        <is>
          <t>RNCP37103</t>
        </is>
      </c>
      <c r="K2320" s="45" t="inlineStr">
        <is>
          <t>Technicien en géomatique</t>
        </is>
      </c>
      <c r="L2320" s="45" t="inlineStr">
        <is>
          <t>25/02/2028</t>
        </is>
      </c>
      <c r="M2320" s="45" t="inlineStr">
        <is>
          <t>12232 (Géomatique) ; 31054 (Informatique - Systèmes d’information et numérique) ; 12505 (Plan local urbanisme)</t>
        </is>
      </c>
      <c r="N2320" s="50" t="inlineStr">
        <is>
          <t>NON</t>
        </is>
      </c>
      <c r="O2320" s="45" t="inlineStr"/>
    </row>
    <row r="2321" customFormat="1" s="3">
      <c r="A2321" s="51" t="n"/>
      <c r="B2321" s="52" t="inlineStr">
        <is>
          <t>31081</t>
        </is>
      </c>
      <c r="C2321" s="52">
        <f>LEFT(Tableau1[[#This Row],[Formacode]],3)</f>
        <v/>
      </c>
      <c r="D2321" s="53" t="n">
        <v>38018</v>
      </c>
      <c r="E2321" s="54">
        <f>"RNCP"&amp;D2321</f>
        <v/>
      </c>
      <c r="F2321" s="54" t="inlineStr">
        <is>
          <t>Chef de projet digital</t>
        </is>
      </c>
      <c r="G2321" s="55">
        <f>E2321&amp;" - "&amp;F2321</f>
        <v/>
      </c>
      <c r="H2321" s="37" t="inlineStr">
        <is>
          <t>À vérifier</t>
        </is>
      </c>
      <c r="I2321" s="51" t="inlineStr">
        <is>
          <t>Échéance le 20/09/2026 (dans 64 j)</t>
        </is>
      </c>
      <c r="J2321" s="51" t="inlineStr">
        <is>
          <t>RNCP38018</t>
        </is>
      </c>
      <c r="K2321" s="51" t="inlineStr">
        <is>
          <t>Chef de projet digital</t>
        </is>
      </c>
      <c r="L2321" s="51" t="inlineStr">
        <is>
          <t>20/09/2026</t>
        </is>
      </c>
      <c r="M2321" s="51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321" s="62" t="inlineStr">
        <is>
          <t>NON</t>
        </is>
      </c>
      <c r="O2321" s="51" t="inlineStr"/>
    </row>
    <row r="2322" customFormat="1" s="3">
      <c r="A2322" s="45" t="n"/>
      <c r="B2322" s="46" t="inlineStr">
        <is>
          <t>31081</t>
        </is>
      </c>
      <c r="C2322" s="46">
        <f>LEFT(Tableau1[[#This Row],[Formacode]],3)</f>
        <v/>
      </c>
      <c r="D2322" s="47" t="n">
        <v>38718</v>
      </c>
      <c r="E2322" s="48">
        <f>"RNCP"&amp;D2322</f>
        <v/>
      </c>
      <c r="F2322" s="48" t="inlineStr">
        <is>
          <t>TP - Agent de reconditionnement numérique</t>
        </is>
      </c>
      <c r="G2322" s="49">
        <f>E2322&amp;" - "&amp;F2322</f>
        <v/>
      </c>
      <c r="H2322" s="36" t="inlineStr">
        <is>
          <t>RAS</t>
        </is>
      </c>
      <c r="I2322" s="45" t="inlineStr"/>
      <c r="J2322" s="45" t="inlineStr">
        <is>
          <t>RNCP38718</t>
        </is>
      </c>
      <c r="K2322" s="45" t="inlineStr">
        <is>
          <t>Agent de reconditionnement numérique</t>
        </is>
      </c>
      <c r="L2322" s="45" t="inlineStr">
        <is>
          <t>23/06/2029</t>
        </is>
      </c>
      <c r="M2322" s="45" t="inlineStr">
        <is>
          <t>31080 (Matériel informatique) ; 24340 (Maintenance électronique) ; 31002 (Informatique verte)</t>
        </is>
      </c>
      <c r="N2322" s="50" t="inlineStr">
        <is>
          <t>NON</t>
        </is>
      </c>
      <c r="O2322" s="45" t="inlineStr"/>
    </row>
    <row r="2323" customFormat="1" s="3">
      <c r="A2323" s="45" t="n"/>
      <c r="B2323" s="46" t="inlineStr">
        <is>
          <t>31081</t>
        </is>
      </c>
      <c r="C2323" s="46">
        <f>LEFT(Tableau1[[#This Row],[Formacode]],3)</f>
        <v/>
      </c>
      <c r="D2323" s="47" t="n">
        <v>39228</v>
      </c>
      <c r="E2323" s="48">
        <f>"RNCP"&amp;D2323</f>
        <v/>
      </c>
      <c r="F2323" s="48" t="inlineStr">
        <is>
          <t>CQP Technicien de maintenance des systèmes informatiques</t>
        </is>
      </c>
      <c r="G2323" s="49">
        <f>E2323&amp;" - "&amp;F2323</f>
        <v/>
      </c>
      <c r="H2323" s="36" t="inlineStr">
        <is>
          <t>RAS</t>
        </is>
      </c>
      <c r="I2323" s="45" t="inlineStr"/>
      <c r="J2323" s="45" t="inlineStr">
        <is>
          <t>RNCP39228</t>
        </is>
      </c>
      <c r="K2323" s="45" t="inlineStr">
        <is>
          <t>CQP Technicien de maintenance des systèmes informatiques</t>
        </is>
      </c>
      <c r="L2323" s="45" t="inlineStr">
        <is>
          <t>27/06/2027</t>
        </is>
      </c>
      <c r="M2323" s="45" t="inlineStr">
        <is>
          <t>31051 (Maintenance assistance informatique)</t>
        </is>
      </c>
      <c r="N2323" s="50" t="inlineStr">
        <is>
          <t>NON</t>
        </is>
      </c>
      <c r="O2323" s="45" t="inlineStr"/>
    </row>
    <row r="2324" customFormat="1" s="3">
      <c r="A2324" s="45" t="n"/>
      <c r="B2324" s="46" t="inlineStr">
        <is>
          <t>31081</t>
        </is>
      </c>
      <c r="C2324" s="46">
        <f>LEFT(Tableau1[[#This Row],[Formacode]],3)</f>
        <v/>
      </c>
      <c r="D2324" s="47" t="n">
        <v>39425</v>
      </c>
      <c r="E2324" s="48">
        <f>"RNCP"&amp;D2324</f>
        <v/>
      </c>
      <c r="F2324" s="48" t="inlineStr">
        <is>
          <t>Diplôme visé - Expert en Ingénierie Informatique et Innovation Numérique</t>
        </is>
      </c>
      <c r="G2324" s="49">
        <f>E2324&amp;" - "&amp;F2324</f>
        <v/>
      </c>
      <c r="H2324" s="36" t="inlineStr">
        <is>
          <t>RAS</t>
        </is>
      </c>
      <c r="I2324" s="45" t="inlineStr"/>
      <c r="J2324" s="45" t="inlineStr">
        <is>
          <t>RNCP39425</t>
        </is>
      </c>
      <c r="K2324" s="45" t="inlineStr">
        <is>
          <t>Expert en Ingénierie Informatique et Innovation Numérique</t>
        </is>
      </c>
      <c r="L2324" s="45" t="inlineStr">
        <is>
          <t>31/08/2029</t>
        </is>
      </c>
      <c r="M2324" s="45" t="inlineStr">
        <is>
          <t>31054 (Informatique - Systèmes d’information et numérique) ; 32070 (Innovation entreprise)</t>
        </is>
      </c>
      <c r="N2324" s="50" t="inlineStr">
        <is>
          <t>NON</t>
        </is>
      </c>
      <c r="O2324" s="45" t="inlineStr"/>
    </row>
    <row r="2325" customFormat="1" s="3">
      <c r="A2325" s="45" t="n"/>
      <c r="B2325" s="46" t="inlineStr">
        <is>
          <t>31081</t>
        </is>
      </c>
      <c r="C2325" s="46">
        <f>LEFT(Tableau1[[#This Row],[Formacode]],3)</f>
        <v/>
      </c>
      <c r="D2325" s="47" t="n">
        <v>39445</v>
      </c>
      <c r="E2325" s="48">
        <f>"RNCP"&amp;D2325</f>
        <v/>
      </c>
      <c r="F2325" s="48" t="inlineStr">
        <is>
          <t>Titre ingénieur - Ingénieur diplômé de l'Institut supérieur d'électronique de Paris</t>
        </is>
      </c>
      <c r="G2325" s="49">
        <f>E2325&amp;" - "&amp;F2325</f>
        <v/>
      </c>
      <c r="H2325" s="36" t="inlineStr">
        <is>
          <t>RAS</t>
        </is>
      </c>
      <c r="I2325" s="45" t="inlineStr"/>
      <c r="J2325" s="45" t="inlineStr">
        <is>
          <t>RNCP39445</t>
        </is>
      </c>
      <c r="K2325" s="45" t="inlineStr">
        <is>
          <t>Ingénieur diplômé de l'Institut supérieur d'électronique de Paris</t>
        </is>
      </c>
      <c r="L2325" s="45" t="inlineStr">
        <is>
          <t>31/08/2029</t>
        </is>
      </c>
      <c r="M2325" s="45" t="inlineStr">
        <is>
          <t>24354 (Électronique) ; 31054 (Informatique - Systèmes d’information et numérique) ; 32062 (Recherche développement) ; 15099 (Résolution problème)</t>
        </is>
      </c>
      <c r="N2325" s="50" t="inlineStr">
        <is>
          <t>NON</t>
        </is>
      </c>
      <c r="O2325" s="45" t="inlineStr"/>
    </row>
    <row r="2326" customFormat="1" s="3">
      <c r="A2326" s="45" t="n"/>
      <c r="B2326" s="46" t="inlineStr">
        <is>
          <t>31081</t>
        </is>
      </c>
      <c r="C2326" s="46">
        <f>LEFT(Tableau1[[#This Row],[Formacode]],3)</f>
        <v/>
      </c>
      <c r="D2326" s="47" t="n">
        <v>39582</v>
      </c>
      <c r="E2326" s="48">
        <f>"RNCP"&amp;D2326</f>
        <v/>
      </c>
      <c r="F2326" s="48" t="inlineStr">
        <is>
          <t>Expert en architecture des systèmes d’information</t>
        </is>
      </c>
      <c r="G2326" s="49">
        <f>E2326&amp;" - "&amp;F2326</f>
        <v/>
      </c>
      <c r="H2326" s="36" t="inlineStr">
        <is>
          <t>RAS</t>
        </is>
      </c>
      <c r="I2326" s="45" t="inlineStr"/>
      <c r="J2326" s="45" t="inlineStr">
        <is>
          <t>RNCP39582</t>
        </is>
      </c>
      <c r="K2326" s="45" t="inlineStr">
        <is>
          <t>Expert en architecture des systèmes d’information</t>
        </is>
      </c>
      <c r="L2326" s="45" t="inlineStr">
        <is>
          <t>01/10/2029</t>
        </is>
      </c>
      <c r="M2326" s="45" t="inlineStr">
        <is>
          <t>31054 (Informatique - Systèmes d’information et numérique)</t>
        </is>
      </c>
      <c r="N2326" s="50" t="inlineStr">
        <is>
          <t>NON</t>
        </is>
      </c>
      <c r="O2326" s="45" t="inlineStr"/>
    </row>
    <row r="2327" ht="28.8" customFormat="1" customHeight="1" s="3">
      <c r="A2327" s="45" t="n"/>
      <c r="B2327" s="46" t="inlineStr">
        <is>
          <t>31081</t>
        </is>
      </c>
      <c r="C2327" s="46">
        <f>LEFT(Tableau1[[#This Row],[Formacode]],3)</f>
        <v/>
      </c>
      <c r="D2327" s="47" t="n">
        <v>39586</v>
      </c>
      <c r="E2327" s="48">
        <f>"RNCP"&amp;D2327</f>
        <v/>
      </c>
      <c r="F2327" s="48" t="inlineStr">
        <is>
          <t>Ingénieur en science des données spécialisé en infrastructure data ou en apprentissage automatique</t>
        </is>
      </c>
      <c r="G2327" s="49">
        <f>E2327&amp;" - "&amp;F2327</f>
        <v/>
      </c>
      <c r="H2327" s="36" t="inlineStr">
        <is>
          <t>RAS</t>
        </is>
      </c>
      <c r="I2327" s="45" t="inlineStr"/>
      <c r="J2327" s="45" t="inlineStr">
        <is>
          <t>RNCP39586</t>
        </is>
      </c>
      <c r="K2327" s="45" t="inlineStr">
        <is>
          <t>Ingénieur en science des données spécialisé en infrastructure data ou en apprentissage automatique</t>
        </is>
      </c>
      <c r="L2327" s="45" t="inlineStr">
        <is>
          <t>01/10/2029</t>
        </is>
      </c>
      <c r="M2327" s="45" t="inlineStr">
        <is>
          <t>31054 (Informatique - Systèmes d’information et numérique)</t>
        </is>
      </c>
      <c r="N2327" s="50" t="inlineStr">
        <is>
          <t>NON</t>
        </is>
      </c>
      <c r="O2327" s="45" t="inlineStr"/>
    </row>
    <row r="2328" customFormat="1" s="3">
      <c r="A2328" s="45" t="n"/>
      <c r="B2328" s="46" t="inlineStr">
        <is>
          <t>31081</t>
        </is>
      </c>
      <c r="C2328" s="46">
        <f>LEFT(Tableau1[[#This Row],[Formacode]],3)</f>
        <v/>
      </c>
      <c r="D2328" s="47" t="n">
        <v>40357</v>
      </c>
      <c r="E2328" s="48">
        <f>"RNCP"&amp;D2328</f>
        <v/>
      </c>
      <c r="F2328" s="48" t="inlineStr">
        <is>
          <t>Technicien informatique en installation, maintenance et support</t>
        </is>
      </c>
      <c r="G2328" s="49">
        <f>E2328&amp;" - "&amp;F2328</f>
        <v/>
      </c>
      <c r="H2328" s="36" t="inlineStr">
        <is>
          <t>RAS</t>
        </is>
      </c>
      <c r="I2328" s="45" t="inlineStr"/>
      <c r="J2328" s="45" t="inlineStr">
        <is>
          <t>RNCP40357</t>
        </is>
      </c>
      <c r="K2328" s="45" t="inlineStr">
        <is>
          <t>Technicien informatique en installation, maintenance et support</t>
        </is>
      </c>
      <c r="L2328" s="45" t="inlineStr">
        <is>
          <t>28/03/2030</t>
        </is>
      </c>
      <c r="M2328" s="45" t="inlineStr">
        <is>
          <t>31081 (Gestion parc informatique) ; 31032 (Système exploitation informatique) ; 24220 (Gestion réseau informatique)</t>
        </is>
      </c>
      <c r="N2328" s="50" t="inlineStr">
        <is>
          <t>NON</t>
        </is>
      </c>
      <c r="O2328" s="45" t="inlineStr"/>
    </row>
    <row r="2329" customFormat="1" s="3">
      <c r="A2329" s="45" t="n"/>
      <c r="B2329" s="46" t="inlineStr">
        <is>
          <t>31081</t>
        </is>
      </c>
      <c r="C2329" s="46">
        <f>LEFT(Tableau1[[#This Row],[Formacode]],3)</f>
        <v/>
      </c>
      <c r="D2329" s="47" t="n">
        <v>40363</v>
      </c>
      <c r="E2329" s="48">
        <f>"RNCP"&amp;D2329</f>
        <v/>
      </c>
      <c r="F2329" s="48" t="inlineStr">
        <is>
          <t>Expert en études et développement du système d'information</t>
        </is>
      </c>
      <c r="G2329" s="49">
        <f>E2329&amp;" - "&amp;F2329</f>
        <v/>
      </c>
      <c r="H2329" s="36" t="inlineStr">
        <is>
          <t>RAS</t>
        </is>
      </c>
      <c r="I2329" s="45" t="inlineStr"/>
      <c r="J2329" s="45" t="inlineStr">
        <is>
          <t>RNCP40363</t>
        </is>
      </c>
      <c r="K2329" s="45" t="inlineStr">
        <is>
          <t>Expert en études et développement du système d'information</t>
        </is>
      </c>
      <c r="L2329" s="45" t="inlineStr">
        <is>
          <t>28/03/2028</t>
        </is>
      </c>
      <c r="M2329" s="45" t="inlineStr">
        <is>
          <t>31054 (Informatique - Systèmes d’information et numérique)</t>
        </is>
      </c>
      <c r="N2329" s="50" t="inlineStr">
        <is>
          <t>NON</t>
        </is>
      </c>
      <c r="O2329" s="45" t="inlineStr"/>
    </row>
    <row r="2330" customFormat="1" s="3">
      <c r="A2330" s="45" t="n"/>
      <c r="B2330" s="46" t="inlineStr">
        <is>
          <t>31081</t>
        </is>
      </c>
      <c r="C2330" s="46">
        <f>LEFT(Tableau1[[#This Row],[Formacode]],3)</f>
        <v/>
      </c>
      <c r="D2330" s="47" t="n">
        <v>40593</v>
      </c>
      <c r="E2330" s="48">
        <f>"RNCP"&amp;D2330</f>
        <v/>
      </c>
      <c r="F2330" s="48" t="inlineStr">
        <is>
          <t>Product builder no code</t>
        </is>
      </c>
      <c r="G2330" s="49">
        <f>E2330&amp;" - "&amp;F2330</f>
        <v/>
      </c>
      <c r="H2330" s="36" t="inlineStr">
        <is>
          <t>RAS</t>
        </is>
      </c>
      <c r="I2330" s="45" t="inlineStr"/>
      <c r="J2330" s="45" t="inlineStr">
        <is>
          <t>RNCP40593</t>
        </is>
      </c>
      <c r="K2330" s="45" t="inlineStr">
        <is>
          <t>Product builder no code</t>
        </is>
      </c>
      <c r="L2330" s="45" t="inlineStr">
        <is>
          <t>30/04/2028</t>
        </is>
      </c>
      <c r="M2330" s="45" t="inlineStr">
        <is>
          <t>31086 (Développement Low Code - No Code) ; 46334 (Maquettage site web) ; 31094 (Gestion projet informatique) ; 72454 (Application) ; 32012 (Gestion processus)</t>
        </is>
      </c>
      <c r="N2330" s="50" t="inlineStr">
        <is>
          <t>NON</t>
        </is>
      </c>
      <c r="O2330" s="45" t="inlineStr"/>
    </row>
    <row r="2331" customFormat="1" s="3">
      <c r="A2331" s="45" t="n"/>
      <c r="B2331" s="46" t="inlineStr">
        <is>
          <t>31081</t>
        </is>
      </c>
      <c r="C2331" s="46">
        <f>LEFT(Tableau1[[#This Row],[Formacode]],3)</f>
        <v/>
      </c>
      <c r="D2331" s="47" t="n">
        <v>40799</v>
      </c>
      <c r="E2331" s="48">
        <f>"RNCP"&amp;D2331</f>
        <v/>
      </c>
      <c r="F2331" s="48" t="inlineStr">
        <is>
          <t>TP - Technicien informatique de proximité</t>
        </is>
      </c>
      <c r="G2331" s="49">
        <f>E2331&amp;" - "&amp;F2331</f>
        <v/>
      </c>
      <c r="H2331" s="36" t="inlineStr">
        <is>
          <t>RAS</t>
        </is>
      </c>
      <c r="I2331" s="45" t="inlineStr"/>
      <c r="J2331" s="45" t="inlineStr">
        <is>
          <t>RNCP40799</t>
        </is>
      </c>
      <c r="K2331" s="45" t="inlineStr">
        <is>
          <t>Technicien informatique de proximité</t>
        </is>
      </c>
      <c r="L2331" s="45" t="inlineStr">
        <is>
          <t>01/09/2030</t>
        </is>
      </c>
      <c r="M2331" s="45" t="inlineStr">
        <is>
          <t>31051 (Maintenance assistance informatique) ; 31080 (Matériel informatique) ; 31016 (Architecture mobile) ; 24231 (Réseau informatique)</t>
        </is>
      </c>
      <c r="N2331" s="50" t="inlineStr">
        <is>
          <t>NON</t>
        </is>
      </c>
      <c r="O2331" s="45" t="inlineStr"/>
    </row>
    <row r="2332" customFormat="1" s="3">
      <c r="A2332" s="45" t="n"/>
      <c r="B2332" s="46" t="inlineStr">
        <is>
          <t>31081</t>
        </is>
      </c>
      <c r="C2332" s="46">
        <f>LEFT(Tableau1[[#This Row],[Formacode]],3)</f>
        <v/>
      </c>
      <c r="D2332" s="47" t="n">
        <v>41110</v>
      </c>
      <c r="E2332" s="48">
        <f>"RNCP"&amp;D2332</f>
        <v/>
      </c>
      <c r="F2332" s="48" t="inlineStr">
        <is>
          <t>Technicien support en numérique</t>
        </is>
      </c>
      <c r="G2332" s="49">
        <f>E2332&amp;" - "&amp;F2332</f>
        <v/>
      </c>
      <c r="H2332" s="36" t="inlineStr">
        <is>
          <t>RAS</t>
        </is>
      </c>
      <c r="I2332" s="45" t="inlineStr"/>
      <c r="J2332" s="45" t="inlineStr">
        <is>
          <t>RNCP41110</t>
        </is>
      </c>
      <c r="K2332" s="45" t="inlineStr">
        <is>
          <t>Technicien support en numérique</t>
        </is>
      </c>
      <c r="L2332" s="45" t="inlineStr">
        <is>
          <t>18/07/2028</t>
        </is>
      </c>
      <c r="M2332" s="45" t="inlineStr">
        <is>
          <t>31051 (Maintenance assistance informatique)</t>
        </is>
      </c>
      <c r="N2332" s="50" t="inlineStr">
        <is>
          <t>NON</t>
        </is>
      </c>
      <c r="O2332" s="45" t="inlineStr"/>
    </row>
    <row r="2333" customFormat="1" s="3">
      <c r="A2333" s="45" t="n"/>
      <c r="B2333" s="46" t="inlineStr">
        <is>
          <t>31081</t>
        </is>
      </c>
      <c r="C2333" s="46">
        <f>LEFT(Tableau1[[#This Row],[Formacode]],3)</f>
        <v/>
      </c>
      <c r="D2333" s="47" t="n">
        <v>41823</v>
      </c>
      <c r="E2333" s="48">
        <f>"RNCP"&amp;D2333</f>
        <v/>
      </c>
      <c r="F2333" s="48" t="inlineStr">
        <is>
          <t>Titre ingénieur - Ingénieur diplômé de l’ESIEE IT - CCI Paris Ile-de-France Éducation</t>
        </is>
      </c>
      <c r="G2333" s="49">
        <f>E2333&amp;" - "&amp;F2333</f>
        <v/>
      </c>
      <c r="H2333" s="36" t="inlineStr">
        <is>
          <t>RAS</t>
        </is>
      </c>
      <c r="I2333" s="45" t="inlineStr"/>
      <c r="J2333" s="45" t="inlineStr">
        <is>
          <t>RNCP41823</t>
        </is>
      </c>
      <c r="K2333" s="45" t="inlineStr">
        <is>
          <t>Ingénieur diplômé de l’ESIEE IT - CCI Paris Ile-de-France Éducation</t>
        </is>
      </c>
      <c r="L2333" s="45" t="inlineStr">
        <is>
          <t>31/08/2027</t>
        </is>
      </c>
      <c r="M2333" s="45" t="inlineStr">
        <is>
          <t>31054 (Informatique - Systèmes d’information et numérique) ; 32062 (Recherche développement) ; 15099 (Résolution problème)</t>
        </is>
      </c>
      <c r="N2333" s="50" t="inlineStr">
        <is>
          <t>NON</t>
        </is>
      </c>
      <c r="O2333" s="45" t="inlineStr"/>
    </row>
    <row r="2334" customFormat="1" s="3">
      <c r="A2334" s="63" t="n"/>
      <c r="B2334" s="64" t="inlineStr">
        <is>
          <t>31084</t>
        </is>
      </c>
      <c r="C2334" s="64">
        <f>LEFT(Tableau1[[#This Row],[Formacode]],3)</f>
        <v/>
      </c>
      <c r="D2334" s="65" t="n">
        <v>35584</v>
      </c>
      <c r="E2334" s="66">
        <f>"RNCP"&amp;D2334</f>
        <v/>
      </c>
      <c r="F2334" s="66" t="inlineStr">
        <is>
          <t>Expert en informatique et système d'information</t>
        </is>
      </c>
      <c r="G2334" s="67">
        <f>E2334&amp;" - "&amp;F2334</f>
        <v/>
      </c>
      <c r="H2334" s="38" t="inlineStr">
        <is>
          <t>Expiré / remplacé</t>
        </is>
      </c>
      <c r="I2334" s="63" t="inlineStr">
        <is>
          <t>Fiche inactive — remplacée par RNCP42317 (Expert en informatique et système d'information)</t>
        </is>
      </c>
      <c r="J2334" s="63" t="inlineStr">
        <is>
          <t>RNCP42317</t>
        </is>
      </c>
      <c r="K2334" s="63" t="inlineStr">
        <is>
          <t>Expert en informatique et système d'information</t>
        </is>
      </c>
      <c r="L2334" s="63" t="inlineStr">
        <is>
          <t>19/05/2026</t>
        </is>
      </c>
      <c r="M2334" s="63" t="inlineStr">
        <is>
          <t>31008 (Système information) ; 31094 (Gestion projet informatique) ; 31084 (Informatique de gestion) ; 31025 (Analyse de données) ; 31067 (Développement informatique)</t>
        </is>
      </c>
      <c r="N2334" s="68" t="inlineStr">
        <is>
          <t>NON</t>
        </is>
      </c>
      <c r="O2334" s="63" t="inlineStr"/>
    </row>
    <row r="2335" customFormat="1" s="3">
      <c r="A2335" s="45" t="n"/>
      <c r="B2335" s="46" t="inlineStr">
        <is>
          <t>31084</t>
        </is>
      </c>
      <c r="C2335" s="46">
        <f>LEFT(Tableau1[[#This Row],[Formacode]],3)</f>
        <v/>
      </c>
      <c r="D2335" s="47" t="n">
        <v>37103</v>
      </c>
      <c r="E2335" s="48">
        <f>"RNCP"&amp;D2335</f>
        <v/>
      </c>
      <c r="F2335" s="48" t="inlineStr">
        <is>
          <t>TP - Technicien en géomatique</t>
        </is>
      </c>
      <c r="G2335" s="49">
        <f>E2335&amp;" - "&amp;F2335</f>
        <v/>
      </c>
      <c r="H2335" s="36" t="inlineStr">
        <is>
          <t>RAS</t>
        </is>
      </c>
      <c r="I2335" s="45" t="inlineStr"/>
      <c r="J2335" s="45" t="inlineStr">
        <is>
          <t>RNCP37103</t>
        </is>
      </c>
      <c r="K2335" s="45" t="inlineStr">
        <is>
          <t>Technicien en géomatique</t>
        </is>
      </c>
      <c r="L2335" s="45" t="inlineStr">
        <is>
          <t>25/02/2028</t>
        </is>
      </c>
      <c r="M2335" s="45" t="inlineStr">
        <is>
          <t>12232 (Géomatique) ; 31054 (Informatique - Systèmes d’information et numérique) ; 12505 (Plan local urbanisme)</t>
        </is>
      </c>
      <c r="N2335" s="50" t="inlineStr">
        <is>
          <t>NON</t>
        </is>
      </c>
      <c r="O2335" s="45" t="inlineStr"/>
    </row>
    <row r="2336" customFormat="1" s="3">
      <c r="A2336" s="45" t="n"/>
      <c r="B2336" s="46" t="inlineStr">
        <is>
          <t>31084</t>
        </is>
      </c>
      <c r="C2336" s="46">
        <f>LEFT(Tableau1[[#This Row],[Formacode]],3)</f>
        <v/>
      </c>
      <c r="D2336" s="47" t="n">
        <v>37873</v>
      </c>
      <c r="E2336" s="48">
        <f>"RNCP"&amp;D2336</f>
        <v/>
      </c>
      <c r="F2336" s="48" t="inlineStr">
        <is>
          <t>TP - Concepteur développeur d'applications</t>
        </is>
      </c>
      <c r="G2336" s="49">
        <f>E2336&amp;" - "&amp;F2336</f>
        <v/>
      </c>
      <c r="H2336" s="36" t="inlineStr">
        <is>
          <t>RAS</t>
        </is>
      </c>
      <c r="I2336" s="45" t="inlineStr"/>
      <c r="J2336" s="45" t="inlineStr">
        <is>
          <t>RNCP37873</t>
        </is>
      </c>
      <c r="K2336" s="45" t="inlineStr">
        <is>
          <t>Concepteur développeur d'applications</t>
        </is>
      </c>
      <c r="L2336" s="45" t="inlineStr">
        <is>
          <t>18/12/2028</t>
        </is>
      </c>
      <c r="M2336" s="45" t="inlineStr">
        <is>
          <t>31067 (Développement informatique) ; 31036 (Administration base de données) ; 31010 (Architecture web) ; 31084 (Informatique de gestion) ; 31006 (Sécurité informatique)</t>
        </is>
      </c>
      <c r="N2336" s="50" t="inlineStr">
        <is>
          <t>NON</t>
        </is>
      </c>
      <c r="O2336" s="45" t="inlineStr"/>
    </row>
    <row r="2337" customFormat="1" s="3">
      <c r="A2337" s="51" t="n"/>
      <c r="B2337" s="52" t="inlineStr">
        <is>
          <t>31084</t>
        </is>
      </c>
      <c r="C2337" s="52">
        <f>LEFT(Tableau1[[#This Row],[Formacode]],3)</f>
        <v/>
      </c>
      <c r="D2337" s="53" t="n">
        <v>38018</v>
      </c>
      <c r="E2337" s="54">
        <f>"RNCP"&amp;D2337</f>
        <v/>
      </c>
      <c r="F2337" s="54" t="inlineStr">
        <is>
          <t>Chef de projet digital</t>
        </is>
      </c>
      <c r="G2337" s="55">
        <f>E2337&amp;" - "&amp;F2337</f>
        <v/>
      </c>
      <c r="H2337" s="37" t="inlineStr">
        <is>
          <t>À vérifier</t>
        </is>
      </c>
      <c r="I2337" s="51" t="inlineStr">
        <is>
          <t>Échéance le 20/09/2026 (dans 64 j)</t>
        </is>
      </c>
      <c r="J2337" s="51" t="inlineStr">
        <is>
          <t>RNCP38018</t>
        </is>
      </c>
      <c r="K2337" s="51" t="inlineStr">
        <is>
          <t>Chef de projet digital</t>
        </is>
      </c>
      <c r="L2337" s="51" t="inlineStr">
        <is>
          <t>20/09/2026</t>
        </is>
      </c>
      <c r="M2337" s="51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337" s="62" t="inlineStr">
        <is>
          <t>NON</t>
        </is>
      </c>
      <c r="O2337" s="51" t="inlineStr"/>
    </row>
    <row r="2338" customFormat="1" s="3">
      <c r="A2338" s="45" t="n"/>
      <c r="B2338" s="46" t="inlineStr">
        <is>
          <t>31084</t>
        </is>
      </c>
      <c r="C2338" s="46">
        <f>LEFT(Tableau1[[#This Row],[Formacode]],3)</f>
        <v/>
      </c>
      <c r="D2338" s="47" t="n">
        <v>39425</v>
      </c>
      <c r="E2338" s="48">
        <f>"RNCP"&amp;D2338</f>
        <v/>
      </c>
      <c r="F2338" s="48" t="inlineStr">
        <is>
          <t>Diplôme visé - Expert en Ingénierie Informatique et Innovation Numérique</t>
        </is>
      </c>
      <c r="G2338" s="49">
        <f>E2338&amp;" - "&amp;F2338</f>
        <v/>
      </c>
      <c r="H2338" s="36" t="inlineStr">
        <is>
          <t>RAS</t>
        </is>
      </c>
      <c r="I2338" s="45" t="inlineStr"/>
      <c r="J2338" s="45" t="inlineStr">
        <is>
          <t>RNCP39425</t>
        </is>
      </c>
      <c r="K2338" s="45" t="inlineStr">
        <is>
          <t>Expert en Ingénierie Informatique et Innovation Numérique</t>
        </is>
      </c>
      <c r="L2338" s="45" t="inlineStr">
        <is>
          <t>31/08/2029</t>
        </is>
      </c>
      <c r="M2338" s="45" t="inlineStr">
        <is>
          <t>31054 (Informatique - Systèmes d’information et numérique) ; 32070 (Innovation entreprise)</t>
        </is>
      </c>
      <c r="N2338" s="50" t="inlineStr">
        <is>
          <t>NON</t>
        </is>
      </c>
      <c r="O2338" s="45" t="inlineStr"/>
    </row>
    <row r="2339" customFormat="1" s="3">
      <c r="A2339" s="45" t="n"/>
      <c r="B2339" s="46" t="inlineStr">
        <is>
          <t>31084</t>
        </is>
      </c>
      <c r="C2339" s="46">
        <f>LEFT(Tableau1[[#This Row],[Formacode]],3)</f>
        <v/>
      </c>
      <c r="D2339" s="47" t="n">
        <v>39445</v>
      </c>
      <c r="E2339" s="48">
        <f>"RNCP"&amp;D2339</f>
        <v/>
      </c>
      <c r="F2339" s="48" t="inlineStr">
        <is>
          <t>Titre ingénieur - Ingénieur diplômé de l'Institut supérieur d'électronique de Paris</t>
        </is>
      </c>
      <c r="G2339" s="49">
        <f>E2339&amp;" - "&amp;F2339</f>
        <v/>
      </c>
      <c r="H2339" s="36" t="inlineStr">
        <is>
          <t>RAS</t>
        </is>
      </c>
      <c r="I2339" s="45" t="inlineStr"/>
      <c r="J2339" s="45" t="inlineStr">
        <is>
          <t>RNCP39445</t>
        </is>
      </c>
      <c r="K2339" s="45" t="inlineStr">
        <is>
          <t>Ingénieur diplômé de l'Institut supérieur d'électronique de Paris</t>
        </is>
      </c>
      <c r="L2339" s="45" t="inlineStr">
        <is>
          <t>31/08/2029</t>
        </is>
      </c>
      <c r="M2339" s="45" t="inlineStr">
        <is>
          <t>24354 (Électronique) ; 31054 (Informatique - Systèmes d’information et numérique) ; 32062 (Recherche développement) ; 15099 (Résolution problème)</t>
        </is>
      </c>
      <c r="N2339" s="50" t="inlineStr">
        <is>
          <t>NON</t>
        </is>
      </c>
      <c r="O2339" s="45" t="inlineStr"/>
    </row>
    <row r="2340" customFormat="1" s="3">
      <c r="A2340" s="45" t="n"/>
      <c r="B2340" s="46" t="inlineStr">
        <is>
          <t>31084</t>
        </is>
      </c>
      <c r="C2340" s="46">
        <f>LEFT(Tableau1[[#This Row],[Formacode]],3)</f>
        <v/>
      </c>
      <c r="D2340" s="47" t="n">
        <v>39582</v>
      </c>
      <c r="E2340" s="48">
        <f>"RNCP"&amp;D2340</f>
        <v/>
      </c>
      <c r="F2340" s="48" t="inlineStr">
        <is>
          <t>Expert en architecture des systèmes d’information</t>
        </is>
      </c>
      <c r="G2340" s="49">
        <f>E2340&amp;" - "&amp;F2340</f>
        <v/>
      </c>
      <c r="H2340" s="36" t="inlineStr">
        <is>
          <t>RAS</t>
        </is>
      </c>
      <c r="I2340" s="45" t="inlineStr"/>
      <c r="J2340" s="45" t="inlineStr">
        <is>
          <t>RNCP39582</t>
        </is>
      </c>
      <c r="K2340" s="45" t="inlineStr">
        <is>
          <t>Expert en architecture des systèmes d’information</t>
        </is>
      </c>
      <c r="L2340" s="45" t="inlineStr">
        <is>
          <t>01/10/2029</t>
        </is>
      </c>
      <c r="M2340" s="45" t="inlineStr">
        <is>
          <t>31054 (Informatique - Systèmes d’information et numérique)</t>
        </is>
      </c>
      <c r="N2340" s="50" t="inlineStr">
        <is>
          <t>NON</t>
        </is>
      </c>
      <c r="O2340" s="45" t="inlineStr"/>
    </row>
    <row r="2341" ht="28.8" customFormat="1" customHeight="1" s="3">
      <c r="A2341" s="45" t="n"/>
      <c r="B2341" s="46" t="inlineStr">
        <is>
          <t>31084</t>
        </is>
      </c>
      <c r="C2341" s="46">
        <f>LEFT(Tableau1[[#This Row],[Formacode]],3)</f>
        <v/>
      </c>
      <c r="D2341" s="47" t="n">
        <v>39586</v>
      </c>
      <c r="E2341" s="48">
        <f>"RNCP"&amp;D2341</f>
        <v/>
      </c>
      <c r="F2341" s="48" t="inlineStr">
        <is>
          <t>Ingénieur en science des données spécialisé en infrastructure data ou en apprentissage automatique</t>
        </is>
      </c>
      <c r="G2341" s="49">
        <f>E2341&amp;" - "&amp;F2341</f>
        <v/>
      </c>
      <c r="H2341" s="36" t="inlineStr">
        <is>
          <t>RAS</t>
        </is>
      </c>
      <c r="I2341" s="45" t="inlineStr"/>
      <c r="J2341" s="45" t="inlineStr">
        <is>
          <t>RNCP39586</t>
        </is>
      </c>
      <c r="K2341" s="45" t="inlineStr">
        <is>
          <t>Ingénieur en science des données spécialisé en infrastructure data ou en apprentissage automatique</t>
        </is>
      </c>
      <c r="L2341" s="45" t="inlineStr">
        <is>
          <t>01/10/2029</t>
        </is>
      </c>
      <c r="M2341" s="45" t="inlineStr">
        <is>
          <t>31054 (Informatique - Systèmes d’information et numérique)</t>
        </is>
      </c>
      <c r="N2341" s="50" t="inlineStr">
        <is>
          <t>NON</t>
        </is>
      </c>
      <c r="O2341" s="45" t="inlineStr"/>
    </row>
    <row r="2342" customFormat="1" s="3">
      <c r="A2342" s="45" t="n"/>
      <c r="B2342" s="46" t="inlineStr">
        <is>
          <t>31084</t>
        </is>
      </c>
      <c r="C2342" s="46">
        <f>LEFT(Tableau1[[#This Row],[Formacode]],3)</f>
        <v/>
      </c>
      <c r="D2342" s="47" t="n">
        <v>40363</v>
      </c>
      <c r="E2342" s="48">
        <f>"RNCP"&amp;D2342</f>
        <v/>
      </c>
      <c r="F2342" s="48" t="inlineStr">
        <is>
          <t>Expert en études et développement du système d'information</t>
        </is>
      </c>
      <c r="G2342" s="49">
        <f>E2342&amp;" - "&amp;F2342</f>
        <v/>
      </c>
      <c r="H2342" s="36" t="inlineStr">
        <is>
          <t>RAS</t>
        </is>
      </c>
      <c r="I2342" s="45" t="inlineStr"/>
      <c r="J2342" s="45" t="inlineStr">
        <is>
          <t>RNCP40363</t>
        </is>
      </c>
      <c r="K2342" s="45" t="inlineStr">
        <is>
          <t>Expert en études et développement du système d'information</t>
        </is>
      </c>
      <c r="L2342" s="45" t="inlineStr">
        <is>
          <t>28/03/2028</t>
        </is>
      </c>
      <c r="M2342" s="45" t="inlineStr">
        <is>
          <t>31054 (Informatique - Systèmes d’information et numérique)</t>
        </is>
      </c>
      <c r="N2342" s="50" t="inlineStr">
        <is>
          <t>NON</t>
        </is>
      </c>
      <c r="O2342" s="45" t="inlineStr"/>
    </row>
    <row r="2343" customFormat="1" s="3">
      <c r="A2343" s="45" t="n"/>
      <c r="B2343" s="46" t="inlineStr">
        <is>
          <t>31084</t>
        </is>
      </c>
      <c r="C2343" s="46">
        <f>LEFT(Tableau1[[#This Row],[Formacode]],3)</f>
        <v/>
      </c>
      <c r="D2343" s="47" t="n">
        <v>40593</v>
      </c>
      <c r="E2343" s="48">
        <f>"RNCP"&amp;D2343</f>
        <v/>
      </c>
      <c r="F2343" s="48" t="inlineStr">
        <is>
          <t>Product builder no code</t>
        </is>
      </c>
      <c r="G2343" s="49">
        <f>E2343&amp;" - "&amp;F2343</f>
        <v/>
      </c>
      <c r="H2343" s="36" t="inlineStr">
        <is>
          <t>RAS</t>
        </is>
      </c>
      <c r="I2343" s="45" t="inlineStr"/>
      <c r="J2343" s="45" t="inlineStr">
        <is>
          <t>RNCP40593</t>
        </is>
      </c>
      <c r="K2343" s="45" t="inlineStr">
        <is>
          <t>Product builder no code</t>
        </is>
      </c>
      <c r="L2343" s="45" t="inlineStr">
        <is>
          <t>30/04/2028</t>
        </is>
      </c>
      <c r="M2343" s="45" t="inlineStr">
        <is>
          <t>31086 (Développement Low Code - No Code) ; 46334 (Maquettage site web) ; 31094 (Gestion projet informatique) ; 72454 (Application) ; 32012 (Gestion processus)</t>
        </is>
      </c>
      <c r="N2343" s="50" t="inlineStr">
        <is>
          <t>NON</t>
        </is>
      </c>
      <c r="O2343" s="45" t="inlineStr"/>
    </row>
    <row r="2344" ht="28.8" customFormat="1" customHeight="1" s="3">
      <c r="A2344" s="45" t="n"/>
      <c r="B2344" s="46" t="inlineStr">
        <is>
          <t>31084</t>
        </is>
      </c>
      <c r="C2344" s="46">
        <f>LEFT(Tableau1[[#This Row],[Formacode]],3)</f>
        <v/>
      </c>
      <c r="D2344" s="47" t="n">
        <v>40792</v>
      </c>
      <c r="E2344" s="48">
        <f>"RNCP"&amp;D2344</f>
        <v/>
      </c>
      <c r="F2344" s="48" t="inlineStr">
        <is>
          <t>BTS - Services informatiques aux organisations, Option A : « Solutions d’infrastructure, systèmes et réseaux » ; Option B : « Solutions logicielles et applications métiers »</t>
        </is>
      </c>
      <c r="G2344" s="49">
        <f>E2344&amp;" - "&amp;F2344</f>
        <v/>
      </c>
      <c r="H2344" s="36" t="inlineStr">
        <is>
          <t>RAS</t>
        </is>
      </c>
      <c r="I2344" s="45" t="inlineStr"/>
      <c r="J2344" s="45" t="inlineStr">
        <is>
          <t>RNCP40792</t>
        </is>
      </c>
      <c r="K2344" s="45" t="inlineStr">
        <is>
          <t>Services informatiques aux organisations, Option A : « Solutions d’infrastructure, systèmes et réseaux » ; Option B : « Solutions logicielles et applications métiers »</t>
        </is>
      </c>
      <c r="L2344" s="45" t="inlineStr">
        <is>
          <t>31/08/2028</t>
        </is>
      </c>
      <c r="M2344" s="45" t="inlineStr">
        <is>
          <t>24220 (Gestion réseau informatique) ; 31084 (Informatique de gestion)</t>
        </is>
      </c>
      <c r="N2344" s="50" t="inlineStr">
        <is>
          <t>NON</t>
        </is>
      </c>
      <c r="O2344" s="45" t="inlineStr"/>
    </row>
    <row r="2345" customFormat="1" s="3">
      <c r="A2345" s="45" t="n"/>
      <c r="B2345" s="46" t="inlineStr">
        <is>
          <t>31084</t>
        </is>
      </c>
      <c r="C2345" s="46">
        <f>LEFT(Tableau1[[#This Row],[Formacode]],3)</f>
        <v/>
      </c>
      <c r="D2345" s="47" t="n">
        <v>41823</v>
      </c>
      <c r="E2345" s="48">
        <f>"RNCP"&amp;D2345</f>
        <v/>
      </c>
      <c r="F2345" s="48" t="inlineStr">
        <is>
          <t>Titre ingénieur - Ingénieur diplômé de l’ESIEE IT - CCI Paris Ile-de-France Éducation</t>
        </is>
      </c>
      <c r="G2345" s="49">
        <f>E2345&amp;" - "&amp;F2345</f>
        <v/>
      </c>
      <c r="H2345" s="36" t="inlineStr">
        <is>
          <t>RAS</t>
        </is>
      </c>
      <c r="I2345" s="45" t="inlineStr"/>
      <c r="J2345" s="45" t="inlineStr">
        <is>
          <t>RNCP41823</t>
        </is>
      </c>
      <c r="K2345" s="45" t="inlineStr">
        <is>
          <t>Ingénieur diplômé de l’ESIEE IT - CCI Paris Ile-de-France Éducation</t>
        </is>
      </c>
      <c r="L2345" s="45" t="inlineStr">
        <is>
          <t>31/08/2027</t>
        </is>
      </c>
      <c r="M2345" s="45" t="inlineStr">
        <is>
          <t>31054 (Informatique - Systèmes d’information et numérique) ; 32062 (Recherche développement) ; 15099 (Résolution problème)</t>
        </is>
      </c>
      <c r="N2345" s="50" t="inlineStr">
        <is>
          <t>NON</t>
        </is>
      </c>
      <c r="O2345" s="45" t="inlineStr"/>
    </row>
    <row r="2346" customFormat="1" s="3">
      <c r="A2346" s="63" t="n"/>
      <c r="B2346" s="64" t="inlineStr">
        <is>
          <t>31085</t>
        </is>
      </c>
      <c r="C2346" s="64">
        <f>LEFT(Tableau1[[#This Row],[Formacode]],3)</f>
        <v/>
      </c>
      <c r="D2346" s="65" t="n">
        <v>35435</v>
      </c>
      <c r="E2346" s="66">
        <f>"RNCP"&amp;D2346</f>
        <v/>
      </c>
      <c r="F2346" s="66" t="inlineStr">
        <is>
          <t>Manager en ingénierie informatique</t>
        </is>
      </c>
      <c r="G2346" s="67">
        <f>E2346&amp;" - "&amp;F2346</f>
        <v/>
      </c>
      <c r="H2346" s="38" t="inlineStr">
        <is>
          <t>Expiré / remplacé</t>
        </is>
      </c>
      <c r="I2346" s="63" t="inlineStr">
        <is>
          <t>Fiche inactive — remplacée par RNCP41880 (Manager en ingénierie informatique)</t>
        </is>
      </c>
      <c r="J2346" s="63" t="inlineStr">
        <is>
          <t>RNCP41880</t>
        </is>
      </c>
      <c r="K2346" s="63" t="inlineStr">
        <is>
          <t>Manager en ingénierie informatique</t>
        </is>
      </c>
      <c r="L2346" s="63" t="inlineStr">
        <is>
          <t>17/03/2026</t>
        </is>
      </c>
      <c r="M2346" s="63" t="inlineStr">
        <is>
          <t>31009 (Architecture système information) ; 31006 (Sécurité informatique) ; 31028 (Intelligence artificielle) ; 31057 (Génie logiciel)</t>
        </is>
      </c>
      <c r="N2346" s="68" t="inlineStr">
        <is>
          <t>NON</t>
        </is>
      </c>
      <c r="O2346" s="63" t="inlineStr"/>
    </row>
    <row r="2347" customFormat="1" s="3">
      <c r="A2347" s="63" t="n"/>
      <c r="B2347" s="64" t="inlineStr">
        <is>
          <t>31085</t>
        </is>
      </c>
      <c r="C2347" s="64">
        <f>LEFT(Tableau1[[#This Row],[Formacode]],3)</f>
        <v/>
      </c>
      <c r="D2347" s="65" t="n">
        <v>35584</v>
      </c>
      <c r="E2347" s="66">
        <f>"RNCP"&amp;D2347</f>
        <v/>
      </c>
      <c r="F2347" s="66" t="inlineStr">
        <is>
          <t>Expert en informatique et système d'information</t>
        </is>
      </c>
      <c r="G2347" s="67">
        <f>E2347&amp;" - "&amp;F2347</f>
        <v/>
      </c>
      <c r="H2347" s="38" t="inlineStr">
        <is>
          <t>Expiré / remplacé</t>
        </is>
      </c>
      <c r="I2347" s="63" t="inlineStr">
        <is>
          <t>Fiche inactive — remplacée par RNCP42317 (Expert en informatique et système d'information)</t>
        </is>
      </c>
      <c r="J2347" s="63" t="inlineStr">
        <is>
          <t>RNCP42317</t>
        </is>
      </c>
      <c r="K2347" s="63" t="inlineStr">
        <is>
          <t>Expert en informatique et système d'information</t>
        </is>
      </c>
      <c r="L2347" s="63" t="inlineStr">
        <is>
          <t>19/05/2026</t>
        </is>
      </c>
      <c r="M2347" s="63" t="inlineStr">
        <is>
          <t>31008 (Système information) ; 31094 (Gestion projet informatique) ; 31084 (Informatique de gestion) ; 31025 (Analyse de données) ; 31067 (Développement informatique)</t>
        </is>
      </c>
      <c r="N2347" s="68" t="inlineStr">
        <is>
          <t>NON</t>
        </is>
      </c>
      <c r="O2347" s="63" t="inlineStr"/>
    </row>
    <row r="2348" customFormat="1" s="3">
      <c r="A2348" s="45" t="n"/>
      <c r="B2348" s="46" t="inlineStr">
        <is>
          <t>31085</t>
        </is>
      </c>
      <c r="C2348" s="46">
        <f>LEFT(Tableau1[[#This Row],[Formacode]],3)</f>
        <v/>
      </c>
      <c r="D2348" s="47" t="n">
        <v>36909</v>
      </c>
      <c r="E2348" s="48">
        <f>"RNCP"&amp;D2348</f>
        <v/>
      </c>
      <c r="F2348" s="48" t="inlineStr">
        <is>
          <t>Manager du numérique et du système d’information</t>
        </is>
      </c>
      <c r="G2348" s="49">
        <f>E2348&amp;" - "&amp;F2348</f>
        <v/>
      </c>
      <c r="H2348" s="36" t="inlineStr">
        <is>
          <t>RAS</t>
        </is>
      </c>
      <c r="I2348" s="45" t="inlineStr"/>
      <c r="J2348" s="45" t="inlineStr">
        <is>
          <t>RNCP36909</t>
        </is>
      </c>
      <c r="K2348" s="45" t="inlineStr">
        <is>
          <t>Manager du numérique et du système d’information</t>
        </is>
      </c>
      <c r="L2348" s="45" t="inlineStr">
        <is>
          <t>29/09/2027</t>
        </is>
      </c>
      <c r="M2348" s="45" t="inlineStr">
        <is>
          <t>31094 (Gestion projet informatique) ; 31009 (Architecture système information)</t>
        </is>
      </c>
      <c r="N2348" s="50" t="inlineStr">
        <is>
          <t>NON</t>
        </is>
      </c>
      <c r="O2348" s="45" t="inlineStr"/>
    </row>
    <row r="2349" customFormat="1" s="3">
      <c r="A2349" s="45" t="n"/>
      <c r="B2349" s="46" t="inlineStr">
        <is>
          <t>31085</t>
        </is>
      </c>
      <c r="C2349" s="46">
        <f>LEFT(Tableau1[[#This Row],[Formacode]],3)</f>
        <v/>
      </c>
      <c r="D2349" s="47" t="n">
        <v>37103</v>
      </c>
      <c r="E2349" s="48">
        <f>"RNCP"&amp;D2349</f>
        <v/>
      </c>
      <c r="F2349" s="48" t="inlineStr">
        <is>
          <t>TP - Technicien en géomatique</t>
        </is>
      </c>
      <c r="G2349" s="49">
        <f>E2349&amp;" - "&amp;F2349</f>
        <v/>
      </c>
      <c r="H2349" s="36" t="inlineStr">
        <is>
          <t>RAS</t>
        </is>
      </c>
      <c r="I2349" s="45" t="inlineStr"/>
      <c r="J2349" s="45" t="inlineStr">
        <is>
          <t>RNCP37103</t>
        </is>
      </c>
      <c r="K2349" s="45" t="inlineStr">
        <is>
          <t>Technicien en géomatique</t>
        </is>
      </c>
      <c r="L2349" s="45" t="inlineStr">
        <is>
          <t>25/02/2028</t>
        </is>
      </c>
      <c r="M2349" s="45" t="inlineStr">
        <is>
          <t>12232 (Géomatique) ; 31054 (Informatique - Systèmes d’information et numérique) ; 12505 (Plan local urbanisme)</t>
        </is>
      </c>
      <c r="N2349" s="50" t="inlineStr">
        <is>
          <t>NON</t>
        </is>
      </c>
      <c r="O2349" s="45" t="inlineStr"/>
    </row>
    <row r="2350" customFormat="1" s="3">
      <c r="A2350" s="63" t="n"/>
      <c r="B2350" s="64" t="inlineStr">
        <is>
          <t>31085</t>
        </is>
      </c>
      <c r="C2350" s="64">
        <f>LEFT(Tableau1[[#This Row],[Formacode]],3)</f>
        <v/>
      </c>
      <c r="D2350" s="65" t="n">
        <v>37422</v>
      </c>
      <c r="E2350" s="66">
        <f>"RNCP"&amp;D2350</f>
        <v/>
      </c>
      <c r="F2350" s="66" t="inlineStr">
        <is>
          <t>Data Engineer</t>
        </is>
      </c>
      <c r="G2350" s="67">
        <f>E2350&amp;" - "&amp;F2350</f>
        <v/>
      </c>
      <c r="H2350" s="38" t="inlineStr">
        <is>
          <t>Expiré / remplacé</t>
        </is>
      </c>
      <c r="I2350" s="63" t="inlineStr">
        <is>
          <t>Fiche inactive — remplacée par RNCP42149 (Data engineer)</t>
        </is>
      </c>
      <c r="J2350" s="63" t="inlineStr">
        <is>
          <t>RNCP42149</t>
        </is>
      </c>
      <c r="K2350" s="63" t="inlineStr">
        <is>
          <t>Data engineer</t>
        </is>
      </c>
      <c r="L2350" s="63" t="inlineStr">
        <is>
          <t>27/03/2026</t>
        </is>
      </c>
      <c r="M2350" s="63" t="inlineStr">
        <is>
          <t>31094 (Gestion projet informatique) ; 31028 (Intelligence artificielle) ; 31023 (Gestion données massives)</t>
        </is>
      </c>
      <c r="N2350" s="68" t="inlineStr">
        <is>
          <t>NON</t>
        </is>
      </c>
      <c r="O2350" s="63" t="inlineStr"/>
    </row>
    <row r="2351" customFormat="1" s="3">
      <c r="A2351" s="63" t="n"/>
      <c r="B2351" s="64" t="inlineStr">
        <is>
          <t>31085</t>
        </is>
      </c>
      <c r="C2351" s="64">
        <f>LEFT(Tableau1[[#This Row],[Formacode]],3)</f>
        <v/>
      </c>
      <c r="D2351" s="65" t="n">
        <v>37621</v>
      </c>
      <c r="E2351" s="66">
        <f>"RNCP"&amp;D2351</f>
        <v/>
      </c>
      <c r="F2351" s="66" t="inlineStr">
        <is>
          <t>Consultant en systèmes d’information (MS)</t>
        </is>
      </c>
      <c r="G2351" s="67">
        <f>E2351&amp;" - "&amp;F2351</f>
        <v/>
      </c>
      <c r="H2351" s="38" t="inlineStr">
        <is>
          <t>Expiré / remplacé</t>
        </is>
      </c>
      <c r="I2351" s="63" t="inlineStr">
        <is>
          <t>Fiche inactive — remplacée par RNCP41877 (Consultant en systèmes d'information (MS))</t>
        </is>
      </c>
      <c r="J2351" s="63" t="inlineStr">
        <is>
          <t>RNCP41877</t>
        </is>
      </c>
      <c r="K2351" s="63" t="inlineStr">
        <is>
          <t>Consultant en systèmes d'information (MS)</t>
        </is>
      </c>
      <c r="L2351" s="63" t="inlineStr">
        <is>
          <t>31/05/2026</t>
        </is>
      </c>
      <c r="M2351" s="63" t="inlineStr">
        <is>
          <t>31009 (Architecture système information) ; 31094 (Gestion projet informatique)</t>
        </is>
      </c>
      <c r="N2351" s="68" t="inlineStr">
        <is>
          <t>NON</t>
        </is>
      </c>
      <c r="O2351" s="63" t="inlineStr"/>
    </row>
    <row r="2352" customFormat="1" s="3">
      <c r="A2352" s="51" t="n"/>
      <c r="B2352" s="52" t="inlineStr">
        <is>
          <t>31085</t>
        </is>
      </c>
      <c r="C2352" s="52">
        <f>LEFT(Tableau1[[#This Row],[Formacode]],3)</f>
        <v/>
      </c>
      <c r="D2352" s="53" t="n">
        <v>37785</v>
      </c>
      <c r="E2352" s="54">
        <f>"RNCP"&amp;D2352</f>
        <v/>
      </c>
      <c r="F2352" s="54" t="inlineStr">
        <is>
          <t>Expert en numérisation des systèmes et processus de production industriels</t>
        </is>
      </c>
      <c r="G2352" s="55">
        <f>E2352&amp;" - "&amp;F2352</f>
        <v/>
      </c>
      <c r="H2352" s="37" t="inlineStr">
        <is>
          <t>À vérifier</t>
        </is>
      </c>
      <c r="I2352" s="51" t="inlineStr">
        <is>
          <t>Échéance le 19/07/2026 (dans 1 j)</t>
        </is>
      </c>
      <c r="J2352" s="51" t="inlineStr">
        <is>
          <t>RNCP37785</t>
        </is>
      </c>
      <c r="K2352" s="51" t="inlineStr">
        <is>
          <t>Expert en numérisation des systèmes et processus de production industriels</t>
        </is>
      </c>
      <c r="L2352" s="51" t="inlineStr">
        <is>
          <t>19/07/2026</t>
        </is>
      </c>
      <c r="M2352" s="51" t="inlineStr">
        <is>
          <t>31085 (Informatisation des processus) ; 31049 (Qualité informatique) ; 31008 (Système information)</t>
        </is>
      </c>
      <c r="N2352" s="62" t="inlineStr">
        <is>
          <t>NON</t>
        </is>
      </c>
      <c r="O2352" s="51" t="inlineStr"/>
    </row>
    <row r="2353" customFormat="1" s="3">
      <c r="A2353" s="51" t="n"/>
      <c r="B2353" s="52" t="inlineStr">
        <is>
          <t>31085</t>
        </is>
      </c>
      <c r="C2353" s="52">
        <f>LEFT(Tableau1[[#This Row],[Formacode]],3)</f>
        <v/>
      </c>
      <c r="D2353" s="53" t="n">
        <v>37796</v>
      </c>
      <c r="E2353" s="54">
        <f>"RNCP"&amp;D2353</f>
        <v/>
      </c>
      <c r="F2353" s="54" t="inlineStr">
        <is>
          <t>Gestionnaire de la sécurité des données, des réseaux et des systèmes</t>
        </is>
      </c>
      <c r="G2353" s="55">
        <f>E2353&amp;" - "&amp;F2353</f>
        <v/>
      </c>
      <c r="H2353" s="37" t="inlineStr">
        <is>
          <t>À vérifier</t>
        </is>
      </c>
      <c r="I2353" s="51" t="inlineStr">
        <is>
          <t>Successeur déjà publié : RNCP42345 (Expert cybersécurité) — préparer la bascule de l'offre CPF | Échéance le 19/07/2026 (dans 1 j)</t>
        </is>
      </c>
      <c r="J2353" s="51" t="inlineStr">
        <is>
          <t>RNCP42345</t>
        </is>
      </c>
      <c r="K2353" s="51" t="inlineStr">
        <is>
          <t>Expert cybersécurité</t>
        </is>
      </c>
      <c r="L2353" s="51" t="inlineStr">
        <is>
          <t>19/07/2026</t>
        </is>
      </c>
      <c r="M2353" s="51" t="inlineStr">
        <is>
          <t>31045 (Cybersécurité) ; 31038 (Audit informatique) ; 24231 (Réseau informatique) ; 31094 (Gestion projet informatique)</t>
        </is>
      </c>
      <c r="N2353" s="62" t="inlineStr">
        <is>
          <t>NON</t>
        </is>
      </c>
      <c r="O2353" s="51" t="inlineStr"/>
    </row>
    <row r="2354" customFormat="1" s="3">
      <c r="A2354" s="51" t="n"/>
      <c r="B2354" s="52" t="inlineStr">
        <is>
          <t>31085</t>
        </is>
      </c>
      <c r="C2354" s="52">
        <f>LEFT(Tableau1[[#This Row],[Formacode]],3)</f>
        <v/>
      </c>
      <c r="D2354" s="53" t="n">
        <v>38018</v>
      </c>
      <c r="E2354" s="54">
        <f>"RNCP"&amp;D2354</f>
        <v/>
      </c>
      <c r="F2354" s="54" t="inlineStr">
        <is>
          <t>Chef de projet digital</t>
        </is>
      </c>
      <c r="G2354" s="55">
        <f>E2354&amp;" - "&amp;F2354</f>
        <v/>
      </c>
      <c r="H2354" s="37" t="inlineStr">
        <is>
          <t>À vérifier</t>
        </is>
      </c>
      <c r="I2354" s="51" t="inlineStr">
        <is>
          <t>Échéance le 20/09/2026 (dans 64 j)</t>
        </is>
      </c>
      <c r="J2354" s="51" t="inlineStr">
        <is>
          <t>RNCP38018</t>
        </is>
      </c>
      <c r="K2354" s="51" t="inlineStr">
        <is>
          <t>Chef de projet digital</t>
        </is>
      </c>
      <c r="L2354" s="51" t="inlineStr">
        <is>
          <t>20/09/2026</t>
        </is>
      </c>
      <c r="M2354" s="51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2354" s="62" t="inlineStr">
        <is>
          <t>NON</t>
        </is>
      </c>
      <c r="O2354" s="51" t="inlineStr"/>
    </row>
    <row r="2355" customFormat="1" s="3">
      <c r="A2355" s="45" t="n"/>
      <c r="B2355" s="46" t="inlineStr">
        <is>
          <t>31085</t>
        </is>
      </c>
      <c r="C2355" s="46">
        <f>LEFT(Tableau1[[#This Row],[Formacode]],3)</f>
        <v/>
      </c>
      <c r="D2355" s="47" t="n">
        <v>38117</v>
      </c>
      <c r="E2355" s="48">
        <f>"RNCP"&amp;D2355</f>
        <v/>
      </c>
      <c r="F2355" s="48" t="inlineStr">
        <is>
          <t>Ingénieur systèmes, réseaux et cybersécurité</t>
        </is>
      </c>
      <c r="G2355" s="49">
        <f>E2355&amp;" - "&amp;F2355</f>
        <v/>
      </c>
      <c r="H2355" s="36" t="inlineStr">
        <is>
          <t>RAS</t>
        </is>
      </c>
      <c r="I2355" s="45" t="inlineStr"/>
      <c r="J2355" s="45" t="inlineStr">
        <is>
          <t>RNCP38117</t>
        </is>
      </c>
      <c r="K2355" s="45" t="inlineStr">
        <is>
          <t>Ingénieur systèmes, réseaux et cybersécurité</t>
        </is>
      </c>
      <c r="L2355" s="45" t="inlineStr">
        <is>
          <t>18/10/2028</t>
        </is>
      </c>
      <c r="M2355" s="45" t="inlineStr">
        <is>
          <t>31034 (Administration système) ; 24231 (Réseau informatique) ; 31006 (Sécurité informatique) ; 31094 (Gestion projet informatique) ; 31009 (Architecture système information)</t>
        </is>
      </c>
      <c r="N2355" s="50" t="inlineStr">
        <is>
          <t>NON</t>
        </is>
      </c>
      <c r="O2355" s="45" t="inlineStr"/>
    </row>
    <row r="2356" customFormat="1" s="3">
      <c r="A2356" s="45" t="n"/>
      <c r="B2356" s="46" t="inlineStr">
        <is>
          <t>31085</t>
        </is>
      </c>
      <c r="C2356" s="46">
        <f>LEFT(Tableau1[[#This Row],[Formacode]],3)</f>
        <v/>
      </c>
      <c r="D2356" s="47" t="n">
        <v>38478</v>
      </c>
      <c r="E2356" s="48">
        <f>"RNCP"&amp;D2356</f>
        <v/>
      </c>
      <c r="F2356" s="48" t="inlineStr">
        <is>
          <t>Coordinateur de projets informatiques (infrastructures cloud, applicatives ou data)</t>
        </is>
      </c>
      <c r="G2356" s="49">
        <f>E2356&amp;" - "&amp;F2356</f>
        <v/>
      </c>
      <c r="H2356" s="36" t="inlineStr">
        <is>
          <t>RAS</t>
        </is>
      </c>
      <c r="I2356" s="45" t="inlineStr"/>
      <c r="J2356" s="45" t="inlineStr">
        <is>
          <t>RNCP38478</t>
        </is>
      </c>
      <c r="K2356" s="45" t="inlineStr">
        <is>
          <t>Coordinateur de projets informatiques (infrastructures cloud, applicatives ou data)</t>
        </is>
      </c>
      <c r="L2356" s="45" t="inlineStr">
        <is>
          <t>21/12/2028</t>
        </is>
      </c>
      <c r="M2356" s="45" t="inlineStr">
        <is>
          <t>31094 (Gestion projet informatique) ; 31008 (Système information) ; 31067 (Développement informatique) ; 31023 (Gestion données massives)</t>
        </is>
      </c>
      <c r="N2356" s="50" t="inlineStr">
        <is>
          <t>NON</t>
        </is>
      </c>
      <c r="O2356" s="45" t="inlineStr"/>
    </row>
    <row r="2357" customFormat="1" s="3">
      <c r="A2357" s="45" t="n"/>
      <c r="B2357" s="46" t="inlineStr">
        <is>
          <t>31085</t>
        </is>
      </c>
      <c r="C2357" s="46">
        <f>LEFT(Tableau1[[#This Row],[Formacode]],3)</f>
        <v/>
      </c>
      <c r="D2357" s="47" t="n">
        <v>38599</v>
      </c>
      <c r="E2357" s="48">
        <f>"RNCP"&amp;D2357</f>
        <v/>
      </c>
      <c r="F2357" s="48" t="inlineStr">
        <is>
          <t>Manager de programmes et projets SI</t>
        </is>
      </c>
      <c r="G2357" s="49">
        <f>E2357&amp;" - "&amp;F2357</f>
        <v/>
      </c>
      <c r="H2357" s="36" t="inlineStr">
        <is>
          <t>RAS</t>
        </is>
      </c>
      <c r="I2357" s="45" t="inlineStr"/>
      <c r="J2357" s="45" t="inlineStr">
        <is>
          <t>RNCP38599</t>
        </is>
      </c>
      <c r="K2357" s="45" t="inlineStr">
        <is>
          <t>Manager de programmes et projets SI</t>
        </is>
      </c>
      <c r="L2357" s="45" t="inlineStr">
        <is>
          <t>09/02/2027</t>
        </is>
      </c>
      <c r="M2357" s="45" t="inlineStr">
        <is>
          <t>31094 (Gestion projet informatique) ; 31095 (Schéma directeur informatique) ; 31008 (Système information)</t>
        </is>
      </c>
      <c r="N2357" s="50" t="inlineStr">
        <is>
          <t>NON</t>
        </is>
      </c>
      <c r="O2357" s="45" t="inlineStr"/>
    </row>
    <row r="2358" customFormat="1" s="3">
      <c r="A2358" s="63" t="n"/>
      <c r="B2358" s="64" t="inlineStr">
        <is>
          <t>31085</t>
        </is>
      </c>
      <c r="C2358" s="64">
        <f>LEFT(Tableau1[[#This Row],[Formacode]],3)</f>
        <v/>
      </c>
      <c r="D2358" s="65" t="n">
        <v>38777</v>
      </c>
      <c r="E2358" s="66">
        <f>"RNCP"&amp;D2358</f>
        <v/>
      </c>
      <c r="F2358" s="66" t="inlineStr">
        <is>
          <t>Architecte en intelligence artificielle</t>
        </is>
      </c>
      <c r="G2358" s="67">
        <f>E2358&amp;" - "&amp;F2358</f>
        <v/>
      </c>
      <c r="H2358" s="38" t="inlineStr">
        <is>
          <t>Expiré / remplacé</t>
        </is>
      </c>
      <c r="I2358" s="63" t="inlineStr">
        <is>
          <t>Fiche inactive — remplacée par RNCP41993 (Architecte en intelligence artificielle)</t>
        </is>
      </c>
      <c r="J2358" s="63" t="inlineStr">
        <is>
          <t>RNCP41993</t>
        </is>
      </c>
      <c r="K2358" s="63" t="inlineStr">
        <is>
          <t>Architecte en intelligence artificielle</t>
        </is>
      </c>
      <c r="L2358" s="63" t="inlineStr">
        <is>
          <t>27/03/2026</t>
        </is>
      </c>
      <c r="M2358" s="63" t="inlineStr">
        <is>
          <t>31026 (Data science) ; 31028 (Intelligence artificielle) ; 31008 (Système information) ; 31085 (Informatisation des processus)</t>
        </is>
      </c>
      <c r="N2358" s="68" t="inlineStr">
        <is>
          <t>NON</t>
        </is>
      </c>
      <c r="O2358" s="63" t="inlineStr"/>
    </row>
    <row r="2359" customFormat="1" s="3">
      <c r="A2359" s="45" t="n"/>
      <c r="B2359" s="46" t="inlineStr">
        <is>
          <t>31085</t>
        </is>
      </c>
      <c r="C2359" s="46">
        <f>LEFT(Tableau1[[#This Row],[Formacode]],3)</f>
        <v/>
      </c>
      <c r="D2359" s="47" t="n">
        <v>38905</v>
      </c>
      <c r="E2359" s="48">
        <f>"RNCP"&amp;D2359</f>
        <v/>
      </c>
      <c r="F2359" s="48" t="inlineStr">
        <is>
          <t>Manager de projets informatiques</t>
        </is>
      </c>
      <c r="G2359" s="49">
        <f>E2359&amp;" - "&amp;F2359</f>
        <v/>
      </c>
      <c r="H2359" s="36" t="inlineStr">
        <is>
          <t>RAS</t>
        </is>
      </c>
      <c r="I2359" s="45" t="inlineStr"/>
      <c r="J2359" s="45" t="inlineStr">
        <is>
          <t>RNCP38905</t>
        </is>
      </c>
      <c r="K2359" s="45" t="inlineStr">
        <is>
          <t>Manager de projets informatiques</t>
        </is>
      </c>
      <c r="L2359" s="45" t="inlineStr">
        <is>
          <t>26/04/2027</t>
        </is>
      </c>
      <c r="M2359" s="45" t="inlineStr">
        <is>
          <t>31094 (Gestion projet informatique) ; 31006 (Sécurité informatique) ; 31009 (Architecture système information)</t>
        </is>
      </c>
      <c r="N2359" s="50" t="inlineStr">
        <is>
          <t>NON</t>
        </is>
      </c>
      <c r="O2359" s="45" t="inlineStr"/>
    </row>
    <row r="2360" customFormat="1" s="3">
      <c r="A2360" s="63" t="n"/>
      <c r="B2360" s="64" t="inlineStr">
        <is>
          <t>31085</t>
        </is>
      </c>
      <c r="C2360" s="64">
        <f>LEFT(Tableau1[[#This Row],[Formacode]],3)</f>
        <v/>
      </c>
      <c r="D2360" s="65" t="n">
        <v>38919</v>
      </c>
      <c r="E2360" s="66">
        <f>"RNCP"&amp;D2360</f>
        <v/>
      </c>
      <c r="F2360" s="66" t="inlineStr">
        <is>
          <t>Data engineer</t>
        </is>
      </c>
      <c r="G2360" s="67">
        <f>E2360&amp;" - "&amp;F2360</f>
        <v/>
      </c>
      <c r="H2360" s="38" t="inlineStr">
        <is>
          <t>Expiré / remplacé</t>
        </is>
      </c>
      <c r="I2360" s="63" t="inlineStr">
        <is>
          <t>Fiche inactive — remplacée par RNCP42655 (Data engineer)</t>
        </is>
      </c>
      <c r="J2360" s="63" t="inlineStr">
        <is>
          <t>RNCP42655</t>
        </is>
      </c>
      <c r="K2360" s="63" t="inlineStr">
        <is>
          <t>Data engineer</t>
        </is>
      </c>
      <c r="L2360" s="63" t="inlineStr">
        <is>
          <t>26/04/2026</t>
        </is>
      </c>
      <c r="M2360" s="63" t="inlineStr">
        <is>
          <t>31023 (Gestion données massives) ; 31094 (Gestion projet informatique) ; 31028 (Intelligence artificielle)</t>
        </is>
      </c>
      <c r="N2360" s="56" t="inlineStr">
        <is>
          <t>OUI</t>
        </is>
      </c>
      <c r="O2360" s="41" t="inlineStr">
        <is>
          <t>Successeur(s) modifié(s) : RNCP42655</t>
        </is>
      </c>
    </row>
    <row r="2361" customFormat="1" s="3">
      <c r="A2361" s="45" t="n"/>
      <c r="B2361" s="46" t="inlineStr">
        <is>
          <t>31085</t>
        </is>
      </c>
      <c r="C2361" s="46">
        <f>LEFT(Tableau1[[#This Row],[Formacode]],3)</f>
        <v/>
      </c>
      <c r="D2361" s="47" t="n">
        <v>39425</v>
      </c>
      <c r="E2361" s="48">
        <f>"RNCP"&amp;D2361</f>
        <v/>
      </c>
      <c r="F2361" s="48" t="inlineStr">
        <is>
          <t>Diplôme visé - Expert en Ingénierie Informatique et Innovation Numérique</t>
        </is>
      </c>
      <c r="G2361" s="49">
        <f>E2361&amp;" - "&amp;F2361</f>
        <v/>
      </c>
      <c r="H2361" s="36" t="inlineStr">
        <is>
          <t>RAS</t>
        </is>
      </c>
      <c r="I2361" s="45" t="inlineStr"/>
      <c r="J2361" s="45" t="inlineStr">
        <is>
          <t>RNCP39425</t>
        </is>
      </c>
      <c r="K2361" s="45" t="inlineStr">
        <is>
          <t>Expert en Ingénierie Informatique et Innovation Numérique</t>
        </is>
      </c>
      <c r="L2361" s="45" t="inlineStr">
        <is>
          <t>31/08/2029</t>
        </is>
      </c>
      <c r="M2361" s="45" t="inlineStr">
        <is>
          <t>31054 (Informatique - Systèmes d’information et numérique) ; 32070 (Innovation entreprise)</t>
        </is>
      </c>
      <c r="N2361" s="50" t="inlineStr">
        <is>
          <t>NON</t>
        </is>
      </c>
      <c r="O2361" s="45" t="inlineStr"/>
    </row>
    <row r="2362" customFormat="1" s="3">
      <c r="A2362" s="45" t="n"/>
      <c r="B2362" s="46" t="inlineStr">
        <is>
          <t>31085</t>
        </is>
      </c>
      <c r="C2362" s="46">
        <f>LEFT(Tableau1[[#This Row],[Formacode]],3)</f>
        <v/>
      </c>
      <c r="D2362" s="47" t="n">
        <v>39445</v>
      </c>
      <c r="E2362" s="48">
        <f>"RNCP"&amp;D2362</f>
        <v/>
      </c>
      <c r="F2362" s="48" t="inlineStr">
        <is>
          <t>Titre ingénieur - Ingénieur diplômé de l'Institut supérieur d'électronique de Paris</t>
        </is>
      </c>
      <c r="G2362" s="49">
        <f>E2362&amp;" - "&amp;F2362</f>
        <v/>
      </c>
      <c r="H2362" s="36" t="inlineStr">
        <is>
          <t>RAS</t>
        </is>
      </c>
      <c r="I2362" s="45" t="inlineStr"/>
      <c r="J2362" s="45" t="inlineStr">
        <is>
          <t>RNCP39445</t>
        </is>
      </c>
      <c r="K2362" s="45" t="inlineStr">
        <is>
          <t>Ingénieur diplômé de l'Institut supérieur d'électronique de Paris</t>
        </is>
      </c>
      <c r="L2362" s="45" t="inlineStr">
        <is>
          <t>31/08/2029</t>
        </is>
      </c>
      <c r="M2362" s="45" t="inlineStr">
        <is>
          <t>24354 (Électronique) ; 31054 (Informatique - Systèmes d’information et numérique) ; 32062 (Recherche développement) ; 15099 (Résolution problème)</t>
        </is>
      </c>
      <c r="N2362" s="50" t="inlineStr">
        <is>
          <t>NON</t>
        </is>
      </c>
      <c r="O2362" s="45" t="inlineStr"/>
    </row>
    <row r="2363" customFormat="1" s="3">
      <c r="A2363" s="45" t="n"/>
      <c r="B2363" s="46" t="inlineStr">
        <is>
          <t>31085</t>
        </is>
      </c>
      <c r="C2363" s="46">
        <f>LEFT(Tableau1[[#This Row],[Formacode]],3)</f>
        <v/>
      </c>
      <c r="D2363" s="47" t="n">
        <v>39582</v>
      </c>
      <c r="E2363" s="48">
        <f>"RNCP"&amp;D2363</f>
        <v/>
      </c>
      <c r="F2363" s="48" t="inlineStr">
        <is>
          <t>Expert en architecture des systèmes d’information</t>
        </is>
      </c>
      <c r="G2363" s="49">
        <f>E2363&amp;" - "&amp;F2363</f>
        <v/>
      </c>
      <c r="H2363" s="36" t="inlineStr">
        <is>
          <t>RAS</t>
        </is>
      </c>
      <c r="I2363" s="45" t="inlineStr"/>
      <c r="J2363" s="45" t="inlineStr">
        <is>
          <t>RNCP39582</t>
        </is>
      </c>
      <c r="K2363" s="45" t="inlineStr">
        <is>
          <t>Expert en architecture des systèmes d’information</t>
        </is>
      </c>
      <c r="L2363" s="45" t="inlineStr">
        <is>
          <t>01/10/2029</t>
        </is>
      </c>
      <c r="M2363" s="45" t="inlineStr">
        <is>
          <t>31054 (Informatique - Systèmes d’information et numérique)</t>
        </is>
      </c>
      <c r="N2363" s="50" t="inlineStr">
        <is>
          <t>NON</t>
        </is>
      </c>
      <c r="O2363" s="45" t="inlineStr"/>
    </row>
    <row r="2364" customFormat="1" s="3">
      <c r="A2364" s="45" t="n"/>
      <c r="B2364" s="46" t="inlineStr">
        <is>
          <t>31085</t>
        </is>
      </c>
      <c r="C2364" s="46">
        <f>LEFT(Tableau1[[#This Row],[Formacode]],3)</f>
        <v/>
      </c>
      <c r="D2364" s="47" t="n">
        <v>39585</v>
      </c>
      <c r="E2364" s="48">
        <f>"RNCP"&amp;D2364</f>
        <v/>
      </c>
      <c r="F2364" s="48" t="inlineStr">
        <is>
          <t>Chef de projet système d'information</t>
        </is>
      </c>
      <c r="G2364" s="49">
        <f>E2364&amp;" - "&amp;F2364</f>
        <v/>
      </c>
      <c r="H2364" s="36" t="inlineStr">
        <is>
          <t>RAS</t>
        </is>
      </c>
      <c r="I2364" s="45" t="inlineStr"/>
      <c r="J2364" s="45" t="inlineStr">
        <is>
          <t>RNCP39585</t>
        </is>
      </c>
      <c r="K2364" s="45" t="inlineStr">
        <is>
          <t>Chef de projet système d'information</t>
        </is>
      </c>
      <c r="L2364" s="45" t="inlineStr">
        <is>
          <t>01/10/2029</t>
        </is>
      </c>
      <c r="M2364" s="45" t="inlineStr">
        <is>
          <t>31094 (Gestion projet informatique) ; 31008 (Système information)</t>
        </is>
      </c>
      <c r="N2364" s="50" t="inlineStr">
        <is>
          <t>NON</t>
        </is>
      </c>
      <c r="O2364" s="45" t="inlineStr"/>
    </row>
    <row r="2365" ht="28.8" customFormat="1" customHeight="1" s="3">
      <c r="A2365" s="45" t="n"/>
      <c r="B2365" s="46" t="inlineStr">
        <is>
          <t>31085</t>
        </is>
      </c>
      <c r="C2365" s="46">
        <f>LEFT(Tableau1[[#This Row],[Formacode]],3)</f>
        <v/>
      </c>
      <c r="D2365" s="47" t="n">
        <v>39586</v>
      </c>
      <c r="E2365" s="48">
        <f>"RNCP"&amp;D2365</f>
        <v/>
      </c>
      <c r="F2365" s="48" t="inlineStr">
        <is>
          <t>Ingénieur en science des données spécialisé en infrastructure data ou en apprentissage automatique</t>
        </is>
      </c>
      <c r="G2365" s="49">
        <f>E2365&amp;" - "&amp;F2365</f>
        <v/>
      </c>
      <c r="H2365" s="36" t="inlineStr">
        <is>
          <t>RAS</t>
        </is>
      </c>
      <c r="I2365" s="45" t="inlineStr"/>
      <c r="J2365" s="45" t="inlineStr">
        <is>
          <t>RNCP39586</t>
        </is>
      </c>
      <c r="K2365" s="45" t="inlineStr">
        <is>
          <t>Ingénieur en science des données spécialisé en infrastructure data ou en apprentissage automatique</t>
        </is>
      </c>
      <c r="L2365" s="45" t="inlineStr">
        <is>
          <t>01/10/2029</t>
        </is>
      </c>
      <c r="M2365" s="45" t="inlineStr">
        <is>
          <t>31054 (Informatique - Systèmes d’information et numérique)</t>
        </is>
      </c>
      <c r="N2365" s="50" t="inlineStr">
        <is>
          <t>NON</t>
        </is>
      </c>
      <c r="O2365" s="45" t="inlineStr"/>
    </row>
    <row r="2366" customFormat="1" s="3">
      <c r="A2366" s="45" t="n"/>
      <c r="B2366" s="46" t="inlineStr">
        <is>
          <t>31085</t>
        </is>
      </c>
      <c r="C2366" s="46">
        <f>LEFT(Tableau1[[#This Row],[Formacode]],3)</f>
        <v/>
      </c>
      <c r="D2366" s="47" t="n">
        <v>39762</v>
      </c>
      <c r="E2366" s="48">
        <f>"RNCP"&amp;D2366</f>
        <v/>
      </c>
      <c r="F2366" s="48" t="inlineStr">
        <is>
          <t>Expert en transformation digitale et technologique no-code</t>
        </is>
      </c>
      <c r="G2366" s="49">
        <f>E2366&amp;" - "&amp;F2366</f>
        <v/>
      </c>
      <c r="H2366" s="36" t="inlineStr">
        <is>
          <t>RAS</t>
        </is>
      </c>
      <c r="I2366" s="45" t="inlineStr"/>
      <c r="J2366" s="45" t="inlineStr">
        <is>
          <t>RNCP39762</t>
        </is>
      </c>
      <c r="K2366" s="45" t="inlineStr">
        <is>
          <t>Expert en transformation digitale et technologique no-code</t>
        </is>
      </c>
      <c r="L2366" s="45" t="inlineStr">
        <is>
          <t>31/10/2027</t>
        </is>
      </c>
      <c r="M2366" s="45" t="inlineStr">
        <is>
          <t>31094 (Gestion projet informatique) ; 32016 (Conduite changement technologique) ; 46347 (Stratégie communication numérique)</t>
        </is>
      </c>
      <c r="N2366" s="50" t="inlineStr">
        <is>
          <t>NON</t>
        </is>
      </c>
      <c r="O2366" s="45" t="inlineStr"/>
    </row>
    <row r="2367" customFormat="1" s="3">
      <c r="A2367" s="45" t="n"/>
      <c r="B2367" s="46" t="inlineStr">
        <is>
          <t>31085</t>
        </is>
      </c>
      <c r="C2367" s="46">
        <f>LEFT(Tableau1[[#This Row],[Formacode]],3)</f>
        <v/>
      </c>
      <c r="D2367" s="47" t="n">
        <v>40165</v>
      </c>
      <c r="E2367" s="48">
        <f>"RNCP"&amp;D2367</f>
        <v/>
      </c>
      <c r="F2367" s="48" t="inlineStr">
        <is>
          <t>Expert en architectures sécurisées des systèmes d'information</t>
        </is>
      </c>
      <c r="G2367" s="49">
        <f>E2367&amp;" - "&amp;F2367</f>
        <v/>
      </c>
      <c r="H2367" s="36" t="inlineStr">
        <is>
          <t>RAS</t>
        </is>
      </c>
      <c r="I2367" s="45" t="inlineStr"/>
      <c r="J2367" s="45" t="inlineStr">
        <is>
          <t>RNCP40165</t>
        </is>
      </c>
      <c r="K2367" s="45" t="inlineStr">
        <is>
          <t>Expert en architectures sécurisées des systèmes d'information</t>
        </is>
      </c>
      <c r="L2367" s="45" t="inlineStr">
        <is>
          <t>31/01/2028</t>
        </is>
      </c>
      <c r="M2367" s="45" t="inlineStr">
        <is>
          <t>31009 (Architecture système information) ; 31006 (Sécurité informatique) ; 31094 (Gestion projet informatique)</t>
        </is>
      </c>
      <c r="N2367" s="50" t="inlineStr">
        <is>
          <t>NON</t>
        </is>
      </c>
      <c r="O2367" s="45" t="inlineStr"/>
    </row>
    <row r="2368" customFormat="1" s="3">
      <c r="A2368" s="45" t="n"/>
      <c r="B2368" s="46" t="inlineStr">
        <is>
          <t>31085</t>
        </is>
      </c>
      <c r="C2368" s="46">
        <f>LEFT(Tableau1[[#This Row],[Formacode]],3)</f>
        <v/>
      </c>
      <c r="D2368" s="47" t="n">
        <v>40166</v>
      </c>
      <c r="E2368" s="48">
        <f>"RNCP"&amp;D2368</f>
        <v/>
      </c>
      <c r="F2368" s="48" t="inlineStr">
        <is>
          <t>Expert en développement et déploiement de solutions numériques sécurisées</t>
        </is>
      </c>
      <c r="G2368" s="49">
        <f>E2368&amp;" - "&amp;F2368</f>
        <v/>
      </c>
      <c r="H2368" s="36" t="inlineStr">
        <is>
          <t>RAS</t>
        </is>
      </c>
      <c r="I2368" s="45" t="inlineStr"/>
      <c r="J2368" s="45" t="inlineStr">
        <is>
          <t>RNCP40166</t>
        </is>
      </c>
      <c r="K2368" s="45" t="inlineStr">
        <is>
          <t>Expert en développement et déploiement de solutions numériques sécurisées</t>
        </is>
      </c>
      <c r="L2368" s="45" t="inlineStr">
        <is>
          <t>31/01/2028</t>
        </is>
      </c>
      <c r="M2368" s="45" t="inlineStr">
        <is>
          <t>31094 (Gestion projet informatique) ; 31006 (Sécurité informatique) ; 31018 (Architecture orientée services) ; 31057 (Génie logiciel)</t>
        </is>
      </c>
      <c r="N2368" s="50" t="inlineStr">
        <is>
          <t>NON</t>
        </is>
      </c>
      <c r="O2368" s="45" t="inlineStr"/>
    </row>
    <row r="2369" customFormat="1" s="3">
      <c r="A2369" s="45" t="n"/>
      <c r="B2369" s="46" t="inlineStr">
        <is>
          <t>31085</t>
        </is>
      </c>
      <c r="C2369" s="46">
        <f>LEFT(Tableau1[[#This Row],[Formacode]],3)</f>
        <v/>
      </c>
      <c r="D2369" s="47" t="n">
        <v>40167</v>
      </c>
      <c r="E2369" s="48">
        <f>"RNCP"&amp;D2369</f>
        <v/>
      </c>
      <c r="F2369" s="48" t="inlineStr">
        <is>
          <t>Expert en ingénierie de données massives et intelligence artificielle</t>
        </is>
      </c>
      <c r="G2369" s="49">
        <f>E2369&amp;" - "&amp;F2369</f>
        <v/>
      </c>
      <c r="H2369" s="36" t="inlineStr">
        <is>
          <t>RAS</t>
        </is>
      </c>
      <c r="I2369" s="45" t="inlineStr"/>
      <c r="J2369" s="45" t="inlineStr">
        <is>
          <t>RNCP40167</t>
        </is>
      </c>
      <c r="K2369" s="45" t="inlineStr">
        <is>
          <t>Expert en ingénierie de données massives et intelligence artificielle</t>
        </is>
      </c>
      <c r="L2369" s="45" t="inlineStr">
        <is>
          <t>31/01/2028</t>
        </is>
      </c>
      <c r="M2369" s="45" t="inlineStr">
        <is>
          <t>31023 (Gestion données massives) ; 11031 (Modèle mathématique) ; 31028 (Intelligence artificielle) ; 31094 (Gestion projet informatique) ; 31006 (Sécurité informatique)</t>
        </is>
      </c>
      <c r="N2369" s="50" t="inlineStr">
        <is>
          <t>NON</t>
        </is>
      </c>
      <c r="O2369" s="45" t="inlineStr"/>
    </row>
    <row r="2370" customFormat="1" s="3">
      <c r="A2370" s="45" t="n"/>
      <c r="B2370" s="46" t="inlineStr">
        <is>
          <t>31085</t>
        </is>
      </c>
      <c r="C2370" s="46">
        <f>LEFT(Tableau1[[#This Row],[Formacode]],3)</f>
        <v/>
      </c>
      <c r="D2370" s="47" t="n">
        <v>40168</v>
      </c>
      <c r="E2370" s="48">
        <f>"RNCP"&amp;D2370</f>
        <v/>
      </c>
      <c r="F2370" s="48" t="inlineStr">
        <is>
          <t>Directeur de projets informatiques</t>
        </is>
      </c>
      <c r="G2370" s="49">
        <f>E2370&amp;" - "&amp;F2370</f>
        <v/>
      </c>
      <c r="H2370" s="36" t="inlineStr">
        <is>
          <t>RAS</t>
        </is>
      </c>
      <c r="I2370" s="45" t="inlineStr"/>
      <c r="J2370" s="45" t="inlineStr">
        <is>
          <t>RNCP40168</t>
        </is>
      </c>
      <c r="K2370" s="45" t="inlineStr">
        <is>
          <t>Directeur de projets informatiques</t>
        </is>
      </c>
      <c r="L2370" s="45" t="inlineStr">
        <is>
          <t>31/01/2028</t>
        </is>
      </c>
      <c r="M2370" s="45" t="inlineStr">
        <is>
          <t>31094 (Gestion projet informatique) ; 31009 (Architecture système information) ; 31006 (Sécurité informatique)</t>
        </is>
      </c>
      <c r="N2370" s="50" t="inlineStr">
        <is>
          <t>NON</t>
        </is>
      </c>
      <c r="O2370" s="45" t="inlineStr"/>
    </row>
    <row r="2371" customFormat="1" s="3">
      <c r="A2371" s="45" t="n"/>
      <c r="B2371" s="46" t="inlineStr">
        <is>
          <t>31085</t>
        </is>
      </c>
      <c r="C2371" s="46">
        <f>LEFT(Tableau1[[#This Row],[Formacode]],3)</f>
        <v/>
      </c>
      <c r="D2371" s="47" t="n">
        <v>40239</v>
      </c>
      <c r="E2371" s="48">
        <f>"RNCP"&amp;D2371</f>
        <v/>
      </c>
      <c r="F2371" s="48" t="inlineStr">
        <is>
          <t>Directeur de projets informatiques</t>
        </is>
      </c>
      <c r="G2371" s="49">
        <f>E2371&amp;" - "&amp;F2371</f>
        <v/>
      </c>
      <c r="H2371" s="36" t="inlineStr">
        <is>
          <t>RAS</t>
        </is>
      </c>
      <c r="I2371" s="45" t="inlineStr"/>
      <c r="J2371" s="45" t="inlineStr">
        <is>
          <t>RNCP40239</t>
        </is>
      </c>
      <c r="K2371" s="45" t="inlineStr">
        <is>
          <t>Directeur de projets informatiques</t>
        </is>
      </c>
      <c r="L2371" s="45" t="inlineStr">
        <is>
          <t>28/02/2030</t>
        </is>
      </c>
      <c r="M2371" s="45" t="inlineStr">
        <is>
          <t>31094 (Gestion projet informatique)</t>
        </is>
      </c>
      <c r="N2371" s="50" t="inlineStr">
        <is>
          <t>NON</t>
        </is>
      </c>
      <c r="O2371" s="45" t="inlineStr"/>
    </row>
    <row r="2372" customFormat="1" s="3">
      <c r="A2372" s="45" t="n"/>
      <c r="B2372" s="46" t="inlineStr">
        <is>
          <t>31085</t>
        </is>
      </c>
      <c r="C2372" s="46">
        <f>LEFT(Tableau1[[#This Row],[Formacode]],3)</f>
        <v/>
      </c>
      <c r="D2372" s="47" t="n">
        <v>40363</v>
      </c>
      <c r="E2372" s="48">
        <f>"RNCP"&amp;D2372</f>
        <v/>
      </c>
      <c r="F2372" s="48" t="inlineStr">
        <is>
          <t>Expert en études et développement du système d'information</t>
        </is>
      </c>
      <c r="G2372" s="49">
        <f>E2372&amp;" - "&amp;F2372</f>
        <v/>
      </c>
      <c r="H2372" s="36" t="inlineStr">
        <is>
          <t>RAS</t>
        </is>
      </c>
      <c r="I2372" s="45" t="inlineStr"/>
      <c r="J2372" s="45" t="inlineStr">
        <is>
          <t>RNCP40363</t>
        </is>
      </c>
      <c r="K2372" s="45" t="inlineStr">
        <is>
          <t>Expert en études et développement du système d'information</t>
        </is>
      </c>
      <c r="L2372" s="45" t="inlineStr">
        <is>
          <t>28/03/2028</t>
        </is>
      </c>
      <c r="M2372" s="45" t="inlineStr">
        <is>
          <t>31054 (Informatique - Systèmes d’information et numérique)</t>
        </is>
      </c>
      <c r="N2372" s="50" t="inlineStr">
        <is>
          <t>NON</t>
        </is>
      </c>
      <c r="O2372" s="45" t="inlineStr"/>
    </row>
    <row r="2373" customFormat="1" s="3">
      <c r="A2373" s="45" t="n"/>
      <c r="B2373" s="46" t="inlineStr">
        <is>
          <t>31085</t>
        </is>
      </c>
      <c r="C2373" s="46">
        <f>LEFT(Tableau1[[#This Row],[Formacode]],3)</f>
        <v/>
      </c>
      <c r="D2373" s="47" t="n">
        <v>40448</v>
      </c>
      <c r="E2373" s="48">
        <f>"RNCP"&amp;D2373</f>
        <v/>
      </c>
      <c r="F2373" s="48" t="inlineStr">
        <is>
          <t>Grade_Licence - Sciences et Ingénierie - Systèmes Numériques pour la Santé</t>
        </is>
      </c>
      <c r="G2373" s="49">
        <f>E2373&amp;" - "&amp;F2373</f>
        <v/>
      </c>
      <c r="H2373" s="36" t="inlineStr">
        <is>
          <t>RAS</t>
        </is>
      </c>
      <c r="I2373" s="45" t="inlineStr"/>
      <c r="J2373" s="45" t="inlineStr">
        <is>
          <t>RNCP40448</t>
        </is>
      </c>
      <c r="K2373" s="45" t="inlineStr">
        <is>
          <t>Sciences et Ingénierie - Systèmes Numériques pour la Santé</t>
        </is>
      </c>
      <c r="L2373" s="45" t="inlineStr">
        <is>
          <t>31/08/2027</t>
        </is>
      </c>
      <c r="M2373" s="45" t="inlineStr">
        <is>
          <t>31036 (Administration base de données) ; 31085 (Informatisation des processus) ; 31045 (Cybersécurité) ; 43417 (Gestion technique hôpital)</t>
        </is>
      </c>
      <c r="N2373" s="50" t="inlineStr">
        <is>
          <t>NON</t>
        </is>
      </c>
      <c r="O2373" s="45" t="inlineStr"/>
    </row>
    <row r="2374" customFormat="1" s="3">
      <c r="A2374" s="45" t="n"/>
      <c r="B2374" s="46" t="inlineStr">
        <is>
          <t>31085</t>
        </is>
      </c>
      <c r="C2374" s="46">
        <f>LEFT(Tableau1[[#This Row],[Formacode]],3)</f>
        <v/>
      </c>
      <c r="D2374" s="47" t="n">
        <v>40573</v>
      </c>
      <c r="E2374" s="48">
        <f>"RNCP"&amp;D2374</f>
        <v/>
      </c>
      <c r="F2374" s="48" t="inlineStr">
        <is>
          <t>Expert en informatique et systèmes d’information</t>
        </is>
      </c>
      <c r="G2374" s="49">
        <f>E2374&amp;" - "&amp;F2374</f>
        <v/>
      </c>
      <c r="H2374" s="36" t="inlineStr">
        <is>
          <t>RAS</t>
        </is>
      </c>
      <c r="I2374" s="45" t="inlineStr"/>
      <c r="J2374" s="45" t="inlineStr">
        <is>
          <t>RNCP40573</t>
        </is>
      </c>
      <c r="K2374" s="45" t="inlineStr">
        <is>
          <t>Expert en informatique et systèmes d’information</t>
        </is>
      </c>
      <c r="L2374" s="45" t="inlineStr">
        <is>
          <t>30/04/2030</t>
        </is>
      </c>
      <c r="M2374" s="45" t="inlineStr">
        <is>
          <t>31006 (Sécurité informatique) ; 30854 (Langages informatiques) ; 31025 (Analyse de données) ; 31094 (Gestion projet informatique) ; 31028 (Intelligence artificielle)</t>
        </is>
      </c>
      <c r="N2374" s="50" t="inlineStr">
        <is>
          <t>NON</t>
        </is>
      </c>
      <c r="O2374" s="45" t="inlineStr"/>
    </row>
    <row r="2375" customFormat="1" s="3">
      <c r="A2375" s="45" t="n"/>
      <c r="B2375" s="46" t="inlineStr">
        <is>
          <t>31085</t>
        </is>
      </c>
      <c r="C2375" s="46">
        <f>LEFT(Tableau1[[#This Row],[Formacode]],3)</f>
        <v/>
      </c>
      <c r="D2375" s="47" t="n">
        <v>40593</v>
      </c>
      <c r="E2375" s="48">
        <f>"RNCP"&amp;D2375</f>
        <v/>
      </c>
      <c r="F2375" s="48" t="inlineStr">
        <is>
          <t>Product builder no code</t>
        </is>
      </c>
      <c r="G2375" s="49">
        <f>E2375&amp;" - "&amp;F2375</f>
        <v/>
      </c>
      <c r="H2375" s="36" t="inlineStr">
        <is>
          <t>RAS</t>
        </is>
      </c>
      <c r="I2375" s="45" t="inlineStr"/>
      <c r="J2375" s="45" t="inlineStr">
        <is>
          <t>RNCP40593</t>
        </is>
      </c>
      <c r="K2375" s="45" t="inlineStr">
        <is>
          <t>Product builder no code</t>
        </is>
      </c>
      <c r="L2375" s="45" t="inlineStr">
        <is>
          <t>30/04/2028</t>
        </is>
      </c>
      <c r="M2375" s="45" t="inlineStr">
        <is>
          <t>31086 (Développement Low Code - No Code) ; 46334 (Maquettage site web) ; 31094 (Gestion projet informatique) ; 72454 (Application) ; 32012 (Gestion processus)</t>
        </is>
      </c>
      <c r="N2375" s="50" t="inlineStr">
        <is>
          <t>NON</t>
        </is>
      </c>
      <c r="O2375" s="45" t="inlineStr"/>
    </row>
    <row r="2376" customFormat="1" s="3">
      <c r="A2376" s="45" t="n"/>
      <c r="B2376" s="46" t="inlineStr">
        <is>
          <t>31085</t>
        </is>
      </c>
      <c r="C2376" s="46">
        <f>LEFT(Tableau1[[#This Row],[Formacode]],3)</f>
        <v/>
      </c>
      <c r="D2376" s="47" t="n">
        <v>40932</v>
      </c>
      <c r="E2376" s="48">
        <f>"RNCP"&amp;D2376</f>
        <v/>
      </c>
      <c r="F2376" s="48" t="inlineStr">
        <is>
          <t>Expert numérique des systèmes et processus industriels</t>
        </is>
      </c>
      <c r="G2376" s="49">
        <f>E2376&amp;" - "&amp;F2376</f>
        <v/>
      </c>
      <c r="H2376" s="36" t="inlineStr">
        <is>
          <t>RAS</t>
        </is>
      </c>
      <c r="I2376" s="45" t="inlineStr"/>
      <c r="J2376" s="45" t="inlineStr">
        <is>
          <t>RNCP40932</t>
        </is>
      </c>
      <c r="K2376" s="45" t="inlineStr">
        <is>
          <t>Expert numérique des systèmes et processus industriels</t>
        </is>
      </c>
      <c r="L2376" s="45" t="inlineStr">
        <is>
          <t>25/06/2028</t>
        </is>
      </c>
      <c r="M2376" s="45" t="inlineStr">
        <is>
          <t>31085 (Informatisation des processus) ; 46390 (Numérisation données) ; 31008 (Système information) ; 31606 (Conduite projet industriel)</t>
        </is>
      </c>
      <c r="N2376" s="50" t="inlineStr">
        <is>
          <t>NON</t>
        </is>
      </c>
      <c r="O2376" s="45" t="inlineStr"/>
    </row>
    <row r="2377" customFormat="1" s="3">
      <c r="A2377" s="45" t="n"/>
      <c r="B2377" s="46" t="inlineStr">
        <is>
          <t>31085</t>
        </is>
      </c>
      <c r="C2377" s="46">
        <f>LEFT(Tableau1[[#This Row],[Formacode]],3)</f>
        <v/>
      </c>
      <c r="D2377" s="47" t="n">
        <v>41123</v>
      </c>
      <c r="E2377" s="48">
        <f>"RNCP"&amp;D2377</f>
        <v/>
      </c>
      <c r="F2377" s="48" t="inlineStr">
        <is>
          <t>Expert en transformation digitale et technologique no code</t>
        </is>
      </c>
      <c r="G2377" s="49">
        <f>E2377&amp;" - "&amp;F2377</f>
        <v/>
      </c>
      <c r="H2377" s="36" t="inlineStr">
        <is>
          <t>RAS</t>
        </is>
      </c>
      <c r="I2377" s="45" t="inlineStr"/>
      <c r="J2377" s="45" t="inlineStr">
        <is>
          <t>RNCP41123</t>
        </is>
      </c>
      <c r="K2377" s="45" t="inlineStr">
        <is>
          <t>Expert en transformation digitale et technologique no code</t>
        </is>
      </c>
      <c r="L2377" s="45" t="inlineStr">
        <is>
          <t>18/07/2028</t>
        </is>
      </c>
      <c r="M2377" s="45" t="inlineStr">
        <is>
          <t>31094 (Gestion projet informatique) ; 32016 (Conduite changement technologique) ; 46347 (Stratégie communication numérique)</t>
        </is>
      </c>
      <c r="N2377" s="50" t="inlineStr">
        <is>
          <t>NON</t>
        </is>
      </c>
      <c r="O2377" s="45" t="inlineStr"/>
    </row>
    <row r="2378" customFormat="1" s="3">
      <c r="A2378" s="45" t="n"/>
      <c r="B2378" s="46" t="inlineStr">
        <is>
          <t>31085</t>
        </is>
      </c>
      <c r="C2378" s="46">
        <f>LEFT(Tableau1[[#This Row],[Formacode]],3)</f>
        <v/>
      </c>
      <c r="D2378" s="47" t="n">
        <v>41141</v>
      </c>
      <c r="E2378" s="48">
        <f>"RNCP"&amp;D2378</f>
        <v/>
      </c>
      <c r="F2378" s="48" t="inlineStr">
        <is>
          <t>Product manager</t>
        </is>
      </c>
      <c r="G2378" s="49">
        <f>E2378&amp;" - "&amp;F2378</f>
        <v/>
      </c>
      <c r="H2378" s="36" t="inlineStr">
        <is>
          <t>RAS</t>
        </is>
      </c>
      <c r="I2378" s="45" t="inlineStr"/>
      <c r="J2378" s="45" t="inlineStr">
        <is>
          <t>RNCP41141</t>
        </is>
      </c>
      <c r="K2378" s="45" t="inlineStr">
        <is>
          <t>Product manager</t>
        </is>
      </c>
      <c r="L2378" s="45" t="inlineStr">
        <is>
          <t>18/07/2028</t>
        </is>
      </c>
      <c r="M2378" s="45" t="inlineStr">
        <is>
          <t>34030 (Chef produit) ; 46339 (Conduite projet numérique) ; 31094 (Gestion projet informatique)</t>
        </is>
      </c>
      <c r="N2378" s="50" t="inlineStr">
        <is>
          <t>NON</t>
        </is>
      </c>
      <c r="O2378" s="45" t="inlineStr"/>
    </row>
    <row r="2379" customFormat="1" s="3">
      <c r="A2379" s="45" t="n"/>
      <c r="B2379" s="46" t="inlineStr">
        <is>
          <t>31085</t>
        </is>
      </c>
      <c r="C2379" s="46">
        <f>LEFT(Tableau1[[#This Row],[Formacode]],3)</f>
        <v/>
      </c>
      <c r="D2379" s="47" t="n">
        <v>41330</v>
      </c>
      <c r="E2379" s="48">
        <f>"RNCP"&amp;D2379</f>
        <v/>
      </c>
      <c r="F2379" s="48" t="inlineStr">
        <is>
          <t>Expert en développement logiciel</t>
        </is>
      </c>
      <c r="G2379" s="49">
        <f>E2379&amp;" - "&amp;F2379</f>
        <v/>
      </c>
      <c r="H2379" s="36" t="inlineStr">
        <is>
          <t>RAS</t>
        </is>
      </c>
      <c r="I2379" s="45" t="inlineStr"/>
      <c r="J2379" s="45" t="inlineStr">
        <is>
          <t>RNCP41330</t>
        </is>
      </c>
      <c r="K2379" s="45" t="inlineStr">
        <is>
          <t>Expert en développement logiciel</t>
        </is>
      </c>
      <c r="L2379" s="45" t="inlineStr">
        <is>
          <t>24/09/2028</t>
        </is>
      </c>
      <c r="M2379" s="45" t="inlineStr">
        <is>
          <t>31057 (Génie logiciel) ; 31067 (Développement informatique) ; 31094 (Gestion projet informatique)</t>
        </is>
      </c>
      <c r="N2379" s="50" t="inlineStr">
        <is>
          <t>NON</t>
        </is>
      </c>
      <c r="O2379" s="45" t="inlineStr"/>
    </row>
    <row r="2380" customFormat="1" s="3">
      <c r="A2380" s="45" t="n"/>
      <c r="B2380" s="46" t="inlineStr">
        <is>
          <t>31085</t>
        </is>
      </c>
      <c r="C2380" s="46">
        <f>LEFT(Tableau1[[#This Row],[Formacode]],3)</f>
        <v/>
      </c>
      <c r="D2380" s="47" t="n">
        <v>41450</v>
      </c>
      <c r="E2380" s="48">
        <f>"RNCP"&amp;D2380</f>
        <v/>
      </c>
      <c r="F2380" s="48" t="inlineStr">
        <is>
          <t>Expert en développement numérique responsable</t>
        </is>
      </c>
      <c r="G2380" s="49">
        <f>E2380&amp;" - "&amp;F2380</f>
        <v/>
      </c>
      <c r="H2380" s="36" t="inlineStr">
        <is>
          <t>RAS</t>
        </is>
      </c>
      <c r="I2380" s="45" t="inlineStr"/>
      <c r="J2380" s="45" t="inlineStr">
        <is>
          <t>RNCP41450</t>
        </is>
      </c>
      <c r="K2380" s="45" t="inlineStr">
        <is>
          <t>Expert en développement numérique responsable</t>
        </is>
      </c>
      <c r="L2380" s="45" t="inlineStr">
        <is>
          <t>27/10/2028</t>
        </is>
      </c>
      <c r="M2380" s="45" t="inlineStr">
        <is>
          <t>31002 (Informatique verte) ; 31094 (Gestion projet informatique) ; 31009 (Architecture système information)</t>
        </is>
      </c>
      <c r="N2380" s="50" t="inlineStr">
        <is>
          <t>NON</t>
        </is>
      </c>
      <c r="O2380" s="45" t="inlineStr"/>
    </row>
    <row r="2381" customFormat="1" s="3">
      <c r="A2381" s="45" t="n"/>
      <c r="B2381" s="46" t="inlineStr">
        <is>
          <t>31085</t>
        </is>
      </c>
      <c r="C2381" s="46">
        <f>LEFT(Tableau1[[#This Row],[Formacode]],3)</f>
        <v/>
      </c>
      <c r="D2381" s="47" t="n">
        <v>41459</v>
      </c>
      <c r="E2381" s="48">
        <f>"RNCP"&amp;D2381</f>
        <v/>
      </c>
      <c r="F2381" s="48" t="inlineStr">
        <is>
          <t>Product builder no-code</t>
        </is>
      </c>
      <c r="G2381" s="49">
        <f>E2381&amp;" - "&amp;F2381</f>
        <v/>
      </c>
      <c r="H2381" s="36" t="inlineStr">
        <is>
          <t>RAS</t>
        </is>
      </c>
      <c r="I2381" s="45" t="inlineStr"/>
      <c r="J2381" s="45" t="inlineStr">
        <is>
          <t>RNCP41459</t>
        </is>
      </c>
      <c r="K2381" s="45" t="inlineStr">
        <is>
          <t>Product builder no-code</t>
        </is>
      </c>
      <c r="L2381" s="45" t="inlineStr">
        <is>
          <t>27/10/2028</t>
        </is>
      </c>
      <c r="M2381" s="45" t="inlineStr">
        <is>
          <t>31086 (Développement Low Code - No Code) ; 46334 (Maquettage site web) ; 31094 (Gestion projet informatique) ; 72454 (Application) ; 13238 (Règlement général protection données)</t>
        </is>
      </c>
      <c r="N2381" s="50" t="inlineStr">
        <is>
          <t>NON</t>
        </is>
      </c>
      <c r="O2381" s="45" t="inlineStr"/>
    </row>
    <row r="2382" customFormat="1" s="3">
      <c r="A2382" s="45" t="n"/>
      <c r="B2382" s="46" t="inlineStr">
        <is>
          <t>31085</t>
        </is>
      </c>
      <c r="C2382" s="46">
        <f>LEFT(Tableau1[[#This Row],[Formacode]],3)</f>
        <v/>
      </c>
      <c r="D2382" s="47" t="n">
        <v>41643</v>
      </c>
      <c r="E2382" s="48">
        <f>"RNCP"&amp;D2382</f>
        <v/>
      </c>
      <c r="F2382" s="48" t="inlineStr">
        <is>
          <t>Expert en transformation digitale et technologique no code</t>
        </is>
      </c>
      <c r="G2382" s="49">
        <f>E2382&amp;" - "&amp;F2382</f>
        <v/>
      </c>
      <c r="H2382" s="36" t="inlineStr">
        <is>
          <t>RAS</t>
        </is>
      </c>
      <c r="I2382" s="45" t="inlineStr"/>
      <c r="J2382" s="45" t="inlineStr">
        <is>
          <t>RNCP41643</t>
        </is>
      </c>
      <c r="K2382" s="45" t="inlineStr">
        <is>
          <t>Expert en transformation digitale et technologique no code</t>
        </is>
      </c>
      <c r="L2382" s="45" t="inlineStr">
        <is>
          <t>27/11/2028</t>
        </is>
      </c>
      <c r="M2382" s="45" t="inlineStr">
        <is>
          <t>31086 (Développement Low Code - No Code) ; 32008 (Responsabilité sociétale entreprise) ; 32066 (Transition numérique) ; 31094 (Gestion projet informatique) ; 32025 (Stratégie entreprise)</t>
        </is>
      </c>
      <c r="N2382" s="50" t="inlineStr">
        <is>
          <t>NON</t>
        </is>
      </c>
      <c r="O2382" s="45" t="inlineStr"/>
    </row>
    <row r="2383" customFormat="1" s="3">
      <c r="A2383" s="45" t="n"/>
      <c r="B2383" s="46" t="inlineStr">
        <is>
          <t>31085</t>
        </is>
      </c>
      <c r="C2383" s="46">
        <f>LEFT(Tableau1[[#This Row],[Formacode]],3)</f>
        <v/>
      </c>
      <c r="D2383" s="47" t="n">
        <v>41701</v>
      </c>
      <c r="E2383" s="48">
        <f>"RNCP"&amp;D2383</f>
        <v/>
      </c>
      <c r="F2383" s="48" t="inlineStr">
        <is>
          <t>Concepteur développeur de solutions blockchain</t>
        </is>
      </c>
      <c r="G2383" s="49">
        <f>E2383&amp;" - "&amp;F2383</f>
        <v/>
      </c>
      <c r="H2383" s="36" t="inlineStr">
        <is>
          <t>RAS</t>
        </is>
      </c>
      <c r="I2383" s="45" t="inlineStr"/>
      <c r="J2383" s="45" t="inlineStr">
        <is>
          <t>RNCP41701</t>
        </is>
      </c>
      <c r="K2383" s="45" t="inlineStr">
        <is>
          <t>Concepteur développeur de solutions blockchain</t>
        </is>
      </c>
      <c r="L2383" s="45" t="inlineStr">
        <is>
          <t>27/10/2028</t>
        </is>
      </c>
      <c r="M2383" s="45" t="inlineStr">
        <is>
          <t>31004 (Blockchain) ; 31094 (Gestion projet informatique) ; 31009 (Architecture système information) ; 31067 (Développement informatique)</t>
        </is>
      </c>
      <c r="N2383" s="50" t="inlineStr">
        <is>
          <t>NON</t>
        </is>
      </c>
      <c r="O2383" s="45" t="inlineStr"/>
    </row>
    <row r="2384" customFormat="1" s="3">
      <c r="A2384" s="45" t="n"/>
      <c r="B2384" s="46" t="inlineStr">
        <is>
          <t>31085</t>
        </is>
      </c>
      <c r="C2384" s="46">
        <f>LEFT(Tableau1[[#This Row],[Formacode]],3)</f>
        <v/>
      </c>
      <c r="D2384" s="47" t="n">
        <v>41718</v>
      </c>
      <c r="E2384" s="48">
        <f>"RNCP"&amp;D2384</f>
        <v/>
      </c>
      <c r="F2384" s="48" t="inlineStr">
        <is>
          <t>Manager de la transformation digitale et technologique no code</t>
        </is>
      </c>
      <c r="G2384" s="49">
        <f>E2384&amp;" - "&amp;F2384</f>
        <v/>
      </c>
      <c r="H2384" s="36" t="inlineStr">
        <is>
          <t>RAS</t>
        </is>
      </c>
      <c r="I2384" s="45" t="inlineStr"/>
      <c r="J2384" s="45" t="inlineStr">
        <is>
          <t>RNCP41718</t>
        </is>
      </c>
      <c r="K2384" s="45" t="inlineStr">
        <is>
          <t>Manager de la transformation digitale et technologique no code</t>
        </is>
      </c>
      <c r="L2384" s="45" t="inlineStr">
        <is>
          <t>27/11/2028</t>
        </is>
      </c>
      <c r="M2384" s="45" t="inlineStr">
        <is>
          <t>31094 (Gestion projet informatique) ; 34093 (Marketing digital) ; 34530 (E-commerce) ; 46347 (Stratégie communication numérique)</t>
        </is>
      </c>
      <c r="N2384" s="50" t="inlineStr">
        <is>
          <t>NON</t>
        </is>
      </c>
      <c r="O2384" s="45" t="inlineStr"/>
    </row>
    <row r="2385" customFormat="1" s="3">
      <c r="A2385" s="45" t="n"/>
      <c r="B2385" s="46" t="inlineStr">
        <is>
          <t>31085</t>
        </is>
      </c>
      <c r="C2385" s="46">
        <f>LEFT(Tableau1[[#This Row],[Formacode]],3)</f>
        <v/>
      </c>
      <c r="D2385" s="47" t="n">
        <v>41791</v>
      </c>
      <c r="E2385" s="48">
        <f>"RNCP"&amp;D2385</f>
        <v/>
      </c>
      <c r="F2385" s="48" t="inlineStr">
        <is>
          <t>Product builder no code</t>
        </is>
      </c>
      <c r="G2385" s="49">
        <f>E2385&amp;" - "&amp;F2385</f>
        <v/>
      </c>
      <c r="H2385" s="36" t="inlineStr">
        <is>
          <t>RAS</t>
        </is>
      </c>
      <c r="I2385" s="45" t="inlineStr"/>
      <c r="J2385" s="45" t="inlineStr">
        <is>
          <t>RNCP41791</t>
        </is>
      </c>
      <c r="K2385" s="45" t="inlineStr">
        <is>
          <t>Product builder no code</t>
        </is>
      </c>
      <c r="L2385" s="45" t="inlineStr">
        <is>
          <t>18/12/2028</t>
        </is>
      </c>
      <c r="M2385" s="45" t="inlineStr">
        <is>
          <t>31086 (Développement Low Code - No Code) ; 46334 (Maquettage site web) ; 31094 (Gestion projet informatique) ; 72454 (Application) ; 32066 (Transition numérique)</t>
        </is>
      </c>
      <c r="N2385" s="50" t="inlineStr">
        <is>
          <t>NON</t>
        </is>
      </c>
      <c r="O2385" s="45" t="inlineStr"/>
    </row>
    <row r="2386" customFormat="1" s="3">
      <c r="A2386" s="45" t="n"/>
      <c r="B2386" s="46" t="inlineStr">
        <is>
          <t>31085</t>
        </is>
      </c>
      <c r="C2386" s="46">
        <f>LEFT(Tableau1[[#This Row],[Formacode]],3)</f>
        <v/>
      </c>
      <c r="D2386" s="47" t="n">
        <v>41823</v>
      </c>
      <c r="E2386" s="48">
        <f>"RNCP"&amp;D2386</f>
        <v/>
      </c>
      <c r="F2386" s="48" t="inlineStr">
        <is>
          <t>Titre ingénieur - Ingénieur diplômé de l’ESIEE IT - CCI Paris Ile-de-France Éducation</t>
        </is>
      </c>
      <c r="G2386" s="49">
        <f>E2386&amp;" - "&amp;F2386</f>
        <v/>
      </c>
      <c r="H2386" s="36" t="inlineStr">
        <is>
          <t>RAS</t>
        </is>
      </c>
      <c r="I2386" s="45" t="inlineStr"/>
      <c r="J2386" s="45" t="inlineStr">
        <is>
          <t>RNCP41823</t>
        </is>
      </c>
      <c r="K2386" s="45" t="inlineStr">
        <is>
          <t>Ingénieur diplômé de l’ESIEE IT - CCI Paris Ile-de-France Éducation</t>
        </is>
      </c>
      <c r="L2386" s="45" t="inlineStr">
        <is>
          <t>31/08/2027</t>
        </is>
      </c>
      <c r="M2386" s="45" t="inlineStr">
        <is>
          <t>31054 (Informatique - Systèmes d’information et numérique) ; 32062 (Recherche développement) ; 15099 (Résolution problème)</t>
        </is>
      </c>
      <c r="N2386" s="50" t="inlineStr">
        <is>
          <t>NON</t>
        </is>
      </c>
      <c r="O2386" s="45" t="inlineStr"/>
    </row>
    <row r="2387" customFormat="1" s="4">
      <c r="A2387" s="45" t="n"/>
      <c r="B2387" s="46" t="inlineStr">
        <is>
          <t>31333</t>
        </is>
      </c>
      <c r="C2387" s="46">
        <f>LEFT(Tableau1[[#This Row],[Formacode]],3)</f>
        <v/>
      </c>
      <c r="D2387" s="47" t="n">
        <v>36223</v>
      </c>
      <c r="E2387" s="48">
        <f>"RNCP"&amp;D2387</f>
        <v/>
      </c>
      <c r="F2387" s="48" t="inlineStr">
        <is>
          <t>CQP Opérateur vitrage</t>
        </is>
      </c>
      <c r="G2387" s="49">
        <f>E2387&amp;" - "&amp;F2387</f>
        <v/>
      </c>
      <c r="H2387" s="36" t="inlineStr">
        <is>
          <t>RAS</t>
        </is>
      </c>
      <c r="I2387" s="45" t="inlineStr"/>
      <c r="J2387" s="45" t="inlineStr">
        <is>
          <t>RNCP36223</t>
        </is>
      </c>
      <c r="K2387" s="45" t="inlineStr">
        <is>
          <t>CQP Opérateur vitrage</t>
        </is>
      </c>
      <c r="L2387" s="45" t="inlineStr">
        <is>
          <t>25/02/2027</t>
        </is>
      </c>
      <c r="M2387" s="45" t="inlineStr">
        <is>
          <t>23637 (Mécanique automobile) ; 31301 (Test étanchéité) ; 23657 (Aménagement véhicule automobile)</t>
        </is>
      </c>
      <c r="N2387" s="50" t="inlineStr">
        <is>
          <t>NON</t>
        </is>
      </c>
      <c r="O2387" s="45" t="inlineStr"/>
    </row>
    <row r="2388" customFormat="1" s="4">
      <c r="A2388" s="45" t="n"/>
      <c r="B2388" s="46" t="inlineStr">
        <is>
          <t>31333</t>
        </is>
      </c>
      <c r="C2388" s="46">
        <f>LEFT(Tableau1[[#This Row],[Formacode]],3)</f>
        <v/>
      </c>
      <c r="D2388" s="47" t="n">
        <v>36317</v>
      </c>
      <c r="E2388" s="48">
        <f>"RNCP"&amp;D2388</f>
        <v/>
      </c>
      <c r="F2388" s="48" t="inlineStr">
        <is>
          <t>TP - Technicien supérieur de contrôle non destructif</t>
        </is>
      </c>
      <c r="G2388" s="49">
        <f>E2388&amp;" - "&amp;F2388</f>
        <v/>
      </c>
      <c r="H2388" s="36" t="inlineStr">
        <is>
          <t>RAS</t>
        </is>
      </c>
      <c r="I2388" s="45" t="inlineStr"/>
      <c r="J2388" s="45" t="inlineStr">
        <is>
          <t>RNCP36317</t>
        </is>
      </c>
      <c r="K2388" s="45" t="inlineStr">
        <is>
          <t>Technicien supérieur de contrôle non destructif</t>
        </is>
      </c>
      <c r="L2388" s="45" t="inlineStr">
        <is>
          <t>27/02/2027</t>
        </is>
      </c>
      <c r="M2388" s="45" t="inlineStr">
        <is>
          <t>31333 (Contrôle non destructif)</t>
        </is>
      </c>
      <c r="N2388" s="50" t="inlineStr">
        <is>
          <t>NON</t>
        </is>
      </c>
      <c r="O2388" s="45" t="inlineStr"/>
    </row>
    <row r="2389" customFormat="1" s="4">
      <c r="A2389" s="45" t="n"/>
      <c r="B2389" s="46" t="inlineStr">
        <is>
          <t>31333</t>
        </is>
      </c>
      <c r="C2389" s="46">
        <f>LEFT(Tableau1[[#This Row],[Formacode]],3)</f>
        <v/>
      </c>
      <c r="D2389" s="47" t="n">
        <v>37399</v>
      </c>
      <c r="E2389" s="48">
        <f>"RNCP"&amp;D2389</f>
        <v/>
      </c>
      <c r="F2389" s="48" t="inlineStr">
        <is>
          <t>TP - Inspecteur qualité aéronautique et spatiale</t>
        </is>
      </c>
      <c r="G2389" s="49">
        <f>E2389&amp;" - "&amp;F2389</f>
        <v/>
      </c>
      <c r="H2389" s="36" t="inlineStr">
        <is>
          <t>RAS</t>
        </is>
      </c>
      <c r="I2389" s="45" t="inlineStr"/>
      <c r="J2389" s="45" t="inlineStr">
        <is>
          <t>RNCP37399</t>
        </is>
      </c>
      <c r="K2389" s="45" t="inlineStr">
        <is>
          <t>Inspecteur qualité aéronautique et spatiale</t>
        </is>
      </c>
      <c r="L2389" s="45" t="inlineStr">
        <is>
          <t>28/07/2028</t>
        </is>
      </c>
      <c r="M2389" s="45" t="inlineStr">
        <is>
          <t>31354 (Qualité industrielle) ; 23613 (Construction aéronautique)</t>
        </is>
      </c>
      <c r="N2389" s="50" t="inlineStr">
        <is>
          <t>NON</t>
        </is>
      </c>
      <c r="O2389" s="45" t="inlineStr"/>
    </row>
    <row r="2390" customFormat="1" s="4">
      <c r="A2390" s="45" t="n"/>
      <c r="B2390" s="46" t="inlineStr">
        <is>
          <t>31333</t>
        </is>
      </c>
      <c r="C2390" s="46">
        <f>LEFT(Tableau1[[#This Row],[Formacode]],3)</f>
        <v/>
      </c>
      <c r="D2390" s="47" t="n">
        <v>38901</v>
      </c>
      <c r="E2390" s="48">
        <f>"RNCP"&amp;D2390</f>
        <v/>
      </c>
      <c r="F2390" s="48" t="inlineStr">
        <is>
          <t>CQP Contrôleur en métrologie dimensionnelle</t>
        </is>
      </c>
      <c r="G2390" s="49">
        <f>E2390&amp;" - "&amp;F2390</f>
        <v/>
      </c>
      <c r="H2390" s="36" t="inlineStr">
        <is>
          <t>RAS</t>
        </is>
      </c>
      <c r="I2390" s="45" t="inlineStr"/>
      <c r="J2390" s="45" t="inlineStr">
        <is>
          <t>RNCP38901</t>
        </is>
      </c>
      <c r="K2390" s="45" t="inlineStr">
        <is>
          <t>CQP Contrôleur en métrologie dimensionnelle</t>
        </is>
      </c>
      <c r="L2390" s="45" t="inlineStr">
        <is>
          <t>26/04/2028</t>
        </is>
      </c>
      <c r="M2390" s="45" t="inlineStr">
        <is>
          <t>31380 (Métrologie dimensionnelle) ; 31436 (Contrôle qualité) ; 31333 (Contrôle non destructif)</t>
        </is>
      </c>
      <c r="N2390" s="50" t="inlineStr">
        <is>
          <t>NON</t>
        </is>
      </c>
      <c r="O2390" s="45" t="inlineStr"/>
    </row>
    <row r="2391" customFormat="1" s="4">
      <c r="A2391" s="45" t="n"/>
      <c r="B2391" s="46" t="inlineStr">
        <is>
          <t>31333</t>
        </is>
      </c>
      <c r="C2391" s="46">
        <f>LEFT(Tableau1[[#This Row],[Formacode]],3)</f>
        <v/>
      </c>
      <c r="D2391" s="47" t="n">
        <v>39599</v>
      </c>
      <c r="E2391" s="48">
        <f>"RNCP"&amp;D2391</f>
        <v/>
      </c>
      <c r="F2391" s="48" t="inlineStr">
        <is>
          <t>Responsable de projet qualité sécurité environnement et développement durable</t>
        </is>
      </c>
      <c r="G2391" s="49">
        <f>E2391&amp;" - "&amp;F2391</f>
        <v/>
      </c>
      <c r="H2391" s="36" t="inlineStr">
        <is>
          <t>RAS</t>
        </is>
      </c>
      <c r="I2391" s="45" t="inlineStr"/>
      <c r="J2391" s="45" t="inlineStr">
        <is>
          <t>RNCP39599</t>
        </is>
      </c>
      <c r="K2391" s="45" t="inlineStr">
        <is>
          <t>Responsable de projet qualité sécurité environnement et développement durable</t>
        </is>
      </c>
      <c r="L2391" s="45" t="inlineStr">
        <is>
          <t>01/10/2027</t>
        </is>
      </c>
      <c r="M2391" s="45" t="inlineStr">
        <is>
          <t>42818 (Système management santé sécurité travail) ; 12587 (Management environnemental) ; 31407 (Qualité hygiène sécurité environnement) ; 31354 (Qualité industrielle) ; 31449 (Norme qualité)</t>
        </is>
      </c>
      <c r="N2391" s="50" t="inlineStr">
        <is>
          <t>NON</t>
        </is>
      </c>
      <c r="O2391" s="45" t="inlineStr"/>
    </row>
    <row r="2392" customFormat="1" s="4">
      <c r="A2392" s="45" t="n"/>
      <c r="B2392" s="46" t="inlineStr">
        <is>
          <t>31333</t>
        </is>
      </c>
      <c r="C2392" s="46">
        <f>LEFT(Tableau1[[#This Row],[Formacode]],3)</f>
        <v/>
      </c>
      <c r="D2392" s="47" t="n">
        <v>39682</v>
      </c>
      <c r="E2392" s="48">
        <f>"RNCP"&amp;D2392</f>
        <v/>
      </c>
      <c r="F2392" s="48" t="inlineStr">
        <is>
          <t>CS - Agent de contrôle non destructif</t>
        </is>
      </c>
      <c r="G2392" s="49">
        <f>E2392&amp;" - "&amp;F2392</f>
        <v/>
      </c>
      <c r="H2392" s="36" t="inlineStr">
        <is>
          <t>RAS</t>
        </is>
      </c>
      <c r="I2392" s="45" t="inlineStr"/>
      <c r="J2392" s="45" t="inlineStr">
        <is>
          <t>RNCP39682</t>
        </is>
      </c>
      <c r="K2392" s="45" t="inlineStr">
        <is>
          <t>Agent de contrôle non destructif</t>
        </is>
      </c>
      <c r="L2392" s="45" t="inlineStr">
        <is>
          <t>31/12/2027</t>
        </is>
      </c>
      <c r="M2392" s="45" t="inlineStr">
        <is>
          <t>31333 (Contrôle non destructif)</t>
        </is>
      </c>
      <c r="N2392" s="50" t="inlineStr">
        <is>
          <t>NON</t>
        </is>
      </c>
      <c r="O2392" s="45" t="inlineStr"/>
    </row>
    <row r="2393" customFormat="1" s="4">
      <c r="A2393" s="45" t="n"/>
      <c r="B2393" s="46" t="inlineStr">
        <is>
          <t>31333</t>
        </is>
      </c>
      <c r="C2393" s="46">
        <f>LEFT(Tableau1[[#This Row],[Formacode]],3)</f>
        <v/>
      </c>
      <c r="D2393" s="47" t="n">
        <v>39785</v>
      </c>
      <c r="E2393" s="48">
        <f>"RNCP"&amp;D2393</f>
        <v/>
      </c>
      <c r="F2393" s="48" t="inlineStr">
        <is>
          <t>CQP Technicien de la qualité (CQPI)</t>
        </is>
      </c>
      <c r="G2393" s="49">
        <f>E2393&amp;" - "&amp;F2393</f>
        <v/>
      </c>
      <c r="H2393" s="36" t="inlineStr">
        <is>
          <t>RAS</t>
        </is>
      </c>
      <c r="I2393" s="45" t="inlineStr"/>
      <c r="J2393" s="45" t="inlineStr">
        <is>
          <t>RNCP39785</t>
        </is>
      </c>
      <c r="K2393" s="45" t="inlineStr">
        <is>
          <t>CQP Technicien de la qualité (CQPI)</t>
        </is>
      </c>
      <c r="L2393" s="45" t="inlineStr">
        <is>
          <t>31/10/2029</t>
        </is>
      </c>
      <c r="M2393" s="45" t="inlineStr">
        <is>
          <t>31354 (Qualité industrielle)</t>
        </is>
      </c>
      <c r="N2393" s="50" t="inlineStr">
        <is>
          <t>NON</t>
        </is>
      </c>
      <c r="O2393" s="45" t="inlineStr"/>
    </row>
    <row r="2394" customFormat="1" s="4">
      <c r="A2394" s="45" t="n"/>
      <c r="B2394" s="46" t="inlineStr">
        <is>
          <t>31333</t>
        </is>
      </c>
      <c r="C2394" s="46">
        <f>LEFT(Tableau1[[#This Row],[Formacode]],3)</f>
        <v/>
      </c>
      <c r="D2394" s="47" t="n">
        <v>41136</v>
      </c>
      <c r="E2394" s="48">
        <f>"RNCP"&amp;D2394</f>
        <v/>
      </c>
      <c r="F2394" s="48" t="inlineStr">
        <is>
          <t>CQP Coordonnateur du système QSE</t>
        </is>
      </c>
      <c r="G2394" s="49">
        <f>E2394&amp;" - "&amp;F2394</f>
        <v/>
      </c>
      <c r="H2394" s="36" t="inlineStr">
        <is>
          <t>RAS</t>
        </is>
      </c>
      <c r="I2394" s="45" t="inlineStr"/>
      <c r="J2394" s="45" t="inlineStr">
        <is>
          <t>RNCP41136</t>
        </is>
      </c>
      <c r="K2394" s="45" t="inlineStr">
        <is>
          <t>CQP Coordonnateur du système QSE</t>
        </is>
      </c>
      <c r="L2394" s="45" t="inlineStr">
        <is>
          <t>18/07/2030</t>
        </is>
      </c>
      <c r="M2394" s="45" t="inlineStr">
        <is>
          <t>42818 (Système management santé sécurité travail) ; 31354 (Qualité industrielle) ; 23642 (Sécurité mécanique construction réparation) ; 42817 (Réglementation santé sécurité travail) ; 31407 (Qualité hygiène sécurité environnement)</t>
        </is>
      </c>
      <c r="N2394" s="50" t="inlineStr">
        <is>
          <t>NON</t>
        </is>
      </c>
      <c r="O2394" s="45" t="inlineStr"/>
    </row>
    <row r="2395" customFormat="1" s="4">
      <c r="A2395" s="45" t="n"/>
      <c r="B2395" s="46" t="inlineStr">
        <is>
          <t>31350</t>
        </is>
      </c>
      <c r="C2395" s="46">
        <f>LEFT(Tableau1[[#This Row],[Formacode]],3)</f>
        <v/>
      </c>
      <c r="D2395" s="47" t="n">
        <v>37399</v>
      </c>
      <c r="E2395" s="48">
        <f>"RNCP"&amp;D2395</f>
        <v/>
      </c>
      <c r="F2395" s="48" t="inlineStr">
        <is>
          <t>TP - Inspecteur qualité aéronautique et spatiale</t>
        </is>
      </c>
      <c r="G2395" s="49">
        <f>E2395&amp;" - "&amp;F2395</f>
        <v/>
      </c>
      <c r="H2395" s="36" t="inlineStr">
        <is>
          <t>RAS</t>
        </is>
      </c>
      <c r="I2395" s="45" t="inlineStr"/>
      <c r="J2395" s="45" t="inlineStr">
        <is>
          <t>RNCP37399</t>
        </is>
      </c>
      <c r="K2395" s="45" t="inlineStr">
        <is>
          <t>Inspecteur qualité aéronautique et spatiale</t>
        </is>
      </c>
      <c r="L2395" s="45" t="inlineStr">
        <is>
          <t>28/07/2028</t>
        </is>
      </c>
      <c r="M2395" s="45" t="inlineStr">
        <is>
          <t>31354 (Qualité industrielle) ; 23613 (Construction aéronautique)</t>
        </is>
      </c>
      <c r="N2395" s="50" t="inlineStr">
        <is>
          <t>NON</t>
        </is>
      </c>
      <c r="O2395" s="45" t="inlineStr"/>
    </row>
    <row r="2396" customFormat="1" s="4">
      <c r="A2396" s="45" t="n"/>
      <c r="B2396" s="46" t="inlineStr">
        <is>
          <t>31350</t>
        </is>
      </c>
      <c r="C2396" s="46">
        <f>LEFT(Tableau1[[#This Row],[Formacode]],3)</f>
        <v/>
      </c>
      <c r="D2396" s="47" t="n">
        <v>39599</v>
      </c>
      <c r="E2396" s="48">
        <f>"RNCP"&amp;D2396</f>
        <v/>
      </c>
      <c r="F2396" s="48" t="inlineStr">
        <is>
          <t>Responsable de projet qualité sécurité environnement et développement durable</t>
        </is>
      </c>
      <c r="G2396" s="49">
        <f>E2396&amp;" - "&amp;F2396</f>
        <v/>
      </c>
      <c r="H2396" s="36" t="inlineStr">
        <is>
          <t>RAS</t>
        </is>
      </c>
      <c r="I2396" s="45" t="inlineStr"/>
      <c r="J2396" s="45" t="inlineStr">
        <is>
          <t>RNCP39599</t>
        </is>
      </c>
      <c r="K2396" s="45" t="inlineStr">
        <is>
          <t>Responsable de projet qualité sécurité environnement et développement durable</t>
        </is>
      </c>
      <c r="L2396" s="45" t="inlineStr">
        <is>
          <t>01/10/2027</t>
        </is>
      </c>
      <c r="M2396" s="45" t="inlineStr">
        <is>
          <t>42818 (Système management santé sécurité travail) ; 12587 (Management environnemental) ; 31407 (Qualité hygiène sécurité environnement) ; 31354 (Qualité industrielle) ; 31449 (Norme qualité)</t>
        </is>
      </c>
      <c r="N2396" s="50" t="inlineStr">
        <is>
          <t>NON</t>
        </is>
      </c>
      <c r="O2396" s="45" t="inlineStr"/>
    </row>
    <row r="2397" customFormat="1" s="4">
      <c r="A2397" s="45" t="n"/>
      <c r="B2397" s="46" t="inlineStr">
        <is>
          <t>31350</t>
        </is>
      </c>
      <c r="C2397" s="46">
        <f>LEFT(Tableau1[[#This Row],[Formacode]],3)</f>
        <v/>
      </c>
      <c r="D2397" s="47" t="n">
        <v>39785</v>
      </c>
      <c r="E2397" s="48">
        <f>"RNCP"&amp;D2397</f>
        <v/>
      </c>
      <c r="F2397" s="48" t="inlineStr">
        <is>
          <t>CQP Technicien de la qualité (CQPI)</t>
        </is>
      </c>
      <c r="G2397" s="49">
        <f>E2397&amp;" - "&amp;F2397</f>
        <v/>
      </c>
      <c r="H2397" s="36" t="inlineStr">
        <is>
          <t>RAS</t>
        </is>
      </c>
      <c r="I2397" s="45" t="inlineStr"/>
      <c r="J2397" s="45" t="inlineStr">
        <is>
          <t>RNCP39785</t>
        </is>
      </c>
      <c r="K2397" s="45" t="inlineStr">
        <is>
          <t>CQP Technicien de la qualité (CQPI)</t>
        </is>
      </c>
      <c r="L2397" s="45" t="inlineStr">
        <is>
          <t>31/10/2029</t>
        </is>
      </c>
      <c r="M2397" s="45" t="inlineStr">
        <is>
          <t>31354 (Qualité industrielle)</t>
        </is>
      </c>
      <c r="N2397" s="50" t="inlineStr">
        <is>
          <t>NON</t>
        </is>
      </c>
      <c r="O2397" s="45" t="inlineStr"/>
    </row>
    <row r="2398" customFormat="1" s="4">
      <c r="A2398" s="45" t="n"/>
      <c r="B2398" s="46" t="inlineStr">
        <is>
          <t>31350</t>
        </is>
      </c>
      <c r="C2398" s="46">
        <f>LEFT(Tableau1[[#This Row],[Formacode]],3)</f>
        <v/>
      </c>
      <c r="D2398" s="47" t="n">
        <v>41136</v>
      </c>
      <c r="E2398" s="48">
        <f>"RNCP"&amp;D2398</f>
        <v/>
      </c>
      <c r="F2398" s="48" t="inlineStr">
        <is>
          <t>CQP Coordonnateur du système QSE</t>
        </is>
      </c>
      <c r="G2398" s="49">
        <f>E2398&amp;" - "&amp;F2398</f>
        <v/>
      </c>
      <c r="H2398" s="36" t="inlineStr">
        <is>
          <t>RAS</t>
        </is>
      </c>
      <c r="I2398" s="45" t="inlineStr"/>
      <c r="J2398" s="45" t="inlineStr">
        <is>
          <t>RNCP41136</t>
        </is>
      </c>
      <c r="K2398" s="45" t="inlineStr">
        <is>
          <t>CQP Coordonnateur du système QSE</t>
        </is>
      </c>
      <c r="L2398" s="45" t="inlineStr">
        <is>
          <t>18/07/2030</t>
        </is>
      </c>
      <c r="M2398" s="45" t="inlineStr">
        <is>
          <t>42818 (Système management santé sécurité travail) ; 31354 (Qualité industrielle) ; 23642 (Sécurité mécanique construction réparation) ; 42817 (Réglementation santé sécurité travail) ; 31407 (Qualité hygiène sécurité environnement)</t>
        </is>
      </c>
      <c r="N2398" s="50" t="inlineStr">
        <is>
          <t>NON</t>
        </is>
      </c>
      <c r="O2398" s="45" t="inlineStr"/>
    </row>
    <row r="2399" customFormat="1" s="4">
      <c r="A2399" s="45" t="n"/>
      <c r="B2399" s="46" t="inlineStr">
        <is>
          <t>31361</t>
        </is>
      </c>
      <c r="C2399" s="46">
        <f>LEFT(Tableau1[[#This Row],[Formacode]],3)</f>
        <v/>
      </c>
      <c r="D2399" s="47" t="n">
        <v>37399</v>
      </c>
      <c r="E2399" s="48">
        <f>"RNCP"&amp;D2399</f>
        <v/>
      </c>
      <c r="F2399" s="48" t="inlineStr">
        <is>
          <t>TP - Inspecteur qualité aéronautique et spatiale</t>
        </is>
      </c>
      <c r="G2399" s="49">
        <f>E2399&amp;" - "&amp;F2399</f>
        <v/>
      </c>
      <c r="H2399" s="36" t="inlineStr">
        <is>
          <t>RAS</t>
        </is>
      </c>
      <c r="I2399" s="45" t="inlineStr"/>
      <c r="J2399" s="45" t="inlineStr">
        <is>
          <t>RNCP37399</t>
        </is>
      </c>
      <c r="K2399" s="45" t="inlineStr">
        <is>
          <t>Inspecteur qualité aéronautique et spatiale</t>
        </is>
      </c>
      <c r="L2399" s="45" t="inlineStr">
        <is>
          <t>28/07/2028</t>
        </is>
      </c>
      <c r="M2399" s="45" t="inlineStr">
        <is>
          <t>31354 (Qualité industrielle) ; 23613 (Construction aéronautique)</t>
        </is>
      </c>
      <c r="N2399" s="50" t="inlineStr">
        <is>
          <t>NON</t>
        </is>
      </c>
      <c r="O2399" s="45" t="inlineStr"/>
    </row>
    <row r="2400" customFormat="1" s="4">
      <c r="A2400" s="45" t="n"/>
      <c r="B2400" s="46" t="inlineStr">
        <is>
          <t>31361</t>
        </is>
      </c>
      <c r="C2400" s="46">
        <f>LEFT(Tableau1[[#This Row],[Formacode]],3)</f>
        <v/>
      </c>
      <c r="D2400" s="47" t="n">
        <v>39599</v>
      </c>
      <c r="E2400" s="48">
        <f>"RNCP"&amp;D2400</f>
        <v/>
      </c>
      <c r="F2400" s="48" t="inlineStr">
        <is>
          <t>Responsable de projet qualité sécurité environnement et développement durable</t>
        </is>
      </c>
      <c r="G2400" s="49">
        <f>E2400&amp;" - "&amp;F2400</f>
        <v/>
      </c>
      <c r="H2400" s="36" t="inlineStr">
        <is>
          <t>RAS</t>
        </is>
      </c>
      <c r="I2400" s="45" t="inlineStr"/>
      <c r="J2400" s="45" t="inlineStr">
        <is>
          <t>RNCP39599</t>
        </is>
      </c>
      <c r="K2400" s="45" t="inlineStr">
        <is>
          <t>Responsable de projet qualité sécurité environnement et développement durable</t>
        </is>
      </c>
      <c r="L2400" s="45" t="inlineStr">
        <is>
          <t>01/10/2027</t>
        </is>
      </c>
      <c r="M2400" s="45" t="inlineStr">
        <is>
          <t>42818 (Système management santé sécurité travail) ; 12587 (Management environnemental) ; 31407 (Qualité hygiène sécurité environnement) ; 31354 (Qualité industrielle) ; 31449 (Norme qualité)</t>
        </is>
      </c>
      <c r="N2400" s="50" t="inlineStr">
        <is>
          <t>NON</t>
        </is>
      </c>
      <c r="O2400" s="45" t="inlineStr"/>
    </row>
    <row r="2401" customFormat="1" s="4">
      <c r="A2401" s="45" t="n"/>
      <c r="B2401" s="46" t="inlineStr">
        <is>
          <t>31361</t>
        </is>
      </c>
      <c r="C2401" s="46">
        <f>LEFT(Tableau1[[#This Row],[Formacode]],3)</f>
        <v/>
      </c>
      <c r="D2401" s="47" t="n">
        <v>39785</v>
      </c>
      <c r="E2401" s="48">
        <f>"RNCP"&amp;D2401</f>
        <v/>
      </c>
      <c r="F2401" s="48" t="inlineStr">
        <is>
          <t>CQP Technicien de la qualité (CQPI)</t>
        </is>
      </c>
      <c r="G2401" s="49">
        <f>E2401&amp;" - "&amp;F2401</f>
        <v/>
      </c>
      <c r="H2401" s="36" t="inlineStr">
        <is>
          <t>RAS</t>
        </is>
      </c>
      <c r="I2401" s="45" t="inlineStr"/>
      <c r="J2401" s="45" t="inlineStr">
        <is>
          <t>RNCP39785</t>
        </is>
      </c>
      <c r="K2401" s="45" t="inlineStr">
        <is>
          <t>CQP Technicien de la qualité (CQPI)</t>
        </is>
      </c>
      <c r="L2401" s="45" t="inlineStr">
        <is>
          <t>31/10/2029</t>
        </is>
      </c>
      <c r="M2401" s="45" t="inlineStr">
        <is>
          <t>31354 (Qualité industrielle)</t>
        </is>
      </c>
      <c r="N2401" s="50" t="inlineStr">
        <is>
          <t>NON</t>
        </is>
      </c>
      <c r="O2401" s="45" t="inlineStr"/>
    </row>
    <row r="2402" customFormat="1" s="4">
      <c r="A2402" s="45" t="n"/>
      <c r="B2402" s="46" t="inlineStr">
        <is>
          <t>31361</t>
        </is>
      </c>
      <c r="C2402" s="46">
        <f>LEFT(Tableau1[[#This Row],[Formacode]],3)</f>
        <v/>
      </c>
      <c r="D2402" s="47" t="n">
        <v>41136</v>
      </c>
      <c r="E2402" s="48">
        <f>"RNCP"&amp;D2402</f>
        <v/>
      </c>
      <c r="F2402" s="48" t="inlineStr">
        <is>
          <t>CQP Coordonnateur du système QSE</t>
        </is>
      </c>
      <c r="G2402" s="49">
        <f>E2402&amp;" - "&amp;F2402</f>
        <v/>
      </c>
      <c r="H2402" s="36" t="inlineStr">
        <is>
          <t>RAS</t>
        </is>
      </c>
      <c r="I2402" s="45" t="inlineStr"/>
      <c r="J2402" s="45" t="inlineStr">
        <is>
          <t>RNCP41136</t>
        </is>
      </c>
      <c r="K2402" s="45" t="inlineStr">
        <is>
          <t>CQP Coordonnateur du système QSE</t>
        </is>
      </c>
      <c r="L2402" s="45" t="inlineStr">
        <is>
          <t>18/07/2030</t>
        </is>
      </c>
      <c r="M2402" s="45" t="inlineStr">
        <is>
          <t>42818 (Système management santé sécurité travail) ; 31354 (Qualité industrielle) ; 23642 (Sécurité mécanique construction réparation) ; 42817 (Réglementation santé sécurité travail) ; 31407 (Qualité hygiène sécurité environnement)</t>
        </is>
      </c>
      <c r="N2402" s="50" t="inlineStr">
        <is>
          <t>NON</t>
        </is>
      </c>
      <c r="O2402" s="45" t="inlineStr"/>
    </row>
    <row r="2403" customFormat="1" s="4">
      <c r="A2403" s="45" t="n"/>
      <c r="B2403" s="46" t="inlineStr">
        <is>
          <t>31371</t>
        </is>
      </c>
      <c r="C2403" s="46">
        <f>LEFT(Tableau1[[#This Row],[Formacode]],3)</f>
        <v/>
      </c>
      <c r="D2403" s="47" t="n">
        <v>37318</v>
      </c>
      <c r="E2403" s="48">
        <f>"RNCP"&amp;D2403</f>
        <v/>
      </c>
      <c r="F2403" s="48" t="inlineStr">
        <is>
          <t>TP - Technicien de contrôle et de métrologie industrielle</t>
        </is>
      </c>
      <c r="G2403" s="49">
        <f>E2403&amp;" - "&amp;F2403</f>
        <v/>
      </c>
      <c r="H2403" s="36" t="inlineStr">
        <is>
          <t>RAS</t>
        </is>
      </c>
      <c r="I2403" s="45" t="inlineStr"/>
      <c r="J2403" s="45" t="inlineStr">
        <is>
          <t>RNCP37318</t>
        </is>
      </c>
      <c r="K2403" s="45" t="inlineStr">
        <is>
          <t>Technicien de contrôle et de métrologie industrielle</t>
        </is>
      </c>
      <c r="L2403" s="45" t="inlineStr">
        <is>
          <t>19/02/2028</t>
        </is>
      </c>
      <c r="M2403" s="45" t="inlineStr">
        <is>
          <t>31380 (Métrologie dimensionnelle) ; 23506 (Mesure mécanique) ; 31436 (Contrôle qualité)</t>
        </is>
      </c>
      <c r="N2403" s="50" t="inlineStr">
        <is>
          <t>NON</t>
        </is>
      </c>
      <c r="O2403" s="45" t="inlineStr"/>
    </row>
    <row r="2404" customFormat="1" s="4">
      <c r="A2404" s="45" t="n"/>
      <c r="B2404" s="46" t="inlineStr">
        <is>
          <t>31371</t>
        </is>
      </c>
      <c r="C2404" s="46">
        <f>LEFT(Tableau1[[#This Row],[Formacode]],3)</f>
        <v/>
      </c>
      <c r="D2404" s="47" t="n">
        <v>37399</v>
      </c>
      <c r="E2404" s="48">
        <f>"RNCP"&amp;D2404</f>
        <v/>
      </c>
      <c r="F2404" s="48" t="inlineStr">
        <is>
          <t>TP - Inspecteur qualité aéronautique et spatiale</t>
        </is>
      </c>
      <c r="G2404" s="49">
        <f>E2404&amp;" - "&amp;F2404</f>
        <v/>
      </c>
      <c r="H2404" s="36" t="inlineStr">
        <is>
          <t>RAS</t>
        </is>
      </c>
      <c r="I2404" s="45" t="inlineStr"/>
      <c r="J2404" s="45" t="inlineStr">
        <is>
          <t>RNCP37399</t>
        </is>
      </c>
      <c r="K2404" s="45" t="inlineStr">
        <is>
          <t>Inspecteur qualité aéronautique et spatiale</t>
        </is>
      </c>
      <c r="L2404" s="45" t="inlineStr">
        <is>
          <t>28/07/2028</t>
        </is>
      </c>
      <c r="M2404" s="45" t="inlineStr">
        <is>
          <t>31354 (Qualité industrielle) ; 23613 (Construction aéronautique)</t>
        </is>
      </c>
      <c r="N2404" s="50" t="inlineStr">
        <is>
          <t>NON</t>
        </is>
      </c>
      <c r="O2404" s="45" t="inlineStr"/>
    </row>
    <row r="2405" customFormat="1" s="4">
      <c r="A2405" s="45" t="n"/>
      <c r="B2405" s="46" t="inlineStr">
        <is>
          <t>31371</t>
        </is>
      </c>
      <c r="C2405" s="46">
        <f>LEFT(Tableau1[[#This Row],[Formacode]],3)</f>
        <v/>
      </c>
      <c r="D2405" s="47" t="n">
        <v>38901</v>
      </c>
      <c r="E2405" s="48">
        <f>"RNCP"&amp;D2405</f>
        <v/>
      </c>
      <c r="F2405" s="48" t="inlineStr">
        <is>
          <t>CQP Contrôleur en métrologie dimensionnelle</t>
        </is>
      </c>
      <c r="G2405" s="49">
        <f>E2405&amp;" - "&amp;F2405</f>
        <v/>
      </c>
      <c r="H2405" s="36" t="inlineStr">
        <is>
          <t>RAS</t>
        </is>
      </c>
      <c r="I2405" s="45" t="inlineStr"/>
      <c r="J2405" s="45" t="inlineStr">
        <is>
          <t>RNCP38901</t>
        </is>
      </c>
      <c r="K2405" s="45" t="inlineStr">
        <is>
          <t>CQP Contrôleur en métrologie dimensionnelle</t>
        </is>
      </c>
      <c r="L2405" s="45" t="inlineStr">
        <is>
          <t>26/04/2028</t>
        </is>
      </c>
      <c r="M2405" s="45" t="inlineStr">
        <is>
          <t>31380 (Métrologie dimensionnelle) ; 31436 (Contrôle qualité) ; 31333 (Contrôle non destructif)</t>
        </is>
      </c>
      <c r="N2405" s="50" t="inlineStr">
        <is>
          <t>NON</t>
        </is>
      </c>
      <c r="O2405" s="45" t="inlineStr"/>
    </row>
    <row r="2406" customFormat="1" s="4">
      <c r="A2406" s="45" t="n"/>
      <c r="B2406" s="46" t="inlineStr">
        <is>
          <t>31371</t>
        </is>
      </c>
      <c r="C2406" s="46">
        <f>LEFT(Tableau1[[#This Row],[Formacode]],3)</f>
        <v/>
      </c>
      <c r="D2406" s="47" t="n">
        <v>39599</v>
      </c>
      <c r="E2406" s="48">
        <f>"RNCP"&amp;D2406</f>
        <v/>
      </c>
      <c r="F2406" s="48" t="inlineStr">
        <is>
          <t>Responsable de projet qualité sécurité environnement et développement durable</t>
        </is>
      </c>
      <c r="G2406" s="49">
        <f>E2406&amp;" - "&amp;F2406</f>
        <v/>
      </c>
      <c r="H2406" s="36" t="inlineStr">
        <is>
          <t>RAS</t>
        </is>
      </c>
      <c r="I2406" s="45" t="inlineStr"/>
      <c r="J2406" s="45" t="inlineStr">
        <is>
          <t>RNCP39599</t>
        </is>
      </c>
      <c r="K2406" s="45" t="inlineStr">
        <is>
          <t>Responsable de projet qualité sécurité environnement et développement durable</t>
        </is>
      </c>
      <c r="L2406" s="45" t="inlineStr">
        <is>
          <t>01/10/2027</t>
        </is>
      </c>
      <c r="M2406" s="45" t="inlineStr">
        <is>
          <t>42818 (Système management santé sécurité travail) ; 12587 (Management environnemental) ; 31407 (Qualité hygiène sécurité environnement) ; 31354 (Qualité industrielle) ; 31449 (Norme qualité)</t>
        </is>
      </c>
      <c r="N2406" s="50" t="inlineStr">
        <is>
          <t>NON</t>
        </is>
      </c>
      <c r="O2406" s="45" t="inlineStr"/>
    </row>
    <row r="2407" customFormat="1" s="4">
      <c r="A2407" s="45" t="n"/>
      <c r="B2407" s="46" t="inlineStr">
        <is>
          <t>31371</t>
        </is>
      </c>
      <c r="C2407" s="46">
        <f>LEFT(Tableau1[[#This Row],[Formacode]],3)</f>
        <v/>
      </c>
      <c r="D2407" s="47" t="n">
        <v>39785</v>
      </c>
      <c r="E2407" s="48">
        <f>"RNCP"&amp;D2407</f>
        <v/>
      </c>
      <c r="F2407" s="48" t="inlineStr">
        <is>
          <t>CQP Technicien de la qualité (CQPI)</t>
        </is>
      </c>
      <c r="G2407" s="49">
        <f>E2407&amp;" - "&amp;F2407</f>
        <v/>
      </c>
      <c r="H2407" s="36" t="inlineStr">
        <is>
          <t>RAS</t>
        </is>
      </c>
      <c r="I2407" s="45" t="inlineStr"/>
      <c r="J2407" s="45" t="inlineStr">
        <is>
          <t>RNCP39785</t>
        </is>
      </c>
      <c r="K2407" s="45" t="inlineStr">
        <is>
          <t>CQP Technicien de la qualité (CQPI)</t>
        </is>
      </c>
      <c r="L2407" s="45" t="inlineStr">
        <is>
          <t>31/10/2029</t>
        </is>
      </c>
      <c r="M2407" s="45" t="inlineStr">
        <is>
          <t>31354 (Qualité industrielle)</t>
        </is>
      </c>
      <c r="N2407" s="50" t="inlineStr">
        <is>
          <t>NON</t>
        </is>
      </c>
      <c r="O2407" s="45" t="inlineStr"/>
    </row>
    <row r="2408" customFormat="1" s="4">
      <c r="A2408" s="45" t="n"/>
      <c r="B2408" s="46" t="inlineStr">
        <is>
          <t>31371</t>
        </is>
      </c>
      <c r="C2408" s="46">
        <f>LEFT(Tableau1[[#This Row],[Formacode]],3)</f>
        <v/>
      </c>
      <c r="D2408" s="47" t="n">
        <v>41136</v>
      </c>
      <c r="E2408" s="48">
        <f>"RNCP"&amp;D2408</f>
        <v/>
      </c>
      <c r="F2408" s="48" t="inlineStr">
        <is>
          <t>CQP Coordonnateur du système QSE</t>
        </is>
      </c>
      <c r="G2408" s="49">
        <f>E2408&amp;" - "&amp;F2408</f>
        <v/>
      </c>
      <c r="H2408" s="36" t="inlineStr">
        <is>
          <t>RAS</t>
        </is>
      </c>
      <c r="I2408" s="45" t="inlineStr"/>
      <c r="J2408" s="45" t="inlineStr">
        <is>
          <t>RNCP41136</t>
        </is>
      </c>
      <c r="K2408" s="45" t="inlineStr">
        <is>
          <t>CQP Coordonnateur du système QSE</t>
        </is>
      </c>
      <c r="L2408" s="45" t="inlineStr">
        <is>
          <t>18/07/2030</t>
        </is>
      </c>
      <c r="M2408" s="45" t="inlineStr">
        <is>
          <t>42818 (Système management santé sécurité travail) ; 31354 (Qualité industrielle) ; 23642 (Sécurité mécanique construction réparation) ; 42817 (Réglementation santé sécurité travail) ; 31407 (Qualité hygiène sécurité environnement)</t>
        </is>
      </c>
      <c r="N2408" s="50" t="inlineStr">
        <is>
          <t>NON</t>
        </is>
      </c>
      <c r="O2408" s="45" t="inlineStr"/>
    </row>
    <row r="2409" customFormat="1" s="4">
      <c r="A2409" s="45" t="n"/>
      <c r="B2409" s="46" t="inlineStr">
        <is>
          <t>31374</t>
        </is>
      </c>
      <c r="C2409" s="46">
        <f>LEFT(Tableau1[[#This Row],[Formacode]],3)</f>
        <v/>
      </c>
      <c r="D2409" s="47" t="n">
        <v>37399</v>
      </c>
      <c r="E2409" s="48">
        <f>"RNCP"&amp;D2409</f>
        <v/>
      </c>
      <c r="F2409" s="48" t="inlineStr">
        <is>
          <t>TP - Inspecteur qualité aéronautique et spatiale</t>
        </is>
      </c>
      <c r="G2409" s="49">
        <f>E2409&amp;" - "&amp;F2409</f>
        <v/>
      </c>
      <c r="H2409" s="36" t="inlineStr">
        <is>
          <t>RAS</t>
        </is>
      </c>
      <c r="I2409" s="45" t="inlineStr"/>
      <c r="J2409" s="45" t="inlineStr">
        <is>
          <t>RNCP37399</t>
        </is>
      </c>
      <c r="K2409" s="45" t="inlineStr">
        <is>
          <t>Inspecteur qualité aéronautique et spatiale</t>
        </is>
      </c>
      <c r="L2409" s="45" t="inlineStr">
        <is>
          <t>28/07/2028</t>
        </is>
      </c>
      <c r="M2409" s="45" t="inlineStr">
        <is>
          <t>31354 (Qualité industrielle) ; 23613 (Construction aéronautique)</t>
        </is>
      </c>
      <c r="N2409" s="50" t="inlineStr">
        <is>
          <t>NON</t>
        </is>
      </c>
      <c r="O2409" s="45" t="inlineStr"/>
    </row>
    <row r="2410" customFormat="1" s="4">
      <c r="A2410" s="45" t="n"/>
      <c r="B2410" s="46" t="inlineStr">
        <is>
          <t>31374</t>
        </is>
      </c>
      <c r="C2410" s="46">
        <f>LEFT(Tableau1[[#This Row],[Formacode]],3)</f>
        <v/>
      </c>
      <c r="D2410" s="47" t="n">
        <v>39599</v>
      </c>
      <c r="E2410" s="48">
        <f>"RNCP"&amp;D2410</f>
        <v/>
      </c>
      <c r="F2410" s="48" t="inlineStr">
        <is>
          <t>Responsable de projet qualité sécurité environnement et développement durable</t>
        </is>
      </c>
      <c r="G2410" s="49">
        <f>E2410&amp;" - "&amp;F2410</f>
        <v/>
      </c>
      <c r="H2410" s="36" t="inlineStr">
        <is>
          <t>RAS</t>
        </is>
      </c>
      <c r="I2410" s="45" t="inlineStr"/>
      <c r="J2410" s="45" t="inlineStr">
        <is>
          <t>RNCP39599</t>
        </is>
      </c>
      <c r="K2410" s="45" t="inlineStr">
        <is>
          <t>Responsable de projet qualité sécurité environnement et développement durable</t>
        </is>
      </c>
      <c r="L2410" s="45" t="inlineStr">
        <is>
          <t>01/10/2027</t>
        </is>
      </c>
      <c r="M2410" s="45" t="inlineStr">
        <is>
          <t>42818 (Système management santé sécurité travail) ; 12587 (Management environnemental) ; 31407 (Qualité hygiène sécurité environnement) ; 31354 (Qualité industrielle) ; 31449 (Norme qualité)</t>
        </is>
      </c>
      <c r="N2410" s="50" t="inlineStr">
        <is>
          <t>NON</t>
        </is>
      </c>
      <c r="O2410" s="45" t="inlineStr"/>
    </row>
    <row r="2411" customFormat="1" s="4">
      <c r="A2411" s="45" t="n"/>
      <c r="B2411" s="46" t="inlineStr">
        <is>
          <t>31374</t>
        </is>
      </c>
      <c r="C2411" s="46">
        <f>LEFT(Tableau1[[#This Row],[Formacode]],3)</f>
        <v/>
      </c>
      <c r="D2411" s="47" t="n">
        <v>39785</v>
      </c>
      <c r="E2411" s="48">
        <f>"RNCP"&amp;D2411</f>
        <v/>
      </c>
      <c r="F2411" s="48" t="inlineStr">
        <is>
          <t>CQP Technicien de la qualité (CQPI)</t>
        </is>
      </c>
      <c r="G2411" s="49">
        <f>E2411&amp;" - "&amp;F2411</f>
        <v/>
      </c>
      <c r="H2411" s="36" t="inlineStr">
        <is>
          <t>RAS</t>
        </is>
      </c>
      <c r="I2411" s="45" t="inlineStr"/>
      <c r="J2411" s="45" t="inlineStr">
        <is>
          <t>RNCP39785</t>
        </is>
      </c>
      <c r="K2411" s="45" t="inlineStr">
        <is>
          <t>CQP Technicien de la qualité (CQPI)</t>
        </is>
      </c>
      <c r="L2411" s="45" t="inlineStr">
        <is>
          <t>31/10/2029</t>
        </is>
      </c>
      <c r="M2411" s="45" t="inlineStr">
        <is>
          <t>31354 (Qualité industrielle)</t>
        </is>
      </c>
      <c r="N2411" s="50" t="inlineStr">
        <is>
          <t>NON</t>
        </is>
      </c>
      <c r="O2411" s="45" t="inlineStr"/>
    </row>
    <row r="2412" customFormat="1" s="4">
      <c r="A2412" s="45" t="n"/>
      <c r="B2412" s="46" t="inlineStr">
        <is>
          <t>31374</t>
        </is>
      </c>
      <c r="C2412" s="46">
        <f>LEFT(Tableau1[[#This Row],[Formacode]],3)</f>
        <v/>
      </c>
      <c r="D2412" s="47" t="n">
        <v>41136</v>
      </c>
      <c r="E2412" s="48">
        <f>"RNCP"&amp;D2412</f>
        <v/>
      </c>
      <c r="F2412" s="48" t="inlineStr">
        <is>
          <t>CQP Coordonnateur du système QSE</t>
        </is>
      </c>
      <c r="G2412" s="49">
        <f>E2412&amp;" - "&amp;F2412</f>
        <v/>
      </c>
      <c r="H2412" s="36" t="inlineStr">
        <is>
          <t>RAS</t>
        </is>
      </c>
      <c r="I2412" s="45" t="inlineStr"/>
      <c r="J2412" s="45" t="inlineStr">
        <is>
          <t>RNCP41136</t>
        </is>
      </c>
      <c r="K2412" s="45" t="inlineStr">
        <is>
          <t>CQP Coordonnateur du système QSE</t>
        </is>
      </c>
      <c r="L2412" s="45" t="inlineStr">
        <is>
          <t>18/07/2030</t>
        </is>
      </c>
      <c r="M2412" s="45" t="inlineStr">
        <is>
          <t>42818 (Système management santé sécurité travail) ; 31354 (Qualité industrielle) ; 23642 (Sécurité mécanique construction réparation) ; 42817 (Réglementation santé sécurité travail) ; 31407 (Qualité hygiène sécurité environnement)</t>
        </is>
      </c>
      <c r="N2412" s="50" t="inlineStr">
        <is>
          <t>NON</t>
        </is>
      </c>
      <c r="O2412" s="45" t="inlineStr"/>
    </row>
    <row r="2413" customFormat="1" s="4">
      <c r="A2413" s="45" t="n"/>
      <c r="B2413" s="46" t="inlineStr">
        <is>
          <t>31383</t>
        </is>
      </c>
      <c r="C2413" s="46">
        <f>LEFT(Tableau1[[#This Row],[Formacode]],3)</f>
        <v/>
      </c>
      <c r="D2413" s="47" t="n">
        <v>37399</v>
      </c>
      <c r="E2413" s="48">
        <f>"RNCP"&amp;D2413</f>
        <v/>
      </c>
      <c r="F2413" s="48" t="inlineStr">
        <is>
          <t>TP - Inspecteur qualité aéronautique et spatiale</t>
        </is>
      </c>
      <c r="G2413" s="49">
        <f>E2413&amp;" - "&amp;F2413</f>
        <v/>
      </c>
      <c r="H2413" s="36" t="inlineStr">
        <is>
          <t>RAS</t>
        </is>
      </c>
      <c r="I2413" s="45" t="inlineStr"/>
      <c r="J2413" s="45" t="inlineStr">
        <is>
          <t>RNCP37399</t>
        </is>
      </c>
      <c r="K2413" s="45" t="inlineStr">
        <is>
          <t>Inspecteur qualité aéronautique et spatiale</t>
        </is>
      </c>
      <c r="L2413" s="45" t="inlineStr">
        <is>
          <t>28/07/2028</t>
        </is>
      </c>
      <c r="M2413" s="45" t="inlineStr">
        <is>
          <t>31354 (Qualité industrielle) ; 23613 (Construction aéronautique)</t>
        </is>
      </c>
      <c r="N2413" s="50" t="inlineStr">
        <is>
          <t>NON</t>
        </is>
      </c>
      <c r="O2413" s="45" t="inlineStr"/>
    </row>
    <row r="2414" customFormat="1" s="4">
      <c r="A2414" s="45" t="n"/>
      <c r="B2414" s="46" t="inlineStr">
        <is>
          <t>31383</t>
        </is>
      </c>
      <c r="C2414" s="46">
        <f>LEFT(Tableau1[[#This Row],[Formacode]],3)</f>
        <v/>
      </c>
      <c r="D2414" s="47" t="n">
        <v>39599</v>
      </c>
      <c r="E2414" s="48">
        <f>"RNCP"&amp;D2414</f>
        <v/>
      </c>
      <c r="F2414" s="48" t="inlineStr">
        <is>
          <t>Responsable de projet qualité sécurité environnement et développement durable</t>
        </is>
      </c>
      <c r="G2414" s="49">
        <f>E2414&amp;" - "&amp;F2414</f>
        <v/>
      </c>
      <c r="H2414" s="36" t="inlineStr">
        <is>
          <t>RAS</t>
        </is>
      </c>
      <c r="I2414" s="45" t="inlineStr"/>
      <c r="J2414" s="45" t="inlineStr">
        <is>
          <t>RNCP39599</t>
        </is>
      </c>
      <c r="K2414" s="45" t="inlineStr">
        <is>
          <t>Responsable de projet qualité sécurité environnement et développement durable</t>
        </is>
      </c>
      <c r="L2414" s="45" t="inlineStr">
        <is>
          <t>01/10/2027</t>
        </is>
      </c>
      <c r="M2414" s="45" t="inlineStr">
        <is>
          <t>42818 (Système management santé sécurité travail) ; 12587 (Management environnemental) ; 31407 (Qualité hygiène sécurité environnement) ; 31354 (Qualité industrielle) ; 31449 (Norme qualité)</t>
        </is>
      </c>
      <c r="N2414" s="50" t="inlineStr">
        <is>
          <t>NON</t>
        </is>
      </c>
      <c r="O2414" s="45" t="inlineStr"/>
    </row>
    <row r="2415" customFormat="1" s="4">
      <c r="A2415" s="45" t="n"/>
      <c r="B2415" s="46" t="inlineStr">
        <is>
          <t>31383</t>
        </is>
      </c>
      <c r="C2415" s="46">
        <f>LEFT(Tableau1[[#This Row],[Formacode]],3)</f>
        <v/>
      </c>
      <c r="D2415" s="47" t="n">
        <v>39785</v>
      </c>
      <c r="E2415" s="48">
        <f>"RNCP"&amp;D2415</f>
        <v/>
      </c>
      <c r="F2415" s="48" t="inlineStr">
        <is>
          <t>CQP Technicien de la qualité (CQPI)</t>
        </is>
      </c>
      <c r="G2415" s="49">
        <f>E2415&amp;" - "&amp;F2415</f>
        <v/>
      </c>
      <c r="H2415" s="36" t="inlineStr">
        <is>
          <t>RAS</t>
        </is>
      </c>
      <c r="I2415" s="45" t="inlineStr"/>
      <c r="J2415" s="45" t="inlineStr">
        <is>
          <t>RNCP39785</t>
        </is>
      </c>
      <c r="K2415" s="45" t="inlineStr">
        <is>
          <t>CQP Technicien de la qualité (CQPI)</t>
        </is>
      </c>
      <c r="L2415" s="45" t="inlineStr">
        <is>
          <t>31/10/2029</t>
        </is>
      </c>
      <c r="M2415" s="45" t="inlineStr">
        <is>
          <t>31354 (Qualité industrielle)</t>
        </is>
      </c>
      <c r="N2415" s="50" t="inlineStr">
        <is>
          <t>NON</t>
        </is>
      </c>
      <c r="O2415" s="45" t="inlineStr"/>
    </row>
    <row r="2416" customFormat="1" s="4">
      <c r="A2416" s="45" t="n"/>
      <c r="B2416" s="46" t="inlineStr">
        <is>
          <t>31383</t>
        </is>
      </c>
      <c r="C2416" s="46">
        <f>LEFT(Tableau1[[#This Row],[Formacode]],3)</f>
        <v/>
      </c>
      <c r="D2416" s="47" t="n">
        <v>41136</v>
      </c>
      <c r="E2416" s="48">
        <f>"RNCP"&amp;D2416</f>
        <v/>
      </c>
      <c r="F2416" s="48" t="inlineStr">
        <is>
          <t>CQP Coordonnateur du système QSE</t>
        </is>
      </c>
      <c r="G2416" s="49">
        <f>E2416&amp;" - "&amp;F2416</f>
        <v/>
      </c>
      <c r="H2416" s="36" t="inlineStr">
        <is>
          <t>RAS</t>
        </is>
      </c>
      <c r="I2416" s="45" t="inlineStr"/>
      <c r="J2416" s="45" t="inlineStr">
        <is>
          <t>RNCP41136</t>
        </is>
      </c>
      <c r="K2416" s="45" t="inlineStr">
        <is>
          <t>CQP Coordonnateur du système QSE</t>
        </is>
      </c>
      <c r="L2416" s="45" t="inlineStr">
        <is>
          <t>18/07/2030</t>
        </is>
      </c>
      <c r="M2416" s="45" t="inlineStr">
        <is>
          <t>42818 (Système management santé sécurité travail) ; 31354 (Qualité industrielle) ; 23642 (Sécurité mécanique construction réparation) ; 42817 (Réglementation santé sécurité travail) ; 31407 (Qualité hygiène sécurité environnement)</t>
        </is>
      </c>
      <c r="N2416" s="50" t="inlineStr">
        <is>
          <t>NON</t>
        </is>
      </c>
      <c r="O2416" s="45" t="inlineStr"/>
    </row>
    <row r="2417" customFormat="1" s="3">
      <c r="A2417" s="51" t="n"/>
      <c r="B2417" s="52" t="inlineStr">
        <is>
          <t>31407</t>
        </is>
      </c>
      <c r="C2417" s="52">
        <f>LEFT(Tableau1[[#This Row],[Formacode]],3)</f>
        <v/>
      </c>
      <c r="D2417" s="53" t="n">
        <v>35862</v>
      </c>
      <c r="E2417" s="54">
        <f>"RNCP"&amp;D2417</f>
        <v/>
      </c>
      <c r="F2417" s="54" t="inlineStr">
        <is>
          <t>Responsable qualité, santé, sécurité, environnement</t>
        </is>
      </c>
      <c r="G2417" s="55">
        <f>E2417&amp;" - "&amp;F2417</f>
        <v/>
      </c>
      <c r="H2417" s="37" t="inlineStr">
        <is>
          <t>À vérifier</t>
        </is>
      </c>
      <c r="I2417" s="51" t="inlineStr">
        <is>
          <t>Successeur déjà publié : RNCP42494 (Responsable qualité santé sécurité environnement) — préparer la bascule de l'offre CPF | Échéance le 15/09/2026 (dans 59 j)</t>
        </is>
      </c>
      <c r="J2417" s="51" t="inlineStr">
        <is>
          <t>RNCP42494</t>
        </is>
      </c>
      <c r="K2417" s="51" t="inlineStr">
        <is>
          <t>Responsable qualité santé sécurité environnement</t>
        </is>
      </c>
      <c r="L2417" s="51" t="inlineStr">
        <is>
          <t>15/09/2026</t>
        </is>
      </c>
      <c r="M2417" s="51" t="inlineStr">
        <is>
          <t>31407 (Qualité hygiène sécurité environnement) ; 32008 (Responsabilité sociétale entreprise) ; 42818 (Système management santé sécurité travail) ; 12587 (Management environnemental)</t>
        </is>
      </c>
      <c r="N2417" s="62" t="inlineStr">
        <is>
          <t>NON</t>
        </is>
      </c>
      <c r="O2417" s="51" t="inlineStr"/>
    </row>
    <row r="2418" customFormat="1" s="3">
      <c r="A2418" s="45" t="n"/>
      <c r="B2418" s="46" t="inlineStr">
        <is>
          <t>31407</t>
        </is>
      </c>
      <c r="C2418" s="46">
        <f>LEFT(Tableau1[[#This Row],[Formacode]],3)</f>
        <v/>
      </c>
      <c r="D2418" s="47" t="n">
        <v>36916</v>
      </c>
      <c r="E2418" s="48">
        <f>"RNCP"&amp;D2418</f>
        <v/>
      </c>
      <c r="F2418" s="48" t="inlineStr">
        <is>
          <t>Responsable management durable qualité sécurité environnement</t>
        </is>
      </c>
      <c r="G2418" s="49">
        <f>E2418&amp;" - "&amp;F2418</f>
        <v/>
      </c>
      <c r="H2418" s="36" t="inlineStr">
        <is>
          <t>RAS</t>
        </is>
      </c>
      <c r="I2418" s="45" t="inlineStr"/>
      <c r="J2418" s="45" t="inlineStr">
        <is>
          <t>RNCP36916</t>
        </is>
      </c>
      <c r="K2418" s="45" t="inlineStr">
        <is>
          <t>Responsable management durable qualité sécurité environnement</t>
        </is>
      </c>
      <c r="L2418" s="45" t="inlineStr">
        <is>
          <t>29/09/2027</t>
        </is>
      </c>
      <c r="M2418" s="45" t="inlineStr">
        <is>
          <t>31407 (Qualité hygiène sécurité environnement) ; 12554 (Environnement aménagement) ; 42866 (Santé sécurité travail)</t>
        </is>
      </c>
      <c r="N2418" s="50" t="inlineStr">
        <is>
          <t>NON</t>
        </is>
      </c>
      <c r="O2418" s="45" t="inlineStr"/>
    </row>
    <row r="2419" ht="28.8" customFormat="1" customHeight="1" s="3">
      <c r="A2419" s="45" t="n"/>
      <c r="B2419" s="46" t="inlineStr">
        <is>
          <t>31407</t>
        </is>
      </c>
      <c r="C2419" s="46">
        <f>LEFT(Tableau1[[#This Row],[Formacode]],3)</f>
        <v/>
      </c>
      <c r="D2419" s="47" t="n">
        <v>38416</v>
      </c>
      <c r="E2419" s="48">
        <f>"RNCP"&amp;D2419</f>
        <v/>
      </c>
      <c r="F2419" s="48" t="inlineStr">
        <is>
          <t>BTS - EuroPlastics et Composites - Option CO: Conception Outillage - Option POP : Pilotage et Optimisation de la Production</t>
        </is>
      </c>
      <c r="G2419" s="49">
        <f>E2419&amp;" - "&amp;F2419</f>
        <v/>
      </c>
      <c r="H2419" s="36" t="inlineStr">
        <is>
          <t>RAS</t>
        </is>
      </c>
      <c r="I2419" s="45" t="inlineStr"/>
      <c r="J2419" s="45" t="inlineStr">
        <is>
          <t>RNCP38416</t>
        </is>
      </c>
      <c r="K2419" s="45" t="inlineStr">
        <is>
          <t>EuroPlastics et Composites - Option CO: Conception Outillage - Option POP : Pilotage et Optimisation de la Production</t>
        </is>
      </c>
      <c r="L2419" s="45" t="inlineStr">
        <is>
          <t>31/12/2028</t>
        </is>
      </c>
      <c r="M2419" s="45" t="inlineStr">
        <is>
          <t>23021 (Plasturgie) ; 31652 (Gestion production) ; 23064 (Qualité travail matériau) ; 31454 (Gestion qualité) ; 31606 (Conduite projet industriel)</t>
        </is>
      </c>
      <c r="N2419" s="50" t="inlineStr">
        <is>
          <t>NON</t>
        </is>
      </c>
      <c r="O2419" s="45" t="inlineStr"/>
    </row>
    <row r="2420" customFormat="1" s="3">
      <c r="A2420" s="45" t="n"/>
      <c r="B2420" s="46" t="inlineStr">
        <is>
          <t>31407</t>
        </is>
      </c>
      <c r="C2420" s="46">
        <f>LEFT(Tableau1[[#This Row],[Formacode]],3)</f>
        <v/>
      </c>
      <c r="D2420" s="47" t="n">
        <v>38914</v>
      </c>
      <c r="E2420" s="48">
        <f>"RNCP"&amp;D2420</f>
        <v/>
      </c>
      <c r="F2420" s="48" t="inlineStr">
        <is>
          <t>Manager qualité sécurité environnement et performance durable de l'entreprise</t>
        </is>
      </c>
      <c r="G2420" s="49">
        <f>E2420&amp;" - "&amp;F2420</f>
        <v/>
      </c>
      <c r="H2420" s="36" t="inlineStr">
        <is>
          <t>RAS</t>
        </is>
      </c>
      <c r="I2420" s="45" t="inlineStr"/>
      <c r="J2420" s="45" t="inlineStr">
        <is>
          <t>RNCP38914</t>
        </is>
      </c>
      <c r="K2420" s="45" t="inlineStr">
        <is>
          <t>Manager qualité sécurité environnement et performance durable de l'entreprise</t>
        </is>
      </c>
      <c r="L2420" s="45" t="inlineStr">
        <is>
          <t>26/04/2028</t>
        </is>
      </c>
      <c r="M2420" s="45" t="inlineStr">
        <is>
          <t>31664 (Qualité gestion industrielle) ; 32008 (Responsabilité sociétale entreprise) ; 32012 (Gestion processus) ; 32043 (Conseil entreprise) ; 31407 (Qualité hygiène sécurité environnement)</t>
        </is>
      </c>
      <c r="N2420" s="50" t="inlineStr">
        <is>
          <t>NON</t>
        </is>
      </c>
      <c r="O2420" s="45" t="inlineStr"/>
    </row>
    <row r="2421" customFormat="1" s="3">
      <c r="A2421" s="45" t="n"/>
      <c r="B2421" s="46" t="inlineStr">
        <is>
          <t>31407</t>
        </is>
      </c>
      <c r="C2421" s="46">
        <f>LEFT(Tableau1[[#This Row],[Formacode]],3)</f>
        <v/>
      </c>
      <c r="D2421" s="47" t="n">
        <v>39084</v>
      </c>
      <c r="E2421" s="48">
        <f>"RNCP"&amp;D2421</f>
        <v/>
      </c>
      <c r="F2421" s="48" t="inlineStr">
        <is>
          <t>TP - Technicien supérieur physicien chimiste</t>
        </is>
      </c>
      <c r="G2421" s="49">
        <f>E2421&amp;" - "&amp;F2421</f>
        <v/>
      </c>
      <c r="H2421" s="36" t="inlineStr">
        <is>
          <t>RAS</t>
        </is>
      </c>
      <c r="I2421" s="45" t="inlineStr"/>
      <c r="J2421" s="45" t="inlineStr">
        <is>
          <t>RNCP39084</t>
        </is>
      </c>
      <c r="K2421" s="45" t="inlineStr">
        <is>
          <t>Technicien supérieur physicien chimiste</t>
        </is>
      </c>
      <c r="L2421" s="45" t="inlineStr">
        <is>
          <t>09/06/2029</t>
        </is>
      </c>
      <c r="M2421" s="45" t="inlineStr">
        <is>
          <t>11523 (Analyse chimique) ; 11509 (Spectrométrie) ; 11518 (Chromatographie) ; 31407 (Qualité hygiène sécurité environnement)</t>
        </is>
      </c>
      <c r="N2421" s="50" t="inlineStr">
        <is>
          <t>NON</t>
        </is>
      </c>
      <c r="O2421" s="45" t="inlineStr"/>
    </row>
    <row r="2422" customFormat="1" s="3">
      <c r="A2422" s="45" t="n"/>
      <c r="B2422" s="46" t="inlineStr">
        <is>
          <t>31407</t>
        </is>
      </c>
      <c r="C2422" s="46">
        <f>LEFT(Tableau1[[#This Row],[Formacode]],3)</f>
        <v/>
      </c>
      <c r="D2422" s="47" t="n">
        <v>39599</v>
      </c>
      <c r="E2422" s="48">
        <f>"RNCP"&amp;D2422</f>
        <v/>
      </c>
      <c r="F2422" s="48" t="inlineStr">
        <is>
          <t>Responsable de projet qualité sécurité environnement et développement durable</t>
        </is>
      </c>
      <c r="G2422" s="49">
        <f>E2422&amp;" - "&amp;F2422</f>
        <v/>
      </c>
      <c r="H2422" s="36" t="inlineStr">
        <is>
          <t>RAS</t>
        </is>
      </c>
      <c r="I2422" s="45" t="inlineStr"/>
      <c r="J2422" s="45" t="inlineStr">
        <is>
          <t>RNCP39599</t>
        </is>
      </c>
      <c r="K2422" s="45" t="inlineStr">
        <is>
          <t>Responsable de projet qualité sécurité environnement et développement durable</t>
        </is>
      </c>
      <c r="L2422" s="45" t="inlineStr">
        <is>
          <t>01/10/2027</t>
        </is>
      </c>
      <c r="M2422" s="45" t="inlineStr">
        <is>
          <t>42818 (Système management santé sécurité travail) ; 12587 (Management environnemental) ; 31407 (Qualité hygiène sécurité environnement) ; 31354 (Qualité industrielle) ; 31449 (Norme qualité)</t>
        </is>
      </c>
      <c r="N2422" s="50" t="inlineStr">
        <is>
          <t>NON</t>
        </is>
      </c>
      <c r="O2422" s="45" t="inlineStr"/>
    </row>
    <row r="2423" customFormat="1" s="3">
      <c r="A2423" s="45" t="n"/>
      <c r="B2423" s="46" t="inlineStr">
        <is>
          <t>31407</t>
        </is>
      </c>
      <c r="C2423" s="46">
        <f>LEFT(Tableau1[[#This Row],[Formacode]],3)</f>
        <v/>
      </c>
      <c r="D2423" s="47" t="n">
        <v>39944</v>
      </c>
      <c r="E2423" s="48">
        <f>"RNCP"&amp;D2423</f>
        <v/>
      </c>
      <c r="F2423" s="48" t="inlineStr">
        <is>
          <t>BTS - Métiers des services à l'environnement</t>
        </is>
      </c>
      <c r="G2423" s="49">
        <f>E2423&amp;" - "&amp;F2423</f>
        <v/>
      </c>
      <c r="H2423" s="36" t="inlineStr">
        <is>
          <t>RAS</t>
        </is>
      </c>
      <c r="I2423" s="45" t="inlineStr"/>
      <c r="J2423" s="45" t="inlineStr">
        <is>
          <t>RNCP39944</t>
        </is>
      </c>
      <c r="K2423" s="45" t="inlineStr">
        <is>
          <t>Métiers des services à l'environnement</t>
        </is>
      </c>
      <c r="L2423" s="45" t="inlineStr">
        <is>
          <t>31/12/2029</t>
        </is>
      </c>
      <c r="M2423" s="45" t="inlineStr">
        <is>
          <t>12582 (Gestion déchet) ; 12570 (Pollution atmosphérique) ; 42093 (Nettoyage locaux) ; 32008 (Responsabilité sociétale entreprise) ; 31407 (Qualité hygiène sécurité environnement)</t>
        </is>
      </c>
      <c r="N2423" s="50" t="inlineStr">
        <is>
          <t>NON</t>
        </is>
      </c>
      <c r="O2423" s="45" t="inlineStr"/>
    </row>
    <row r="2424" customFormat="1" s="3">
      <c r="A2424" s="45" t="n"/>
      <c r="B2424" s="46" t="inlineStr">
        <is>
          <t>31407</t>
        </is>
      </c>
      <c r="C2424" s="46">
        <f>LEFT(Tableau1[[#This Row],[Formacode]],3)</f>
        <v/>
      </c>
      <c r="D2424" s="47" t="n">
        <v>40155</v>
      </c>
      <c r="E2424" s="48">
        <f>"RNCP"&amp;D2424</f>
        <v/>
      </c>
      <c r="F2424" s="48" t="inlineStr">
        <is>
          <t>Manager en ingénierie et droit de l'environnement</t>
        </is>
      </c>
      <c r="G2424" s="49">
        <f>E2424&amp;" - "&amp;F2424</f>
        <v/>
      </c>
      <c r="H2424" s="36" t="inlineStr">
        <is>
          <t>RAS</t>
        </is>
      </c>
      <c r="I2424" s="45" t="inlineStr"/>
      <c r="J2424" s="45" t="inlineStr">
        <is>
          <t>RNCP40155</t>
        </is>
      </c>
      <c r="K2424" s="45" t="inlineStr">
        <is>
          <t>Manager en ingénierie et droit de l'environnement</t>
        </is>
      </c>
      <c r="L2424" s="45" t="inlineStr">
        <is>
          <t>31/01/2028</t>
        </is>
      </c>
      <c r="M2424" s="45" t="inlineStr">
        <is>
          <t>12585 (Conseil environnement) ; 12522 (Développement durable) ; 12587 (Management environnemental) ; 31407 (Qualité hygiène sécurité environnement) ; 32008 (Responsabilité sociétale entreprise)</t>
        </is>
      </c>
      <c r="N2424" s="50" t="inlineStr">
        <is>
          <t>NON</t>
        </is>
      </c>
      <c r="O2424" s="45" t="inlineStr"/>
    </row>
    <row r="2425" customFormat="1" s="3">
      <c r="A2425" s="45" t="n"/>
      <c r="B2425" s="46" t="inlineStr">
        <is>
          <t>31407</t>
        </is>
      </c>
      <c r="C2425" s="46">
        <f>LEFT(Tableau1[[#This Row],[Formacode]],3)</f>
        <v/>
      </c>
      <c r="D2425" s="47" t="n">
        <v>40312</v>
      </c>
      <c r="E2425" s="48">
        <f>"RNCP"&amp;D2425</f>
        <v/>
      </c>
      <c r="F2425" s="48" t="inlineStr">
        <is>
          <t>BAC PRO - Hygiène, propreté, stérilisation</t>
        </is>
      </c>
      <c r="G2425" s="49">
        <f>E2425&amp;" - "&amp;F2425</f>
        <v/>
      </c>
      <c r="H2425" s="36" t="inlineStr">
        <is>
          <t>RAS</t>
        </is>
      </c>
      <c r="I2425" s="45" t="inlineStr"/>
      <c r="J2425" s="45" t="inlineStr">
        <is>
          <t>RNCP40312</t>
        </is>
      </c>
      <c r="K2425" s="45" t="inlineStr">
        <is>
          <t>Hygiène, propreté, stérilisation</t>
        </is>
      </c>
      <c r="L2425" s="45" t="inlineStr">
        <is>
          <t>31/08/2030</t>
        </is>
      </c>
      <c r="M2425" s="45" t="inlineStr">
        <is>
          <t>31407 (Qualité hygiène sécurité environnement) ; 42093 (Nettoyage locaux) ; 43422 (Stérilisation médicale)</t>
        </is>
      </c>
      <c r="N2425" s="50" t="inlineStr">
        <is>
          <t>NON</t>
        </is>
      </c>
      <c r="O2425" s="45" t="inlineStr"/>
    </row>
    <row r="2426" customFormat="1" s="3">
      <c r="A2426" s="45" t="n"/>
      <c r="B2426" s="46" t="inlineStr">
        <is>
          <t>31407</t>
        </is>
      </c>
      <c r="C2426" s="46">
        <f>LEFT(Tableau1[[#This Row],[Formacode]],3)</f>
        <v/>
      </c>
      <c r="D2426" s="47" t="n">
        <v>40558</v>
      </c>
      <c r="E2426" s="48">
        <f>"RNCP"&amp;D2426</f>
        <v/>
      </c>
      <c r="F2426" s="48" t="inlineStr">
        <is>
          <t>Responsable développement et qualité hygiène, propreté et services</t>
        </is>
      </c>
      <c r="G2426" s="49">
        <f>E2426&amp;" - "&amp;F2426</f>
        <v/>
      </c>
      <c r="H2426" s="36" t="inlineStr">
        <is>
          <t>RAS</t>
        </is>
      </c>
      <c r="I2426" s="45" t="inlineStr"/>
      <c r="J2426" s="45" t="inlineStr">
        <is>
          <t>RNCP40558</t>
        </is>
      </c>
      <c r="K2426" s="45" t="inlineStr">
        <is>
          <t>Responsable développement et qualité hygiène, propreté et services</t>
        </is>
      </c>
      <c r="L2426" s="45" t="inlineStr">
        <is>
          <t>30/04/2030</t>
        </is>
      </c>
      <c r="M2426" s="45" t="inlineStr">
        <is>
          <t>42091 (Gestion entreprise nettoyage) ; 31407 (Qualité hygiène sécurité environnement)</t>
        </is>
      </c>
      <c r="N2426" s="50" t="inlineStr">
        <is>
          <t>NON</t>
        </is>
      </c>
      <c r="O2426" s="45" t="inlineStr"/>
    </row>
    <row r="2427" customFormat="1" s="3">
      <c r="A2427" s="45" t="n"/>
      <c r="B2427" s="46" t="inlineStr">
        <is>
          <t>31407</t>
        </is>
      </c>
      <c r="C2427" s="46">
        <f>LEFT(Tableau1[[#This Row],[Formacode]],3)</f>
        <v/>
      </c>
      <c r="D2427" s="47" t="n">
        <v>41136</v>
      </c>
      <c r="E2427" s="48">
        <f>"RNCP"&amp;D2427</f>
        <v/>
      </c>
      <c r="F2427" s="48" t="inlineStr">
        <is>
          <t>CQP Coordonnateur du système QSE</t>
        </is>
      </c>
      <c r="G2427" s="49">
        <f>E2427&amp;" - "&amp;F2427</f>
        <v/>
      </c>
      <c r="H2427" s="36" t="inlineStr">
        <is>
          <t>RAS</t>
        </is>
      </c>
      <c r="I2427" s="45" t="inlineStr"/>
      <c r="J2427" s="45" t="inlineStr">
        <is>
          <t>RNCP41136</t>
        </is>
      </c>
      <c r="K2427" s="45" t="inlineStr">
        <is>
          <t>CQP Coordonnateur du système QSE</t>
        </is>
      </c>
      <c r="L2427" s="45" t="inlineStr">
        <is>
          <t>18/07/2030</t>
        </is>
      </c>
      <c r="M2427" s="45" t="inlineStr">
        <is>
          <t>42818 (Système management santé sécurité travail) ; 31354 (Qualité industrielle) ; 23642 (Sécurité mécanique construction réparation) ; 42817 (Réglementation santé sécurité travail) ; 31407 (Qualité hygiène sécurité environnement)</t>
        </is>
      </c>
      <c r="N2427" s="50" t="inlineStr">
        <is>
          <t>NON</t>
        </is>
      </c>
      <c r="O2427" s="45" t="inlineStr"/>
    </row>
    <row r="2428" customFormat="1" s="3">
      <c r="A2428" s="45" t="n"/>
      <c r="B2428" s="46" t="inlineStr">
        <is>
          <t>31407</t>
        </is>
      </c>
      <c r="C2428" s="46">
        <f>LEFT(Tableau1[[#This Row],[Formacode]],3)</f>
        <v/>
      </c>
      <c r="D2428" s="47" t="n">
        <v>41291</v>
      </c>
      <c r="E2428" s="48">
        <f>"RNCP"&amp;D2428</f>
        <v/>
      </c>
      <c r="F2428" s="48" t="inlineStr">
        <is>
          <t>CQP Préventeur santé-sécurité au travail et environnement</t>
        </is>
      </c>
      <c r="G2428" s="49">
        <f>E2428&amp;" - "&amp;F2428</f>
        <v/>
      </c>
      <c r="H2428" s="36" t="inlineStr">
        <is>
          <t>RAS</t>
        </is>
      </c>
      <c r="I2428" s="45" t="inlineStr"/>
      <c r="J2428" s="45" t="inlineStr">
        <is>
          <t>RNCP41291</t>
        </is>
      </c>
      <c r="K2428" s="45" t="inlineStr">
        <is>
          <t>CQP Préventeur santé-sécurité au travail et environnement</t>
        </is>
      </c>
      <c r="L2428" s="45" t="inlineStr">
        <is>
          <t>24/09/2030</t>
        </is>
      </c>
      <c r="M2428" s="45" t="inlineStr">
        <is>
          <t>42866 (Santé sécurité travail) ; 31407 (Qualité hygiène sécurité environnement)</t>
        </is>
      </c>
      <c r="N2428" s="50" t="inlineStr">
        <is>
          <t>NON</t>
        </is>
      </c>
      <c r="O2428" s="45" t="inlineStr"/>
    </row>
    <row r="2429" customFormat="1" s="3">
      <c r="A2429" s="45" t="n"/>
      <c r="B2429" s="46" t="inlineStr">
        <is>
          <t>31407</t>
        </is>
      </c>
      <c r="C2429" s="46">
        <f>LEFT(Tableau1[[#This Row],[Formacode]],3)</f>
        <v/>
      </c>
      <c r="D2429" s="47" t="n">
        <v>41413</v>
      </c>
      <c r="E2429" s="48">
        <f>"RNCP"&amp;D2429</f>
        <v/>
      </c>
      <c r="F2429" s="48" t="inlineStr">
        <is>
          <t>Manager qualité hygiène sécurité environnement</t>
        </is>
      </c>
      <c r="G2429" s="49">
        <f>E2429&amp;" - "&amp;F2429</f>
        <v/>
      </c>
      <c r="H2429" s="36" t="inlineStr">
        <is>
          <t>RAS</t>
        </is>
      </c>
      <c r="I2429" s="45" t="inlineStr"/>
      <c r="J2429" s="45" t="inlineStr">
        <is>
          <t>RNCP41413</t>
        </is>
      </c>
      <c r="K2429" s="45" t="inlineStr">
        <is>
          <t>Manager qualité hygiène sécurité environnement</t>
        </is>
      </c>
      <c r="L2429" s="45" t="inlineStr">
        <is>
          <t>27/10/2028</t>
        </is>
      </c>
      <c r="M2429" s="45" t="inlineStr">
        <is>
          <t>31407 (Qualité hygiène sécurité environnement) ; 31436 (Contrôle qualité) ; 31449 (Norme qualité) ; 42881 (Risque criminel entreprise)</t>
        </is>
      </c>
      <c r="N2429" s="50" t="inlineStr">
        <is>
          <t>NON</t>
        </is>
      </c>
      <c r="O2429" s="45" t="inlineStr"/>
    </row>
    <row r="2430" customFormat="1" s="3">
      <c r="A2430" s="45" t="n"/>
      <c r="B2430" s="46" t="inlineStr">
        <is>
          <t>31407</t>
        </is>
      </c>
      <c r="C2430" s="46">
        <f>LEFT(Tableau1[[#This Row],[Formacode]],3)</f>
        <v/>
      </c>
      <c r="D2430" s="47" t="n">
        <v>41433</v>
      </c>
      <c r="E2430" s="48">
        <f>"RNCP"&amp;D2430</f>
        <v/>
      </c>
      <c r="F2430" s="48" t="inlineStr">
        <is>
          <t>Manager de la qualité globale et durable</t>
        </is>
      </c>
      <c r="G2430" s="49">
        <f>E2430&amp;" - "&amp;F2430</f>
        <v/>
      </c>
      <c r="H2430" s="36" t="inlineStr">
        <is>
          <t>RAS</t>
        </is>
      </c>
      <c r="I2430" s="45" t="inlineStr"/>
      <c r="J2430" s="45" t="inlineStr">
        <is>
          <t>RNCP41433</t>
        </is>
      </c>
      <c r="K2430" s="45" t="inlineStr">
        <is>
          <t>Manager de la qualité globale et durable</t>
        </is>
      </c>
      <c r="L2430" s="45" t="inlineStr">
        <is>
          <t>27/10/2030</t>
        </is>
      </c>
      <c r="M2430" s="45" t="inlineStr">
        <is>
          <t>31454 (Gestion qualité) ; 32008 (Responsabilité sociétale entreprise) ; 12587 (Management environnemental)</t>
        </is>
      </c>
      <c r="N2430" s="50" t="inlineStr">
        <is>
          <t>NON</t>
        </is>
      </c>
      <c r="O2430" s="45" t="inlineStr"/>
    </row>
    <row r="2431" ht="28.8" customFormat="1" customHeight="1" s="3">
      <c r="A2431" s="45" t="n"/>
      <c r="B2431" s="46" t="inlineStr">
        <is>
          <t>31418</t>
        </is>
      </c>
      <c r="C2431" s="46">
        <f>LEFT(Tableau1[[#This Row],[Formacode]],3)</f>
        <v/>
      </c>
      <c r="D2431" s="47" t="n">
        <v>38416</v>
      </c>
      <c r="E2431" s="48">
        <f>"RNCP"&amp;D2431</f>
        <v/>
      </c>
      <c r="F2431" s="48" t="inlineStr">
        <is>
          <t>BTS - EuroPlastics et Composites - Option CO: Conception Outillage - Option POP : Pilotage et Optimisation de la Production</t>
        </is>
      </c>
      <c r="G2431" s="49">
        <f>E2431&amp;" - "&amp;F2431</f>
        <v/>
      </c>
      <c r="H2431" s="36" t="inlineStr">
        <is>
          <t>RAS</t>
        </is>
      </c>
      <c r="I2431" s="45" t="inlineStr"/>
      <c r="J2431" s="45" t="inlineStr">
        <is>
          <t>RNCP38416</t>
        </is>
      </c>
      <c r="K2431" s="45" t="inlineStr">
        <is>
          <t>EuroPlastics et Composites - Option CO: Conception Outillage - Option POP : Pilotage et Optimisation de la Production</t>
        </is>
      </c>
      <c r="L2431" s="45" t="inlineStr">
        <is>
          <t>31/12/2028</t>
        </is>
      </c>
      <c r="M2431" s="45" t="inlineStr">
        <is>
          <t>23021 (Plasturgie) ; 31652 (Gestion production) ; 23064 (Qualité travail matériau) ; 31454 (Gestion qualité) ; 31606 (Conduite projet industriel)</t>
        </is>
      </c>
      <c r="N2431" s="50" t="inlineStr">
        <is>
          <t>NON</t>
        </is>
      </c>
      <c r="O2431" s="45" t="inlineStr"/>
    </row>
    <row r="2432" customFormat="1" s="3">
      <c r="A2432" s="45" t="n"/>
      <c r="B2432" s="46" t="inlineStr">
        <is>
          <t>31418</t>
        </is>
      </c>
      <c r="C2432" s="46">
        <f>LEFT(Tableau1[[#This Row],[Formacode]],3)</f>
        <v/>
      </c>
      <c r="D2432" s="47" t="n">
        <v>41433</v>
      </c>
      <c r="E2432" s="48">
        <f>"RNCP"&amp;D2432</f>
        <v/>
      </c>
      <c r="F2432" s="48" t="inlineStr">
        <is>
          <t>Manager de la qualité globale et durable</t>
        </is>
      </c>
      <c r="G2432" s="49">
        <f>E2432&amp;" - "&amp;F2432</f>
        <v/>
      </c>
      <c r="H2432" s="36" t="inlineStr">
        <is>
          <t>RAS</t>
        </is>
      </c>
      <c r="I2432" s="45" t="inlineStr"/>
      <c r="J2432" s="45" t="inlineStr">
        <is>
          <t>RNCP41433</t>
        </is>
      </c>
      <c r="K2432" s="45" t="inlineStr">
        <is>
          <t>Manager de la qualité globale et durable</t>
        </is>
      </c>
      <c r="L2432" s="45" t="inlineStr">
        <is>
          <t>27/10/2030</t>
        </is>
      </c>
      <c r="M2432" s="45" t="inlineStr">
        <is>
          <t>31454 (Gestion qualité) ; 32008 (Responsabilité sociétale entreprise) ; 12587 (Management environnemental)</t>
        </is>
      </c>
      <c r="N2432" s="50" t="inlineStr">
        <is>
          <t>NON</t>
        </is>
      </c>
      <c r="O2432" s="45" t="inlineStr"/>
    </row>
    <row r="2433" customFormat="1" s="3">
      <c r="A2433" s="45" t="n"/>
      <c r="B2433" s="46" t="inlineStr">
        <is>
          <t>31436</t>
        </is>
      </c>
      <c r="C2433" s="46">
        <f>LEFT(Tableau1[[#This Row],[Formacode]],3)</f>
        <v/>
      </c>
      <c r="D2433" s="47" t="n">
        <v>37318</v>
      </c>
      <c r="E2433" s="48">
        <f>"RNCP"&amp;D2433</f>
        <v/>
      </c>
      <c r="F2433" s="48" t="inlineStr">
        <is>
          <t>TP - Technicien de contrôle et de métrologie industrielle</t>
        </is>
      </c>
      <c r="G2433" s="49">
        <f>E2433&amp;" - "&amp;F2433</f>
        <v/>
      </c>
      <c r="H2433" s="36" t="inlineStr">
        <is>
          <t>RAS</t>
        </is>
      </c>
      <c r="I2433" s="45" t="inlineStr"/>
      <c r="J2433" s="45" t="inlineStr">
        <is>
          <t>RNCP37318</t>
        </is>
      </c>
      <c r="K2433" s="45" t="inlineStr">
        <is>
          <t>Technicien de contrôle et de métrologie industrielle</t>
        </is>
      </c>
      <c r="L2433" s="45" t="inlineStr">
        <is>
          <t>19/02/2028</t>
        </is>
      </c>
      <c r="M2433" s="45" t="inlineStr">
        <is>
          <t>31380 (Métrologie dimensionnelle) ; 23506 (Mesure mécanique) ; 31436 (Contrôle qualité)</t>
        </is>
      </c>
      <c r="N2433" s="50" t="inlineStr">
        <is>
          <t>NON</t>
        </is>
      </c>
      <c r="O2433" s="45" t="inlineStr"/>
    </row>
    <row r="2434" customFormat="1" s="3">
      <c r="A2434" s="45" t="n"/>
      <c r="B2434" s="46" t="inlineStr">
        <is>
          <t>31436</t>
        </is>
      </c>
      <c r="C2434" s="46">
        <f>LEFT(Tableau1[[#This Row],[Formacode]],3)</f>
        <v/>
      </c>
      <c r="D2434" s="47" t="n">
        <v>38216</v>
      </c>
      <c r="E2434" s="48">
        <f>"RNCP"&amp;D2434</f>
        <v/>
      </c>
      <c r="F2434" s="48" t="inlineStr">
        <is>
          <t>BTS - Contrôle industriel et régulation automatique</t>
        </is>
      </c>
      <c r="G2434" s="49">
        <f>E2434&amp;" - "&amp;F2434</f>
        <v/>
      </c>
      <c r="H2434" s="36" t="inlineStr">
        <is>
          <t>RAS</t>
        </is>
      </c>
      <c r="I2434" s="45" t="inlineStr"/>
      <c r="J2434" s="45" t="inlineStr">
        <is>
          <t>RNCP38216</t>
        </is>
      </c>
      <c r="K2434" s="45" t="inlineStr">
        <is>
          <t>Contrôle industriel et régulation automatique</t>
        </is>
      </c>
      <c r="L2434" s="45" t="inlineStr">
        <is>
          <t>31/12/2028</t>
        </is>
      </c>
      <c r="M2434" s="45" t="inlineStr">
        <is>
          <t>31664 (Qualité gestion industrielle) ; 24469 (Capteur) ; 31624 (Maintenance industrielle) ; 31436 (Contrôle qualité)</t>
        </is>
      </c>
      <c r="N2434" s="50" t="inlineStr">
        <is>
          <t>NON</t>
        </is>
      </c>
      <c r="O2434" s="45" t="inlineStr"/>
    </row>
    <row r="2435" ht="28.8" customFormat="1" customHeight="1" s="3">
      <c r="A2435" s="45" t="n"/>
      <c r="B2435" s="46" t="inlineStr">
        <is>
          <t>31436</t>
        </is>
      </c>
      <c r="C2435" s="46">
        <f>LEFT(Tableau1[[#This Row],[Formacode]],3)</f>
        <v/>
      </c>
      <c r="D2435" s="47" t="n">
        <v>38416</v>
      </c>
      <c r="E2435" s="48">
        <f>"RNCP"&amp;D2435</f>
        <v/>
      </c>
      <c r="F2435" s="48" t="inlineStr">
        <is>
          <t>BTS - EuroPlastics et Composites - Option CO: Conception Outillage - Option POP : Pilotage et Optimisation de la Production</t>
        </is>
      </c>
      <c r="G2435" s="49">
        <f>E2435&amp;" - "&amp;F2435</f>
        <v/>
      </c>
      <c r="H2435" s="36" t="inlineStr">
        <is>
          <t>RAS</t>
        </is>
      </c>
      <c r="I2435" s="45" t="inlineStr"/>
      <c r="J2435" s="45" t="inlineStr">
        <is>
          <t>RNCP38416</t>
        </is>
      </c>
      <c r="K2435" s="45" t="inlineStr">
        <is>
          <t>EuroPlastics et Composites - Option CO: Conception Outillage - Option POP : Pilotage et Optimisation de la Production</t>
        </is>
      </c>
      <c r="L2435" s="45" t="inlineStr">
        <is>
          <t>31/12/2028</t>
        </is>
      </c>
      <c r="M2435" s="45" t="inlineStr">
        <is>
          <t>23021 (Plasturgie) ; 31652 (Gestion production) ; 23064 (Qualité travail matériau) ; 31454 (Gestion qualité) ; 31606 (Conduite projet industriel)</t>
        </is>
      </c>
      <c r="N2435" s="50" t="inlineStr">
        <is>
          <t>NON</t>
        </is>
      </c>
      <c r="O2435" s="45" t="inlineStr"/>
    </row>
    <row r="2436" customFormat="1" s="3">
      <c r="A2436" s="45" t="n"/>
      <c r="B2436" s="46" t="inlineStr">
        <is>
          <t>31436</t>
        </is>
      </c>
      <c r="C2436" s="46">
        <f>LEFT(Tableau1[[#This Row],[Formacode]],3)</f>
        <v/>
      </c>
      <c r="D2436" s="47" t="n">
        <v>38901</v>
      </c>
      <c r="E2436" s="48">
        <f>"RNCP"&amp;D2436</f>
        <v/>
      </c>
      <c r="F2436" s="48" t="inlineStr">
        <is>
          <t>CQP Contrôleur en métrologie dimensionnelle</t>
        </is>
      </c>
      <c r="G2436" s="49">
        <f>E2436&amp;" - "&amp;F2436</f>
        <v/>
      </c>
      <c r="H2436" s="36" t="inlineStr">
        <is>
          <t>RAS</t>
        </is>
      </c>
      <c r="I2436" s="45" t="inlineStr"/>
      <c r="J2436" s="45" t="inlineStr">
        <is>
          <t>RNCP38901</t>
        </is>
      </c>
      <c r="K2436" s="45" t="inlineStr">
        <is>
          <t>CQP Contrôleur en métrologie dimensionnelle</t>
        </is>
      </c>
      <c r="L2436" s="45" t="inlineStr">
        <is>
          <t>26/04/2028</t>
        </is>
      </c>
      <c r="M2436" s="45" t="inlineStr">
        <is>
          <t>31380 (Métrologie dimensionnelle) ; 31436 (Contrôle qualité) ; 31333 (Contrôle non destructif)</t>
        </is>
      </c>
      <c r="N2436" s="50" t="inlineStr">
        <is>
          <t>NON</t>
        </is>
      </c>
      <c r="O2436" s="45" t="inlineStr"/>
    </row>
    <row r="2437" customFormat="1" s="3">
      <c r="A2437" s="45" t="n"/>
      <c r="B2437" s="46" t="inlineStr">
        <is>
          <t>31436</t>
        </is>
      </c>
      <c r="C2437" s="46">
        <f>LEFT(Tableau1[[#This Row],[Formacode]],3)</f>
        <v/>
      </c>
      <c r="D2437" s="47" t="n">
        <v>39882</v>
      </c>
      <c r="E2437" s="48">
        <f>"RNCP"&amp;D2437</f>
        <v/>
      </c>
      <c r="F2437" s="48" t="inlineStr">
        <is>
          <t>CQP Inspecteur qualité</t>
        </is>
      </c>
      <c r="G2437" s="49">
        <f>E2437&amp;" - "&amp;F2437</f>
        <v/>
      </c>
      <c r="H2437" s="36" t="inlineStr">
        <is>
          <t>RAS</t>
        </is>
      </c>
      <c r="I2437" s="45" t="inlineStr"/>
      <c r="J2437" s="45" t="inlineStr">
        <is>
          <t>RNCP39882</t>
        </is>
      </c>
      <c r="K2437" s="45" t="inlineStr">
        <is>
          <t>CQP Inspecteur qualité</t>
        </is>
      </c>
      <c r="L2437" s="45" t="inlineStr">
        <is>
          <t>28/11/2029</t>
        </is>
      </c>
      <c r="M2437" s="45" t="inlineStr">
        <is>
          <t>31436 (Contrôle qualité) ; 31664 (Qualité gestion industrielle)</t>
        </is>
      </c>
      <c r="N2437" s="50" t="inlineStr">
        <is>
          <t>NON</t>
        </is>
      </c>
      <c r="O2437" s="45" t="inlineStr"/>
    </row>
    <row r="2438" customFormat="1" s="3">
      <c r="A2438" s="45" t="n"/>
      <c r="B2438" s="46" t="inlineStr">
        <is>
          <t>31436</t>
        </is>
      </c>
      <c r="C2438" s="46">
        <f>LEFT(Tableau1[[#This Row],[Formacode]],3)</f>
        <v/>
      </c>
      <c r="D2438" s="47" t="n">
        <v>40391</v>
      </c>
      <c r="E2438" s="48">
        <f>"RNCP"&amp;D2438</f>
        <v/>
      </c>
      <c r="F2438" s="48" t="inlineStr">
        <is>
          <t>CQP Agent de contrôle qualité dans l'industrie</t>
        </is>
      </c>
      <c r="G2438" s="49">
        <f>E2438&amp;" - "&amp;F2438</f>
        <v/>
      </c>
      <c r="H2438" s="36" t="inlineStr">
        <is>
          <t>RAS</t>
        </is>
      </c>
      <c r="I2438" s="45" t="inlineStr"/>
      <c r="J2438" s="45" t="inlineStr">
        <is>
          <t>RNCP40391</t>
        </is>
      </c>
      <c r="K2438" s="45" t="inlineStr">
        <is>
          <t>CQP Agent de contrôle qualité dans l'industrie</t>
        </is>
      </c>
      <c r="L2438" s="45" t="inlineStr">
        <is>
          <t>28/03/2030</t>
        </is>
      </c>
      <c r="M2438" s="45" t="inlineStr">
        <is>
          <t>31436 (Contrôle qualité) ; 23062 (Métallurgie)</t>
        </is>
      </c>
      <c r="N2438" s="50" t="inlineStr">
        <is>
          <t>NON</t>
        </is>
      </c>
      <c r="O2438" s="45" t="inlineStr"/>
    </row>
    <row r="2439" customFormat="1" s="3">
      <c r="A2439" s="45" t="n"/>
      <c r="B2439" s="46" t="inlineStr">
        <is>
          <t>31436</t>
        </is>
      </c>
      <c r="C2439" s="46">
        <f>LEFT(Tableau1[[#This Row],[Formacode]],3)</f>
        <v/>
      </c>
      <c r="D2439" s="47" t="n">
        <v>41413</v>
      </c>
      <c r="E2439" s="48">
        <f>"RNCP"&amp;D2439</f>
        <v/>
      </c>
      <c r="F2439" s="48" t="inlineStr">
        <is>
          <t>Manager qualité hygiène sécurité environnement</t>
        </is>
      </c>
      <c r="G2439" s="49">
        <f>E2439&amp;" - "&amp;F2439</f>
        <v/>
      </c>
      <c r="H2439" s="36" t="inlineStr">
        <is>
          <t>RAS</t>
        </is>
      </c>
      <c r="I2439" s="45" t="inlineStr"/>
      <c r="J2439" s="45" t="inlineStr">
        <is>
          <t>RNCP41413</t>
        </is>
      </c>
      <c r="K2439" s="45" t="inlineStr">
        <is>
          <t>Manager qualité hygiène sécurité environnement</t>
        </is>
      </c>
      <c r="L2439" s="45" t="inlineStr">
        <is>
          <t>27/10/2028</t>
        </is>
      </c>
      <c r="M2439" s="45" t="inlineStr">
        <is>
          <t>31407 (Qualité hygiène sécurité environnement) ; 31436 (Contrôle qualité) ; 31449 (Norme qualité) ; 42881 (Risque criminel entreprise)</t>
        </is>
      </c>
      <c r="N2439" s="50" t="inlineStr">
        <is>
          <t>NON</t>
        </is>
      </c>
      <c r="O2439" s="45" t="inlineStr"/>
    </row>
    <row r="2440" customFormat="1" s="3">
      <c r="A2440" s="45" t="n"/>
      <c r="B2440" s="46" t="inlineStr">
        <is>
          <t>31436</t>
        </is>
      </c>
      <c r="C2440" s="46">
        <f>LEFT(Tableau1[[#This Row],[Formacode]],3)</f>
        <v/>
      </c>
      <c r="D2440" s="47" t="n">
        <v>41433</v>
      </c>
      <c r="E2440" s="48">
        <f>"RNCP"&amp;D2440</f>
        <v/>
      </c>
      <c r="F2440" s="48" t="inlineStr">
        <is>
          <t>Manager de la qualité globale et durable</t>
        </is>
      </c>
      <c r="G2440" s="49">
        <f>E2440&amp;" - "&amp;F2440</f>
        <v/>
      </c>
      <c r="H2440" s="36" t="inlineStr">
        <is>
          <t>RAS</t>
        </is>
      </c>
      <c r="I2440" s="45" t="inlineStr"/>
      <c r="J2440" s="45" t="inlineStr">
        <is>
          <t>RNCP41433</t>
        </is>
      </c>
      <c r="K2440" s="45" t="inlineStr">
        <is>
          <t>Manager de la qualité globale et durable</t>
        </is>
      </c>
      <c r="L2440" s="45" t="inlineStr">
        <is>
          <t>27/10/2030</t>
        </is>
      </c>
      <c r="M2440" s="45" t="inlineStr">
        <is>
          <t>31454 (Gestion qualité) ; 32008 (Responsabilité sociétale entreprise) ; 12587 (Management environnemental)</t>
        </is>
      </c>
      <c r="N2440" s="50" t="inlineStr">
        <is>
          <t>NON</t>
        </is>
      </c>
      <c r="O2440" s="45" t="inlineStr"/>
    </row>
    <row r="2441" ht="28.8" customFormat="1" customHeight="1" s="3">
      <c r="A2441" s="45" t="n"/>
      <c r="B2441" s="46" t="inlineStr">
        <is>
          <t>31437</t>
        </is>
      </c>
      <c r="C2441" s="46">
        <f>LEFT(Tableau1[[#This Row],[Formacode]],3)</f>
        <v/>
      </c>
      <c r="D2441" s="47" t="n">
        <v>38416</v>
      </c>
      <c r="E2441" s="48">
        <f>"RNCP"&amp;D2441</f>
        <v/>
      </c>
      <c r="F2441" s="48" t="inlineStr">
        <is>
          <t>BTS - EuroPlastics et Composites - Option CO: Conception Outillage - Option POP : Pilotage et Optimisation de la Production</t>
        </is>
      </c>
      <c r="G2441" s="49">
        <f>E2441&amp;" - "&amp;F2441</f>
        <v/>
      </c>
      <c r="H2441" s="36" t="inlineStr">
        <is>
          <t>RAS</t>
        </is>
      </c>
      <c r="I2441" s="45" t="inlineStr"/>
      <c r="J2441" s="45" t="inlineStr">
        <is>
          <t>RNCP38416</t>
        </is>
      </c>
      <c r="K2441" s="45" t="inlineStr">
        <is>
          <t>EuroPlastics et Composites - Option CO: Conception Outillage - Option POP : Pilotage et Optimisation de la Production</t>
        </is>
      </c>
      <c r="L2441" s="45" t="inlineStr">
        <is>
          <t>31/12/2028</t>
        </is>
      </c>
      <c r="M2441" s="45" t="inlineStr">
        <is>
          <t>23021 (Plasturgie) ; 31652 (Gestion production) ; 23064 (Qualité travail matériau) ; 31454 (Gestion qualité) ; 31606 (Conduite projet industriel)</t>
        </is>
      </c>
      <c r="N2441" s="50" t="inlineStr">
        <is>
          <t>NON</t>
        </is>
      </c>
      <c r="O2441" s="45" t="inlineStr"/>
    </row>
    <row r="2442" customFormat="1" s="3">
      <c r="A2442" s="45" t="n"/>
      <c r="B2442" s="46" t="inlineStr">
        <is>
          <t>31437</t>
        </is>
      </c>
      <c r="C2442" s="46">
        <f>LEFT(Tableau1[[#This Row],[Formacode]],3)</f>
        <v/>
      </c>
      <c r="D2442" s="47" t="n">
        <v>41433</v>
      </c>
      <c r="E2442" s="48">
        <f>"RNCP"&amp;D2442</f>
        <v/>
      </c>
      <c r="F2442" s="48" t="inlineStr">
        <is>
          <t>Manager de la qualité globale et durable</t>
        </is>
      </c>
      <c r="G2442" s="49">
        <f>E2442&amp;" - "&amp;F2442</f>
        <v/>
      </c>
      <c r="H2442" s="36" t="inlineStr">
        <is>
          <t>RAS</t>
        </is>
      </c>
      <c r="I2442" s="45" t="inlineStr"/>
      <c r="J2442" s="45" t="inlineStr">
        <is>
          <t>RNCP41433</t>
        </is>
      </c>
      <c r="K2442" s="45" t="inlineStr">
        <is>
          <t>Manager de la qualité globale et durable</t>
        </is>
      </c>
      <c r="L2442" s="45" t="inlineStr">
        <is>
          <t>27/10/2030</t>
        </is>
      </c>
      <c r="M2442" s="45" t="inlineStr">
        <is>
          <t>31454 (Gestion qualité) ; 32008 (Responsabilité sociétale entreprise) ; 12587 (Management environnemental)</t>
        </is>
      </c>
      <c r="N2442" s="50" t="inlineStr">
        <is>
          <t>NON</t>
        </is>
      </c>
      <c r="O2442" s="45" t="inlineStr"/>
    </row>
    <row r="2443" ht="28.8" customFormat="1" customHeight="1" s="3">
      <c r="A2443" s="45" t="n"/>
      <c r="B2443" s="46" t="inlineStr">
        <is>
          <t>31448</t>
        </is>
      </c>
      <c r="C2443" s="46">
        <f>LEFT(Tableau1[[#This Row],[Formacode]],3)</f>
        <v/>
      </c>
      <c r="D2443" s="47" t="n">
        <v>38416</v>
      </c>
      <c r="E2443" s="48">
        <f>"RNCP"&amp;D2443</f>
        <v/>
      </c>
      <c r="F2443" s="48" t="inlineStr">
        <is>
          <t>BTS - EuroPlastics et Composites - Option CO: Conception Outillage - Option POP : Pilotage et Optimisation de la Production</t>
        </is>
      </c>
      <c r="G2443" s="49">
        <f>E2443&amp;" - "&amp;F2443</f>
        <v/>
      </c>
      <c r="H2443" s="36" t="inlineStr">
        <is>
          <t>RAS</t>
        </is>
      </c>
      <c r="I2443" s="45" t="inlineStr"/>
      <c r="J2443" s="45" t="inlineStr">
        <is>
          <t>RNCP38416</t>
        </is>
      </c>
      <c r="K2443" s="45" t="inlineStr">
        <is>
          <t>EuroPlastics et Composites - Option CO: Conception Outillage - Option POP : Pilotage et Optimisation de la Production</t>
        </is>
      </c>
      <c r="L2443" s="45" t="inlineStr">
        <is>
          <t>31/12/2028</t>
        </is>
      </c>
      <c r="M2443" s="45" t="inlineStr">
        <is>
          <t>23021 (Plasturgie) ; 31652 (Gestion production) ; 23064 (Qualité travail matériau) ; 31454 (Gestion qualité) ; 31606 (Conduite projet industriel)</t>
        </is>
      </c>
      <c r="N2443" s="50" t="inlineStr">
        <is>
          <t>NON</t>
        </is>
      </c>
      <c r="O2443" s="45" t="inlineStr"/>
    </row>
    <row r="2444" customFormat="1" s="3">
      <c r="A2444" s="45" t="n"/>
      <c r="B2444" s="46" t="inlineStr">
        <is>
          <t>31448</t>
        </is>
      </c>
      <c r="C2444" s="46">
        <f>LEFT(Tableau1[[#This Row],[Formacode]],3)</f>
        <v/>
      </c>
      <c r="D2444" s="47" t="n">
        <v>41433</v>
      </c>
      <c r="E2444" s="48">
        <f>"RNCP"&amp;D2444</f>
        <v/>
      </c>
      <c r="F2444" s="48" t="inlineStr">
        <is>
          <t>Manager de la qualité globale et durable</t>
        </is>
      </c>
      <c r="G2444" s="49">
        <f>E2444&amp;" - "&amp;F2444</f>
        <v/>
      </c>
      <c r="H2444" s="36" t="inlineStr">
        <is>
          <t>RAS</t>
        </is>
      </c>
      <c r="I2444" s="45" t="inlineStr"/>
      <c r="J2444" s="45" t="inlineStr">
        <is>
          <t>RNCP41433</t>
        </is>
      </c>
      <c r="K2444" s="45" t="inlineStr">
        <is>
          <t>Manager de la qualité globale et durable</t>
        </is>
      </c>
      <c r="L2444" s="45" t="inlineStr">
        <is>
          <t>27/10/2030</t>
        </is>
      </c>
      <c r="M2444" s="45" t="inlineStr">
        <is>
          <t>31454 (Gestion qualité) ; 32008 (Responsabilité sociétale entreprise) ; 12587 (Management environnemental)</t>
        </is>
      </c>
      <c r="N2444" s="50" t="inlineStr">
        <is>
          <t>NON</t>
        </is>
      </c>
      <c r="O2444" s="45" t="inlineStr"/>
    </row>
    <row r="2445" ht="28.8" customFormat="1" customHeight="1" s="3">
      <c r="A2445" s="45" t="n"/>
      <c r="B2445" s="46" t="inlineStr">
        <is>
          <t>31449</t>
        </is>
      </c>
      <c r="C2445" s="46">
        <f>LEFT(Tableau1[[#This Row],[Formacode]],3)</f>
        <v/>
      </c>
      <c r="D2445" s="47" t="n">
        <v>38416</v>
      </c>
      <c r="E2445" s="48">
        <f>"RNCP"&amp;D2445</f>
        <v/>
      </c>
      <c r="F2445" s="48" t="inlineStr">
        <is>
          <t>BTS - EuroPlastics et Composites - Option CO: Conception Outillage - Option POP : Pilotage et Optimisation de la Production</t>
        </is>
      </c>
      <c r="G2445" s="49">
        <f>E2445&amp;" - "&amp;F2445</f>
        <v/>
      </c>
      <c r="H2445" s="36" t="inlineStr">
        <is>
          <t>RAS</t>
        </is>
      </c>
      <c r="I2445" s="45" t="inlineStr"/>
      <c r="J2445" s="45" t="inlineStr">
        <is>
          <t>RNCP38416</t>
        </is>
      </c>
      <c r="K2445" s="45" t="inlineStr">
        <is>
          <t>EuroPlastics et Composites - Option CO: Conception Outillage - Option POP : Pilotage et Optimisation de la Production</t>
        </is>
      </c>
      <c r="L2445" s="45" t="inlineStr">
        <is>
          <t>31/12/2028</t>
        </is>
      </c>
      <c r="M2445" s="45" t="inlineStr">
        <is>
          <t>23021 (Plasturgie) ; 31652 (Gestion production) ; 23064 (Qualité travail matériau) ; 31454 (Gestion qualité) ; 31606 (Conduite projet industriel)</t>
        </is>
      </c>
      <c r="N2445" s="50" t="inlineStr">
        <is>
          <t>NON</t>
        </is>
      </c>
      <c r="O2445" s="45" t="inlineStr"/>
    </row>
    <row r="2446" customFormat="1" s="3">
      <c r="A2446" s="45" t="n"/>
      <c r="B2446" s="46" t="inlineStr">
        <is>
          <t>31449</t>
        </is>
      </c>
      <c r="C2446" s="46">
        <f>LEFT(Tableau1[[#This Row],[Formacode]],3)</f>
        <v/>
      </c>
      <c r="D2446" s="47" t="n">
        <v>39599</v>
      </c>
      <c r="E2446" s="48">
        <f>"RNCP"&amp;D2446</f>
        <v/>
      </c>
      <c r="F2446" s="48" t="inlineStr">
        <is>
          <t>Responsable de projet qualité sécurité environnement et développement durable</t>
        </is>
      </c>
      <c r="G2446" s="49">
        <f>E2446&amp;" - "&amp;F2446</f>
        <v/>
      </c>
      <c r="H2446" s="36" t="inlineStr">
        <is>
          <t>RAS</t>
        </is>
      </c>
      <c r="I2446" s="45" t="inlineStr"/>
      <c r="J2446" s="45" t="inlineStr">
        <is>
          <t>RNCP39599</t>
        </is>
      </c>
      <c r="K2446" s="45" t="inlineStr">
        <is>
          <t>Responsable de projet qualité sécurité environnement et développement durable</t>
        </is>
      </c>
      <c r="L2446" s="45" t="inlineStr">
        <is>
          <t>01/10/2027</t>
        </is>
      </c>
      <c r="M2446" s="45" t="inlineStr">
        <is>
          <t>42818 (Système management santé sécurité travail) ; 12587 (Management environnemental) ; 31407 (Qualité hygiène sécurité environnement) ; 31354 (Qualité industrielle) ; 31449 (Norme qualité)</t>
        </is>
      </c>
      <c r="N2446" s="50" t="inlineStr">
        <is>
          <t>NON</t>
        </is>
      </c>
      <c r="O2446" s="45" t="inlineStr"/>
    </row>
    <row r="2447" customFormat="1" s="3">
      <c r="A2447" s="45" t="n"/>
      <c r="B2447" s="46" t="inlineStr">
        <is>
          <t>31449</t>
        </is>
      </c>
      <c r="C2447" s="46">
        <f>LEFT(Tableau1[[#This Row],[Formacode]],3)</f>
        <v/>
      </c>
      <c r="D2447" s="47" t="n">
        <v>41413</v>
      </c>
      <c r="E2447" s="48">
        <f>"RNCP"&amp;D2447</f>
        <v/>
      </c>
      <c r="F2447" s="48" t="inlineStr">
        <is>
          <t>Manager qualité hygiène sécurité environnement</t>
        </is>
      </c>
      <c r="G2447" s="49">
        <f>E2447&amp;" - "&amp;F2447</f>
        <v/>
      </c>
      <c r="H2447" s="36" t="inlineStr">
        <is>
          <t>RAS</t>
        </is>
      </c>
      <c r="I2447" s="45" t="inlineStr"/>
      <c r="J2447" s="45" t="inlineStr">
        <is>
          <t>RNCP41413</t>
        </is>
      </c>
      <c r="K2447" s="45" t="inlineStr">
        <is>
          <t>Manager qualité hygiène sécurité environnement</t>
        </is>
      </c>
      <c r="L2447" s="45" t="inlineStr">
        <is>
          <t>27/10/2028</t>
        </is>
      </c>
      <c r="M2447" s="45" t="inlineStr">
        <is>
          <t>31407 (Qualité hygiène sécurité environnement) ; 31436 (Contrôle qualité) ; 31449 (Norme qualité) ; 42881 (Risque criminel entreprise)</t>
        </is>
      </c>
      <c r="N2447" s="50" t="inlineStr">
        <is>
          <t>NON</t>
        </is>
      </c>
      <c r="O2447" s="45" t="inlineStr"/>
    </row>
    <row r="2448" customFormat="1" s="3">
      <c r="A2448" s="45" t="n"/>
      <c r="B2448" s="46" t="inlineStr">
        <is>
          <t>31449</t>
        </is>
      </c>
      <c r="C2448" s="46">
        <f>LEFT(Tableau1[[#This Row],[Formacode]],3)</f>
        <v/>
      </c>
      <c r="D2448" s="47" t="n">
        <v>41433</v>
      </c>
      <c r="E2448" s="48">
        <f>"RNCP"&amp;D2448</f>
        <v/>
      </c>
      <c r="F2448" s="48" t="inlineStr">
        <is>
          <t>Manager de la qualité globale et durable</t>
        </is>
      </c>
      <c r="G2448" s="49">
        <f>E2448&amp;" - "&amp;F2448</f>
        <v/>
      </c>
      <c r="H2448" s="36" t="inlineStr">
        <is>
          <t>RAS</t>
        </is>
      </c>
      <c r="I2448" s="45" t="inlineStr"/>
      <c r="J2448" s="45" t="inlineStr">
        <is>
          <t>RNCP41433</t>
        </is>
      </c>
      <c r="K2448" s="45" t="inlineStr">
        <is>
          <t>Manager de la qualité globale et durable</t>
        </is>
      </c>
      <c r="L2448" s="45" t="inlineStr">
        <is>
          <t>27/10/2030</t>
        </is>
      </c>
      <c r="M2448" s="45" t="inlineStr">
        <is>
          <t>31454 (Gestion qualité) ; 32008 (Responsabilité sociétale entreprise) ; 12587 (Management environnemental)</t>
        </is>
      </c>
      <c r="N2448" s="50" t="inlineStr">
        <is>
          <t>NON</t>
        </is>
      </c>
      <c r="O2448" s="45" t="inlineStr"/>
    </row>
    <row r="2449" ht="28.8" customFormat="1" customHeight="1" s="3">
      <c r="A2449" s="45" t="n"/>
      <c r="B2449" s="46" t="inlineStr">
        <is>
          <t>31456</t>
        </is>
      </c>
      <c r="C2449" s="46">
        <f>LEFT(Tableau1[[#This Row],[Formacode]],3)</f>
        <v/>
      </c>
      <c r="D2449" s="47" t="n">
        <v>38416</v>
      </c>
      <c r="E2449" s="48">
        <f>"RNCP"&amp;D2449</f>
        <v/>
      </c>
      <c r="F2449" s="48" t="inlineStr">
        <is>
          <t>BTS - EuroPlastics et Composites - Option CO: Conception Outillage - Option POP : Pilotage et Optimisation de la Production</t>
        </is>
      </c>
      <c r="G2449" s="49">
        <f>E2449&amp;" - "&amp;F2449</f>
        <v/>
      </c>
      <c r="H2449" s="36" t="inlineStr">
        <is>
          <t>RAS</t>
        </is>
      </c>
      <c r="I2449" s="45" t="inlineStr"/>
      <c r="J2449" s="45" t="inlineStr">
        <is>
          <t>RNCP38416</t>
        </is>
      </c>
      <c r="K2449" s="45" t="inlineStr">
        <is>
          <t>EuroPlastics et Composites - Option CO: Conception Outillage - Option POP : Pilotage et Optimisation de la Production</t>
        </is>
      </c>
      <c r="L2449" s="45" t="inlineStr">
        <is>
          <t>31/12/2028</t>
        </is>
      </c>
      <c r="M2449" s="45" t="inlineStr">
        <is>
          <t>23021 (Plasturgie) ; 31652 (Gestion production) ; 23064 (Qualité travail matériau) ; 31454 (Gestion qualité) ; 31606 (Conduite projet industriel)</t>
        </is>
      </c>
      <c r="N2449" s="50" t="inlineStr">
        <is>
          <t>NON</t>
        </is>
      </c>
      <c r="O2449" s="45" t="inlineStr"/>
    </row>
    <row r="2450" customFormat="1" s="3">
      <c r="A2450" s="45" t="n"/>
      <c r="B2450" s="46" t="inlineStr">
        <is>
          <t>31456</t>
        </is>
      </c>
      <c r="C2450" s="46">
        <f>LEFT(Tableau1[[#This Row],[Formacode]],3)</f>
        <v/>
      </c>
      <c r="D2450" s="47" t="n">
        <v>41433</v>
      </c>
      <c r="E2450" s="48">
        <f>"RNCP"&amp;D2450</f>
        <v/>
      </c>
      <c r="F2450" s="48" t="inlineStr">
        <is>
          <t>Manager de la qualité globale et durable</t>
        </is>
      </c>
      <c r="G2450" s="49">
        <f>E2450&amp;" - "&amp;F2450</f>
        <v/>
      </c>
      <c r="H2450" s="36" t="inlineStr">
        <is>
          <t>RAS</t>
        </is>
      </c>
      <c r="I2450" s="45" t="inlineStr"/>
      <c r="J2450" s="45" t="inlineStr">
        <is>
          <t>RNCP41433</t>
        </is>
      </c>
      <c r="K2450" s="45" t="inlineStr">
        <is>
          <t>Manager de la qualité globale et durable</t>
        </is>
      </c>
      <c r="L2450" s="45" t="inlineStr">
        <is>
          <t>27/10/2030</t>
        </is>
      </c>
      <c r="M2450" s="45" t="inlineStr">
        <is>
          <t>31454 (Gestion qualité) ; 32008 (Responsabilité sociétale entreprise) ; 12587 (Management environnemental)</t>
        </is>
      </c>
      <c r="N2450" s="50" t="inlineStr">
        <is>
          <t>NON</t>
        </is>
      </c>
      <c r="O2450" s="45" t="inlineStr"/>
    </row>
    <row r="2451" ht="28.8" customFormat="1" customHeight="1" s="3">
      <c r="A2451" s="45" t="n"/>
      <c r="B2451" s="46" t="inlineStr">
        <is>
          <t>31459</t>
        </is>
      </c>
      <c r="C2451" s="46">
        <f>LEFT(Tableau1[[#This Row],[Formacode]],3)</f>
        <v/>
      </c>
      <c r="D2451" s="47" t="n">
        <v>38416</v>
      </c>
      <c r="E2451" s="48">
        <f>"RNCP"&amp;D2451</f>
        <v/>
      </c>
      <c r="F2451" s="48" t="inlineStr">
        <is>
          <t>BTS - EuroPlastics et Composites - Option CO: Conception Outillage - Option POP : Pilotage et Optimisation de la Production</t>
        </is>
      </c>
      <c r="G2451" s="49">
        <f>E2451&amp;" - "&amp;F2451</f>
        <v/>
      </c>
      <c r="H2451" s="36" t="inlineStr">
        <is>
          <t>RAS</t>
        </is>
      </c>
      <c r="I2451" s="45" t="inlineStr"/>
      <c r="J2451" s="45" t="inlineStr">
        <is>
          <t>RNCP38416</t>
        </is>
      </c>
      <c r="K2451" s="45" t="inlineStr">
        <is>
          <t>EuroPlastics et Composites - Option CO: Conception Outillage - Option POP : Pilotage et Optimisation de la Production</t>
        </is>
      </c>
      <c r="L2451" s="45" t="inlineStr">
        <is>
          <t>31/12/2028</t>
        </is>
      </c>
      <c r="M2451" s="45" t="inlineStr">
        <is>
          <t>23021 (Plasturgie) ; 31652 (Gestion production) ; 23064 (Qualité travail matériau) ; 31454 (Gestion qualité) ; 31606 (Conduite projet industriel)</t>
        </is>
      </c>
      <c r="N2451" s="50" t="inlineStr">
        <is>
          <t>NON</t>
        </is>
      </c>
      <c r="O2451" s="45" t="inlineStr"/>
    </row>
    <row r="2452" customFormat="1" s="3">
      <c r="A2452" s="45" t="n"/>
      <c r="B2452" s="46" t="inlineStr">
        <is>
          <t>31459</t>
        </is>
      </c>
      <c r="C2452" s="46">
        <f>LEFT(Tableau1[[#This Row],[Formacode]],3)</f>
        <v/>
      </c>
      <c r="D2452" s="47" t="n">
        <v>41433</v>
      </c>
      <c r="E2452" s="48">
        <f>"RNCP"&amp;D2452</f>
        <v/>
      </c>
      <c r="F2452" s="48" t="inlineStr">
        <is>
          <t>Manager de la qualité globale et durable</t>
        </is>
      </c>
      <c r="G2452" s="49">
        <f>E2452&amp;" - "&amp;F2452</f>
        <v/>
      </c>
      <c r="H2452" s="36" t="inlineStr">
        <is>
          <t>RAS</t>
        </is>
      </c>
      <c r="I2452" s="45" t="inlineStr"/>
      <c r="J2452" s="45" t="inlineStr">
        <is>
          <t>RNCP41433</t>
        </is>
      </c>
      <c r="K2452" s="45" t="inlineStr">
        <is>
          <t>Manager de la qualité globale et durable</t>
        </is>
      </c>
      <c r="L2452" s="45" t="inlineStr">
        <is>
          <t>27/10/2030</t>
        </is>
      </c>
      <c r="M2452" s="45" t="inlineStr">
        <is>
          <t>31454 (Gestion qualité) ; 32008 (Responsabilité sociétale entreprise) ; 12587 (Management environnemental)</t>
        </is>
      </c>
      <c r="N2452" s="50" t="inlineStr">
        <is>
          <t>NON</t>
        </is>
      </c>
      <c r="O2452" s="45" t="inlineStr"/>
    </row>
    <row r="2453" ht="28.8" customFormat="1" customHeight="1" s="3">
      <c r="A2453" s="45" t="n"/>
      <c r="B2453" s="46" t="inlineStr">
        <is>
          <t>31470</t>
        </is>
      </c>
      <c r="C2453" s="46">
        <f>LEFT(Tableau1[[#This Row],[Formacode]],3)</f>
        <v/>
      </c>
      <c r="D2453" s="47" t="n">
        <v>38416</v>
      </c>
      <c r="E2453" s="48">
        <f>"RNCP"&amp;D2453</f>
        <v/>
      </c>
      <c r="F2453" s="48" t="inlineStr">
        <is>
          <t>BTS - EuroPlastics et Composites - Option CO: Conception Outillage - Option POP : Pilotage et Optimisation de la Production</t>
        </is>
      </c>
      <c r="G2453" s="49">
        <f>E2453&amp;" - "&amp;F2453</f>
        <v/>
      </c>
      <c r="H2453" s="36" t="inlineStr">
        <is>
          <t>RAS</t>
        </is>
      </c>
      <c r="I2453" s="45" t="inlineStr"/>
      <c r="J2453" s="45" t="inlineStr">
        <is>
          <t>RNCP38416</t>
        </is>
      </c>
      <c r="K2453" s="45" t="inlineStr">
        <is>
          <t>EuroPlastics et Composites - Option CO: Conception Outillage - Option POP : Pilotage et Optimisation de la Production</t>
        </is>
      </c>
      <c r="L2453" s="45" t="inlineStr">
        <is>
          <t>31/12/2028</t>
        </is>
      </c>
      <c r="M2453" s="45" t="inlineStr">
        <is>
          <t>23021 (Plasturgie) ; 31652 (Gestion production) ; 23064 (Qualité travail matériau) ; 31454 (Gestion qualité) ; 31606 (Conduite projet industriel)</t>
        </is>
      </c>
      <c r="N2453" s="50" t="inlineStr">
        <is>
          <t>NON</t>
        </is>
      </c>
      <c r="O2453" s="45" t="inlineStr"/>
    </row>
    <row r="2454" customFormat="1" s="3">
      <c r="A2454" s="45" t="n"/>
      <c r="B2454" s="46" t="inlineStr">
        <is>
          <t>31470</t>
        </is>
      </c>
      <c r="C2454" s="46">
        <f>LEFT(Tableau1[[#This Row],[Formacode]],3)</f>
        <v/>
      </c>
      <c r="D2454" s="47" t="n">
        <v>41433</v>
      </c>
      <c r="E2454" s="48">
        <f>"RNCP"&amp;D2454</f>
        <v/>
      </c>
      <c r="F2454" s="48" t="inlineStr">
        <is>
          <t>Manager de la qualité globale et durable</t>
        </is>
      </c>
      <c r="G2454" s="49">
        <f>E2454&amp;" - "&amp;F2454</f>
        <v/>
      </c>
      <c r="H2454" s="36" t="inlineStr">
        <is>
          <t>RAS</t>
        </is>
      </c>
      <c r="I2454" s="45" t="inlineStr"/>
      <c r="J2454" s="45" t="inlineStr">
        <is>
          <t>RNCP41433</t>
        </is>
      </c>
      <c r="K2454" s="45" t="inlineStr">
        <is>
          <t>Manager de la qualité globale et durable</t>
        </is>
      </c>
      <c r="L2454" s="45" t="inlineStr">
        <is>
          <t>27/10/2030</t>
        </is>
      </c>
      <c r="M2454" s="45" t="inlineStr">
        <is>
          <t>31454 (Gestion qualité) ; 32008 (Responsabilité sociétale entreprise) ; 12587 (Management environnemental)</t>
        </is>
      </c>
      <c r="N2454" s="50" t="inlineStr">
        <is>
          <t>NON</t>
        </is>
      </c>
      <c r="O2454" s="45" t="inlineStr"/>
    </row>
    <row r="2455" customFormat="1" s="3">
      <c r="A2455" s="45" t="n"/>
      <c r="B2455" s="46" t="inlineStr">
        <is>
          <t>31470</t>
        </is>
      </c>
      <c r="C2455" s="46">
        <f>LEFT(Tableau1[[#This Row],[Formacode]],3)</f>
        <v/>
      </c>
      <c r="D2455" s="47" t="n">
        <v>41478</v>
      </c>
      <c r="E2455" s="48">
        <f>"RNCP"&amp;D2455</f>
        <v/>
      </c>
      <c r="F2455" s="48" t="inlineStr">
        <is>
          <t>Consultant en business analyse</t>
        </is>
      </c>
      <c r="G2455" s="49">
        <f>E2455&amp;" - "&amp;F2455</f>
        <v/>
      </c>
      <c r="H2455" s="36" t="inlineStr">
        <is>
          <t>RAS</t>
        </is>
      </c>
      <c r="I2455" s="45" t="inlineStr"/>
      <c r="J2455" s="45" t="inlineStr">
        <is>
          <t>RNCP41478</t>
        </is>
      </c>
      <c r="K2455" s="45" t="inlineStr">
        <is>
          <t>Consultant en business analyse</t>
        </is>
      </c>
      <c r="L2455" s="45" t="inlineStr">
        <is>
          <t>27/10/2030</t>
        </is>
      </c>
      <c r="M2455" s="45" t="inlineStr">
        <is>
          <t>32012 (Gestion processus) ; 31470 (Analyse valeur) ; 32079 (Gestion performance)</t>
        </is>
      </c>
      <c r="N2455" s="50" t="inlineStr">
        <is>
          <t>NON</t>
        </is>
      </c>
      <c r="O2455" s="45" t="inlineStr"/>
    </row>
    <row r="2456" ht="28.8" customFormat="1" customHeight="1" s="3">
      <c r="A2456" s="45" t="n"/>
      <c r="B2456" s="46" t="inlineStr">
        <is>
          <t>31475</t>
        </is>
      </c>
      <c r="C2456" s="46">
        <f>LEFT(Tableau1[[#This Row],[Formacode]],3)</f>
        <v/>
      </c>
      <c r="D2456" s="47" t="n">
        <v>38416</v>
      </c>
      <c r="E2456" s="48">
        <f>"RNCP"&amp;D2456</f>
        <v/>
      </c>
      <c r="F2456" s="48" t="inlineStr">
        <is>
          <t>BTS - EuroPlastics et Composites - Option CO: Conception Outillage - Option POP : Pilotage et Optimisation de la Production</t>
        </is>
      </c>
      <c r="G2456" s="49">
        <f>E2456&amp;" - "&amp;F2456</f>
        <v/>
      </c>
      <c r="H2456" s="36" t="inlineStr">
        <is>
          <t>RAS</t>
        </is>
      </c>
      <c r="I2456" s="45" t="inlineStr"/>
      <c r="J2456" s="45" t="inlineStr">
        <is>
          <t>RNCP38416</t>
        </is>
      </c>
      <c r="K2456" s="45" t="inlineStr">
        <is>
          <t>EuroPlastics et Composites - Option CO: Conception Outillage - Option POP : Pilotage et Optimisation de la Production</t>
        </is>
      </c>
      <c r="L2456" s="45" t="inlineStr">
        <is>
          <t>31/12/2028</t>
        </is>
      </c>
      <c r="M2456" s="45" t="inlineStr">
        <is>
          <t>23021 (Plasturgie) ; 31652 (Gestion production) ; 23064 (Qualité travail matériau) ; 31454 (Gestion qualité) ; 31606 (Conduite projet industriel)</t>
        </is>
      </c>
      <c r="N2456" s="50" t="inlineStr">
        <is>
          <t>NON</t>
        </is>
      </c>
      <c r="O2456" s="45" t="inlineStr"/>
    </row>
    <row r="2457" customFormat="1" s="3">
      <c r="A2457" s="45" t="n"/>
      <c r="B2457" s="46" t="inlineStr">
        <is>
          <t>31475</t>
        </is>
      </c>
      <c r="C2457" s="46">
        <f>LEFT(Tableau1[[#This Row],[Formacode]],3)</f>
        <v/>
      </c>
      <c r="D2457" s="47" t="n">
        <v>41433</v>
      </c>
      <c r="E2457" s="48">
        <f>"RNCP"&amp;D2457</f>
        <v/>
      </c>
      <c r="F2457" s="48" t="inlineStr">
        <is>
          <t>Manager de la qualité globale et durable</t>
        </is>
      </c>
      <c r="G2457" s="49">
        <f>E2457&amp;" - "&amp;F2457</f>
        <v/>
      </c>
      <c r="H2457" s="36" t="inlineStr">
        <is>
          <t>RAS</t>
        </is>
      </c>
      <c r="I2457" s="45" t="inlineStr"/>
      <c r="J2457" s="45" t="inlineStr">
        <is>
          <t>RNCP41433</t>
        </is>
      </c>
      <c r="K2457" s="45" t="inlineStr">
        <is>
          <t>Manager de la qualité globale et durable</t>
        </is>
      </c>
      <c r="L2457" s="45" t="inlineStr">
        <is>
          <t>27/10/2030</t>
        </is>
      </c>
      <c r="M2457" s="45" t="inlineStr">
        <is>
          <t>31454 (Gestion qualité) ; 32008 (Responsabilité sociétale entreprise) ; 12587 (Management environnemental)</t>
        </is>
      </c>
      <c r="N2457" s="50" t="inlineStr">
        <is>
          <t>NON</t>
        </is>
      </c>
      <c r="O2457" s="45" t="inlineStr"/>
    </row>
    <row r="2458" ht="28.8" customFormat="1" customHeight="1" s="3">
      <c r="A2458" s="45" t="n"/>
      <c r="B2458" s="46" t="inlineStr">
        <is>
          <t>31482</t>
        </is>
      </c>
      <c r="C2458" s="46">
        <f>LEFT(Tableau1[[#This Row],[Formacode]],3)</f>
        <v/>
      </c>
      <c r="D2458" s="47" t="n">
        <v>38416</v>
      </c>
      <c r="E2458" s="48">
        <f>"RNCP"&amp;D2458</f>
        <v/>
      </c>
      <c r="F2458" s="48" t="inlineStr">
        <is>
          <t>BTS - EuroPlastics et Composites - Option CO: Conception Outillage - Option POP : Pilotage et Optimisation de la Production</t>
        </is>
      </c>
      <c r="G2458" s="49">
        <f>E2458&amp;" - "&amp;F2458</f>
        <v/>
      </c>
      <c r="H2458" s="36" t="inlineStr">
        <is>
          <t>RAS</t>
        </is>
      </c>
      <c r="I2458" s="45" t="inlineStr"/>
      <c r="J2458" s="45" t="inlineStr">
        <is>
          <t>RNCP38416</t>
        </is>
      </c>
      <c r="K2458" s="45" t="inlineStr">
        <is>
          <t>EuroPlastics et Composites - Option CO: Conception Outillage - Option POP : Pilotage et Optimisation de la Production</t>
        </is>
      </c>
      <c r="L2458" s="45" t="inlineStr">
        <is>
          <t>31/12/2028</t>
        </is>
      </c>
      <c r="M2458" s="45" t="inlineStr">
        <is>
          <t>23021 (Plasturgie) ; 31652 (Gestion production) ; 23064 (Qualité travail matériau) ; 31454 (Gestion qualité) ; 31606 (Conduite projet industriel)</t>
        </is>
      </c>
      <c r="N2458" s="50" t="inlineStr">
        <is>
          <t>NON</t>
        </is>
      </c>
      <c r="O2458" s="45" t="inlineStr"/>
    </row>
    <row r="2459" customFormat="1" s="3">
      <c r="A2459" s="45" t="n"/>
      <c r="B2459" s="46" t="inlineStr">
        <is>
          <t>31482</t>
        </is>
      </c>
      <c r="C2459" s="46">
        <f>LEFT(Tableau1[[#This Row],[Formacode]],3)</f>
        <v/>
      </c>
      <c r="D2459" s="47" t="n">
        <v>41433</v>
      </c>
      <c r="E2459" s="48">
        <f>"RNCP"&amp;D2459</f>
        <v/>
      </c>
      <c r="F2459" s="48" t="inlineStr">
        <is>
          <t>Manager de la qualité globale et durable</t>
        </is>
      </c>
      <c r="G2459" s="49">
        <f>E2459&amp;" - "&amp;F2459</f>
        <v/>
      </c>
      <c r="H2459" s="36" t="inlineStr">
        <is>
          <t>RAS</t>
        </is>
      </c>
      <c r="I2459" s="45" t="inlineStr"/>
      <c r="J2459" s="45" t="inlineStr">
        <is>
          <t>RNCP41433</t>
        </is>
      </c>
      <c r="K2459" s="45" t="inlineStr">
        <is>
          <t>Manager de la qualité globale et durable</t>
        </is>
      </c>
      <c r="L2459" s="45" t="inlineStr">
        <is>
          <t>27/10/2030</t>
        </is>
      </c>
      <c r="M2459" s="45" t="inlineStr">
        <is>
          <t>31454 (Gestion qualité) ; 32008 (Responsabilité sociétale entreprise) ; 12587 (Management environnemental)</t>
        </is>
      </c>
      <c r="N2459" s="50" t="inlineStr">
        <is>
          <t>NON</t>
        </is>
      </c>
      <c r="O2459" s="45" t="inlineStr"/>
    </row>
    <row r="2460" ht="28.8" customFormat="1" customHeight="1" s="3">
      <c r="A2460" s="45" t="n"/>
      <c r="B2460" s="46" t="inlineStr">
        <is>
          <t>31486</t>
        </is>
      </c>
      <c r="C2460" s="46">
        <f>LEFT(Tableau1[[#This Row],[Formacode]],3)</f>
        <v/>
      </c>
      <c r="D2460" s="47" t="n">
        <v>38416</v>
      </c>
      <c r="E2460" s="48">
        <f>"RNCP"&amp;D2460</f>
        <v/>
      </c>
      <c r="F2460" s="48" t="inlineStr">
        <is>
          <t>BTS - EuroPlastics et Composites - Option CO: Conception Outillage - Option POP : Pilotage et Optimisation de la Production</t>
        </is>
      </c>
      <c r="G2460" s="49">
        <f>E2460&amp;" - "&amp;F2460</f>
        <v/>
      </c>
      <c r="H2460" s="36" t="inlineStr">
        <is>
          <t>RAS</t>
        </is>
      </c>
      <c r="I2460" s="45" t="inlineStr"/>
      <c r="J2460" s="45" t="inlineStr">
        <is>
          <t>RNCP38416</t>
        </is>
      </c>
      <c r="K2460" s="45" t="inlineStr">
        <is>
          <t>EuroPlastics et Composites - Option CO: Conception Outillage - Option POP : Pilotage et Optimisation de la Production</t>
        </is>
      </c>
      <c r="L2460" s="45" t="inlineStr">
        <is>
          <t>31/12/2028</t>
        </is>
      </c>
      <c r="M2460" s="45" t="inlineStr">
        <is>
          <t>23021 (Plasturgie) ; 31652 (Gestion production) ; 23064 (Qualité travail matériau) ; 31454 (Gestion qualité) ; 31606 (Conduite projet industriel)</t>
        </is>
      </c>
      <c r="N2460" s="50" t="inlineStr">
        <is>
          <t>NON</t>
        </is>
      </c>
      <c r="O2460" s="45" t="inlineStr"/>
    </row>
    <row r="2461" customFormat="1" s="3">
      <c r="A2461" s="45" t="n"/>
      <c r="B2461" s="46" t="inlineStr">
        <is>
          <t>31486</t>
        </is>
      </c>
      <c r="C2461" s="46">
        <f>LEFT(Tableau1[[#This Row],[Formacode]],3)</f>
        <v/>
      </c>
      <c r="D2461" s="47" t="n">
        <v>41433</v>
      </c>
      <c r="E2461" s="48">
        <f>"RNCP"&amp;D2461</f>
        <v/>
      </c>
      <c r="F2461" s="48" t="inlineStr">
        <is>
          <t>Manager de la qualité globale et durable</t>
        </is>
      </c>
      <c r="G2461" s="49">
        <f>E2461&amp;" - "&amp;F2461</f>
        <v/>
      </c>
      <c r="H2461" s="36" t="inlineStr">
        <is>
          <t>RAS</t>
        </is>
      </c>
      <c r="I2461" s="45" t="inlineStr"/>
      <c r="J2461" s="45" t="inlineStr">
        <is>
          <t>RNCP41433</t>
        </is>
      </c>
      <c r="K2461" s="45" t="inlineStr">
        <is>
          <t>Manager de la qualité globale et durable</t>
        </is>
      </c>
      <c r="L2461" s="45" t="inlineStr">
        <is>
          <t>27/10/2030</t>
        </is>
      </c>
      <c r="M2461" s="45" t="inlineStr">
        <is>
          <t>31454 (Gestion qualité) ; 32008 (Responsabilité sociétale entreprise) ; 12587 (Management environnemental)</t>
        </is>
      </c>
      <c r="N2461" s="50" t="inlineStr">
        <is>
          <t>NON</t>
        </is>
      </c>
      <c r="O2461" s="45" t="inlineStr"/>
    </row>
    <row r="2462" customFormat="1" s="3">
      <c r="A2462" s="45" t="n"/>
      <c r="B2462" s="46" t="inlineStr">
        <is>
          <t>31606</t>
        </is>
      </c>
      <c r="C2462" s="46">
        <f>LEFT(Tableau1[[#This Row],[Formacode]],3)</f>
        <v/>
      </c>
      <c r="D2462" s="47" t="n">
        <v>37374</v>
      </c>
      <c r="E2462" s="48">
        <f>"RNCP"&amp;D2462</f>
        <v/>
      </c>
      <c r="F2462" s="48" t="inlineStr">
        <is>
          <t>BTS - Conception des produits industriels</t>
        </is>
      </c>
      <c r="G2462" s="49">
        <f>E2462&amp;" - "&amp;F2462</f>
        <v/>
      </c>
      <c r="H2462" s="36" t="inlineStr">
        <is>
          <t>RAS</t>
        </is>
      </c>
      <c r="I2462" s="45" t="inlineStr"/>
      <c r="J2462" s="45" t="inlineStr">
        <is>
          <t>RNCP37374</t>
        </is>
      </c>
      <c r="K2462" s="45" t="inlineStr">
        <is>
          <t>Conception des produits industriels</t>
        </is>
      </c>
      <c r="L2462" s="45" t="inlineStr">
        <is>
          <t>31/08/2028</t>
        </is>
      </c>
      <c r="M2462" s="45" t="inlineStr">
        <is>
          <t>31606 (Conduite projet industriel) ; 31676 (Bureau d'études)</t>
        </is>
      </c>
      <c r="N2462" s="50" t="inlineStr">
        <is>
          <t>NON</t>
        </is>
      </c>
      <c r="O2462" s="45" t="inlineStr"/>
    </row>
    <row r="2463" ht="28.8" customFormat="1" customHeight="1" s="3">
      <c r="A2463" s="45" t="n"/>
      <c r="B2463" s="46" t="inlineStr">
        <is>
          <t>31606</t>
        </is>
      </c>
      <c r="C2463" s="46">
        <f>LEFT(Tableau1[[#This Row],[Formacode]],3)</f>
        <v/>
      </c>
      <c r="D2463" s="47" t="n">
        <v>38416</v>
      </c>
      <c r="E2463" s="48">
        <f>"RNCP"&amp;D2463</f>
        <v/>
      </c>
      <c r="F2463" s="48" t="inlineStr">
        <is>
          <t>BTS - EuroPlastics et Composites - Option CO: Conception Outillage - Option POP : Pilotage et Optimisation de la Production</t>
        </is>
      </c>
      <c r="G2463" s="49">
        <f>E2463&amp;" - "&amp;F2463</f>
        <v/>
      </c>
      <c r="H2463" s="36" t="inlineStr">
        <is>
          <t>RAS</t>
        </is>
      </c>
      <c r="I2463" s="45" t="inlineStr"/>
      <c r="J2463" s="45" t="inlineStr">
        <is>
          <t>RNCP38416</t>
        </is>
      </c>
      <c r="K2463" s="45" t="inlineStr">
        <is>
          <t>EuroPlastics et Composites - Option CO: Conception Outillage - Option POP : Pilotage et Optimisation de la Production</t>
        </is>
      </c>
      <c r="L2463" s="45" t="inlineStr">
        <is>
          <t>31/12/2028</t>
        </is>
      </c>
      <c r="M2463" s="45" t="inlineStr">
        <is>
          <t>23021 (Plasturgie) ; 31652 (Gestion production) ; 23064 (Qualité travail matériau) ; 31454 (Gestion qualité) ; 31606 (Conduite projet industriel)</t>
        </is>
      </c>
      <c r="N2463" s="50" t="inlineStr">
        <is>
          <t>NON</t>
        </is>
      </c>
      <c r="O2463" s="45" t="inlineStr"/>
    </row>
    <row r="2464" customFormat="1" s="3">
      <c r="A2464" s="45" t="n"/>
      <c r="B2464" s="46" t="inlineStr">
        <is>
          <t>31606</t>
        </is>
      </c>
      <c r="C2464" s="46">
        <f>LEFT(Tableau1[[#This Row],[Formacode]],3)</f>
        <v/>
      </c>
      <c r="D2464" s="47" t="n">
        <v>39174</v>
      </c>
      <c r="E2464" s="48">
        <f>"RNCP"&amp;D2464</f>
        <v/>
      </c>
      <c r="F2464" s="48" t="inlineStr">
        <is>
          <t>TP - Technicien supérieur des méthodes d'industrialisation</t>
        </is>
      </c>
      <c r="G2464" s="49">
        <f>E2464&amp;" - "&amp;F2464</f>
        <v/>
      </c>
      <c r="H2464" s="36" t="inlineStr">
        <is>
          <t>RAS</t>
        </is>
      </c>
      <c r="I2464" s="45" t="inlineStr"/>
      <c r="J2464" s="45" t="inlineStr">
        <is>
          <t>RNCP39174</t>
        </is>
      </c>
      <c r="K2464" s="45" t="inlineStr">
        <is>
          <t>Technicien supérieur des méthodes d'industrialisation</t>
        </is>
      </c>
      <c r="L2464" s="45" t="inlineStr">
        <is>
          <t>28/06/2029</t>
        </is>
      </c>
      <c r="M2464" s="45" t="inlineStr">
        <is>
          <t>31629 (Bureau des méthodes) ; 31606 (Conduite projet industriel) ; 31664 (Qualité gestion industrielle)</t>
        </is>
      </c>
      <c r="N2464" s="50" t="inlineStr">
        <is>
          <t>NON</t>
        </is>
      </c>
      <c r="O2464" s="45" t="inlineStr"/>
    </row>
    <row r="2465" customFormat="1" s="3">
      <c r="A2465" s="45" t="n"/>
      <c r="B2465" s="46" t="inlineStr">
        <is>
          <t>31606</t>
        </is>
      </c>
      <c r="C2465" s="46">
        <f>LEFT(Tableau1[[#This Row],[Formacode]],3)</f>
        <v/>
      </c>
      <c r="D2465" s="47" t="n">
        <v>40906</v>
      </c>
      <c r="E2465" s="48">
        <f>"RNCP"&amp;D2465</f>
        <v/>
      </c>
      <c r="F2465" s="48" t="inlineStr">
        <is>
          <t>CQP Chargé de projets industriels</t>
        </is>
      </c>
      <c r="G2465" s="49">
        <f>E2465&amp;" - "&amp;F2465</f>
        <v/>
      </c>
      <c r="H2465" s="36" t="inlineStr">
        <is>
          <t>RAS</t>
        </is>
      </c>
      <c r="I2465" s="45" t="inlineStr"/>
      <c r="J2465" s="45" t="inlineStr">
        <is>
          <t>RNCP40906</t>
        </is>
      </c>
      <c r="K2465" s="45" t="inlineStr">
        <is>
          <t>CQP Chargé de projets industriels</t>
        </is>
      </c>
      <c r="L2465" s="45" t="inlineStr">
        <is>
          <t>25/06/2030</t>
        </is>
      </c>
      <c r="M2465" s="45" t="inlineStr">
        <is>
          <t>31606 (Conduite projet industriel)</t>
        </is>
      </c>
      <c r="N2465" s="50" t="inlineStr">
        <is>
          <t>NON</t>
        </is>
      </c>
      <c r="O2465" s="45" t="inlineStr"/>
    </row>
    <row r="2466" customFormat="1" s="3">
      <c r="A2466" s="45" t="n"/>
      <c r="B2466" s="46" t="inlineStr">
        <is>
          <t>31606</t>
        </is>
      </c>
      <c r="C2466" s="46">
        <f>LEFT(Tableau1[[#This Row],[Formacode]],3)</f>
        <v/>
      </c>
      <c r="D2466" s="47" t="n">
        <v>40932</v>
      </c>
      <c r="E2466" s="48">
        <f>"RNCP"&amp;D2466</f>
        <v/>
      </c>
      <c r="F2466" s="48" t="inlineStr">
        <is>
          <t>Expert numérique des systèmes et processus industriels</t>
        </is>
      </c>
      <c r="G2466" s="49">
        <f>E2466&amp;" - "&amp;F2466</f>
        <v/>
      </c>
      <c r="H2466" s="36" t="inlineStr">
        <is>
          <t>RAS</t>
        </is>
      </c>
      <c r="I2466" s="45" t="inlineStr"/>
      <c r="J2466" s="45" t="inlineStr">
        <is>
          <t>RNCP40932</t>
        </is>
      </c>
      <c r="K2466" s="45" t="inlineStr">
        <is>
          <t>Expert numérique des systèmes et processus industriels</t>
        </is>
      </c>
      <c r="L2466" s="45" t="inlineStr">
        <is>
          <t>25/06/2028</t>
        </is>
      </c>
      <c r="M2466" s="45" t="inlineStr">
        <is>
          <t>31085 (Informatisation des processus) ; 46390 (Numérisation données) ; 31008 (Système information) ; 31606 (Conduite projet industriel)</t>
        </is>
      </c>
      <c r="N2466" s="50" t="inlineStr">
        <is>
          <t>NON</t>
        </is>
      </c>
      <c r="O2466" s="45" t="inlineStr"/>
    </row>
    <row r="2467" customFormat="1" s="3">
      <c r="A2467" s="45" t="n"/>
      <c r="B2467" s="46" t="inlineStr">
        <is>
          <t>31606</t>
        </is>
      </c>
      <c r="C2467" s="46">
        <f>LEFT(Tableau1[[#This Row],[Formacode]],3)</f>
        <v/>
      </c>
      <c r="D2467" s="47" t="n">
        <v>41300</v>
      </c>
      <c r="E2467" s="48">
        <f>"RNCP"&amp;D2467</f>
        <v/>
      </c>
      <c r="F2467" s="48" t="inlineStr">
        <is>
          <t>Créateur de produits technologiques et durables (MS)</t>
        </is>
      </c>
      <c r="G2467" s="49">
        <f>E2467&amp;" - "&amp;F2467</f>
        <v/>
      </c>
      <c r="H2467" s="36" t="inlineStr">
        <is>
          <t>RAS</t>
        </is>
      </c>
      <c r="I2467" s="45" t="inlineStr"/>
      <c r="J2467" s="45" t="inlineStr">
        <is>
          <t>RNCP41300</t>
        </is>
      </c>
      <c r="K2467" s="45" t="inlineStr">
        <is>
          <t>Créateur de produits technologiques et durables (MS)</t>
        </is>
      </c>
      <c r="L2467" s="45" t="inlineStr">
        <is>
          <t>24/09/2030</t>
        </is>
      </c>
      <c r="M2467" s="45" t="inlineStr">
        <is>
          <t>12522 (Développement durable) ; 45027 (Art appliqué) ; 31684 (CAO) ; 31028 (Intelligence artificielle) ; 31606 (Conduite projet industriel)</t>
        </is>
      </c>
      <c r="N2467" s="50" t="inlineStr">
        <is>
          <t>NON</t>
        </is>
      </c>
      <c r="O2467" s="45" t="inlineStr"/>
    </row>
    <row r="2468" customFormat="1" s="3">
      <c r="A2468" s="45" t="n"/>
      <c r="B2468" s="46" t="inlineStr">
        <is>
          <t>31608</t>
        </is>
      </c>
      <c r="C2468" s="46">
        <f>LEFT(Tableau1[[#This Row],[Formacode]],3)</f>
        <v/>
      </c>
      <c r="D2468" s="47" t="n">
        <v>36730</v>
      </c>
      <c r="E2468" s="48">
        <f>"RNCP"&amp;D2468</f>
        <v/>
      </c>
      <c r="F2468" s="48" t="inlineStr">
        <is>
          <t>Technicien supérieur en pharmacie et cosmétique industrielles</t>
        </is>
      </c>
      <c r="G2468" s="49">
        <f>E2468&amp;" - "&amp;F2468</f>
        <v/>
      </c>
      <c r="H2468" s="36" t="inlineStr">
        <is>
          <t>RAS</t>
        </is>
      </c>
      <c r="I2468" s="45" t="inlineStr"/>
      <c r="J2468" s="45" t="inlineStr">
        <is>
          <t>RNCP36730</t>
        </is>
      </c>
      <c r="K2468" s="45" t="inlineStr">
        <is>
          <t>Technicien supérieur en pharmacie et cosmétique industrielles</t>
        </is>
      </c>
      <c r="L2468" s="45" t="inlineStr">
        <is>
          <t>20/07/2027</t>
        </is>
      </c>
      <c r="M2468" s="45" t="inlineStr">
        <is>
          <t>31608 (Génie procédés)</t>
        </is>
      </c>
      <c r="N2468" s="50" t="inlineStr">
        <is>
          <t>NON</t>
        </is>
      </c>
      <c r="O2468" s="45" t="inlineStr"/>
    </row>
    <row r="2469" customFormat="1" s="3">
      <c r="A2469" s="51" t="n"/>
      <c r="B2469" s="52" t="inlineStr">
        <is>
          <t>31624</t>
        </is>
      </c>
      <c r="C2469" s="52">
        <f>LEFT(Tableau1[[#This Row],[Formacode]],3)</f>
        <v/>
      </c>
      <c r="D2469" s="53" t="n">
        <v>35698</v>
      </c>
      <c r="E2469" s="54">
        <f>"RNCP"&amp;D2469</f>
        <v/>
      </c>
      <c r="F2469" s="54" t="inlineStr">
        <is>
          <t>BAC PRO - Maintenance des Systèmes de Production Connectés</t>
        </is>
      </c>
      <c r="G2469" s="55">
        <f>E2469&amp;" - "&amp;F2469</f>
        <v/>
      </c>
      <c r="H2469" s="37" t="inlineStr">
        <is>
          <t>À vérifier</t>
        </is>
      </c>
      <c r="I2469" s="51" t="inlineStr">
        <is>
          <t>Successeur déjà publié : RNCP42118 (Maintenance des Systèmes de Production Connectés) — préparer la bascule de l'offre CPF | Échéance le 31/08/2026 (dans 44 j)</t>
        </is>
      </c>
      <c r="J2469" s="51" t="inlineStr">
        <is>
          <t>RNCP42118</t>
        </is>
      </c>
      <c r="K2469" s="51" t="inlineStr">
        <is>
          <t>Maintenance des Systèmes de Production Connectés</t>
        </is>
      </c>
      <c r="L2469" s="51" t="inlineStr">
        <is>
          <t>31/08/2026</t>
        </is>
      </c>
      <c r="M2469" s="51" t="inlineStr">
        <is>
          <t>31624 (Maintenance industrielle)</t>
        </is>
      </c>
      <c r="N2469" s="62" t="inlineStr">
        <is>
          <t>NON</t>
        </is>
      </c>
      <c r="O2469" s="51" t="inlineStr"/>
    </row>
    <row r="2470" customFormat="1" s="3">
      <c r="A2470" s="45" t="n"/>
      <c r="B2470" s="46" t="inlineStr">
        <is>
          <t>31624</t>
        </is>
      </c>
      <c r="C2470" s="46">
        <f>LEFT(Tableau1[[#This Row],[Formacode]],3)</f>
        <v/>
      </c>
      <c r="D2470" s="47" t="n">
        <v>36247</v>
      </c>
      <c r="E2470" s="48">
        <f>"RNCP"&amp;D2470</f>
        <v/>
      </c>
      <c r="F2470" s="48" t="inlineStr">
        <is>
          <t>TP - Technicien supérieur de maintenance industrielle</t>
        </is>
      </c>
      <c r="G2470" s="49">
        <f>E2470&amp;" - "&amp;F2470</f>
        <v/>
      </c>
      <c r="H2470" s="36" t="inlineStr">
        <is>
          <t>RAS</t>
        </is>
      </c>
      <c r="I2470" s="45" t="inlineStr"/>
      <c r="J2470" s="45" t="inlineStr">
        <is>
          <t>RNCP36247</t>
        </is>
      </c>
      <c r="K2470" s="45" t="inlineStr">
        <is>
          <t>Technicien supérieur de maintenance industrielle</t>
        </is>
      </c>
      <c r="L2470" s="45" t="inlineStr">
        <is>
          <t>15/02/2027</t>
        </is>
      </c>
      <c r="M2470" s="45" t="inlineStr">
        <is>
          <t>31624 (Maintenance industrielle)</t>
        </is>
      </c>
      <c r="N2470" s="50" t="inlineStr">
        <is>
          <t>NON</t>
        </is>
      </c>
      <c r="O2470" s="45" t="inlineStr"/>
    </row>
    <row r="2471" customFormat="1" s="3">
      <c r="A2471" s="51" t="n"/>
      <c r="B2471" s="52" t="inlineStr">
        <is>
          <t>31624</t>
        </is>
      </c>
      <c r="C2471" s="52">
        <f>LEFT(Tableau1[[#This Row],[Formacode]],3)</f>
        <v/>
      </c>
      <c r="D2471" s="53" t="n">
        <v>36376</v>
      </c>
      <c r="E2471" s="54">
        <f>"RNCP"&amp;D2471</f>
        <v/>
      </c>
      <c r="F2471" s="54" t="inlineStr">
        <is>
          <t>CQP Opérateur en Maintenance Industrielle (CQPI)</t>
        </is>
      </c>
      <c r="G2471" s="55">
        <f>E2471&amp;" - "&amp;F2471</f>
        <v/>
      </c>
      <c r="H2471" s="37" t="inlineStr">
        <is>
          <t>À vérifier</t>
        </is>
      </c>
      <c r="I2471" s="51" t="inlineStr">
        <is>
          <t>Intitulé officiel différent : « Opérateur en Maintenance Industrielle »</t>
        </is>
      </c>
      <c r="J2471" s="51" t="inlineStr">
        <is>
          <t>RNCP36376</t>
        </is>
      </c>
      <c r="K2471" s="51" t="inlineStr">
        <is>
          <t>Opérateur en Maintenance Industrielle</t>
        </is>
      </c>
      <c r="L2471" s="51" t="inlineStr">
        <is>
          <t>25/04/2027</t>
        </is>
      </c>
      <c r="M2471" s="51" t="inlineStr">
        <is>
          <t>31624 (Maintenance industrielle)</t>
        </is>
      </c>
      <c r="N2471" s="62" t="inlineStr">
        <is>
          <t>NON</t>
        </is>
      </c>
      <c r="O2471" s="51" t="inlineStr"/>
    </row>
    <row r="2472" customFormat="1" s="3">
      <c r="A2472" s="63" t="n"/>
      <c r="B2472" s="64" t="inlineStr">
        <is>
          <t>31624</t>
        </is>
      </c>
      <c r="C2472" s="64">
        <f>LEFT(Tableau1[[#This Row],[Formacode]],3)</f>
        <v/>
      </c>
      <c r="D2472" s="65" t="n">
        <v>37071</v>
      </c>
      <c r="E2472" s="66">
        <f>"RNCP"&amp;D2472</f>
        <v/>
      </c>
      <c r="F2472" s="66" t="inlineStr">
        <is>
          <t>Technicien expert après-vente véhicules utilitaires et industriels</t>
        </is>
      </c>
      <c r="G2472" s="67">
        <f>E2472&amp;" - "&amp;F2472</f>
        <v/>
      </c>
      <c r="H2472" s="38" t="inlineStr">
        <is>
          <t>Expiré / remplacé</t>
        </is>
      </c>
      <c r="I2472" s="63" t="inlineStr">
        <is>
          <t>Fiche inactive — remplacée par RNCP41657 (Technicien expert après-vente véhicules utilitaires et industriels)</t>
        </is>
      </c>
      <c r="J2472" s="63" t="inlineStr">
        <is>
          <t>RNCP41657</t>
        </is>
      </c>
      <c r="K2472" s="63" t="inlineStr">
        <is>
          <t>Technicien expert après-vente véhicules utilitaires et industriels</t>
        </is>
      </c>
      <c r="L2472" s="63" t="inlineStr">
        <is>
          <t>18/12/2025</t>
        </is>
      </c>
      <c r="M2472" s="63" t="inlineStr">
        <is>
          <t>31604 (Maintenance corrective) ; 31603 (Maintenance préventive) ; 23637 (Mécanique automobile)</t>
        </is>
      </c>
      <c r="N2472" s="68" t="inlineStr">
        <is>
          <t>NON</t>
        </is>
      </c>
      <c r="O2472" s="63" t="inlineStr"/>
    </row>
    <row r="2473" customFormat="1" s="3">
      <c r="A2473" s="45" t="n"/>
      <c r="B2473" s="46" t="inlineStr">
        <is>
          <t>31624</t>
        </is>
      </c>
      <c r="C2473" s="46">
        <f>LEFT(Tableau1[[#This Row],[Formacode]],3)</f>
        <v/>
      </c>
      <c r="D2473" s="47" t="n">
        <v>37165</v>
      </c>
      <c r="E2473" s="48">
        <f>"RNCP"&amp;D2473</f>
        <v/>
      </c>
      <c r="F2473" s="48" t="inlineStr">
        <is>
          <t>CQP Mécanicien de maintenance en robinetterie industrielle</t>
        </is>
      </c>
      <c r="G2473" s="49">
        <f>E2473&amp;" - "&amp;F2473</f>
        <v/>
      </c>
      <c r="H2473" s="36" t="inlineStr">
        <is>
          <t>RAS</t>
        </is>
      </c>
      <c r="I2473" s="45" t="inlineStr"/>
      <c r="J2473" s="45" t="inlineStr">
        <is>
          <t>RNCP37165</t>
        </is>
      </c>
      <c r="K2473" s="45" t="inlineStr">
        <is>
          <t>CQP Mécanicien de maintenance en robinetterie industrielle</t>
        </is>
      </c>
      <c r="L2473" s="45" t="inlineStr">
        <is>
          <t>14/12/2027</t>
        </is>
      </c>
      <c r="M2473" s="45" t="inlineStr">
        <is>
          <t>22699 (Robinetterie) ; 31624 (Maintenance industrielle)</t>
        </is>
      </c>
      <c r="N2473" s="50" t="inlineStr">
        <is>
          <t>NON</t>
        </is>
      </c>
      <c r="O2473" s="45" t="inlineStr"/>
    </row>
    <row r="2474" customFormat="1" s="3">
      <c r="A2474" s="45" t="n"/>
      <c r="B2474" s="46" t="inlineStr">
        <is>
          <t>31624</t>
        </is>
      </c>
      <c r="C2474" s="46">
        <f>LEFT(Tableau1[[#This Row],[Formacode]],3)</f>
        <v/>
      </c>
      <c r="D2474" s="47" t="n">
        <v>37276</v>
      </c>
      <c r="E2474" s="48">
        <f>"RNCP"&amp;D2474</f>
        <v/>
      </c>
      <c r="F2474" s="48" t="inlineStr">
        <is>
          <t>TP - Electromécanicien de maintenance industrielle</t>
        </is>
      </c>
      <c r="G2474" s="49">
        <f>E2474&amp;" - "&amp;F2474</f>
        <v/>
      </c>
      <c r="H2474" s="36" t="inlineStr">
        <is>
          <t>RAS</t>
        </is>
      </c>
      <c r="I2474" s="45" t="inlineStr"/>
      <c r="J2474" s="45" t="inlineStr">
        <is>
          <t>RNCP37276</t>
        </is>
      </c>
      <c r="K2474" s="45" t="inlineStr">
        <is>
          <t>Electromécanicien de maintenance industrielle</t>
        </is>
      </c>
      <c r="L2474" s="45" t="inlineStr">
        <is>
          <t>22/02/2028</t>
        </is>
      </c>
      <c r="M2474" s="45" t="inlineStr">
        <is>
          <t>31624 (Maintenance industrielle) ; 23684 (Entretien mécanique industrielle) ; 24069 (Maintenance installation électrique) ; 24052 (Électromécanique)</t>
        </is>
      </c>
      <c r="N2474" s="50" t="inlineStr">
        <is>
          <t>NON</t>
        </is>
      </c>
      <c r="O2474" s="45" t="inlineStr"/>
    </row>
    <row r="2475" customFormat="1" s="3">
      <c r="A2475" s="45" t="n"/>
      <c r="B2475" s="46" t="inlineStr">
        <is>
          <t>31624</t>
        </is>
      </c>
      <c r="C2475" s="46">
        <f>LEFT(Tableau1[[#This Row],[Formacode]],3)</f>
        <v/>
      </c>
      <c r="D2475" s="47" t="n">
        <v>37294</v>
      </c>
      <c r="E2475" s="48">
        <f>"RNCP"&amp;D2475</f>
        <v/>
      </c>
      <c r="F2475" s="48" t="inlineStr">
        <is>
          <t>TP - Technicien de maintenance et de travaux en systèmes de sécurité incendie</t>
        </is>
      </c>
      <c r="G2475" s="49">
        <f>E2475&amp;" - "&amp;F2475</f>
        <v/>
      </c>
      <c r="H2475" s="36" t="inlineStr">
        <is>
          <t>RAS</t>
        </is>
      </c>
      <c r="I2475" s="45" t="inlineStr"/>
      <c r="J2475" s="45" t="inlineStr">
        <is>
          <t>RNCP37294</t>
        </is>
      </c>
      <c r="K2475" s="45" t="inlineStr">
        <is>
          <t>Technicien de maintenance et de travaux en systèmes de sécurité incendie</t>
        </is>
      </c>
      <c r="L2475" s="45" t="inlineStr">
        <is>
          <t>26/02/2028</t>
        </is>
      </c>
      <c r="M2475" s="45" t="inlineStr">
        <is>
          <t>24396 (Matériel électronique sécurité) ; 31624 (Maintenance industrielle)</t>
        </is>
      </c>
      <c r="N2475" s="50" t="inlineStr">
        <is>
          <t>NON</t>
        </is>
      </c>
      <c r="O2475" s="45" t="inlineStr"/>
    </row>
    <row r="2476" customFormat="1" s="3">
      <c r="A2476" s="45" t="n"/>
      <c r="B2476" s="46" t="inlineStr">
        <is>
          <t>31624</t>
        </is>
      </c>
      <c r="C2476" s="46">
        <f>LEFT(Tableau1[[#This Row],[Formacode]],3)</f>
        <v/>
      </c>
      <c r="D2476" s="47" t="n">
        <v>38216</v>
      </c>
      <c r="E2476" s="48">
        <f>"RNCP"&amp;D2476</f>
        <v/>
      </c>
      <c r="F2476" s="48" t="inlineStr">
        <is>
          <t>BTS - Contrôle industriel et régulation automatique</t>
        </is>
      </c>
      <c r="G2476" s="49">
        <f>E2476&amp;" - "&amp;F2476</f>
        <v/>
      </c>
      <c r="H2476" s="36" t="inlineStr">
        <is>
          <t>RAS</t>
        </is>
      </c>
      <c r="I2476" s="45" t="inlineStr"/>
      <c r="J2476" s="45" t="inlineStr">
        <is>
          <t>RNCP38216</t>
        </is>
      </c>
      <c r="K2476" s="45" t="inlineStr">
        <is>
          <t>Contrôle industriel et régulation automatique</t>
        </is>
      </c>
      <c r="L2476" s="45" t="inlineStr">
        <is>
          <t>31/12/2028</t>
        </is>
      </c>
      <c r="M2476" s="45" t="inlineStr">
        <is>
          <t>31664 (Qualité gestion industrielle) ; 24469 (Capteur) ; 31624 (Maintenance industrielle) ; 31436 (Contrôle qualité)</t>
        </is>
      </c>
      <c r="N2476" s="50" t="inlineStr">
        <is>
          <t>NON</t>
        </is>
      </c>
      <c r="O2476" s="45" t="inlineStr"/>
    </row>
    <row r="2477" customFormat="1" s="3">
      <c r="A2477" s="45" t="n"/>
      <c r="B2477" s="46" t="inlineStr">
        <is>
          <t>31624</t>
        </is>
      </c>
      <c r="C2477" s="46">
        <f>LEFT(Tableau1[[#This Row],[Formacode]],3)</f>
        <v/>
      </c>
      <c r="D2477" s="47" t="n">
        <v>38573</v>
      </c>
      <c r="E2477" s="48">
        <f>"RNCP"&amp;D2477</f>
        <v/>
      </c>
      <c r="F2477" s="48" t="inlineStr">
        <is>
          <t>BAC PRO - Techniques d'interventions sur installations nucléaires</t>
        </is>
      </c>
      <c r="G2477" s="49">
        <f>E2477&amp;" - "&amp;F2477</f>
        <v/>
      </c>
      <c r="H2477" s="36" t="inlineStr">
        <is>
          <t>RAS</t>
        </is>
      </c>
      <c r="I2477" s="45" t="inlineStr"/>
      <c r="J2477" s="45" t="inlineStr">
        <is>
          <t>RNCP38573</t>
        </is>
      </c>
      <c r="K2477" s="45" t="inlineStr">
        <is>
          <t>Techniques d'interventions sur installations nucléaires</t>
        </is>
      </c>
      <c r="L2477" s="45" t="inlineStr">
        <is>
          <t>31/12/2028</t>
        </is>
      </c>
      <c r="M2477" s="45" t="inlineStr">
        <is>
          <t>24134 (Énergie nucléaire) ; 31624 (Maintenance industrielle)</t>
        </is>
      </c>
      <c r="N2477" s="50" t="inlineStr">
        <is>
          <t>NON</t>
        </is>
      </c>
      <c r="O2477" s="45" t="inlineStr"/>
    </row>
    <row r="2478" customFormat="1" s="3">
      <c r="A2478" s="45" t="n"/>
      <c r="B2478" s="46" t="inlineStr">
        <is>
          <t>31624</t>
        </is>
      </c>
      <c r="C2478" s="46">
        <f>LEFT(Tableau1[[#This Row],[Formacode]],3)</f>
        <v/>
      </c>
      <c r="D2478" s="47" t="n">
        <v>38787</v>
      </c>
      <c r="E2478" s="48">
        <f>"RNCP"&amp;D2478</f>
        <v/>
      </c>
      <c r="F2478" s="48" t="inlineStr">
        <is>
          <t>CQP Technicien de maintenance et entretien des outillages en plasturgie</t>
        </is>
      </c>
      <c r="G2478" s="49">
        <f>E2478&amp;" - "&amp;F2478</f>
        <v/>
      </c>
      <c r="H2478" s="36" t="inlineStr">
        <is>
          <t>RAS</t>
        </is>
      </c>
      <c r="I2478" s="45" t="inlineStr"/>
      <c r="J2478" s="45" t="inlineStr">
        <is>
          <t>RNCP38787</t>
        </is>
      </c>
      <c r="K2478" s="45" t="inlineStr">
        <is>
          <t>CQP Technicien de maintenance et entretien des outillages en plasturgie</t>
        </is>
      </c>
      <c r="L2478" s="45" t="inlineStr">
        <is>
          <t>27/03/2027</t>
        </is>
      </c>
      <c r="M2478" s="45" t="inlineStr">
        <is>
          <t>31624 (Maintenance industrielle) ; 23021 (Plasturgie)</t>
        </is>
      </c>
      <c r="N2478" s="50" t="inlineStr">
        <is>
          <t>NON</t>
        </is>
      </c>
      <c r="O2478" s="45" t="inlineStr"/>
    </row>
    <row r="2479" customFormat="1" s="3">
      <c r="A2479" s="45" t="n"/>
      <c r="B2479" s="46" t="inlineStr">
        <is>
          <t>31624</t>
        </is>
      </c>
      <c r="C2479" s="46">
        <f>LEFT(Tableau1[[#This Row],[Formacode]],3)</f>
        <v/>
      </c>
      <c r="D2479" s="47" t="n">
        <v>39210</v>
      </c>
      <c r="E2479" s="48">
        <f>"RNCP"&amp;D2479</f>
        <v/>
      </c>
      <c r="F2479" s="48" t="inlineStr">
        <is>
          <t>Technicien en maintenance industrielle</t>
        </is>
      </c>
      <c r="G2479" s="49">
        <f>E2479&amp;" - "&amp;F2479</f>
        <v/>
      </c>
      <c r="H2479" s="36" t="inlineStr">
        <is>
          <t>RAS</t>
        </is>
      </c>
      <c r="I2479" s="45" t="inlineStr"/>
      <c r="J2479" s="45" t="inlineStr">
        <is>
          <t>RNCP39210</t>
        </is>
      </c>
      <c r="K2479" s="45" t="inlineStr">
        <is>
          <t>Technicien en maintenance industrielle</t>
        </is>
      </c>
      <c r="L2479" s="45" t="inlineStr">
        <is>
          <t>27/06/2029</t>
        </is>
      </c>
      <c r="M2479" s="45" t="inlineStr">
        <is>
          <t>31624 (Maintenance industrielle)</t>
        </is>
      </c>
      <c r="N2479" s="50" t="inlineStr">
        <is>
          <t>NON</t>
        </is>
      </c>
      <c r="O2479" s="45" t="inlineStr"/>
    </row>
    <row r="2480" customFormat="1" s="3">
      <c r="A2480" s="45" t="n"/>
      <c r="B2480" s="46" t="inlineStr">
        <is>
          <t>31624</t>
        </is>
      </c>
      <c r="C2480" s="46">
        <f>LEFT(Tableau1[[#This Row],[Formacode]],3)</f>
        <v/>
      </c>
      <c r="D2480" s="47" t="n">
        <v>39344</v>
      </c>
      <c r="E2480" s="48">
        <f>"RNCP"&amp;D2480</f>
        <v/>
      </c>
      <c r="F2480" s="48" t="inlineStr">
        <is>
          <t>CQP Technicien en machines tournantes sous pression</t>
        </is>
      </c>
      <c r="G2480" s="49">
        <f>E2480&amp;" - "&amp;F2480</f>
        <v/>
      </c>
      <c r="H2480" s="36" t="inlineStr">
        <is>
          <t>RAS</t>
        </is>
      </c>
      <c r="I2480" s="45" t="inlineStr"/>
      <c r="J2480" s="45" t="inlineStr">
        <is>
          <t>RNCP39344</t>
        </is>
      </c>
      <c r="K2480" s="45" t="inlineStr">
        <is>
          <t>CQP Technicien en machines tournantes sous pression</t>
        </is>
      </c>
      <c r="L2480" s="45" t="inlineStr">
        <is>
          <t>19/07/2028</t>
        </is>
      </c>
      <c r="M2480" s="45" t="inlineStr">
        <is>
          <t>24052 (Électromécanique) ; 24154 (Énergie) ; 31624 (Maintenance industrielle)</t>
        </is>
      </c>
      <c r="N2480" s="50" t="inlineStr">
        <is>
          <t>NON</t>
        </is>
      </c>
      <c r="O2480" s="45" t="inlineStr"/>
    </row>
    <row r="2481" customFormat="1" s="3">
      <c r="A2481" s="45" t="n"/>
      <c r="B2481" s="46" t="inlineStr">
        <is>
          <t>31624</t>
        </is>
      </c>
      <c r="C2481" s="46">
        <f>LEFT(Tableau1[[#This Row],[Formacode]],3)</f>
        <v/>
      </c>
      <c r="D2481" s="47" t="n">
        <v>39727</v>
      </c>
      <c r="E2481" s="48">
        <f>"RNCP"&amp;D2481</f>
        <v/>
      </c>
      <c r="F2481" s="48" t="inlineStr">
        <is>
          <t>CQP Mécanicien de maintenance automobile</t>
        </is>
      </c>
      <c r="G2481" s="49">
        <f>E2481&amp;" - "&amp;F2481</f>
        <v/>
      </c>
      <c r="H2481" s="36" t="inlineStr">
        <is>
          <t>RAS</t>
        </is>
      </c>
      <c r="I2481" s="45" t="inlineStr"/>
      <c r="J2481" s="45" t="inlineStr">
        <is>
          <t>RNCP39727</t>
        </is>
      </c>
      <c r="K2481" s="45" t="inlineStr">
        <is>
          <t>CQP Mécanicien de maintenance automobile</t>
        </is>
      </c>
      <c r="L2481" s="45" t="inlineStr">
        <is>
          <t>31/10/2027</t>
        </is>
      </c>
      <c r="M2481" s="45" t="inlineStr">
        <is>
          <t>23637 (Mécanique automobile) ; 31604 (Maintenance corrective) ; 31603 (Maintenance préventive)</t>
        </is>
      </c>
      <c r="N2481" s="50" t="inlineStr">
        <is>
          <t>NON</t>
        </is>
      </c>
      <c r="O2481" s="45" t="inlineStr"/>
    </row>
    <row r="2482" customFormat="1" s="3">
      <c r="A2482" s="45" t="n"/>
      <c r="B2482" s="46" t="inlineStr">
        <is>
          <t>31624</t>
        </is>
      </c>
      <c r="C2482" s="46">
        <f>LEFT(Tableau1[[#This Row],[Formacode]],3)</f>
        <v/>
      </c>
      <c r="D2482" s="47" t="n">
        <v>39971</v>
      </c>
      <c r="E2482" s="48">
        <f>"RNCP"&amp;D2482</f>
        <v/>
      </c>
      <c r="F2482" s="48" t="inlineStr">
        <is>
          <t>CQP Technicien de maintenance du secteur alimentaire</t>
        </is>
      </c>
      <c r="G2482" s="49">
        <f>E2482&amp;" - "&amp;F2482</f>
        <v/>
      </c>
      <c r="H2482" s="36" t="inlineStr">
        <is>
          <t>RAS</t>
        </is>
      </c>
      <c r="I2482" s="45" t="inlineStr"/>
      <c r="J2482" s="45" t="inlineStr">
        <is>
          <t>RNCP39971</t>
        </is>
      </c>
      <c r="K2482" s="45" t="inlineStr">
        <is>
          <t>CQP Technicien de maintenance du secteur alimentaire</t>
        </is>
      </c>
      <c r="L2482" s="45" t="inlineStr">
        <is>
          <t>18/12/2029</t>
        </is>
      </c>
      <c r="M2482" s="45" t="inlineStr">
        <is>
          <t>21554 (Agroalimentaire) ; 31624 (Maintenance industrielle)</t>
        </is>
      </c>
      <c r="N2482" s="50" t="inlineStr">
        <is>
          <t>NON</t>
        </is>
      </c>
      <c r="O2482" s="45" t="inlineStr"/>
    </row>
    <row r="2483" customFormat="1" s="3">
      <c r="A2483" s="45" t="n"/>
      <c r="B2483" s="46" t="inlineStr">
        <is>
          <t>31624</t>
        </is>
      </c>
      <c r="C2483" s="46">
        <f>LEFT(Tableau1[[#This Row],[Formacode]],3)</f>
        <v/>
      </c>
      <c r="D2483" s="47" t="n">
        <v>40311</v>
      </c>
      <c r="E2483" s="48">
        <f>"RNCP"&amp;D2483</f>
        <v/>
      </c>
      <c r="F2483" s="48" t="inlineStr">
        <is>
          <t>BAC PRO - Maintenance environnementale et propreté des espaces urbains</t>
        </is>
      </c>
      <c r="G2483" s="49">
        <f>E2483&amp;" - "&amp;F2483</f>
        <v/>
      </c>
      <c r="H2483" s="36" t="inlineStr">
        <is>
          <t>RAS</t>
        </is>
      </c>
      <c r="I2483" s="45" t="inlineStr"/>
      <c r="J2483" s="45" t="inlineStr">
        <is>
          <t>RNCP40311</t>
        </is>
      </c>
      <c r="K2483" s="45" t="inlineStr">
        <is>
          <t>Maintenance environnementale et propreté des espaces urbains</t>
        </is>
      </c>
      <c r="L2483" s="45" t="inlineStr">
        <is>
          <t>31/08/2030</t>
        </is>
      </c>
      <c r="M2483" s="45" t="inlineStr">
        <is>
          <t>42006 (Nettoyage urbain) ; 42093 (Nettoyage locaux) ; 31624 (Maintenance industrielle) ; 12582 (Gestion déchet)</t>
        </is>
      </c>
      <c r="N2483" s="50" t="inlineStr">
        <is>
          <t>NON</t>
        </is>
      </c>
      <c r="O2483" s="45" t="inlineStr"/>
    </row>
    <row r="2484" customFormat="1" s="3">
      <c r="A2484" s="45" t="n"/>
      <c r="B2484" s="46" t="inlineStr">
        <is>
          <t>31624</t>
        </is>
      </c>
      <c r="C2484" s="46">
        <f>LEFT(Tableau1[[#This Row],[Formacode]],3)</f>
        <v/>
      </c>
      <c r="D2484" s="47" t="n">
        <v>40384</v>
      </c>
      <c r="E2484" s="48">
        <f>"RNCP"&amp;D2484</f>
        <v/>
      </c>
      <c r="F2484" s="48" t="inlineStr">
        <is>
          <t>CQP Technicien de maintenance en hydraulique</t>
        </is>
      </c>
      <c r="G2484" s="49">
        <f>E2484&amp;" - "&amp;F2484</f>
        <v/>
      </c>
      <c r="H2484" s="36" t="inlineStr">
        <is>
          <t>RAS</t>
        </is>
      </c>
      <c r="I2484" s="45" t="inlineStr"/>
      <c r="J2484" s="45" t="inlineStr">
        <is>
          <t>RNCP40384</t>
        </is>
      </c>
      <c r="K2484" s="45" t="inlineStr">
        <is>
          <t>CQP Technicien de maintenance en hydraulique</t>
        </is>
      </c>
      <c r="L2484" s="45" t="inlineStr">
        <is>
          <t>28/03/2030</t>
        </is>
      </c>
      <c r="M2484" s="45" t="inlineStr">
        <is>
          <t>23551 (Hydraulique) ; 24447 (Automatisme hydraulique) ; 24139 (Énergie hydraulique) ; 31604 (Maintenance corrective) ; 31603 (Maintenance préventive)</t>
        </is>
      </c>
      <c r="N2484" s="50" t="inlineStr">
        <is>
          <t>NON</t>
        </is>
      </c>
      <c r="O2484" s="45" t="inlineStr"/>
    </row>
    <row r="2485" customFormat="1" s="3">
      <c r="A2485" s="45" t="n"/>
      <c r="B2485" s="46" t="inlineStr">
        <is>
          <t>31624</t>
        </is>
      </c>
      <c r="C2485" s="46">
        <f>LEFT(Tableau1[[#This Row],[Formacode]],3)</f>
        <v/>
      </c>
      <c r="D2485" s="47" t="n">
        <v>40437</v>
      </c>
      <c r="E2485" s="48">
        <f>"RNCP"&amp;D2485</f>
        <v/>
      </c>
      <c r="F2485" s="48" t="inlineStr">
        <is>
          <t>BAC PRO - Technicien en transport et distribution des gaz</t>
        </is>
      </c>
      <c r="G2485" s="49">
        <f>E2485&amp;" - "&amp;F2485</f>
        <v/>
      </c>
      <c r="H2485" s="36" t="inlineStr">
        <is>
          <t>RAS</t>
        </is>
      </c>
      <c r="I2485" s="45" t="inlineStr"/>
      <c r="J2485" s="45" t="inlineStr">
        <is>
          <t>RNCP40437</t>
        </is>
      </c>
      <c r="K2485" s="45" t="inlineStr">
        <is>
          <t>Technicien en transport et distribution des gaz</t>
        </is>
      </c>
      <c r="L2485" s="45" t="inlineStr">
        <is>
          <t>31/08/2030</t>
        </is>
      </c>
      <c r="M2485" s="45" t="inlineStr">
        <is>
          <t>22694 (Installation gaz) ; 24189 (Gaz) ; 31624 (Maintenance industrielle) ; 22650 (Chauffage gaz)</t>
        </is>
      </c>
      <c r="N2485" s="50" t="inlineStr">
        <is>
          <t>NON</t>
        </is>
      </c>
      <c r="O2485" s="45" t="inlineStr"/>
    </row>
    <row r="2486" customFormat="1" s="3">
      <c r="A2486" s="45" t="n"/>
      <c r="B2486" s="46" t="inlineStr">
        <is>
          <t>31624</t>
        </is>
      </c>
      <c r="C2486" s="46">
        <f>LEFT(Tableau1[[#This Row],[Formacode]],3)</f>
        <v/>
      </c>
      <c r="D2486" s="47" t="n">
        <v>40891</v>
      </c>
      <c r="E2486" s="48">
        <f>"RNCP"&amp;D2486</f>
        <v/>
      </c>
      <c r="F2486" s="48" t="inlineStr">
        <is>
          <t>CQP Chargé de maintenance industrielle</t>
        </is>
      </c>
      <c r="G2486" s="49">
        <f>E2486&amp;" - "&amp;F2486</f>
        <v/>
      </c>
      <c r="H2486" s="36" t="inlineStr">
        <is>
          <t>RAS</t>
        </is>
      </c>
      <c r="I2486" s="45" t="inlineStr"/>
      <c r="J2486" s="45" t="inlineStr">
        <is>
          <t>RNCP40891</t>
        </is>
      </c>
      <c r="K2486" s="45" t="inlineStr">
        <is>
          <t>CQP Chargé de maintenance industrielle</t>
        </is>
      </c>
      <c r="L2486" s="45" t="inlineStr">
        <is>
          <t>25/06/2030</t>
        </is>
      </c>
      <c r="M2486" s="45" t="inlineStr">
        <is>
          <t>31624 (Maintenance industrielle)</t>
        </is>
      </c>
      <c r="N2486" s="50" t="inlineStr">
        <is>
          <t>NON</t>
        </is>
      </c>
      <c r="O2486" s="45" t="inlineStr"/>
    </row>
    <row r="2487" ht="28.8" customFormat="1" customHeight="1" s="3">
      <c r="A2487" s="45" t="n"/>
      <c r="B2487" s="46" t="inlineStr">
        <is>
          <t>31624</t>
        </is>
      </c>
      <c r="C2487" s="46">
        <f>LEFT(Tableau1[[#This Row],[Formacode]],3)</f>
        <v/>
      </c>
      <c r="D2487" s="47" t="n">
        <v>41015</v>
      </c>
      <c r="E2487" s="48">
        <f>"RNCP"&amp;D2487</f>
        <v/>
      </c>
      <c r="F2487" s="48" t="inlineStr">
        <is>
          <t>BAC PRO - Technicien en réalisation de produits mécaniques, option réalisation et suivi de productions, option réalisation et maintenance des outillages</t>
        </is>
      </c>
      <c r="G2487" s="49">
        <f>E2487&amp;" - "&amp;F2487</f>
        <v/>
      </c>
      <c r="H2487" s="36" t="inlineStr">
        <is>
          <t>RAS</t>
        </is>
      </c>
      <c r="I2487" s="45" t="inlineStr"/>
      <c r="J2487" s="45" t="inlineStr">
        <is>
          <t>RNCP41015</t>
        </is>
      </c>
      <c r="K2487" s="45" t="inlineStr">
        <is>
          <t>Technicien en réalisation de produits mécaniques, option réalisation et suivi de productions, option réalisation et maintenance des outillages</t>
        </is>
      </c>
      <c r="L2487" s="45" t="inlineStr">
        <is>
          <t>31/08/2030</t>
        </is>
      </c>
      <c r="M2487" s="45" t="inlineStr">
        <is>
          <t>31632 (Productique) ; 31624 (Maintenance industrielle) ; 23681 (Outillage) ; 23076 (Usinage)</t>
        </is>
      </c>
      <c r="N2487" s="50" t="inlineStr">
        <is>
          <t>NON</t>
        </is>
      </c>
      <c r="O2487" s="45" t="inlineStr"/>
    </row>
    <row r="2488" customFormat="1" s="3">
      <c r="A2488" s="45" t="n"/>
      <c r="B2488" s="46" t="inlineStr">
        <is>
          <t>31624</t>
        </is>
      </c>
      <c r="C2488" s="46">
        <f>LEFT(Tableau1[[#This Row],[Formacode]],3)</f>
        <v/>
      </c>
      <c r="D2488" s="47" t="n">
        <v>41332</v>
      </c>
      <c r="E2488" s="48">
        <f>"RNCP"&amp;D2488</f>
        <v/>
      </c>
      <c r="F2488" s="48" t="inlineStr">
        <is>
          <t>CQP Agent de maintenance de matériels de manutention/levage</t>
        </is>
      </c>
      <c r="G2488" s="49">
        <f>E2488&amp;" - "&amp;F2488</f>
        <v/>
      </c>
      <c r="H2488" s="36" t="inlineStr">
        <is>
          <t>RAS</t>
        </is>
      </c>
      <c r="I2488" s="45" t="inlineStr"/>
      <c r="J2488" s="45" t="inlineStr">
        <is>
          <t>RNCP41332</t>
        </is>
      </c>
      <c r="K2488" s="45" t="inlineStr">
        <is>
          <t>CQP Agent de maintenance de matériels de manutention/levage</t>
        </is>
      </c>
      <c r="L2488" s="45" t="inlineStr">
        <is>
          <t>24/09/2030</t>
        </is>
      </c>
      <c r="M2488" s="45" t="inlineStr">
        <is>
          <t>31736 (Réparation engin manutention) ; 31624 (Maintenance industrielle)</t>
        </is>
      </c>
      <c r="N2488" s="50" t="inlineStr">
        <is>
          <t>NON</t>
        </is>
      </c>
      <c r="O2488" s="45" t="inlineStr"/>
    </row>
    <row r="2489" customFormat="1" s="3">
      <c r="A2489" s="45" t="n"/>
      <c r="B2489" s="46" t="inlineStr">
        <is>
          <t>31624</t>
        </is>
      </c>
      <c r="C2489" s="46">
        <f>LEFT(Tableau1[[#This Row],[Formacode]],3)</f>
        <v/>
      </c>
      <c r="D2489" s="47" t="n">
        <v>41536</v>
      </c>
      <c r="E2489" s="48">
        <f>"RNCP"&amp;D2489</f>
        <v/>
      </c>
      <c r="F2489" s="48" t="inlineStr">
        <is>
          <t>TP - Technicien de maintenance industrielle</t>
        </is>
      </c>
      <c r="G2489" s="49">
        <f>E2489&amp;" - "&amp;F2489</f>
        <v/>
      </c>
      <c r="H2489" s="36" t="inlineStr">
        <is>
          <t>RAS</t>
        </is>
      </c>
      <c r="I2489" s="45" t="inlineStr"/>
      <c r="J2489" s="45" t="inlineStr">
        <is>
          <t>RNCP41536</t>
        </is>
      </c>
      <c r="K2489" s="45" t="inlineStr">
        <is>
          <t>Technicien de maintenance industrielle</t>
        </is>
      </c>
      <c r="L2489" s="45" t="inlineStr">
        <is>
          <t>08/01/2031</t>
        </is>
      </c>
      <c r="M2489" s="45" t="inlineStr">
        <is>
          <t>31624 (Maintenance industrielle)</t>
        </is>
      </c>
      <c r="N2489" s="50" t="inlineStr">
        <is>
          <t>NON</t>
        </is>
      </c>
      <c r="O2489" s="45" t="inlineStr"/>
    </row>
    <row r="2490" customFormat="1" s="3">
      <c r="A2490" s="45" t="n"/>
      <c r="B2490" s="46" t="inlineStr">
        <is>
          <t>31624</t>
        </is>
      </c>
      <c r="C2490" s="46">
        <f>LEFT(Tableau1[[#This Row],[Formacode]],3)</f>
        <v/>
      </c>
      <c r="D2490" s="47" t="n">
        <v>41657</v>
      </c>
      <c r="E2490" s="48">
        <f>"RNCP"&amp;D2490</f>
        <v/>
      </c>
      <c r="F2490" s="48" t="inlineStr">
        <is>
          <t>Technicien expert après-vente véhicules utilitaires et industriels</t>
        </is>
      </c>
      <c r="G2490" s="49">
        <f>E2490&amp;" - "&amp;F2490</f>
        <v/>
      </c>
      <c r="H2490" s="36" t="inlineStr">
        <is>
          <t>RAS</t>
        </is>
      </c>
      <c r="I2490" s="45" t="inlineStr"/>
      <c r="J2490" s="45" t="inlineStr">
        <is>
          <t>RNCP41657</t>
        </is>
      </c>
      <c r="K2490" s="45" t="inlineStr">
        <is>
          <t>Technicien expert après-vente véhicules utilitaires et industriels</t>
        </is>
      </c>
      <c r="L2490" s="45" t="inlineStr">
        <is>
          <t>27/11/2030</t>
        </is>
      </c>
      <c r="M2490" s="45" t="inlineStr">
        <is>
          <t>31604 (Maintenance corrective) ; 31603 (Maintenance préventive) ; 23637 (Mécanique automobile)</t>
        </is>
      </c>
      <c r="N2490" s="50" t="inlineStr">
        <is>
          <t>NON</t>
        </is>
      </c>
      <c r="O2490" s="45" t="inlineStr"/>
    </row>
    <row r="2491" customFormat="1" s="3">
      <c r="A2491" s="45" t="n"/>
      <c r="B2491" s="46" t="inlineStr">
        <is>
          <t>31624</t>
        </is>
      </c>
      <c r="C2491" s="46">
        <f>LEFT(Tableau1[[#This Row],[Formacode]],3)</f>
        <v/>
      </c>
      <c r="D2491" s="47" t="n">
        <v>41679</v>
      </c>
      <c r="E2491" s="48">
        <f>"RNCP"&amp;D2491</f>
        <v/>
      </c>
      <c r="F2491" s="48" t="inlineStr">
        <is>
          <t>CQP Agent de maintenance du secteur alimentaire</t>
        </is>
      </c>
      <c r="G2491" s="49">
        <f>E2491&amp;" - "&amp;F2491</f>
        <v/>
      </c>
      <c r="H2491" s="36" t="inlineStr">
        <is>
          <t>RAS</t>
        </is>
      </c>
      <c r="I2491" s="45" t="inlineStr"/>
      <c r="J2491" s="45" t="inlineStr">
        <is>
          <t>RNCP41679</t>
        </is>
      </c>
      <c r="K2491" s="45" t="inlineStr">
        <is>
          <t>CQP Agent de maintenance du secteur alimentaire</t>
        </is>
      </c>
      <c r="L2491" s="45" t="inlineStr">
        <is>
          <t>27/11/2030</t>
        </is>
      </c>
      <c r="M2491" s="45" t="inlineStr">
        <is>
          <t>31624 (Maintenance industrielle) ; 21554 (Agroalimentaire)</t>
        </is>
      </c>
      <c r="N2491" s="50" t="inlineStr">
        <is>
          <t>NON</t>
        </is>
      </c>
      <c r="O2491" s="45" t="inlineStr"/>
    </row>
    <row r="2492" customFormat="1" s="3">
      <c r="A2492" s="45" t="n"/>
      <c r="B2492" s="46" t="inlineStr">
        <is>
          <t>31637</t>
        </is>
      </c>
      <c r="C2492" s="46">
        <f>LEFT(Tableau1[[#This Row],[Formacode]],3)</f>
        <v/>
      </c>
      <c r="D2492" s="47" t="n">
        <v>36473</v>
      </c>
      <c r="E2492" s="48">
        <f>"RNCP"&amp;D2492</f>
        <v/>
      </c>
      <c r="F2492" s="48" t="inlineStr">
        <is>
          <t>CQP Préparateur méthodes de fabrication</t>
        </is>
      </c>
      <c r="G2492" s="49">
        <f>E2492&amp;" - "&amp;F2492</f>
        <v/>
      </c>
      <c r="H2492" s="36" t="inlineStr">
        <is>
          <t>RAS</t>
        </is>
      </c>
      <c r="I2492" s="45" t="inlineStr"/>
      <c r="J2492" s="45" t="inlineStr">
        <is>
          <t>RNCP36473</t>
        </is>
      </c>
      <c r="K2492" s="45" t="inlineStr">
        <is>
          <t>CQP Préparateur méthodes de fabrication</t>
        </is>
      </c>
      <c r="L2492" s="45" t="inlineStr">
        <is>
          <t>01/06/2027</t>
        </is>
      </c>
      <c r="M2492" s="45" t="inlineStr">
        <is>
          <t>31629 (Bureau des méthodes)</t>
        </is>
      </c>
      <c r="N2492" s="50" t="inlineStr">
        <is>
          <t>NON</t>
        </is>
      </c>
      <c r="O2492" s="45" t="inlineStr"/>
    </row>
    <row r="2493" customFormat="1" s="3">
      <c r="A2493" s="51" t="n"/>
      <c r="B2493" s="52" t="inlineStr">
        <is>
          <t>31637</t>
        </is>
      </c>
      <c r="C2493" s="52">
        <f>LEFT(Tableau1[[#This Row],[Formacode]],3)</f>
        <v/>
      </c>
      <c r="D2493" s="53" t="n">
        <v>38467</v>
      </c>
      <c r="E2493" s="54">
        <f>"RNCP"&amp;D2493</f>
        <v/>
      </c>
      <c r="F2493" s="54" t="inlineStr">
        <is>
          <t>CQP Chargé d'intégration de la productique industrielle</t>
        </is>
      </c>
      <c r="G2493" s="55">
        <f>E2493&amp;" - "&amp;F2493</f>
        <v/>
      </c>
      <c r="H2493" s="37" t="inlineStr">
        <is>
          <t>À vérifier</t>
        </is>
      </c>
      <c r="I2493" s="51" t="inlineStr">
        <is>
          <t>Échéance le 21/12/2026 (dans 156 j)</t>
        </is>
      </c>
      <c r="J2493" s="51" t="inlineStr">
        <is>
          <t>RNCP38467</t>
        </is>
      </c>
      <c r="K2493" s="51" t="inlineStr">
        <is>
          <t>CQP Chargé d'intégration de la productique industrielle</t>
        </is>
      </c>
      <c r="L2493" s="51" t="inlineStr">
        <is>
          <t>21/12/2026</t>
        </is>
      </c>
      <c r="M2493" s="51" t="inlineStr">
        <is>
          <t>31632 (Productique) ; 31676 (Bureau d'études) ; 31629 (Bureau des méthodes)</t>
        </is>
      </c>
      <c r="N2493" s="62" t="inlineStr">
        <is>
          <t>NON</t>
        </is>
      </c>
      <c r="O2493" s="51" t="inlineStr"/>
    </row>
    <row r="2494" customFormat="1" s="3">
      <c r="A2494" s="45" t="n"/>
      <c r="B2494" s="46" t="inlineStr">
        <is>
          <t>31637</t>
        </is>
      </c>
      <c r="C2494" s="46">
        <f>LEFT(Tableau1[[#This Row],[Formacode]],3)</f>
        <v/>
      </c>
      <c r="D2494" s="47" t="n">
        <v>38743</v>
      </c>
      <c r="E2494" s="48">
        <f>"RNCP"&amp;D2494</f>
        <v/>
      </c>
      <c r="F2494" s="48" t="inlineStr">
        <is>
          <t>BTS - Conception et industrialisation en microtechniques</t>
        </is>
      </c>
      <c r="G2494" s="49">
        <f>E2494&amp;" - "&amp;F2494</f>
        <v/>
      </c>
      <c r="H2494" s="36" t="inlineStr">
        <is>
          <t>RAS</t>
        </is>
      </c>
      <c r="I2494" s="45" t="inlineStr"/>
      <c r="J2494" s="45" t="inlineStr">
        <is>
          <t>RNCP38743</t>
        </is>
      </c>
      <c r="K2494" s="45" t="inlineStr">
        <is>
          <t>Conception et industrialisation en microtechniques</t>
        </is>
      </c>
      <c r="L2494" s="45" t="inlineStr">
        <is>
          <t>31/12/2028</t>
        </is>
      </c>
      <c r="M2494" s="45" t="inlineStr">
        <is>
          <t>23661 (Mécanique précision) ; 31676 (Bureau d'études) ; 31629 (Bureau des méthodes)</t>
        </is>
      </c>
      <c r="N2494" s="50" t="inlineStr">
        <is>
          <t>NON</t>
        </is>
      </c>
      <c r="O2494" s="45" t="inlineStr"/>
    </row>
    <row r="2495" customFormat="1" s="3">
      <c r="A2495" s="45" t="n"/>
      <c r="B2495" s="46" t="inlineStr">
        <is>
          <t>31637</t>
        </is>
      </c>
      <c r="C2495" s="46">
        <f>LEFT(Tableau1[[#This Row],[Formacode]],3)</f>
        <v/>
      </c>
      <c r="D2495" s="47" t="n">
        <v>39174</v>
      </c>
      <c r="E2495" s="48">
        <f>"RNCP"&amp;D2495</f>
        <v/>
      </c>
      <c r="F2495" s="48" t="inlineStr">
        <is>
          <t>TP - Technicien supérieur des méthodes d'industrialisation</t>
        </is>
      </c>
      <c r="G2495" s="49">
        <f>E2495&amp;" - "&amp;F2495</f>
        <v/>
      </c>
      <c r="H2495" s="36" t="inlineStr">
        <is>
          <t>RAS</t>
        </is>
      </c>
      <c r="I2495" s="45" t="inlineStr"/>
      <c r="J2495" s="45" t="inlineStr">
        <is>
          <t>RNCP39174</t>
        </is>
      </c>
      <c r="K2495" s="45" t="inlineStr">
        <is>
          <t>Technicien supérieur des méthodes d'industrialisation</t>
        </is>
      </c>
      <c r="L2495" s="45" t="inlineStr">
        <is>
          <t>28/06/2029</t>
        </is>
      </c>
      <c r="M2495" s="45" t="inlineStr">
        <is>
          <t>31629 (Bureau des méthodes) ; 31606 (Conduite projet industriel) ; 31664 (Qualité gestion industrielle)</t>
        </is>
      </c>
      <c r="N2495" s="50" t="inlineStr">
        <is>
          <t>NON</t>
        </is>
      </c>
      <c r="O2495" s="45" t="inlineStr"/>
    </row>
    <row r="2496" customFormat="1" s="3">
      <c r="A2496" s="45" t="n"/>
      <c r="B2496" s="46" t="inlineStr">
        <is>
          <t>31637</t>
        </is>
      </c>
      <c r="C2496" s="46">
        <f>LEFT(Tableau1[[#This Row],[Formacode]],3)</f>
        <v/>
      </c>
      <c r="D2496" s="47" t="n">
        <v>41137</v>
      </c>
      <c r="E2496" s="48">
        <f>"RNCP"&amp;D2496</f>
        <v/>
      </c>
      <c r="F2496" s="48" t="inlineStr">
        <is>
          <t>CQP Coordonnateur Lean et amélioration continue</t>
        </is>
      </c>
      <c r="G2496" s="49">
        <f>E2496&amp;" - "&amp;F2496</f>
        <v/>
      </c>
      <c r="H2496" s="36" t="inlineStr">
        <is>
          <t>RAS</t>
        </is>
      </c>
      <c r="I2496" s="45" t="inlineStr"/>
      <c r="J2496" s="45" t="inlineStr">
        <is>
          <t>RNCP41137</t>
        </is>
      </c>
      <c r="K2496" s="45" t="inlineStr">
        <is>
          <t>CQP Coordonnateur Lean et amélioration continue</t>
        </is>
      </c>
      <c r="L2496" s="45" t="inlineStr">
        <is>
          <t>18/07/2030</t>
        </is>
      </c>
      <c r="M2496" s="45" t="inlineStr">
        <is>
          <t>31637 (Organisation travail) ; 15099 (Résolution problème) ; 31652 (Gestion production)</t>
        </is>
      </c>
      <c r="N2496" s="50" t="inlineStr">
        <is>
          <t>NON</t>
        </is>
      </c>
      <c r="O2496" s="45" t="inlineStr"/>
    </row>
    <row r="2497" customFormat="1" s="3">
      <c r="A2497" s="51" t="n"/>
      <c r="B2497" s="52" t="inlineStr">
        <is>
          <t>31652</t>
        </is>
      </c>
      <c r="C2497" s="52">
        <f>LEFT(Tableau1[[#This Row],[Formacode]],3)</f>
        <v/>
      </c>
      <c r="D2497" s="53" t="n">
        <v>35640</v>
      </c>
      <c r="E2497" s="54">
        <f>"RNCP"&amp;D2497</f>
        <v/>
      </c>
      <c r="F2497" s="54" t="inlineStr">
        <is>
          <t>CAP - Arts de la dentelle, options fuseaux et aiguille</t>
        </is>
      </c>
      <c r="G2497" s="55">
        <f>E2497&amp;" - "&amp;F2497</f>
        <v/>
      </c>
      <c r="H2497" s="37" t="inlineStr">
        <is>
          <t>À vérifier</t>
        </is>
      </c>
      <c r="I2497" s="51" t="inlineStr">
        <is>
          <t>Successeur déjà publié : RNCP42132 (Arts de la dentelle, options fuseaux et aiguille) — préparer la bascule de l'offre CPF | Échéance le 31/08/2026 (dans 44 j)</t>
        </is>
      </c>
      <c r="J2497" s="51" t="inlineStr">
        <is>
          <t>RNCP42132</t>
        </is>
      </c>
      <c r="K2497" s="51" t="inlineStr">
        <is>
          <t>Arts de la dentelle, options fuseaux et aiguille</t>
        </is>
      </c>
      <c r="L2497" s="51" t="inlineStr">
        <is>
          <t>31/08/2026</t>
        </is>
      </c>
      <c r="M2497" s="51" t="inlineStr">
        <is>
          <t>45531 (Dentellerie broderie artisanale) ; 31620 (Conduite installation industrielle) ; 21625 (Ennoblissement textile) ; 21650 (Machine filature) ; 21620 (Métier à tisser)</t>
        </is>
      </c>
      <c r="N2497" s="62" t="inlineStr">
        <is>
          <t>NON</t>
        </is>
      </c>
      <c r="O2497" s="51" t="inlineStr"/>
    </row>
    <row r="2498" customFormat="1" s="3">
      <c r="A2498" s="63" t="n"/>
      <c r="B2498" s="64" t="inlineStr">
        <is>
          <t>31652</t>
        </is>
      </c>
      <c r="C2498" s="64">
        <f>LEFT(Tableau1[[#This Row],[Formacode]],3)</f>
        <v/>
      </c>
      <c r="D2498" s="65" t="n">
        <v>35753</v>
      </c>
      <c r="E2498" s="66">
        <f>"RNCP"&amp;D2498</f>
        <v/>
      </c>
      <c r="F2498" s="66" t="inlineStr">
        <is>
          <t>Opérateur Technique en Pharmacie et Cosmétique Industrielles</t>
        </is>
      </c>
      <c r="G2498" s="67">
        <f>E2498&amp;" - "&amp;F2498</f>
        <v/>
      </c>
      <c r="H2498" s="38" t="inlineStr">
        <is>
          <t>Expiré / remplacé</t>
        </is>
      </c>
      <c r="I2498" s="63" t="inlineStr">
        <is>
          <t>Fiche inactive — remplacée par RNCP42309 (Opérateur Technique en Pharmacie et Cosmétique Industrielles)</t>
        </is>
      </c>
      <c r="J2498" s="63" t="inlineStr">
        <is>
          <t>RNCP42309</t>
        </is>
      </c>
      <c r="K2498" s="63" t="inlineStr">
        <is>
          <t>Opérateur Technique en Pharmacie et Cosmétique Industrielles</t>
        </is>
      </c>
      <c r="L2498" s="63" t="inlineStr">
        <is>
          <t>08/07/2026</t>
        </is>
      </c>
      <c r="M2498" s="63" t="inlineStr">
        <is>
          <t>31620 (Conduite installation industrielle)</t>
        </is>
      </c>
      <c r="N2498" s="68" t="inlineStr">
        <is>
          <t>NON</t>
        </is>
      </c>
      <c r="O2498" s="63" t="inlineStr"/>
    </row>
    <row r="2499" customFormat="1" s="3">
      <c r="A2499" s="51" t="n"/>
      <c r="B2499" s="52" t="inlineStr">
        <is>
          <t>31652</t>
        </is>
      </c>
      <c r="C2499" s="52">
        <f>LEFT(Tableau1[[#This Row],[Formacode]],3)</f>
        <v/>
      </c>
      <c r="D2499" s="53" t="n">
        <v>36085</v>
      </c>
      <c r="E2499" s="54">
        <f>"RNCP"&amp;D2499</f>
        <v/>
      </c>
      <c r="F2499" s="54" t="inlineStr">
        <is>
          <t>Technicien en pharmacie et cosmétique industrielles</t>
        </is>
      </c>
      <c r="G2499" s="55">
        <f>E2499&amp;" - "&amp;F2499</f>
        <v/>
      </c>
      <c r="H2499" s="37" t="inlineStr">
        <is>
          <t>À vérifier</t>
        </is>
      </c>
      <c r="I2499" s="51" t="inlineStr">
        <is>
          <t>Échéance le 15/12/2026 (dans 150 j)</t>
        </is>
      </c>
      <c r="J2499" s="51" t="inlineStr">
        <is>
          <t>RNCP36085</t>
        </is>
      </c>
      <c r="K2499" s="51" t="inlineStr">
        <is>
          <t>Technicien en pharmacie et cosmétique industrielles</t>
        </is>
      </c>
      <c r="L2499" s="51" t="inlineStr">
        <is>
          <t>15/12/2026</t>
        </is>
      </c>
      <c r="M2499" s="51" t="inlineStr">
        <is>
          <t>31620 (Conduite installation industrielle)</t>
        </is>
      </c>
      <c r="N2499" s="62" t="inlineStr">
        <is>
          <t>NON</t>
        </is>
      </c>
      <c r="O2499" s="51" t="inlineStr"/>
    </row>
    <row r="2500" customFormat="1" s="3">
      <c r="A2500" s="45" t="n"/>
      <c r="B2500" s="46" t="inlineStr">
        <is>
          <t>31652</t>
        </is>
      </c>
      <c r="C2500" s="46">
        <f>LEFT(Tableau1[[#This Row],[Formacode]],3)</f>
        <v/>
      </c>
      <c r="D2500" s="47" t="n">
        <v>36168</v>
      </c>
      <c r="E2500" s="48">
        <f>"RNCP"&amp;D2500</f>
        <v/>
      </c>
      <c r="F2500" s="48" t="inlineStr">
        <is>
          <t>TP - Technicien supérieur en fabrication additive</t>
        </is>
      </c>
      <c r="G2500" s="49">
        <f>E2500&amp;" - "&amp;F2500</f>
        <v/>
      </c>
      <c r="H2500" s="36" t="inlineStr">
        <is>
          <t>RAS</t>
        </is>
      </c>
      <c r="I2500" s="45" t="inlineStr"/>
      <c r="J2500" s="45" t="inlineStr">
        <is>
          <t>RNCP36168</t>
        </is>
      </c>
      <c r="K2500" s="45" t="inlineStr">
        <is>
          <t>Technicien supérieur en fabrication additive</t>
        </is>
      </c>
      <c r="L2500" s="45" t="inlineStr">
        <is>
          <t>01/02/2027</t>
        </is>
      </c>
      <c r="M2500" s="45" t="inlineStr">
        <is>
          <t>31634 (Fabrication additive)</t>
        </is>
      </c>
      <c r="N2500" s="50" t="inlineStr">
        <is>
          <t>NON</t>
        </is>
      </c>
      <c r="O2500" s="45" t="inlineStr"/>
    </row>
    <row r="2501" customFormat="1" s="3">
      <c r="A2501" s="45" t="n"/>
      <c r="B2501" s="46" t="inlineStr">
        <is>
          <t>31652</t>
        </is>
      </c>
      <c r="C2501" s="46">
        <f>LEFT(Tableau1[[#This Row],[Formacode]],3)</f>
        <v/>
      </c>
      <c r="D2501" s="47" t="n">
        <v>36191</v>
      </c>
      <c r="E2501" s="48">
        <f>"RNCP"&amp;D2501</f>
        <v/>
      </c>
      <c r="F2501" s="48" t="inlineStr">
        <is>
          <t>BAC PRO - Modélisation et prototypage 3D</t>
        </is>
      </c>
      <c r="G2501" s="49">
        <f>E2501&amp;" - "&amp;F2501</f>
        <v/>
      </c>
      <c r="H2501" s="36" t="inlineStr">
        <is>
          <t>RAS</t>
        </is>
      </c>
      <c r="I2501" s="45" t="inlineStr"/>
      <c r="J2501" s="45" t="inlineStr">
        <is>
          <t>RNCP36191</t>
        </is>
      </c>
      <c r="K2501" s="45" t="inlineStr">
        <is>
          <t>Modélisation et prototypage 3D</t>
        </is>
      </c>
      <c r="L2501" s="45" t="inlineStr">
        <is>
          <t>31/08/2027</t>
        </is>
      </c>
      <c r="M2501" s="45" t="inlineStr">
        <is>
          <t>31684 (CAO) ; 31622 (FAO)</t>
        </is>
      </c>
      <c r="N2501" s="50" t="inlineStr">
        <is>
          <t>NON</t>
        </is>
      </c>
      <c r="O2501" s="45" t="inlineStr"/>
    </row>
    <row r="2502" customFormat="1" s="3">
      <c r="A2502" s="45" t="n"/>
      <c r="B2502" s="46" t="inlineStr">
        <is>
          <t>31652</t>
        </is>
      </c>
      <c r="C2502" s="46">
        <f>LEFT(Tableau1[[#This Row],[Formacode]],3)</f>
        <v/>
      </c>
      <c r="D2502" s="47" t="n">
        <v>36428</v>
      </c>
      <c r="E2502" s="48">
        <f>"RNCP"&amp;D2502</f>
        <v/>
      </c>
      <c r="F2502" s="48" t="inlineStr">
        <is>
          <t>BAC PRO - Pilote de ligne de production</t>
        </is>
      </c>
      <c r="G2502" s="49">
        <f>E2502&amp;" - "&amp;F2502</f>
        <v/>
      </c>
      <c r="H2502" s="36" t="inlineStr">
        <is>
          <t>RAS</t>
        </is>
      </c>
      <c r="I2502" s="45" t="inlineStr"/>
      <c r="J2502" s="45" t="inlineStr">
        <is>
          <t>RNCP36428</t>
        </is>
      </c>
      <c r="K2502" s="45" t="inlineStr">
        <is>
          <t>Pilote de ligne de production</t>
        </is>
      </c>
      <c r="L2502" s="45" t="inlineStr">
        <is>
          <t>31/08/2027</t>
        </is>
      </c>
      <c r="M2502" s="45" t="inlineStr">
        <is>
          <t>31620 (Conduite installation industrielle) ; 24472 (Automatisation) ; 24431 (Maintenance système automatisé)</t>
        </is>
      </c>
      <c r="N2502" s="50" t="inlineStr">
        <is>
          <t>NON</t>
        </is>
      </c>
      <c r="O2502" s="45" t="inlineStr"/>
    </row>
    <row r="2503" customFormat="1" s="3">
      <c r="A2503" s="45" t="n"/>
      <c r="B2503" s="46" t="inlineStr">
        <is>
          <t>31652</t>
        </is>
      </c>
      <c r="C2503" s="46">
        <f>LEFT(Tableau1[[#This Row],[Formacode]],3)</f>
        <v/>
      </c>
      <c r="D2503" s="47" t="n">
        <v>36429</v>
      </c>
      <c r="E2503" s="48">
        <f>"RNCP"&amp;D2503</f>
        <v/>
      </c>
      <c r="F2503" s="48" t="inlineStr">
        <is>
          <t>CAP - Conducteur d'installations de production</t>
        </is>
      </c>
      <c r="G2503" s="49">
        <f>E2503&amp;" - "&amp;F2503</f>
        <v/>
      </c>
      <c r="H2503" s="36" t="inlineStr">
        <is>
          <t>RAS</t>
        </is>
      </c>
      <c r="I2503" s="45" t="inlineStr"/>
      <c r="J2503" s="45" t="inlineStr">
        <is>
          <t>RNCP36429</t>
        </is>
      </c>
      <c r="K2503" s="45" t="inlineStr">
        <is>
          <t>Conducteur d'installations de production</t>
        </is>
      </c>
      <c r="L2503" s="45" t="inlineStr">
        <is>
          <t>31/08/2027</t>
        </is>
      </c>
      <c r="M2503" s="45" t="inlineStr">
        <is>
          <t>31620 (Conduite installation industrielle)</t>
        </is>
      </c>
      <c r="N2503" s="50" t="inlineStr">
        <is>
          <t>NON</t>
        </is>
      </c>
      <c r="O2503" s="45" t="inlineStr"/>
    </row>
    <row r="2504" customFormat="1" s="3">
      <c r="A2504" s="45" t="n"/>
      <c r="B2504" s="46" t="inlineStr">
        <is>
          <t>31652</t>
        </is>
      </c>
      <c r="C2504" s="46">
        <f>LEFT(Tableau1[[#This Row],[Formacode]],3)</f>
        <v/>
      </c>
      <c r="D2504" s="47" t="n">
        <v>37239</v>
      </c>
      <c r="E2504" s="48">
        <f>"RNCP"&amp;D2504</f>
        <v/>
      </c>
      <c r="F2504" s="48" t="inlineStr">
        <is>
          <t>Brevet professionnel - Pilote d'installations de production par procédés</t>
        </is>
      </c>
      <c r="G2504" s="49">
        <f>E2504&amp;" - "&amp;F2504</f>
        <v/>
      </c>
      <c r="H2504" s="36" t="inlineStr">
        <is>
          <t>RAS</t>
        </is>
      </c>
      <c r="I2504" s="45" t="inlineStr"/>
      <c r="J2504" s="45" t="inlineStr">
        <is>
          <t>RNCP37239</t>
        </is>
      </c>
      <c r="K2504" s="45" t="inlineStr">
        <is>
          <t>Pilote d'installations de production par procédés</t>
        </is>
      </c>
      <c r="L2504" s="45" t="inlineStr">
        <is>
          <t>31/08/2027</t>
        </is>
      </c>
      <c r="M2504" s="45" t="inlineStr">
        <is>
          <t>31620 (Conduite installation industrielle) ; 24431 (Maintenance système automatisé) ; 24472 (Automatisation)</t>
        </is>
      </c>
      <c r="N2504" s="50" t="inlineStr">
        <is>
          <t>NON</t>
        </is>
      </c>
      <c r="O2504" s="45" t="inlineStr"/>
    </row>
    <row r="2505" customFormat="1" s="3">
      <c r="A2505" s="45" t="n"/>
      <c r="B2505" s="46" t="inlineStr">
        <is>
          <t>31652</t>
        </is>
      </c>
      <c r="C2505" s="46">
        <f>LEFT(Tableau1[[#This Row],[Formacode]],3)</f>
        <v/>
      </c>
      <c r="D2505" s="47" t="n">
        <v>37277</v>
      </c>
      <c r="E2505" s="48">
        <f>"RNCP"&amp;D2505</f>
        <v/>
      </c>
      <c r="F2505" s="48" t="inlineStr">
        <is>
          <t>TP - Technicien supérieur en méthodes et exploitation logistique</t>
        </is>
      </c>
      <c r="G2505" s="49">
        <f>E2505&amp;" - "&amp;F2505</f>
        <v/>
      </c>
      <c r="H2505" s="36" t="inlineStr">
        <is>
          <t>RAS</t>
        </is>
      </c>
      <c r="I2505" s="45" t="inlineStr"/>
      <c r="J2505" s="45" t="inlineStr">
        <is>
          <t>RNCP37277</t>
        </is>
      </c>
      <c r="K2505" s="45" t="inlineStr">
        <is>
          <t>Technicien supérieur en méthodes et exploitation logistique</t>
        </is>
      </c>
      <c r="L2505" s="45" t="inlineStr">
        <is>
          <t>08/03/2028</t>
        </is>
      </c>
      <c r="M2505" s="45" t="inlineStr">
        <is>
          <t>31845 (Logistique) ; 31663 (Gestion stock) ; 31734 (Magasinage)</t>
        </is>
      </c>
      <c r="N2505" s="50" t="inlineStr">
        <is>
          <t>NON</t>
        </is>
      </c>
      <c r="O2505" s="45" t="inlineStr"/>
    </row>
    <row r="2506" customFormat="1" s="3">
      <c r="A2506" s="45" t="n"/>
      <c r="B2506" s="46" t="inlineStr">
        <is>
          <t>31652</t>
        </is>
      </c>
      <c r="C2506" s="46">
        <f>LEFT(Tableau1[[#This Row],[Formacode]],3)</f>
        <v/>
      </c>
      <c r="D2506" s="47" t="n">
        <v>37282</v>
      </c>
      <c r="E2506" s="48">
        <f>"RNCP"&amp;D2506</f>
        <v/>
      </c>
      <c r="F2506" s="48" t="inlineStr">
        <is>
          <t>CQP Manager d’équipe en négoce des matériaux de construction</t>
        </is>
      </c>
      <c r="G2506" s="49">
        <f>E2506&amp;" - "&amp;F2506</f>
        <v/>
      </c>
      <c r="H2506" s="36" t="inlineStr">
        <is>
          <t>RAS</t>
        </is>
      </c>
      <c r="I2506" s="45" t="inlineStr"/>
      <c r="J2506" s="45" t="inlineStr">
        <is>
          <t>RNCP37282</t>
        </is>
      </c>
      <c r="K2506" s="45" t="inlineStr">
        <is>
          <t>CQP Manager d’équipe en négoce des matériaux de construction</t>
        </is>
      </c>
      <c r="L2506" s="45" t="inlineStr">
        <is>
          <t>25/01/2028</t>
        </is>
      </c>
      <c r="M2506" s="45" t="inlineStr">
        <is>
          <t>22852 (Matériau construction) ; 31663 (Gestion stock) ; 34085 (Stratégie commerciale) ; 32154 (Encadrement management)</t>
        </is>
      </c>
      <c r="N2506" s="50" t="inlineStr">
        <is>
          <t>NON</t>
        </is>
      </c>
      <c r="O2506" s="45" t="inlineStr"/>
    </row>
    <row r="2507" customFormat="1" s="3">
      <c r="A2507" s="45" t="n"/>
      <c r="B2507" s="46" t="inlineStr">
        <is>
          <t>31652</t>
        </is>
      </c>
      <c r="C2507" s="46">
        <f>LEFT(Tableau1[[#This Row],[Formacode]],3)</f>
        <v/>
      </c>
      <c r="D2507" s="47" t="n">
        <v>37285</v>
      </c>
      <c r="E2507" s="48">
        <f>"RNCP"&amp;D2507</f>
        <v/>
      </c>
      <c r="F2507" s="48" t="inlineStr">
        <is>
          <t>CQP Chef d’agence en négoce des matériaux de construction</t>
        </is>
      </c>
      <c r="G2507" s="49">
        <f>E2507&amp;" - "&amp;F2507</f>
        <v/>
      </c>
      <c r="H2507" s="36" t="inlineStr">
        <is>
          <t>RAS</t>
        </is>
      </c>
      <c r="I2507" s="45" t="inlineStr"/>
      <c r="J2507" s="45" t="inlineStr">
        <is>
          <t>RNCP37285</t>
        </is>
      </c>
      <c r="K2507" s="45" t="inlineStr">
        <is>
          <t>CQP Chef d’agence en négoce des matériaux de construction</t>
        </is>
      </c>
      <c r="L2507" s="45" t="inlineStr">
        <is>
          <t>25/01/2028</t>
        </is>
      </c>
      <c r="M2507" s="45" t="inlineStr">
        <is>
          <t>22852 (Matériau construction) ; 32650 (Gestion budgétaire) ; 31663 (Gestion stock) ; 34085 (Stratégie commerciale) ; 32154 (Encadrement management)</t>
        </is>
      </c>
      <c r="N2507" s="50" t="inlineStr">
        <is>
          <t>NON</t>
        </is>
      </c>
      <c r="O2507" s="45" t="inlineStr"/>
    </row>
    <row r="2508" customFormat="1" s="3">
      <c r="A2508" s="45" t="n"/>
      <c r="B2508" s="46" t="inlineStr">
        <is>
          <t>31652</t>
        </is>
      </c>
      <c r="C2508" s="46">
        <f>LEFT(Tableau1[[#This Row],[Formacode]],3)</f>
        <v/>
      </c>
      <c r="D2508" s="47" t="n">
        <v>37397</v>
      </c>
      <c r="E2508" s="48">
        <f>"RNCP"&amp;D2508</f>
        <v/>
      </c>
      <c r="F2508" s="48" t="inlineStr">
        <is>
          <t>TP - Agent de fabrication industrielle</t>
        </is>
      </c>
      <c r="G2508" s="49">
        <f>E2508&amp;" - "&amp;F2508</f>
        <v/>
      </c>
      <c r="H2508" s="36" t="inlineStr">
        <is>
          <t>RAS</t>
        </is>
      </c>
      <c r="I2508" s="45" t="inlineStr"/>
      <c r="J2508" s="45" t="inlineStr">
        <is>
          <t>RNCP37397</t>
        </is>
      </c>
      <c r="K2508" s="45" t="inlineStr">
        <is>
          <t>Agent de fabrication industrielle</t>
        </is>
      </c>
      <c r="L2508" s="45" t="inlineStr">
        <is>
          <t>12/04/2028</t>
        </is>
      </c>
      <c r="M2508" s="45" t="inlineStr">
        <is>
          <t>31620 (Conduite installation industrielle) ; 23035 (Montage assemblage)</t>
        </is>
      </c>
      <c r="N2508" s="50" t="inlineStr">
        <is>
          <t>NON</t>
        </is>
      </c>
      <c r="O2508" s="45" t="inlineStr"/>
    </row>
    <row r="2509" customFormat="1" s="3">
      <c r="A2509" s="45" t="n"/>
      <c r="B2509" s="46" t="inlineStr">
        <is>
          <t>31652</t>
        </is>
      </c>
      <c r="C2509" s="46">
        <f>LEFT(Tableau1[[#This Row],[Formacode]],3)</f>
        <v/>
      </c>
      <c r="D2509" s="47" t="n">
        <v>37398</v>
      </c>
      <c r="E2509" s="48">
        <f>"RNCP"&amp;D2509</f>
        <v/>
      </c>
      <c r="F2509" s="48" t="inlineStr">
        <is>
          <t>TP - Conducteur d'installation et de machines automatisées</t>
        </is>
      </c>
      <c r="G2509" s="49">
        <f>E2509&amp;" - "&amp;F2509</f>
        <v/>
      </c>
      <c r="H2509" s="36" t="inlineStr">
        <is>
          <t>RAS</t>
        </is>
      </c>
      <c r="I2509" s="45" t="inlineStr"/>
      <c r="J2509" s="45" t="inlineStr">
        <is>
          <t>RNCP37398</t>
        </is>
      </c>
      <c r="K2509" s="45" t="inlineStr">
        <is>
          <t>Conducteur d'installation et de machines automatisées</t>
        </is>
      </c>
      <c r="L2509" s="45" t="inlineStr">
        <is>
          <t>13/04/2028</t>
        </is>
      </c>
      <c r="M2509" s="45" t="inlineStr">
        <is>
          <t>31620 (Conduite installation industrielle) ; 31752 (Conditionnement emballage) ; 31784 (Palettisation)</t>
        </is>
      </c>
      <c r="N2509" s="50" t="inlineStr">
        <is>
          <t>NON</t>
        </is>
      </c>
      <c r="O2509" s="45" t="inlineStr"/>
    </row>
    <row r="2510" ht="28.8" customFormat="1" customHeight="1" s="3">
      <c r="A2510" s="45" t="n"/>
      <c r="B2510" s="46" t="inlineStr">
        <is>
          <t>31652</t>
        </is>
      </c>
      <c r="C2510" s="46">
        <f>LEFT(Tableau1[[#This Row],[Formacode]],3)</f>
        <v/>
      </c>
      <c r="D2510" s="47" t="n">
        <v>37464</v>
      </c>
      <c r="E2510" s="48">
        <f>"RNCP"&amp;D2510</f>
        <v/>
      </c>
      <c r="F2510" s="48" t="inlineStr">
        <is>
          <t>BTS - Conception des processus de réalisation de produits, option A : production unitaire, option B : production sérielle</t>
        </is>
      </c>
      <c r="G2510" s="49">
        <f>E2510&amp;" - "&amp;F2510</f>
        <v/>
      </c>
      <c r="H2510" s="36" t="inlineStr">
        <is>
          <t>RAS</t>
        </is>
      </c>
      <c r="I2510" s="45" t="inlineStr"/>
      <c r="J2510" s="45" t="inlineStr">
        <is>
          <t>RNCP37464</t>
        </is>
      </c>
      <c r="K2510" s="45" t="inlineStr">
        <is>
          <t>Conception des processus de réalisation de produits, option A : production unitaire, option B : production sérielle</t>
        </is>
      </c>
      <c r="L2510" s="45" t="inlineStr">
        <is>
          <t>31/08/2027</t>
        </is>
      </c>
      <c r="M2510" s="45" t="inlineStr">
        <is>
          <t>31652 (Gestion production)</t>
        </is>
      </c>
      <c r="N2510" s="50" t="inlineStr">
        <is>
          <t>NON</t>
        </is>
      </c>
      <c r="O2510" s="45" t="inlineStr"/>
    </row>
    <row r="2511" customFormat="1" s="3">
      <c r="A2511" s="45" t="n"/>
      <c r="B2511" s="46" t="inlineStr">
        <is>
          <t>31652</t>
        </is>
      </c>
      <c r="C2511" s="46">
        <f>LEFT(Tableau1[[#This Row],[Formacode]],3)</f>
        <v/>
      </c>
      <c r="D2511" s="47" t="n">
        <v>37650</v>
      </c>
      <c r="E2511" s="48">
        <f>"RNCP"&amp;D2511</f>
        <v/>
      </c>
      <c r="F2511" s="48" t="inlineStr">
        <is>
          <t>Contrôleur de gestion</t>
        </is>
      </c>
      <c r="G2511" s="49">
        <f>E2511&amp;" - "&amp;F2511</f>
        <v/>
      </c>
      <c r="H2511" s="36" t="inlineStr">
        <is>
          <t>RAS</t>
        </is>
      </c>
      <c r="I2511" s="45" t="inlineStr"/>
      <c r="J2511" s="45" t="inlineStr">
        <is>
          <t>RNCP37650</t>
        </is>
      </c>
      <c r="K2511" s="45" t="inlineStr">
        <is>
          <t>Contrôleur de gestion</t>
        </is>
      </c>
      <c r="L2511" s="45" t="inlineStr">
        <is>
          <t>31/05/2028</t>
        </is>
      </c>
      <c r="M2511" s="45" t="inlineStr">
        <is>
          <t>32652 (Contrôle gestion) ; 31641 (Contrôle gestion production)</t>
        </is>
      </c>
      <c r="N2511" s="50" t="inlineStr">
        <is>
          <t>NON</t>
        </is>
      </c>
      <c r="O2511" s="45" t="inlineStr"/>
    </row>
    <row r="2512" customFormat="1" s="3">
      <c r="A2512" s="51" t="n"/>
      <c r="B2512" s="52" t="inlineStr">
        <is>
          <t>31652</t>
        </is>
      </c>
      <c r="C2512" s="52">
        <f>LEFT(Tableau1[[#This Row],[Formacode]],3)</f>
        <v/>
      </c>
      <c r="D2512" s="53" t="n">
        <v>38302</v>
      </c>
      <c r="E2512" s="54">
        <f>"RNCP"&amp;D2512</f>
        <v/>
      </c>
      <c r="F2512" s="54" t="inlineStr">
        <is>
          <t>BAC PRO - Logistique</t>
        </is>
      </c>
      <c r="G2512" s="55">
        <f>E2512&amp;" - "&amp;F2512</f>
        <v/>
      </c>
      <c r="H2512" s="37" t="inlineStr">
        <is>
          <t>À vérifier</t>
        </is>
      </c>
      <c r="I2512" s="51" t="inlineStr">
        <is>
          <t>Successeur déjà publié : RNCP40687 (Métiers de la logistique) — préparer la bascule de l'offre CPF | Échéance le 31/08/2026 (dans 44 j)</t>
        </is>
      </c>
      <c r="J2512" s="51" t="inlineStr">
        <is>
          <t>RNCP40687</t>
        </is>
      </c>
      <c r="K2512" s="51" t="inlineStr">
        <is>
          <t>Métiers de la logistique</t>
        </is>
      </c>
      <c r="L2512" s="51" t="inlineStr">
        <is>
          <t>31/08/2026</t>
        </is>
      </c>
      <c r="M2512" s="51" t="inlineStr">
        <is>
          <t>31845 (Logistique) ; 31663 (Gestion stock) ; 31734 (Magasinage)</t>
        </is>
      </c>
      <c r="N2512" s="62" t="inlineStr">
        <is>
          <t>NON</t>
        </is>
      </c>
      <c r="O2512" s="51" t="inlineStr"/>
    </row>
    <row r="2513" ht="28.8" customFormat="1" customHeight="1" s="3">
      <c r="A2513" s="45" t="n"/>
      <c r="B2513" s="46" t="inlineStr">
        <is>
          <t>31652</t>
        </is>
      </c>
      <c r="C2513" s="46">
        <f>LEFT(Tableau1[[#This Row],[Formacode]],3)</f>
        <v/>
      </c>
      <c r="D2513" s="47" t="n">
        <v>38416</v>
      </c>
      <c r="E2513" s="48">
        <f>"RNCP"&amp;D2513</f>
        <v/>
      </c>
      <c r="F2513" s="48" t="inlineStr">
        <is>
          <t>BTS - EuroPlastics et Composites - Option CO: Conception Outillage - Option POP : Pilotage et Optimisation de la Production</t>
        </is>
      </c>
      <c r="G2513" s="49">
        <f>E2513&amp;" - "&amp;F2513</f>
        <v/>
      </c>
      <c r="H2513" s="36" t="inlineStr">
        <is>
          <t>RAS</t>
        </is>
      </c>
      <c r="I2513" s="45" t="inlineStr"/>
      <c r="J2513" s="45" t="inlineStr">
        <is>
          <t>RNCP38416</t>
        </is>
      </c>
      <c r="K2513" s="45" t="inlineStr">
        <is>
          <t>EuroPlastics et Composites - Option CO: Conception Outillage - Option POP : Pilotage et Optimisation de la Production</t>
        </is>
      </c>
      <c r="L2513" s="45" t="inlineStr">
        <is>
          <t>31/12/2028</t>
        </is>
      </c>
      <c r="M2513" s="45" t="inlineStr">
        <is>
          <t>23021 (Plasturgie) ; 31652 (Gestion production) ; 23064 (Qualité travail matériau) ; 31454 (Gestion qualité) ; 31606 (Conduite projet industriel)</t>
        </is>
      </c>
      <c r="N2513" s="50" t="inlineStr">
        <is>
          <t>NON</t>
        </is>
      </c>
      <c r="O2513" s="45" t="inlineStr"/>
    </row>
    <row r="2514" customFormat="1" s="3">
      <c r="A2514" s="51" t="n"/>
      <c r="B2514" s="52" t="inlineStr">
        <is>
          <t>31652</t>
        </is>
      </c>
      <c r="C2514" s="52">
        <f>LEFT(Tableau1[[#This Row],[Formacode]],3)</f>
        <v/>
      </c>
      <c r="D2514" s="53" t="n">
        <v>38467</v>
      </c>
      <c r="E2514" s="54">
        <f>"RNCP"&amp;D2514</f>
        <v/>
      </c>
      <c r="F2514" s="54" t="inlineStr">
        <is>
          <t>CQP Chargé d'intégration de la productique industrielle</t>
        </is>
      </c>
      <c r="G2514" s="55">
        <f>E2514&amp;" - "&amp;F2514</f>
        <v/>
      </c>
      <c r="H2514" s="37" t="inlineStr">
        <is>
          <t>À vérifier</t>
        </is>
      </c>
      <c r="I2514" s="51" t="inlineStr">
        <is>
          <t>Échéance le 21/12/2026 (dans 156 j)</t>
        </is>
      </c>
      <c r="J2514" s="51" t="inlineStr">
        <is>
          <t>RNCP38467</t>
        </is>
      </c>
      <c r="K2514" s="51" t="inlineStr">
        <is>
          <t>CQP Chargé d'intégration de la productique industrielle</t>
        </is>
      </c>
      <c r="L2514" s="51" t="inlineStr">
        <is>
          <t>21/12/2026</t>
        </is>
      </c>
      <c r="M2514" s="51" t="inlineStr">
        <is>
          <t>31632 (Productique) ; 31676 (Bureau d'études) ; 31629 (Bureau des méthodes)</t>
        </is>
      </c>
      <c r="N2514" s="62" t="inlineStr">
        <is>
          <t>NON</t>
        </is>
      </c>
      <c r="O2514" s="51" t="inlineStr"/>
    </row>
    <row r="2515" customFormat="1" s="3">
      <c r="A2515" s="45" t="n"/>
      <c r="B2515" s="46" t="inlineStr">
        <is>
          <t>31652</t>
        </is>
      </c>
      <c r="C2515" s="46">
        <f>LEFT(Tableau1[[#This Row],[Formacode]],3)</f>
        <v/>
      </c>
      <c r="D2515" s="47" t="n">
        <v>38496</v>
      </c>
      <c r="E2515" s="48">
        <f>"RNCP"&amp;D2515</f>
        <v/>
      </c>
      <c r="F2515" s="48" t="inlineStr">
        <is>
          <t>Manager des achats et de la supply Chain</t>
        </is>
      </c>
      <c r="G2515" s="49">
        <f>E2515&amp;" - "&amp;F2515</f>
        <v/>
      </c>
      <c r="H2515" s="36" t="inlineStr">
        <is>
          <t>RAS</t>
        </is>
      </c>
      <c r="I2515" s="45" t="inlineStr"/>
      <c r="J2515" s="45" t="inlineStr">
        <is>
          <t>RNCP38496</t>
        </is>
      </c>
      <c r="K2515" s="45" t="inlineStr">
        <is>
          <t>Manager des achats et de la supply Chain</t>
        </is>
      </c>
      <c r="L2515" s="45" t="inlineStr">
        <is>
          <t>21/12/2028</t>
        </is>
      </c>
      <c r="M2515" s="45" t="inlineStr">
        <is>
          <t>31660 (Approvisionnement) ; 34292 (Achat international) ; 34287 (Logistique internationale) ; 34024 (Achat) ; 31845 (Logistique)</t>
        </is>
      </c>
      <c r="N2515" s="50" t="inlineStr">
        <is>
          <t>NON</t>
        </is>
      </c>
      <c r="O2515" s="45" t="inlineStr"/>
    </row>
    <row r="2516" customFormat="1" s="3">
      <c r="A2516" s="45" t="n"/>
      <c r="B2516" s="46" t="inlineStr">
        <is>
          <t>31652</t>
        </is>
      </c>
      <c r="C2516" s="46">
        <f>LEFT(Tableau1[[#This Row],[Formacode]],3)</f>
        <v/>
      </c>
      <c r="D2516" s="47" t="n">
        <v>38566</v>
      </c>
      <c r="E2516" s="48">
        <f>"RNCP"&amp;D2516</f>
        <v/>
      </c>
      <c r="F2516" s="48" t="inlineStr">
        <is>
          <t>BAC PRO - Plastiques et composites</t>
        </is>
      </c>
      <c r="G2516" s="49">
        <f>E2516&amp;" - "&amp;F2516</f>
        <v/>
      </c>
      <c r="H2516" s="36" t="inlineStr">
        <is>
          <t>RAS</t>
        </is>
      </c>
      <c r="I2516" s="45" t="inlineStr"/>
      <c r="J2516" s="45" t="inlineStr">
        <is>
          <t>RNCP38566</t>
        </is>
      </c>
      <c r="K2516" s="45" t="inlineStr">
        <is>
          <t>Plastiques et composites</t>
        </is>
      </c>
      <c r="L2516" s="45" t="inlineStr">
        <is>
          <t>31/12/2028</t>
        </is>
      </c>
      <c r="M2516" s="45" t="inlineStr">
        <is>
          <t>23021 (Plasturgie) ; 31620 (Conduite installation industrielle) ; 22871 (Matériau composite)</t>
        </is>
      </c>
      <c r="N2516" s="50" t="inlineStr">
        <is>
          <t>NON</t>
        </is>
      </c>
      <c r="O2516" s="45" t="inlineStr"/>
    </row>
    <row r="2517" customFormat="1" s="3">
      <c r="A2517" s="45" t="n"/>
      <c r="B2517" s="46" t="inlineStr">
        <is>
          <t>31652</t>
        </is>
      </c>
      <c r="C2517" s="46">
        <f>LEFT(Tableau1[[#This Row],[Formacode]],3)</f>
        <v/>
      </c>
      <c r="D2517" s="47" t="n">
        <v>38619</v>
      </c>
      <c r="E2517" s="48">
        <f>"RNCP"&amp;D2517</f>
        <v/>
      </c>
      <c r="F2517" s="48" t="inlineStr">
        <is>
          <t>CQP Conducteur référent de machine à papier</t>
        </is>
      </c>
      <c r="G2517" s="49">
        <f>E2517&amp;" - "&amp;F2517</f>
        <v/>
      </c>
      <c r="H2517" s="36" t="inlineStr">
        <is>
          <t>RAS</t>
        </is>
      </c>
      <c r="I2517" s="45" t="inlineStr"/>
      <c r="J2517" s="45" t="inlineStr">
        <is>
          <t>RNCP38619</t>
        </is>
      </c>
      <c r="K2517" s="45" t="inlineStr">
        <is>
          <t>CQP Conducteur référent de machine à papier</t>
        </is>
      </c>
      <c r="L2517" s="45" t="inlineStr">
        <is>
          <t>09/02/2027</t>
        </is>
      </c>
      <c r="M2517" s="45" t="inlineStr">
        <is>
          <t>31620 (Conduite installation industrielle) ; 22884 (Papier carton)</t>
        </is>
      </c>
      <c r="N2517" s="50" t="inlineStr">
        <is>
          <t>NON</t>
        </is>
      </c>
      <c r="O2517" s="45" t="inlineStr"/>
    </row>
    <row r="2518" customFormat="1" s="3">
      <c r="A2518" s="45" t="n"/>
      <c r="B2518" s="46" t="inlineStr">
        <is>
          <t>31652</t>
        </is>
      </c>
      <c r="C2518" s="46">
        <f>LEFT(Tableau1[[#This Row],[Formacode]],3)</f>
        <v/>
      </c>
      <c r="D2518" s="47" t="n">
        <v>38621</v>
      </c>
      <c r="E2518" s="48">
        <f>"RNCP"&amp;D2518</f>
        <v/>
      </c>
      <c r="F2518" s="48" t="inlineStr">
        <is>
          <t>CQP Conducteur en transformation</t>
        </is>
      </c>
      <c r="G2518" s="49">
        <f>E2518&amp;" - "&amp;F2518</f>
        <v/>
      </c>
      <c r="H2518" s="36" t="inlineStr">
        <is>
          <t>RAS</t>
        </is>
      </c>
      <c r="I2518" s="45" t="inlineStr"/>
      <c r="J2518" s="45" t="inlineStr">
        <is>
          <t>RNCP38621</t>
        </is>
      </c>
      <c r="K2518" s="45" t="inlineStr">
        <is>
          <t>CQP Conducteur en transformation</t>
        </is>
      </c>
      <c r="L2518" s="45" t="inlineStr">
        <is>
          <t>09/02/2027</t>
        </is>
      </c>
      <c r="M2518" s="45" t="inlineStr">
        <is>
          <t>31620 (Conduite installation industrielle) ; 22884 (Papier carton)</t>
        </is>
      </c>
      <c r="N2518" s="50" t="inlineStr">
        <is>
          <t>NON</t>
        </is>
      </c>
      <c r="O2518" s="45" t="inlineStr"/>
    </row>
    <row r="2519" customFormat="1" s="3">
      <c r="A2519" s="45" t="n"/>
      <c r="B2519" s="46" t="inlineStr">
        <is>
          <t>31652</t>
        </is>
      </c>
      <c r="C2519" s="46">
        <f>LEFT(Tableau1[[#This Row],[Formacode]],3)</f>
        <v/>
      </c>
      <c r="D2519" s="47" t="n">
        <v>38626</v>
      </c>
      <c r="E2519" s="48">
        <f>"RNCP"&amp;D2519</f>
        <v/>
      </c>
      <c r="F2519" s="48" t="inlineStr">
        <is>
          <t>CQP Aide-conducteur de machine à papier</t>
        </is>
      </c>
      <c r="G2519" s="49">
        <f>E2519&amp;" - "&amp;F2519</f>
        <v/>
      </c>
      <c r="H2519" s="36" t="inlineStr">
        <is>
          <t>RAS</t>
        </is>
      </c>
      <c r="I2519" s="45" t="inlineStr"/>
      <c r="J2519" s="45" t="inlineStr">
        <is>
          <t>RNCP38626</t>
        </is>
      </c>
      <c r="K2519" s="45" t="inlineStr">
        <is>
          <t>CQP Aide-conducteur de machine à papier</t>
        </is>
      </c>
      <c r="L2519" s="45" t="inlineStr">
        <is>
          <t>09/02/2027</t>
        </is>
      </c>
      <c r="M2519" s="45" t="inlineStr">
        <is>
          <t>31620 (Conduite installation industrielle) ; 22884 (Papier carton)</t>
        </is>
      </c>
      <c r="N2519" s="50" t="inlineStr">
        <is>
          <t>NON</t>
        </is>
      </c>
      <c r="O2519" s="45" t="inlineStr"/>
    </row>
    <row r="2520" customFormat="1" s="3">
      <c r="A2520" s="45" t="n"/>
      <c r="B2520" s="46" t="inlineStr">
        <is>
          <t>31652</t>
        </is>
      </c>
      <c r="C2520" s="46">
        <f>LEFT(Tableau1[[#This Row],[Formacode]],3)</f>
        <v/>
      </c>
      <c r="D2520" s="47" t="n">
        <v>38627</v>
      </c>
      <c r="E2520" s="48">
        <f>"RNCP"&amp;D2520</f>
        <v/>
      </c>
      <c r="F2520" s="48" t="inlineStr">
        <is>
          <t>CQP Aide-conducteur en transformation</t>
        </is>
      </c>
      <c r="G2520" s="49">
        <f>E2520&amp;" - "&amp;F2520</f>
        <v/>
      </c>
      <c r="H2520" s="36" t="inlineStr">
        <is>
          <t>RAS</t>
        </is>
      </c>
      <c r="I2520" s="45" t="inlineStr"/>
      <c r="J2520" s="45" t="inlineStr">
        <is>
          <t>RNCP38627</t>
        </is>
      </c>
      <c r="K2520" s="45" t="inlineStr">
        <is>
          <t>CQP Aide-conducteur en transformation</t>
        </is>
      </c>
      <c r="L2520" s="45" t="inlineStr">
        <is>
          <t>09/02/2027</t>
        </is>
      </c>
      <c r="M2520" s="45" t="inlineStr">
        <is>
          <t>31620 (Conduite installation industrielle) ; 22884 (Papier carton)</t>
        </is>
      </c>
      <c r="N2520" s="50" t="inlineStr">
        <is>
          <t>NON</t>
        </is>
      </c>
      <c r="O2520" s="45" t="inlineStr"/>
    </row>
    <row r="2521" customFormat="1" s="3">
      <c r="A2521" s="45" t="n"/>
      <c r="B2521" s="46" t="inlineStr">
        <is>
          <t>31652</t>
        </is>
      </c>
      <c r="C2521" s="46">
        <f>LEFT(Tableau1[[#This Row],[Formacode]],3)</f>
        <v/>
      </c>
      <c r="D2521" s="47" t="n">
        <v>38661</v>
      </c>
      <c r="E2521" s="48">
        <f>"RNCP"&amp;D2521</f>
        <v/>
      </c>
      <c r="F2521" s="48" t="inlineStr">
        <is>
          <t>TP - Technicien supérieur en production industrielle</t>
        </is>
      </c>
      <c r="G2521" s="49">
        <f>E2521&amp;" - "&amp;F2521</f>
        <v/>
      </c>
      <c r="H2521" s="36" t="inlineStr">
        <is>
          <t>RAS</t>
        </is>
      </c>
      <c r="I2521" s="45" t="inlineStr"/>
      <c r="J2521" s="45" t="inlineStr">
        <is>
          <t>RNCP38661</t>
        </is>
      </c>
      <c r="K2521" s="45" t="inlineStr">
        <is>
          <t>Technicien supérieur en production industrielle</t>
        </is>
      </c>
      <c r="L2521" s="45" t="inlineStr">
        <is>
          <t>30/03/2029</t>
        </is>
      </c>
      <c r="M2521" s="45" t="inlineStr">
        <is>
          <t>31620 (Conduite installation industrielle)</t>
        </is>
      </c>
      <c r="N2521" s="50" t="inlineStr">
        <is>
          <t>NON</t>
        </is>
      </c>
      <c r="O2521" s="45" t="inlineStr"/>
    </row>
    <row r="2522" customFormat="1" s="3">
      <c r="A2522" s="45" t="n"/>
      <c r="B2522" s="46" t="inlineStr">
        <is>
          <t>31652</t>
        </is>
      </c>
      <c r="C2522" s="46">
        <f>LEFT(Tableau1[[#This Row],[Formacode]],3)</f>
        <v/>
      </c>
      <c r="D2522" s="47" t="n">
        <v>38788</v>
      </c>
      <c r="E2522" s="48">
        <f>"RNCP"&amp;D2522</f>
        <v/>
      </c>
      <c r="F2522" s="48" t="inlineStr">
        <is>
          <t>CQP Technicien de production en plasturgie</t>
        </is>
      </c>
      <c r="G2522" s="49">
        <f>E2522&amp;" - "&amp;F2522</f>
        <v/>
      </c>
      <c r="H2522" s="36" t="inlineStr">
        <is>
          <t>RAS</t>
        </is>
      </c>
      <c r="I2522" s="45" t="inlineStr"/>
      <c r="J2522" s="45" t="inlineStr">
        <is>
          <t>RNCP38788</t>
        </is>
      </c>
      <c r="K2522" s="45" t="inlineStr">
        <is>
          <t>CQP Technicien de production en plasturgie</t>
        </is>
      </c>
      <c r="L2522" s="45" t="inlineStr">
        <is>
          <t>27/03/2027</t>
        </is>
      </c>
      <c r="M2522" s="45" t="inlineStr">
        <is>
          <t>23021 (Plasturgie) ; 31652 (Gestion production)</t>
        </is>
      </c>
      <c r="N2522" s="50" t="inlineStr">
        <is>
          <t>NON</t>
        </is>
      </c>
      <c r="O2522" s="45" t="inlineStr"/>
    </row>
    <row r="2523" customFormat="1" s="3">
      <c r="A2523" s="45" t="n"/>
      <c r="B2523" s="46" t="inlineStr">
        <is>
          <t>31652</t>
        </is>
      </c>
      <c r="C2523" s="46">
        <f>LEFT(Tableau1[[#This Row],[Formacode]],3)</f>
        <v/>
      </c>
      <c r="D2523" s="47" t="n">
        <v>38897</v>
      </c>
      <c r="E2523" s="48">
        <f>"RNCP"&amp;D2523</f>
        <v/>
      </c>
      <c r="F2523" s="48" t="inlineStr">
        <is>
          <t>CQP Conducteur d'équipement industriel (CQPI)</t>
        </is>
      </c>
      <c r="G2523" s="49">
        <f>E2523&amp;" - "&amp;F2523</f>
        <v/>
      </c>
      <c r="H2523" s="36" t="inlineStr">
        <is>
          <t>RAS</t>
        </is>
      </c>
      <c r="I2523" s="45" t="inlineStr"/>
      <c r="J2523" s="45" t="inlineStr">
        <is>
          <t>RNCP38897</t>
        </is>
      </c>
      <c r="K2523" s="45" t="inlineStr">
        <is>
          <t>CQP Conducteur d'équipement industriel (CQPI)</t>
        </is>
      </c>
      <c r="L2523" s="45" t="inlineStr">
        <is>
          <t>26/04/2029</t>
        </is>
      </c>
      <c r="M2523" s="45" t="inlineStr">
        <is>
          <t>31620 (Conduite installation industrielle)</t>
        </is>
      </c>
      <c r="N2523" s="50" t="inlineStr">
        <is>
          <t>NON</t>
        </is>
      </c>
      <c r="O2523" s="45" t="inlineStr"/>
    </row>
    <row r="2524" customFormat="1" s="3">
      <c r="A2524" s="45" t="n"/>
      <c r="B2524" s="46" t="inlineStr">
        <is>
          <t>31652</t>
        </is>
      </c>
      <c r="C2524" s="46">
        <f>LEFT(Tableau1[[#This Row],[Formacode]],3)</f>
        <v/>
      </c>
      <c r="D2524" s="47" t="n">
        <v>38900</v>
      </c>
      <c r="E2524" s="48">
        <f>"RNCP"&amp;D2524</f>
        <v/>
      </c>
      <c r="F2524" s="48" t="inlineStr">
        <is>
          <t>CQP Ajusteur monteur d’outillages de production</t>
        </is>
      </c>
      <c r="G2524" s="49">
        <f>E2524&amp;" - "&amp;F2524</f>
        <v/>
      </c>
      <c r="H2524" s="36" t="inlineStr">
        <is>
          <t>RAS</t>
        </is>
      </c>
      <c r="I2524" s="45" t="inlineStr"/>
      <c r="J2524" s="45" t="inlineStr">
        <is>
          <t>RNCP38900</t>
        </is>
      </c>
      <c r="K2524" s="45" t="inlineStr">
        <is>
          <t>CQP Ajusteur monteur d’outillages de production</t>
        </is>
      </c>
      <c r="L2524" s="45" t="inlineStr">
        <is>
          <t>26/04/2029</t>
        </is>
      </c>
      <c r="M2524" s="45" t="inlineStr">
        <is>
          <t>31632 (Productique) ; 23681 (Outillage) ; 23035 (Montage assemblage) ; 23096 (Ajustage)</t>
        </is>
      </c>
      <c r="N2524" s="50" t="inlineStr">
        <is>
          <t>NON</t>
        </is>
      </c>
      <c r="O2524" s="45" t="inlineStr"/>
    </row>
    <row r="2525" ht="28.8" customFormat="1" customHeight="1" s="3">
      <c r="A2525" s="45" t="n"/>
      <c r="B2525" s="46" t="inlineStr">
        <is>
          <t>31652</t>
        </is>
      </c>
      <c r="C2525" s="46">
        <f>LEFT(Tableau1[[#This Row],[Formacode]],3)</f>
        <v/>
      </c>
      <c r="D2525" s="47" t="n">
        <v>38903</v>
      </c>
      <c r="E2525" s="48">
        <f>"RNCP"&amp;D2525</f>
        <v/>
      </c>
      <c r="F2525" s="48" t="inlineStr">
        <is>
          <t>CQP Pilote de production de composants et de cellules de batteries pour véhicules électriques</t>
        </is>
      </c>
      <c r="G2525" s="49">
        <f>E2525&amp;" - "&amp;F2525</f>
        <v/>
      </c>
      <c r="H2525" s="36" t="inlineStr">
        <is>
          <t>RAS</t>
        </is>
      </c>
      <c r="I2525" s="45" t="inlineStr"/>
      <c r="J2525" s="45" t="inlineStr">
        <is>
          <t>RNCP38903</t>
        </is>
      </c>
      <c r="K2525" s="45" t="inlineStr">
        <is>
          <t>CQP Pilote de production de composants et de cellules de batteries pour véhicules électriques</t>
        </is>
      </c>
      <c r="L2525" s="45" t="inlineStr">
        <is>
          <t>26/04/2027</t>
        </is>
      </c>
      <c r="M2525" s="45" t="inlineStr">
        <is>
          <t>31620 (Conduite installation industrielle) ; 23606 (Électricité automobile)</t>
        </is>
      </c>
      <c r="N2525" s="50" t="inlineStr">
        <is>
          <t>NON</t>
        </is>
      </c>
      <c r="O2525" s="45" t="inlineStr"/>
    </row>
    <row r="2526" ht="28.8" customFormat="1" customHeight="1" s="3">
      <c r="A2526" s="45" t="n"/>
      <c r="B2526" s="46" t="inlineStr">
        <is>
          <t>31652</t>
        </is>
      </c>
      <c r="C2526" s="46">
        <f>LEFT(Tableau1[[#This Row],[Formacode]],3)</f>
        <v/>
      </c>
      <c r="D2526" s="47" t="n">
        <v>38904</v>
      </c>
      <c r="E2526" s="48">
        <f>"RNCP"&amp;D2526</f>
        <v/>
      </c>
      <c r="F2526" s="48" t="inlineStr">
        <is>
          <t>CQP Conducteur régleur de presse à injecter les matériaux plastiques et métalliques sous pression</t>
        </is>
      </c>
      <c r="G2526" s="49">
        <f>E2526&amp;" - "&amp;F2526</f>
        <v/>
      </c>
      <c r="H2526" s="36" t="inlineStr">
        <is>
          <t>RAS</t>
        </is>
      </c>
      <c r="I2526" s="45" t="inlineStr"/>
      <c r="J2526" s="45" t="inlineStr">
        <is>
          <t>RNCP38904</t>
        </is>
      </c>
      <c r="K2526" s="45" t="inlineStr">
        <is>
          <t>CQP Conducteur régleur de presse à injecter les matériaux plastiques et métalliques sous pression</t>
        </is>
      </c>
      <c r="L2526" s="45" t="inlineStr">
        <is>
          <t>26/04/2027</t>
        </is>
      </c>
      <c r="M2526" s="45" t="inlineStr">
        <is>
          <t>31620 (Conduite installation industrielle) ; 23010 (Moulage plastique) ; 23081 (Moulage métal)</t>
        </is>
      </c>
      <c r="N2526" s="50" t="inlineStr">
        <is>
          <t>NON</t>
        </is>
      </c>
      <c r="O2526" s="45" t="inlineStr"/>
    </row>
    <row r="2527" customFormat="1" s="3">
      <c r="A2527" s="45" t="n"/>
      <c r="B2527" s="46" t="inlineStr">
        <is>
          <t>31652</t>
        </is>
      </c>
      <c r="C2527" s="46">
        <f>LEFT(Tableau1[[#This Row],[Formacode]],3)</f>
        <v/>
      </c>
      <c r="D2527" s="47" t="n">
        <v>39176</v>
      </c>
      <c r="E2527" s="48">
        <f>"RNCP"&amp;D2527</f>
        <v/>
      </c>
      <c r="F2527" s="48" t="inlineStr">
        <is>
          <t>TP - Technicien de production industrielle</t>
        </is>
      </c>
      <c r="G2527" s="49">
        <f>E2527&amp;" - "&amp;F2527</f>
        <v/>
      </c>
      <c r="H2527" s="36" t="inlineStr">
        <is>
          <t>RAS</t>
        </is>
      </c>
      <c r="I2527" s="45" t="inlineStr"/>
      <c r="J2527" s="45" t="inlineStr">
        <is>
          <t>RNCP39176</t>
        </is>
      </c>
      <c r="K2527" s="45" t="inlineStr">
        <is>
          <t>Technicien de production industrielle</t>
        </is>
      </c>
      <c r="L2527" s="45" t="inlineStr">
        <is>
          <t>12/07/2029</t>
        </is>
      </c>
      <c r="M2527" s="45" t="inlineStr">
        <is>
          <t>31620 (Conduite installation industrielle)</t>
        </is>
      </c>
      <c r="N2527" s="50" t="inlineStr">
        <is>
          <t>NON</t>
        </is>
      </c>
      <c r="O2527" s="45" t="inlineStr"/>
    </row>
    <row r="2528" customFormat="1" s="3">
      <c r="A2528" s="51" t="n"/>
      <c r="B2528" s="52" t="inlineStr">
        <is>
          <t>31652</t>
        </is>
      </c>
      <c r="C2528" s="52">
        <f>LEFT(Tableau1[[#This Row],[Formacode]],3)</f>
        <v/>
      </c>
      <c r="D2528" s="53" t="n">
        <v>39191</v>
      </c>
      <c r="E2528" s="54">
        <f>"RNCP"&amp;D2528</f>
        <v/>
      </c>
      <c r="F2528" s="54" t="inlineStr">
        <is>
          <t>CS - Conducteur de machines de verrerie</t>
        </is>
      </c>
      <c r="G2528" s="55">
        <f>E2528&amp;" - "&amp;F2528</f>
        <v/>
      </c>
      <c r="H2528" s="37" t="inlineStr">
        <is>
          <t>À vérifier</t>
        </is>
      </c>
      <c r="I2528" s="51" t="inlineStr">
        <is>
          <t>Successeur déjà publié : RNCP42255 (Conduite d'équipements verriers) — préparer la bascule de l'offre CPF | Échéance le 31/12/2026 (dans 166 j)</t>
        </is>
      </c>
      <c r="J2528" s="51" t="inlineStr">
        <is>
          <t>RNCP42255</t>
        </is>
      </c>
      <c r="K2528" s="51" t="inlineStr">
        <is>
          <t>Conduite d'équipements verriers</t>
        </is>
      </c>
      <c r="L2528" s="51" t="inlineStr">
        <is>
          <t>31/12/2026</t>
        </is>
      </c>
      <c r="M2528" s="51" t="inlineStr">
        <is>
          <t>31620 (Conduite installation industrielle) ; 22820 (Verre)</t>
        </is>
      </c>
      <c r="N2528" s="62" t="inlineStr">
        <is>
          <t>NON</t>
        </is>
      </c>
      <c r="O2528" s="51" t="inlineStr"/>
    </row>
    <row r="2529" customFormat="1" s="3">
      <c r="A2529" s="45" t="n"/>
      <c r="B2529" s="46" t="inlineStr">
        <is>
          <t>31652</t>
        </is>
      </c>
      <c r="C2529" s="46">
        <f>LEFT(Tableau1[[#This Row],[Formacode]],3)</f>
        <v/>
      </c>
      <c r="D2529" s="47" t="n">
        <v>39375</v>
      </c>
      <c r="E2529" s="48">
        <f>"RNCP"&amp;D2529</f>
        <v/>
      </c>
      <c r="F2529" s="48" t="inlineStr">
        <is>
          <t>Pilote de systèmes de production automatisée (PSPA)</t>
        </is>
      </c>
      <c r="G2529" s="49">
        <f>E2529&amp;" - "&amp;F2529</f>
        <v/>
      </c>
      <c r="H2529" s="36" t="inlineStr">
        <is>
          <t>RAS</t>
        </is>
      </c>
      <c r="I2529" s="45" t="inlineStr"/>
      <c r="J2529" s="45" t="inlineStr">
        <is>
          <t>RNCP39375</t>
        </is>
      </c>
      <c r="K2529" s="45" t="inlineStr">
        <is>
          <t>Pilote de systèmes de production automatisée (PSPA)</t>
        </is>
      </c>
      <c r="L2529" s="45" t="inlineStr">
        <is>
          <t>19/07/2029</t>
        </is>
      </c>
      <c r="M2529" s="45" t="inlineStr">
        <is>
          <t>31620 (Conduite installation industrielle) ; 24431 (Maintenance système automatisé)</t>
        </is>
      </c>
      <c r="N2529" s="50" t="inlineStr">
        <is>
          <t>NON</t>
        </is>
      </c>
      <c r="O2529" s="45" t="inlineStr"/>
    </row>
    <row r="2530" customFormat="1" s="3">
      <c r="A2530" s="45" t="n"/>
      <c r="B2530" s="46" t="inlineStr">
        <is>
          <t>31652</t>
        </is>
      </c>
      <c r="C2530" s="46">
        <f>LEFT(Tableau1[[#This Row],[Formacode]],3)</f>
        <v/>
      </c>
      <c r="D2530" s="47" t="n">
        <v>39699</v>
      </c>
      <c r="E2530" s="48">
        <f>"RNCP"&amp;D2530</f>
        <v/>
      </c>
      <c r="F2530" s="48" t="inlineStr">
        <is>
          <t>CAP - Industries chimiques</t>
        </is>
      </c>
      <c r="G2530" s="49">
        <f>E2530&amp;" - "&amp;F2530</f>
        <v/>
      </c>
      <c r="H2530" s="36" t="inlineStr">
        <is>
          <t>RAS</t>
        </is>
      </c>
      <c r="I2530" s="45" t="inlineStr"/>
      <c r="J2530" s="45" t="inlineStr">
        <is>
          <t>RNCP39699</t>
        </is>
      </c>
      <c r="K2530" s="45" t="inlineStr">
        <is>
          <t>Industries chimiques</t>
        </is>
      </c>
      <c r="L2530" s="45" t="inlineStr">
        <is>
          <t>31/12/2027</t>
        </is>
      </c>
      <c r="M2530" s="45" t="inlineStr">
        <is>
          <t>11557 (Conduite équipement industrie chimique pétrolière) ; 31620 (Conduite installation industrielle)</t>
        </is>
      </c>
      <c r="N2530" s="50" t="inlineStr">
        <is>
          <t>NON</t>
        </is>
      </c>
      <c r="O2530" s="45" t="inlineStr"/>
    </row>
    <row r="2531" customFormat="1" s="3">
      <c r="A2531" s="45" t="n"/>
      <c r="B2531" s="46" t="inlineStr">
        <is>
          <t>31652</t>
        </is>
      </c>
      <c r="C2531" s="46">
        <f>LEFT(Tableau1[[#This Row],[Formacode]],3)</f>
        <v/>
      </c>
      <c r="D2531" s="47" t="n">
        <v>39784</v>
      </c>
      <c r="E2531" s="48">
        <f>"RNCP"&amp;D2531</f>
        <v/>
      </c>
      <c r="F2531" s="48" t="inlineStr">
        <is>
          <t>Equipier de production industrielle</t>
        </is>
      </c>
      <c r="G2531" s="49">
        <f>E2531&amp;" - "&amp;F2531</f>
        <v/>
      </c>
      <c r="H2531" s="36" t="inlineStr">
        <is>
          <t>RAS</t>
        </is>
      </c>
      <c r="I2531" s="45" t="inlineStr"/>
      <c r="J2531" s="45" t="inlineStr">
        <is>
          <t>RNCP39784</t>
        </is>
      </c>
      <c r="K2531" s="45" t="inlineStr">
        <is>
          <t>Equipier de production industrielle</t>
        </is>
      </c>
      <c r="L2531" s="45" t="inlineStr">
        <is>
          <t>31/10/2029</t>
        </is>
      </c>
      <c r="M2531" s="45" t="inlineStr">
        <is>
          <t>31652 (Gestion production) ; 23062 (Métallurgie)</t>
        </is>
      </c>
      <c r="N2531" s="50" t="inlineStr">
        <is>
          <t>NON</t>
        </is>
      </c>
      <c r="O2531" s="45" t="inlineStr"/>
    </row>
    <row r="2532" customFormat="1" s="3">
      <c r="A2532" s="45" t="n"/>
      <c r="B2532" s="46" t="inlineStr">
        <is>
          <t>31652</t>
        </is>
      </c>
      <c r="C2532" s="46">
        <f>LEFT(Tableau1[[#This Row],[Formacode]],3)</f>
        <v/>
      </c>
      <c r="D2532" s="47" t="n">
        <v>39966</v>
      </c>
      <c r="E2532" s="48">
        <f>"RNCP"&amp;D2532</f>
        <v/>
      </c>
      <c r="F2532" s="48" t="inlineStr">
        <is>
          <t>CQP Conducteur de machines du secteur alimentaire</t>
        </is>
      </c>
      <c r="G2532" s="49">
        <f>E2532&amp;" - "&amp;F2532</f>
        <v/>
      </c>
      <c r="H2532" s="36" t="inlineStr">
        <is>
          <t>RAS</t>
        </is>
      </c>
      <c r="I2532" s="45" t="inlineStr"/>
      <c r="J2532" s="45" t="inlineStr">
        <is>
          <t>RNCP39966</t>
        </is>
      </c>
      <c r="K2532" s="45" t="inlineStr">
        <is>
          <t>CQP Conducteur de machines du secteur alimentaire</t>
        </is>
      </c>
      <c r="L2532" s="45" t="inlineStr">
        <is>
          <t>18/12/2029</t>
        </is>
      </c>
      <c r="M2532" s="45" t="inlineStr">
        <is>
          <t>31620 (Conduite installation industrielle) ; 21554 (Agroalimentaire)</t>
        </is>
      </c>
      <c r="N2532" s="50" t="inlineStr">
        <is>
          <t>NON</t>
        </is>
      </c>
      <c r="O2532" s="45" t="inlineStr"/>
    </row>
    <row r="2533" customFormat="1" s="3">
      <c r="A2533" s="45" t="n"/>
      <c r="B2533" s="46" t="inlineStr">
        <is>
          <t>31652</t>
        </is>
      </c>
      <c r="C2533" s="46">
        <f>LEFT(Tableau1[[#This Row],[Formacode]],3)</f>
        <v/>
      </c>
      <c r="D2533" s="47" t="n">
        <v>39967</v>
      </c>
      <c r="E2533" s="48">
        <f>"RNCP"&amp;D2533</f>
        <v/>
      </c>
      <c r="F2533" s="48" t="inlineStr">
        <is>
          <t>CQP Conducteur de ligne du secteur alimentaire</t>
        </is>
      </c>
      <c r="G2533" s="49">
        <f>E2533&amp;" - "&amp;F2533</f>
        <v/>
      </c>
      <c r="H2533" s="36" t="inlineStr">
        <is>
          <t>RAS</t>
        </is>
      </c>
      <c r="I2533" s="45" t="inlineStr"/>
      <c r="J2533" s="45" t="inlineStr">
        <is>
          <t>RNCP39967</t>
        </is>
      </c>
      <c r="K2533" s="45" t="inlineStr">
        <is>
          <t>CQP Conducteur de ligne du secteur alimentaire</t>
        </is>
      </c>
      <c r="L2533" s="45" t="inlineStr">
        <is>
          <t>18/12/2029</t>
        </is>
      </c>
      <c r="M2533" s="45" t="inlineStr">
        <is>
          <t>31620 (Conduite installation industrielle) ; 21554 (Agroalimentaire)</t>
        </is>
      </c>
      <c r="N2533" s="50" t="inlineStr">
        <is>
          <t>NON</t>
        </is>
      </c>
      <c r="O2533" s="45" t="inlineStr"/>
    </row>
    <row r="2534" customFormat="1" s="3">
      <c r="A2534" s="51" t="n"/>
      <c r="B2534" s="52" t="inlineStr">
        <is>
          <t>31652</t>
        </is>
      </c>
      <c r="C2534" s="52">
        <f>LEFT(Tableau1[[#This Row],[Formacode]],3)</f>
        <v/>
      </c>
      <c r="D2534" s="53" t="n">
        <v>39995</v>
      </c>
      <c r="E2534" s="54">
        <f>"RNCP"&amp;D2534</f>
        <v/>
      </c>
      <c r="F2534" s="54" t="inlineStr">
        <is>
          <t>CQP Conducteur d'équipement industriel caoutchouc</t>
        </is>
      </c>
      <c r="G2534" s="55">
        <f>E2534&amp;" - "&amp;F2534</f>
        <v/>
      </c>
      <c r="H2534" s="37" t="inlineStr">
        <is>
          <t>À vérifier</t>
        </is>
      </c>
      <c r="I2534" s="51" t="inlineStr">
        <is>
          <t>Échéance le 18/12/2026 (dans 153 j)</t>
        </is>
      </c>
      <c r="J2534" s="51" t="inlineStr">
        <is>
          <t>RNCP39995</t>
        </is>
      </c>
      <c r="K2534" s="51" t="inlineStr">
        <is>
          <t>CQP Conducteur d'équipement industriel caoutchouc</t>
        </is>
      </c>
      <c r="L2534" s="51" t="inlineStr">
        <is>
          <t>18/12/2026</t>
        </is>
      </c>
      <c r="M2534" s="51" t="inlineStr">
        <is>
          <t>22839 (Caoutchouc) ; 31620 (Conduite installation industrielle)</t>
        </is>
      </c>
      <c r="N2534" s="62" t="inlineStr">
        <is>
          <t>NON</t>
        </is>
      </c>
      <c r="O2534" s="51" t="inlineStr"/>
    </row>
    <row r="2535" customFormat="1" s="3">
      <c r="A2535" s="45" t="n"/>
      <c r="B2535" s="46" t="inlineStr">
        <is>
          <t>31652</t>
        </is>
      </c>
      <c r="C2535" s="46">
        <f>LEFT(Tableau1[[#This Row],[Formacode]],3)</f>
        <v/>
      </c>
      <c r="D2535" s="47" t="n">
        <v>40372</v>
      </c>
      <c r="E2535" s="48">
        <f>"RNCP"&amp;D2535</f>
        <v/>
      </c>
      <c r="F2535" s="48" t="inlineStr">
        <is>
          <t>Manager des achats et de la logistique</t>
        </is>
      </c>
      <c r="G2535" s="49">
        <f>E2535&amp;" - "&amp;F2535</f>
        <v/>
      </c>
      <c r="H2535" s="36" t="inlineStr">
        <is>
          <t>RAS</t>
        </is>
      </c>
      <c r="I2535" s="45" t="inlineStr"/>
      <c r="J2535" s="45" t="inlineStr">
        <is>
          <t>RNCP40372</t>
        </is>
      </c>
      <c r="K2535" s="45" t="inlineStr">
        <is>
          <t>Manager des achats et de la logistique</t>
        </is>
      </c>
      <c r="L2535" s="45" t="inlineStr">
        <is>
          <t>28/03/2028</t>
        </is>
      </c>
      <c r="M2535" s="45" t="inlineStr">
        <is>
          <t>34025 (Achat responsable) ; 34022 (Gestion fournisseur) ; 32025 (Stratégie entreprise) ; 31660 (Approvisionnement) ; 31845 (Logistique)</t>
        </is>
      </c>
      <c r="N2535" s="50" t="inlineStr">
        <is>
          <t>NON</t>
        </is>
      </c>
      <c r="O2535" s="45" t="inlineStr"/>
    </row>
    <row r="2536" customFormat="1" s="3">
      <c r="A2536" s="45" t="n"/>
      <c r="B2536" s="46" t="inlineStr">
        <is>
          <t>31652</t>
        </is>
      </c>
      <c r="C2536" s="46">
        <f>LEFT(Tableau1[[#This Row],[Formacode]],3)</f>
        <v/>
      </c>
      <c r="D2536" s="47" t="n">
        <v>40398</v>
      </c>
      <c r="E2536" s="48">
        <f>"RNCP"&amp;D2536</f>
        <v/>
      </c>
      <c r="F2536" s="48" t="inlineStr">
        <is>
          <t>CQP Animateur d’équipe autonome de production industrielle</t>
        </is>
      </c>
      <c r="G2536" s="49">
        <f>E2536&amp;" - "&amp;F2536</f>
        <v/>
      </c>
      <c r="H2536" s="36" t="inlineStr">
        <is>
          <t>RAS</t>
        </is>
      </c>
      <c r="I2536" s="45" t="inlineStr"/>
      <c r="J2536" s="45" t="inlineStr">
        <is>
          <t>RNCP40398</t>
        </is>
      </c>
      <c r="K2536" s="45" t="inlineStr">
        <is>
          <t>CQP Animateur d’équipe autonome de production industrielle</t>
        </is>
      </c>
      <c r="L2536" s="45" t="inlineStr">
        <is>
          <t>28/03/2030</t>
        </is>
      </c>
      <c r="M2536" s="45" t="inlineStr">
        <is>
          <t>31652 (Gestion production) ; 32130 (Animation motivation équipe)</t>
        </is>
      </c>
      <c r="N2536" s="50" t="inlineStr">
        <is>
          <t>NON</t>
        </is>
      </c>
      <c r="O2536" s="45" t="inlineStr"/>
    </row>
    <row r="2537" customFormat="1" s="3">
      <c r="A2537" s="45" t="n"/>
      <c r="B2537" s="46" t="inlineStr">
        <is>
          <t>31652</t>
        </is>
      </c>
      <c r="C2537" s="46">
        <f>LEFT(Tableau1[[#This Row],[Formacode]],3)</f>
        <v/>
      </c>
      <c r="D2537" s="47" t="n">
        <v>40562</v>
      </c>
      <c r="E2537" s="48">
        <f>"RNCP"&amp;D2537</f>
        <v/>
      </c>
      <c r="F2537" s="48" t="inlineStr">
        <is>
          <t>CQP Responsable de secteur d'activités industrielles</t>
        </is>
      </c>
      <c r="G2537" s="49">
        <f>E2537&amp;" - "&amp;F2537</f>
        <v/>
      </c>
      <c r="H2537" s="36" t="inlineStr">
        <is>
          <t>RAS</t>
        </is>
      </c>
      <c r="I2537" s="45" t="inlineStr"/>
      <c r="J2537" s="45" t="inlineStr">
        <is>
          <t>RNCP40562</t>
        </is>
      </c>
      <c r="K2537" s="45" t="inlineStr">
        <is>
          <t>CQP Responsable de secteur d'activités industrielles</t>
        </is>
      </c>
      <c r="L2537" s="45" t="inlineStr">
        <is>
          <t>30/04/2030</t>
        </is>
      </c>
      <c r="M2537" s="45" t="inlineStr">
        <is>
          <t>31652 (Gestion production)</t>
        </is>
      </c>
      <c r="N2537" s="50" t="inlineStr">
        <is>
          <t>NON</t>
        </is>
      </c>
      <c r="O2537" s="45" t="inlineStr"/>
    </row>
    <row r="2538" customFormat="1" s="3">
      <c r="A2538" s="45" t="n"/>
      <c r="B2538" s="46" t="inlineStr">
        <is>
          <t>31652</t>
        </is>
      </c>
      <c r="C2538" s="46">
        <f>LEFT(Tableau1[[#This Row],[Formacode]],3)</f>
        <v/>
      </c>
      <c r="D2538" s="47" t="n">
        <v>40687</v>
      </c>
      <c r="E2538" s="48">
        <f>"RNCP"&amp;D2538</f>
        <v/>
      </c>
      <c r="F2538" s="48" t="inlineStr">
        <is>
          <t>BAC PRO - Métiers de la logistique</t>
        </is>
      </c>
      <c r="G2538" s="49">
        <f>E2538&amp;" - "&amp;F2538</f>
        <v/>
      </c>
      <c r="H2538" s="36" t="inlineStr">
        <is>
          <t>RAS</t>
        </is>
      </c>
      <c r="I2538" s="45" t="inlineStr"/>
      <c r="J2538" s="45" t="inlineStr">
        <is>
          <t>RNCP40687</t>
        </is>
      </c>
      <c r="K2538" s="45" t="inlineStr">
        <is>
          <t>Métiers de la logistique</t>
        </is>
      </c>
      <c r="L2538" s="45" t="inlineStr">
        <is>
          <t>31/08/2030</t>
        </is>
      </c>
      <c r="M2538" s="45" t="inlineStr">
        <is>
          <t>31845 (Logistique) ; 31663 (Gestion stock) ; 31734 (Magasinage)</t>
        </is>
      </c>
      <c r="N2538" s="50" t="inlineStr">
        <is>
          <t>NON</t>
        </is>
      </c>
      <c r="O2538" s="45" t="inlineStr"/>
    </row>
    <row r="2539" ht="28.8" customFormat="1" customHeight="1" s="3">
      <c r="A2539" s="45" t="n"/>
      <c r="B2539" s="46" t="inlineStr">
        <is>
          <t>31652</t>
        </is>
      </c>
      <c r="C2539" s="46">
        <f>LEFT(Tableau1[[#This Row],[Formacode]],3)</f>
        <v/>
      </c>
      <c r="D2539" s="47" t="n">
        <v>41015</v>
      </c>
      <c r="E2539" s="48">
        <f>"RNCP"&amp;D2539</f>
        <v/>
      </c>
      <c r="F2539" s="48" t="inlineStr">
        <is>
          <t>BAC PRO - Technicien en réalisation de produits mécaniques, option réalisation et suivi de productions, option réalisation et maintenance des outillages</t>
        </is>
      </c>
      <c r="G2539" s="49">
        <f>E2539&amp;" - "&amp;F2539</f>
        <v/>
      </c>
      <c r="H2539" s="36" t="inlineStr">
        <is>
          <t>RAS</t>
        </is>
      </c>
      <c r="I2539" s="45" t="inlineStr"/>
      <c r="J2539" s="45" t="inlineStr">
        <is>
          <t>RNCP41015</t>
        </is>
      </c>
      <c r="K2539" s="45" t="inlineStr">
        <is>
          <t>Technicien en réalisation de produits mécaniques, option réalisation et suivi de productions, option réalisation et maintenance des outillages</t>
        </is>
      </c>
      <c r="L2539" s="45" t="inlineStr">
        <is>
          <t>31/08/2030</t>
        </is>
      </c>
      <c r="M2539" s="45" t="inlineStr">
        <is>
          <t>31632 (Productique) ; 31624 (Maintenance industrielle) ; 23681 (Outillage) ; 23076 (Usinage)</t>
        </is>
      </c>
      <c r="N2539" s="50" t="inlineStr">
        <is>
          <t>NON</t>
        </is>
      </c>
      <c r="O2539" s="45" t="inlineStr"/>
    </row>
    <row r="2540" customFormat="1" s="3">
      <c r="A2540" s="45" t="n"/>
      <c r="B2540" s="46" t="inlineStr">
        <is>
          <t>31652</t>
        </is>
      </c>
      <c r="C2540" s="46">
        <f>LEFT(Tableau1[[#This Row],[Formacode]],3)</f>
        <v/>
      </c>
      <c r="D2540" s="47" t="n">
        <v>41137</v>
      </c>
      <c r="E2540" s="48">
        <f>"RNCP"&amp;D2540</f>
        <v/>
      </c>
      <c r="F2540" s="48" t="inlineStr">
        <is>
          <t>CQP Coordonnateur Lean et amélioration continue</t>
        </is>
      </c>
      <c r="G2540" s="49">
        <f>E2540&amp;" - "&amp;F2540</f>
        <v/>
      </c>
      <c r="H2540" s="36" t="inlineStr">
        <is>
          <t>RAS</t>
        </is>
      </c>
      <c r="I2540" s="45" t="inlineStr"/>
      <c r="J2540" s="45" t="inlineStr">
        <is>
          <t>RNCP41137</t>
        </is>
      </c>
      <c r="K2540" s="45" t="inlineStr">
        <is>
          <t>CQP Coordonnateur Lean et amélioration continue</t>
        </is>
      </c>
      <c r="L2540" s="45" t="inlineStr">
        <is>
          <t>18/07/2030</t>
        </is>
      </c>
      <c r="M2540" s="45" t="inlineStr">
        <is>
          <t>31637 (Organisation travail) ; 15099 (Résolution problème) ; 31652 (Gestion production)</t>
        </is>
      </c>
      <c r="N2540" s="50" t="inlineStr">
        <is>
          <t>NON</t>
        </is>
      </c>
      <c r="O2540" s="45" t="inlineStr"/>
    </row>
    <row r="2541" customFormat="1" s="3">
      <c r="A2541" s="45" t="n"/>
      <c r="B2541" s="46" t="inlineStr">
        <is>
          <t>31652</t>
        </is>
      </c>
      <c r="C2541" s="46">
        <f>LEFT(Tableau1[[#This Row],[Formacode]],3)</f>
        <v/>
      </c>
      <c r="D2541" s="47" t="n">
        <v>41288</v>
      </c>
      <c r="E2541" s="48">
        <f>"RNCP"&amp;D2541</f>
        <v/>
      </c>
      <c r="F2541" s="48" t="inlineStr">
        <is>
          <t>CQP Opérateur en fabrication additive : poudre métallique ou polymères ou sables</t>
        </is>
      </c>
      <c r="G2541" s="49">
        <f>E2541&amp;" - "&amp;F2541</f>
        <v/>
      </c>
      <c r="H2541" s="36" t="inlineStr">
        <is>
          <t>RAS</t>
        </is>
      </c>
      <c r="I2541" s="45" t="inlineStr"/>
      <c r="J2541" s="45" t="inlineStr">
        <is>
          <t>RNCP41288</t>
        </is>
      </c>
      <c r="K2541" s="45" t="inlineStr">
        <is>
          <t>CQP Opérateur en fabrication additive : poudre métallique ou polymères ou sables</t>
        </is>
      </c>
      <c r="L2541" s="45" t="inlineStr">
        <is>
          <t>24/09/2030</t>
        </is>
      </c>
      <c r="M2541" s="45" t="inlineStr">
        <is>
          <t>31634 (Fabrication additive) ; 31620 (Conduite installation industrielle)</t>
        </is>
      </c>
      <c r="N2541" s="50" t="inlineStr">
        <is>
          <t>NON</t>
        </is>
      </c>
      <c r="O2541" s="45" t="inlineStr"/>
    </row>
    <row r="2542" customFormat="1" s="3">
      <c r="A2542" s="45" t="n"/>
      <c r="B2542" s="46" t="inlineStr">
        <is>
          <t>31652</t>
        </is>
      </c>
      <c r="C2542" s="46">
        <f>LEFT(Tableau1[[#This Row],[Formacode]],3)</f>
        <v/>
      </c>
      <c r="D2542" s="47" t="n">
        <v>41401</v>
      </c>
      <c r="E2542" s="48">
        <f>"RNCP"&amp;D2542</f>
        <v/>
      </c>
      <c r="F2542" s="48" t="inlineStr">
        <is>
          <t>CQP Technicien de cellule autonome pluri-technologique</t>
        </is>
      </c>
      <c r="G2542" s="49">
        <f>E2542&amp;" - "&amp;F2542</f>
        <v/>
      </c>
      <c r="H2542" s="36" t="inlineStr">
        <is>
          <t>RAS</t>
        </is>
      </c>
      <c r="I2542" s="45" t="inlineStr"/>
      <c r="J2542" s="45" t="inlineStr">
        <is>
          <t>RNCP41401</t>
        </is>
      </c>
      <c r="K2542" s="45" t="inlineStr">
        <is>
          <t>CQP Technicien de cellule autonome pluri-technologique</t>
        </is>
      </c>
      <c r="L2542" s="45" t="inlineStr">
        <is>
          <t>27/10/2030</t>
        </is>
      </c>
      <c r="M2542" s="45" t="inlineStr">
        <is>
          <t>31889 (Pilote ligne) ; 31620 (Conduite installation industrielle)</t>
        </is>
      </c>
      <c r="N2542" s="50" t="inlineStr">
        <is>
          <t>NON</t>
        </is>
      </c>
      <c r="O2542" s="45" t="inlineStr"/>
    </row>
    <row r="2543" customFormat="1" s="3">
      <c r="A2543" s="45" t="n"/>
      <c r="B2543" s="46" t="inlineStr">
        <is>
          <t>31652</t>
        </is>
      </c>
      <c r="C2543" s="46">
        <f>LEFT(Tableau1[[#This Row],[Formacode]],3)</f>
        <v/>
      </c>
      <c r="D2543" s="47" t="n">
        <v>41780</v>
      </c>
      <c r="E2543" s="48">
        <f>"RNCP"&amp;D2543</f>
        <v/>
      </c>
      <c r="F2543" s="48" t="inlineStr">
        <is>
          <t>CQP Conducteur d'équipement de fabrication</t>
        </is>
      </c>
      <c r="G2543" s="49">
        <f>E2543&amp;" - "&amp;F2543</f>
        <v/>
      </c>
      <c r="H2543" s="36" t="inlineStr">
        <is>
          <t>RAS</t>
        </is>
      </c>
      <c r="I2543" s="45" t="inlineStr"/>
      <c r="J2543" s="45" t="inlineStr">
        <is>
          <t>RNCP41780</t>
        </is>
      </c>
      <c r="K2543" s="45" t="inlineStr">
        <is>
          <t>CQP Conducteur d'équipement de fabrication</t>
        </is>
      </c>
      <c r="L2543" s="45" t="inlineStr">
        <is>
          <t>18/12/2030</t>
        </is>
      </c>
      <c r="M2543" s="45" t="inlineStr">
        <is>
          <t>31620 (Conduite installation industrielle)</t>
        </is>
      </c>
      <c r="N2543" s="50" t="inlineStr">
        <is>
          <t>NON</t>
        </is>
      </c>
      <c r="O2543" s="45" t="inlineStr"/>
    </row>
    <row r="2544" customFormat="1" s="3">
      <c r="A2544" s="45" t="n"/>
      <c r="B2544" s="46" t="inlineStr">
        <is>
          <t>31652</t>
        </is>
      </c>
      <c r="C2544" s="46">
        <f>LEFT(Tableau1[[#This Row],[Formacode]],3)</f>
        <v/>
      </c>
      <c r="D2544" s="47" t="n">
        <v>41782</v>
      </c>
      <c r="E2544" s="48">
        <f>"RNCP"&amp;D2544</f>
        <v/>
      </c>
      <c r="F2544" s="48" t="inlineStr">
        <is>
          <t>CQP Monteur régleur d'équipement de fabrication</t>
        </is>
      </c>
      <c r="G2544" s="49">
        <f>E2544&amp;" - "&amp;F2544</f>
        <v/>
      </c>
      <c r="H2544" s="36" t="inlineStr">
        <is>
          <t>RAS</t>
        </is>
      </c>
      <c r="I2544" s="45" t="inlineStr"/>
      <c r="J2544" s="45" t="inlineStr">
        <is>
          <t>RNCP41782</t>
        </is>
      </c>
      <c r="K2544" s="45" t="inlineStr">
        <is>
          <t>CQP Monteur régleur d'équipement de fabrication</t>
        </is>
      </c>
      <c r="L2544" s="45" t="inlineStr">
        <is>
          <t>18/12/2030</t>
        </is>
      </c>
      <c r="M2544" s="45" t="inlineStr">
        <is>
          <t>23021 (Plasturgie) ; 31620 (Conduite installation industrielle)</t>
        </is>
      </c>
      <c r="N2544" s="50" t="inlineStr">
        <is>
          <t>NON</t>
        </is>
      </c>
      <c r="O2544" s="45" t="inlineStr"/>
    </row>
    <row r="2545" customFormat="1" s="3">
      <c r="A2545" s="45" t="n"/>
      <c r="B2545" s="46" t="inlineStr">
        <is>
          <t>31652</t>
        </is>
      </c>
      <c r="C2545" s="46">
        <f>LEFT(Tableau1[[#This Row],[Formacode]],3)</f>
        <v/>
      </c>
      <c r="D2545" s="47" t="n">
        <v>41784</v>
      </c>
      <c r="E2545" s="48">
        <f>"RNCP"&amp;D2545</f>
        <v/>
      </c>
      <c r="F2545" s="48" t="inlineStr">
        <is>
          <t>CQP Coordinateur de ligne ou d'îlot</t>
        </is>
      </c>
      <c r="G2545" s="49">
        <f>E2545&amp;" - "&amp;F2545</f>
        <v/>
      </c>
      <c r="H2545" s="36" t="inlineStr">
        <is>
          <t>RAS</t>
        </is>
      </c>
      <c r="I2545" s="45" t="inlineStr"/>
      <c r="J2545" s="45" t="inlineStr">
        <is>
          <t>RNCP41784</t>
        </is>
      </c>
      <c r="K2545" s="45" t="inlineStr">
        <is>
          <t>CQP Coordinateur de ligne ou d'îlot</t>
        </is>
      </c>
      <c r="L2545" s="45" t="inlineStr">
        <is>
          <t>18/12/2030</t>
        </is>
      </c>
      <c r="M2545" s="45" t="inlineStr">
        <is>
          <t>23021 (Plasturgie) ; 31620 (Conduite installation industrielle)</t>
        </is>
      </c>
      <c r="N2545" s="50" t="inlineStr">
        <is>
          <t>NON</t>
        </is>
      </c>
      <c r="O2545" s="45" t="inlineStr"/>
    </row>
    <row r="2546" customFormat="1" s="3">
      <c r="A2546" s="45" t="n"/>
      <c r="B2546" s="46" t="inlineStr">
        <is>
          <t>31664</t>
        </is>
      </c>
      <c r="C2546" s="46">
        <f>LEFT(Tableau1[[#This Row],[Formacode]],3)</f>
        <v/>
      </c>
      <c r="D2546" s="47" t="n">
        <v>38216</v>
      </c>
      <c r="E2546" s="48">
        <f>"RNCP"&amp;D2546</f>
        <v/>
      </c>
      <c r="F2546" s="48" t="inlineStr">
        <is>
          <t>BTS - Contrôle industriel et régulation automatique</t>
        </is>
      </c>
      <c r="G2546" s="49">
        <f>E2546&amp;" - "&amp;F2546</f>
        <v/>
      </c>
      <c r="H2546" s="36" t="inlineStr">
        <is>
          <t>RAS</t>
        </is>
      </c>
      <c r="I2546" s="45" t="inlineStr"/>
      <c r="J2546" s="45" t="inlineStr">
        <is>
          <t>RNCP38216</t>
        </is>
      </c>
      <c r="K2546" s="45" t="inlineStr">
        <is>
          <t>Contrôle industriel et régulation automatique</t>
        </is>
      </c>
      <c r="L2546" s="45" t="inlineStr">
        <is>
          <t>31/12/2028</t>
        </is>
      </c>
      <c r="M2546" s="45" t="inlineStr">
        <is>
          <t>31664 (Qualité gestion industrielle) ; 24469 (Capteur) ; 31624 (Maintenance industrielle) ; 31436 (Contrôle qualité)</t>
        </is>
      </c>
      <c r="N2546" s="50" t="inlineStr">
        <is>
          <t>NON</t>
        </is>
      </c>
      <c r="O2546" s="45" t="inlineStr"/>
    </row>
    <row r="2547" customFormat="1" s="3">
      <c r="A2547" s="45" t="n"/>
      <c r="B2547" s="46" t="inlineStr">
        <is>
          <t>31664</t>
        </is>
      </c>
      <c r="C2547" s="46">
        <f>LEFT(Tableau1[[#This Row],[Formacode]],3)</f>
        <v/>
      </c>
      <c r="D2547" s="47" t="n">
        <v>38304</v>
      </c>
      <c r="E2547" s="48">
        <f>"RNCP"&amp;D2547</f>
        <v/>
      </c>
      <c r="F2547" s="48" t="inlineStr">
        <is>
          <t>CS - Maquettes et prototypes</t>
        </is>
      </c>
      <c r="G2547" s="49">
        <f>E2547&amp;" - "&amp;F2547</f>
        <v/>
      </c>
      <c r="H2547" s="36" t="inlineStr">
        <is>
          <t>RAS</t>
        </is>
      </c>
      <c r="I2547" s="45" t="inlineStr"/>
      <c r="J2547" s="45" t="inlineStr">
        <is>
          <t>RNCP38304</t>
        </is>
      </c>
      <c r="K2547" s="45" t="inlineStr">
        <is>
          <t>Maquettes et prototypes</t>
        </is>
      </c>
      <c r="L2547" s="45" t="inlineStr">
        <is>
          <t>31/08/2028</t>
        </is>
      </c>
      <c r="M2547" s="45" t="inlineStr">
        <is>
          <t>23681 (Outillage) ; 31664 (Qualité gestion industrielle) ; 23646 (Construction automobile)</t>
        </is>
      </c>
      <c r="N2547" s="50" t="inlineStr">
        <is>
          <t>NON</t>
        </is>
      </c>
      <c r="O2547" s="45" t="inlineStr"/>
    </row>
    <row r="2548" customFormat="1" s="3">
      <c r="A2548" s="45" t="n"/>
      <c r="B2548" s="46" t="inlineStr">
        <is>
          <t>31664</t>
        </is>
      </c>
      <c r="C2548" s="46">
        <f>LEFT(Tableau1[[#This Row],[Formacode]],3)</f>
        <v/>
      </c>
      <c r="D2548" s="47" t="n">
        <v>38914</v>
      </c>
      <c r="E2548" s="48">
        <f>"RNCP"&amp;D2548</f>
        <v/>
      </c>
      <c r="F2548" s="48" t="inlineStr">
        <is>
          <t>Manager qualité sécurité environnement et performance durable de l'entreprise</t>
        </is>
      </c>
      <c r="G2548" s="49">
        <f>E2548&amp;" - "&amp;F2548</f>
        <v/>
      </c>
      <c r="H2548" s="36" t="inlineStr">
        <is>
          <t>RAS</t>
        </is>
      </c>
      <c r="I2548" s="45" t="inlineStr"/>
      <c r="J2548" s="45" t="inlineStr">
        <is>
          <t>RNCP38914</t>
        </is>
      </c>
      <c r="K2548" s="45" t="inlineStr">
        <is>
          <t>Manager qualité sécurité environnement et performance durable de l'entreprise</t>
        </is>
      </c>
      <c r="L2548" s="45" t="inlineStr">
        <is>
          <t>26/04/2028</t>
        </is>
      </c>
      <c r="M2548" s="45" t="inlineStr">
        <is>
          <t>31664 (Qualité gestion industrielle) ; 32008 (Responsabilité sociétale entreprise) ; 32012 (Gestion processus) ; 32043 (Conseil entreprise) ; 31407 (Qualité hygiène sécurité environnement)</t>
        </is>
      </c>
      <c r="N2548" s="50" t="inlineStr">
        <is>
          <t>NON</t>
        </is>
      </c>
      <c r="O2548" s="45" t="inlineStr"/>
    </row>
    <row r="2549" customFormat="1" s="3">
      <c r="A2549" s="45" t="n"/>
      <c r="B2549" s="46" t="inlineStr">
        <is>
          <t>31664</t>
        </is>
      </c>
      <c r="C2549" s="46">
        <f>LEFT(Tableau1[[#This Row],[Formacode]],3)</f>
        <v/>
      </c>
      <c r="D2549" s="47" t="n">
        <v>39174</v>
      </c>
      <c r="E2549" s="48">
        <f>"RNCP"&amp;D2549</f>
        <v/>
      </c>
      <c r="F2549" s="48" t="inlineStr">
        <is>
          <t>TP - Technicien supérieur des méthodes d'industrialisation</t>
        </is>
      </c>
      <c r="G2549" s="49">
        <f>E2549&amp;" - "&amp;F2549</f>
        <v/>
      </c>
      <c r="H2549" s="36" t="inlineStr">
        <is>
          <t>RAS</t>
        </is>
      </c>
      <c r="I2549" s="45" t="inlineStr"/>
      <c r="J2549" s="45" t="inlineStr">
        <is>
          <t>RNCP39174</t>
        </is>
      </c>
      <c r="K2549" s="45" t="inlineStr">
        <is>
          <t>Technicien supérieur des méthodes d'industrialisation</t>
        </is>
      </c>
      <c r="L2549" s="45" t="inlineStr">
        <is>
          <t>28/06/2029</t>
        </is>
      </c>
      <c r="M2549" s="45" t="inlineStr">
        <is>
          <t>31629 (Bureau des méthodes) ; 31606 (Conduite projet industriel) ; 31664 (Qualité gestion industrielle)</t>
        </is>
      </c>
      <c r="N2549" s="50" t="inlineStr">
        <is>
          <t>NON</t>
        </is>
      </c>
      <c r="O2549" s="45" t="inlineStr"/>
    </row>
    <row r="2550" customFormat="1" s="3">
      <c r="A2550" s="45" t="n"/>
      <c r="B2550" s="46" t="inlineStr">
        <is>
          <t>31664</t>
        </is>
      </c>
      <c r="C2550" s="46">
        <f>LEFT(Tableau1[[#This Row],[Formacode]],3)</f>
        <v/>
      </c>
      <c r="D2550" s="47" t="n">
        <v>39882</v>
      </c>
      <c r="E2550" s="48">
        <f>"RNCP"&amp;D2550</f>
        <v/>
      </c>
      <c r="F2550" s="48" t="inlineStr">
        <is>
          <t>CQP Inspecteur qualité</t>
        </is>
      </c>
      <c r="G2550" s="49">
        <f>E2550&amp;" - "&amp;F2550</f>
        <v/>
      </c>
      <c r="H2550" s="36" t="inlineStr">
        <is>
          <t>RAS</t>
        </is>
      </c>
      <c r="I2550" s="45" t="inlineStr"/>
      <c r="J2550" s="45" t="inlineStr">
        <is>
          <t>RNCP39882</t>
        </is>
      </c>
      <c r="K2550" s="45" t="inlineStr">
        <is>
          <t>CQP Inspecteur qualité</t>
        </is>
      </c>
      <c r="L2550" s="45" t="inlineStr">
        <is>
          <t>28/11/2029</t>
        </is>
      </c>
      <c r="M2550" s="45" t="inlineStr">
        <is>
          <t>31436 (Contrôle qualité) ; 31664 (Qualité gestion industrielle)</t>
        </is>
      </c>
      <c r="N2550" s="50" t="inlineStr">
        <is>
          <t>NON</t>
        </is>
      </c>
      <c r="O2550" s="45" t="inlineStr"/>
    </row>
    <row r="2551" customFormat="1" s="3">
      <c r="A2551" s="45" t="n"/>
      <c r="B2551" s="46" t="inlineStr">
        <is>
          <t>31676</t>
        </is>
      </c>
      <c r="C2551" s="46">
        <f>LEFT(Tableau1[[#This Row],[Formacode]],3)</f>
        <v/>
      </c>
      <c r="D2551" s="47" t="n">
        <v>36191</v>
      </c>
      <c r="E2551" s="48">
        <f>"RNCP"&amp;D2551</f>
        <v/>
      </c>
      <c r="F2551" s="48" t="inlineStr">
        <is>
          <t>BAC PRO - Modélisation et prototypage 3D</t>
        </is>
      </c>
      <c r="G2551" s="49">
        <f>E2551&amp;" - "&amp;F2551</f>
        <v/>
      </c>
      <c r="H2551" s="36" t="inlineStr">
        <is>
          <t>RAS</t>
        </is>
      </c>
      <c r="I2551" s="45" t="inlineStr"/>
      <c r="J2551" s="45" t="inlineStr">
        <is>
          <t>RNCP36191</t>
        </is>
      </c>
      <c r="K2551" s="45" t="inlineStr">
        <is>
          <t>Modélisation et prototypage 3D</t>
        </is>
      </c>
      <c r="L2551" s="45" t="inlineStr">
        <is>
          <t>31/08/2027</t>
        </is>
      </c>
      <c r="M2551" s="45" t="inlineStr">
        <is>
          <t>31684 (CAO) ; 31622 (FAO)</t>
        </is>
      </c>
      <c r="N2551" s="50" t="inlineStr">
        <is>
          <t>NON</t>
        </is>
      </c>
      <c r="O2551" s="45" t="inlineStr"/>
    </row>
    <row r="2552" customFormat="1" s="3">
      <c r="A2552" s="45" t="n"/>
      <c r="B2552" s="46" t="inlineStr">
        <is>
          <t>31676</t>
        </is>
      </c>
      <c r="C2552" s="46">
        <f>LEFT(Tableau1[[#This Row],[Formacode]],3)</f>
        <v/>
      </c>
      <c r="D2552" s="47" t="n">
        <v>37115</v>
      </c>
      <c r="E2552" s="48">
        <f>"RNCP"&amp;D2552</f>
        <v/>
      </c>
      <c r="F2552" s="48" t="inlineStr">
        <is>
          <t>BTS - Conception et réalisation de systèmes automatiques</t>
        </is>
      </c>
      <c r="G2552" s="49">
        <f>E2552&amp;" - "&amp;F2552</f>
        <v/>
      </c>
      <c r="H2552" s="36" t="inlineStr">
        <is>
          <t>RAS</t>
        </is>
      </c>
      <c r="I2552" s="45" t="inlineStr"/>
      <c r="J2552" s="45" t="inlineStr">
        <is>
          <t>RNCP37115</t>
        </is>
      </c>
      <c r="K2552" s="45" t="inlineStr">
        <is>
          <t>Conception et réalisation de systèmes automatiques</t>
        </is>
      </c>
      <c r="L2552" s="45" t="inlineStr">
        <is>
          <t>31/08/2027</t>
        </is>
      </c>
      <c r="M2552" s="45" t="inlineStr">
        <is>
          <t>24472 (Automatisation) ; 31676 (Bureau d'études) ; 24431 (Maintenance système automatisé)</t>
        </is>
      </c>
      <c r="N2552" s="50" t="inlineStr">
        <is>
          <t>NON</t>
        </is>
      </c>
      <c r="O2552" s="45" t="inlineStr"/>
    </row>
    <row r="2553" customFormat="1" s="3">
      <c r="A2553" s="45" t="n"/>
      <c r="B2553" s="46" t="inlineStr">
        <is>
          <t>31676</t>
        </is>
      </c>
      <c r="C2553" s="46">
        <f>LEFT(Tableau1[[#This Row],[Formacode]],3)</f>
        <v/>
      </c>
      <c r="D2553" s="47" t="n">
        <v>37290</v>
      </c>
      <c r="E2553" s="48">
        <f>"RNCP"&amp;D2553</f>
        <v/>
      </c>
      <c r="F2553" s="48" t="inlineStr">
        <is>
          <t>TP - Dessinateur projeteur en construction métallique</t>
        </is>
      </c>
      <c r="G2553" s="49">
        <f>E2553&amp;" - "&amp;F2553</f>
        <v/>
      </c>
      <c r="H2553" s="36" t="inlineStr">
        <is>
          <t>RAS</t>
        </is>
      </c>
      <c r="I2553" s="45" t="inlineStr"/>
      <c r="J2553" s="45" t="inlineStr">
        <is>
          <t>RNCP37290</t>
        </is>
      </c>
      <c r="K2553" s="45" t="inlineStr">
        <is>
          <t>Dessinateur projeteur en construction métallique</t>
        </is>
      </c>
      <c r="L2553" s="45" t="inlineStr">
        <is>
          <t>18/07/2028</t>
        </is>
      </c>
      <c r="M2553" s="45" t="inlineStr">
        <is>
          <t>22398 (Dessin construction) ; 31676 (Bureau d'études) ; 22252 (Dessin BTP)</t>
        </is>
      </c>
      <c r="N2553" s="50" t="inlineStr">
        <is>
          <t>NON</t>
        </is>
      </c>
      <c r="O2553" s="45" t="inlineStr"/>
    </row>
    <row r="2554" customFormat="1" s="3">
      <c r="A2554" s="45" t="n"/>
      <c r="B2554" s="46" t="inlineStr">
        <is>
          <t>31676</t>
        </is>
      </c>
      <c r="C2554" s="46">
        <f>LEFT(Tableau1[[#This Row],[Formacode]],3)</f>
        <v/>
      </c>
      <c r="D2554" s="47" t="n">
        <v>37293</v>
      </c>
      <c r="E2554" s="48">
        <f>"RNCP"&amp;D2554</f>
        <v/>
      </c>
      <c r="F2554" s="48" t="inlineStr">
        <is>
          <t>TP - Dessinateur projeteur d'ouvrages de métallerie</t>
        </is>
      </c>
      <c r="G2554" s="49">
        <f>E2554&amp;" - "&amp;F2554</f>
        <v/>
      </c>
      <c r="H2554" s="36" t="inlineStr">
        <is>
          <t>RAS</t>
        </is>
      </c>
      <c r="I2554" s="45" t="inlineStr"/>
      <c r="J2554" s="45" t="inlineStr">
        <is>
          <t>RNCP37293</t>
        </is>
      </c>
      <c r="K2554" s="45" t="inlineStr">
        <is>
          <t>Dessinateur projeteur d'ouvrages de métallerie</t>
        </is>
      </c>
      <c r="L2554" s="45" t="inlineStr">
        <is>
          <t>11/04/2028</t>
        </is>
      </c>
      <c r="M2554" s="45" t="inlineStr">
        <is>
          <t>22398 (Dessin construction) ; 22252 (Dessin BTP) ; 22232 (Métré BTP) ; 31676 (Bureau d'études)</t>
        </is>
      </c>
      <c r="N2554" s="50" t="inlineStr">
        <is>
          <t>NON</t>
        </is>
      </c>
      <c r="O2554" s="45" t="inlineStr"/>
    </row>
    <row r="2555" customFormat="1" s="3">
      <c r="A2555" s="45" t="n"/>
      <c r="B2555" s="46" t="inlineStr">
        <is>
          <t>31676</t>
        </is>
      </c>
      <c r="C2555" s="46">
        <f>LEFT(Tableau1[[#This Row],[Formacode]],3)</f>
        <v/>
      </c>
      <c r="D2555" s="47" t="n">
        <v>37317</v>
      </c>
      <c r="E2555" s="48">
        <f>"RNCP"&amp;D2555</f>
        <v/>
      </c>
      <c r="F2555" s="48" t="inlineStr">
        <is>
          <t>TP - Technicien supérieur en conception industrielle de systèmes mécaniques</t>
        </is>
      </c>
      <c r="G2555" s="49">
        <f>E2555&amp;" - "&amp;F2555</f>
        <v/>
      </c>
      <c r="H2555" s="36" t="inlineStr">
        <is>
          <t>RAS</t>
        </is>
      </c>
      <c r="I2555" s="45" t="inlineStr"/>
      <c r="J2555" s="45" t="inlineStr">
        <is>
          <t>RNCP37317</t>
        </is>
      </c>
      <c r="K2555" s="45" t="inlineStr">
        <is>
          <t>Technicien supérieur en conception industrielle de systèmes mécaniques</t>
        </is>
      </c>
      <c r="L2555" s="45" t="inlineStr">
        <is>
          <t>20/01/2028</t>
        </is>
      </c>
      <c r="M2555" s="45" t="inlineStr">
        <is>
          <t>23692 (Dessin construction mécanique) ; 31676 (Bureau d'études)</t>
        </is>
      </c>
      <c r="N2555" s="50" t="inlineStr">
        <is>
          <t>NON</t>
        </is>
      </c>
      <c r="O2555" s="45" t="inlineStr"/>
    </row>
    <row r="2556" customFormat="1" s="3">
      <c r="A2556" s="45" t="n"/>
      <c r="B2556" s="46" t="inlineStr">
        <is>
          <t>31676</t>
        </is>
      </c>
      <c r="C2556" s="46">
        <f>LEFT(Tableau1[[#This Row],[Formacode]],3)</f>
        <v/>
      </c>
      <c r="D2556" s="47" t="n">
        <v>37374</v>
      </c>
      <c r="E2556" s="48">
        <f>"RNCP"&amp;D2556</f>
        <v/>
      </c>
      <c r="F2556" s="48" t="inlineStr">
        <is>
          <t>BTS - Conception des produits industriels</t>
        </is>
      </c>
      <c r="G2556" s="49">
        <f>E2556&amp;" - "&amp;F2556</f>
        <v/>
      </c>
      <c r="H2556" s="36" t="inlineStr">
        <is>
          <t>RAS</t>
        </is>
      </c>
      <c r="I2556" s="45" t="inlineStr"/>
      <c r="J2556" s="45" t="inlineStr">
        <is>
          <t>RNCP37374</t>
        </is>
      </c>
      <c r="K2556" s="45" t="inlineStr">
        <is>
          <t>Conception des produits industriels</t>
        </is>
      </c>
      <c r="L2556" s="45" t="inlineStr">
        <is>
          <t>31/08/2028</t>
        </is>
      </c>
      <c r="M2556" s="45" t="inlineStr">
        <is>
          <t>31606 (Conduite projet industriel) ; 31676 (Bureau d'études)</t>
        </is>
      </c>
      <c r="N2556" s="50" t="inlineStr">
        <is>
          <t>NON</t>
        </is>
      </c>
      <c r="O2556" s="45" t="inlineStr"/>
    </row>
    <row r="2557" customFormat="1" s="3">
      <c r="A2557" s="51" t="n"/>
      <c r="B2557" s="52" t="inlineStr">
        <is>
          <t>31676</t>
        </is>
      </c>
      <c r="C2557" s="52">
        <f>LEFT(Tableau1[[#This Row],[Formacode]],3)</f>
        <v/>
      </c>
      <c r="D2557" s="53" t="n">
        <v>38467</v>
      </c>
      <c r="E2557" s="54">
        <f>"RNCP"&amp;D2557</f>
        <v/>
      </c>
      <c r="F2557" s="54" t="inlineStr">
        <is>
          <t>CQP Chargé d'intégration de la productique industrielle</t>
        </is>
      </c>
      <c r="G2557" s="55">
        <f>E2557&amp;" - "&amp;F2557</f>
        <v/>
      </c>
      <c r="H2557" s="37" t="inlineStr">
        <is>
          <t>À vérifier</t>
        </is>
      </c>
      <c r="I2557" s="51" t="inlineStr">
        <is>
          <t>Échéance le 21/12/2026 (dans 156 j)</t>
        </is>
      </c>
      <c r="J2557" s="51" t="inlineStr">
        <is>
          <t>RNCP38467</t>
        </is>
      </c>
      <c r="K2557" s="51" t="inlineStr">
        <is>
          <t>CQP Chargé d'intégration de la productique industrielle</t>
        </is>
      </c>
      <c r="L2557" s="51" t="inlineStr">
        <is>
          <t>21/12/2026</t>
        </is>
      </c>
      <c r="M2557" s="51" t="inlineStr">
        <is>
          <t>31632 (Productique) ; 31676 (Bureau d'études) ; 31629 (Bureau des méthodes)</t>
        </is>
      </c>
      <c r="N2557" s="62" t="inlineStr">
        <is>
          <t>NON</t>
        </is>
      </c>
      <c r="O2557" s="51" t="inlineStr"/>
    </row>
    <row r="2558" customFormat="1" s="3">
      <c r="A2558" s="45" t="n"/>
      <c r="B2558" s="46" t="inlineStr">
        <is>
          <t>31676</t>
        </is>
      </c>
      <c r="C2558" s="46">
        <f>LEFT(Tableau1[[#This Row],[Formacode]],3)</f>
        <v/>
      </c>
      <c r="D2558" s="47" t="n">
        <v>38743</v>
      </c>
      <c r="E2558" s="48">
        <f>"RNCP"&amp;D2558</f>
        <v/>
      </c>
      <c r="F2558" s="48" t="inlineStr">
        <is>
          <t>BTS - Conception et industrialisation en microtechniques</t>
        </is>
      </c>
      <c r="G2558" s="49">
        <f>E2558&amp;" - "&amp;F2558</f>
        <v/>
      </c>
      <c r="H2558" s="36" t="inlineStr">
        <is>
          <t>RAS</t>
        </is>
      </c>
      <c r="I2558" s="45" t="inlineStr"/>
      <c r="J2558" s="45" t="inlineStr">
        <is>
          <t>RNCP38743</t>
        </is>
      </c>
      <c r="K2558" s="45" t="inlineStr">
        <is>
          <t>Conception et industrialisation en microtechniques</t>
        </is>
      </c>
      <c r="L2558" s="45" t="inlineStr">
        <is>
          <t>31/12/2028</t>
        </is>
      </c>
      <c r="M2558" s="45" t="inlineStr">
        <is>
          <t>23661 (Mécanique précision) ; 31676 (Bureau d'études) ; 31629 (Bureau des méthodes)</t>
        </is>
      </c>
      <c r="N2558" s="50" t="inlineStr">
        <is>
          <t>NON</t>
        </is>
      </c>
      <c r="O2558" s="45" t="inlineStr"/>
    </row>
    <row r="2559" customFormat="1" s="3">
      <c r="A2559" s="45" t="n"/>
      <c r="B2559" s="46" t="inlineStr">
        <is>
          <t>31676</t>
        </is>
      </c>
      <c r="C2559" s="46">
        <f>LEFT(Tableau1[[#This Row],[Formacode]],3)</f>
        <v/>
      </c>
      <c r="D2559" s="47" t="n">
        <v>39033</v>
      </c>
      <c r="E2559" s="48">
        <f>"RNCP"&amp;D2559</f>
        <v/>
      </c>
      <c r="F2559" s="48" t="inlineStr">
        <is>
          <t>BAC PRO - Technicien d'études du bâtiment</t>
        </is>
      </c>
      <c r="G2559" s="49">
        <f>E2559&amp;" - "&amp;F2559</f>
        <v/>
      </c>
      <c r="H2559" s="36" t="inlineStr">
        <is>
          <t>RAS</t>
        </is>
      </c>
      <c r="I2559" s="45" t="inlineStr"/>
      <c r="J2559" s="45" t="inlineStr">
        <is>
          <t>RNCP39033</t>
        </is>
      </c>
      <c r="K2559" s="45" t="inlineStr">
        <is>
          <t>Technicien d'études du bâtiment</t>
        </is>
      </c>
      <c r="L2559" s="45" t="inlineStr">
        <is>
          <t>31/08/2029</t>
        </is>
      </c>
      <c r="M2559" s="45" t="inlineStr">
        <is>
          <t>22294 (Conduite chantier BTP) ; 31685 (DAO) ; 22279 (Maîtrise d'oeuvre BTP) ; 22232 (Métré BTP)</t>
        </is>
      </c>
      <c r="N2559" s="50" t="inlineStr">
        <is>
          <t>NON</t>
        </is>
      </c>
      <c r="O2559" s="45" t="inlineStr"/>
    </row>
    <row r="2560" customFormat="1" s="3">
      <c r="A2560" s="45" t="n"/>
      <c r="B2560" s="46" t="inlineStr">
        <is>
          <t>31676</t>
        </is>
      </c>
      <c r="C2560" s="46">
        <f>LEFT(Tableau1[[#This Row],[Formacode]],3)</f>
        <v/>
      </c>
      <c r="D2560" s="47" t="n">
        <v>39175</v>
      </c>
      <c r="E2560" s="48">
        <f>"RNCP"&amp;D2560</f>
        <v/>
      </c>
      <c r="F2560" s="48" t="inlineStr">
        <is>
          <t>TP - Dessinateur projeteur en tuyauterie et chaudronnerie industrielles</t>
        </is>
      </c>
      <c r="G2560" s="49">
        <f>E2560&amp;" - "&amp;F2560</f>
        <v/>
      </c>
      <c r="H2560" s="36" t="inlineStr">
        <is>
          <t>RAS</t>
        </is>
      </c>
      <c r="I2560" s="45" t="inlineStr"/>
      <c r="J2560" s="45" t="inlineStr">
        <is>
          <t>RNCP39175</t>
        </is>
      </c>
      <c r="K2560" s="45" t="inlineStr">
        <is>
          <t>Dessinateur projeteur en tuyauterie et chaudronnerie industrielles</t>
        </is>
      </c>
      <c r="L2560" s="45" t="inlineStr">
        <is>
          <t>07/07/2029</t>
        </is>
      </c>
      <c r="M2560" s="45" t="inlineStr">
        <is>
          <t>31676 (Bureau d'études)</t>
        </is>
      </c>
      <c r="N2560" s="50" t="inlineStr">
        <is>
          <t>NON</t>
        </is>
      </c>
      <c r="O2560" s="45" t="inlineStr"/>
    </row>
    <row r="2561" customFormat="1" s="3">
      <c r="A2561" s="45" t="n"/>
      <c r="B2561" s="46" t="inlineStr">
        <is>
          <t>31676</t>
        </is>
      </c>
      <c r="C2561" s="46">
        <f>LEFT(Tableau1[[#This Row],[Formacode]],3)</f>
        <v/>
      </c>
      <c r="D2561" s="47" t="n">
        <v>40029</v>
      </c>
      <c r="E2561" s="48">
        <f>"RNCP"&amp;D2561</f>
        <v/>
      </c>
      <c r="F2561" s="48" t="inlineStr">
        <is>
          <t>BTS - Construction et aménagement de véhicules</t>
        </is>
      </c>
      <c r="G2561" s="49">
        <f>E2561&amp;" - "&amp;F2561</f>
        <v/>
      </c>
      <c r="H2561" s="36" t="inlineStr">
        <is>
          <t>RAS</t>
        </is>
      </c>
      <c r="I2561" s="45" t="inlineStr"/>
      <c r="J2561" s="45" t="inlineStr">
        <is>
          <t>RNCP40029</t>
        </is>
      </c>
      <c r="K2561" s="45" t="inlineStr">
        <is>
          <t>Construction et aménagement de véhicules</t>
        </is>
      </c>
      <c r="L2561" s="45" t="inlineStr">
        <is>
          <t>31/08/2030</t>
        </is>
      </c>
      <c r="M2561" s="45" t="inlineStr">
        <is>
          <t>23657 (Aménagement véhicule automobile) ; 31676 (Bureau d'études) ; 23617 (Carrosserie)</t>
        </is>
      </c>
      <c r="N2561" s="50" t="inlineStr">
        <is>
          <t>NON</t>
        </is>
      </c>
      <c r="O2561" s="45" t="inlineStr"/>
    </row>
    <row r="2562" customFormat="1" s="3">
      <c r="A2562" s="45" t="n"/>
      <c r="B2562" s="46" t="inlineStr">
        <is>
          <t>31676</t>
        </is>
      </c>
      <c r="C2562" s="46">
        <f>LEFT(Tableau1[[#This Row],[Formacode]],3)</f>
        <v/>
      </c>
      <c r="D2562" s="47" t="n">
        <v>40215</v>
      </c>
      <c r="E2562" s="48">
        <f>"RNCP"&amp;D2562</f>
        <v/>
      </c>
      <c r="F2562" s="48" t="inlineStr">
        <is>
          <t>TP - Technicien d'études en mécanique</t>
        </is>
      </c>
      <c r="G2562" s="49">
        <f>E2562&amp;" - "&amp;F2562</f>
        <v/>
      </c>
      <c r="H2562" s="36" t="inlineStr">
        <is>
          <t>RAS</t>
        </is>
      </c>
      <c r="I2562" s="45" t="inlineStr"/>
      <c r="J2562" s="45" t="inlineStr">
        <is>
          <t>RNCP40215</t>
        </is>
      </c>
      <c r="K2562" s="45" t="inlineStr">
        <is>
          <t>Technicien d'études en mécanique</t>
        </is>
      </c>
      <c r="L2562" s="45" t="inlineStr">
        <is>
          <t>15/03/2028</t>
        </is>
      </c>
      <c r="M2562" s="45" t="inlineStr">
        <is>
          <t>23692 (Dessin construction mécanique) ; 31676 (Bureau d'études)</t>
        </is>
      </c>
      <c r="N2562" s="50" t="inlineStr">
        <is>
          <t>NON</t>
        </is>
      </c>
      <c r="O2562" s="45" t="inlineStr"/>
    </row>
    <row r="2563" customFormat="1" s="3">
      <c r="A2563" s="45" t="n"/>
      <c r="B2563" s="46" t="inlineStr">
        <is>
          <t>31676</t>
        </is>
      </c>
      <c r="C2563" s="46">
        <f>LEFT(Tableau1[[#This Row],[Formacode]],3)</f>
        <v/>
      </c>
      <c r="D2563" s="47" t="n">
        <v>41300</v>
      </c>
      <c r="E2563" s="48">
        <f>"RNCP"&amp;D2563</f>
        <v/>
      </c>
      <c r="F2563" s="48" t="inlineStr">
        <is>
          <t>Créateur de produits technologiques et durables (MS)</t>
        </is>
      </c>
      <c r="G2563" s="49">
        <f>E2563&amp;" - "&amp;F2563</f>
        <v/>
      </c>
      <c r="H2563" s="36" t="inlineStr">
        <is>
          <t>RAS</t>
        </is>
      </c>
      <c r="I2563" s="45" t="inlineStr"/>
      <c r="J2563" s="45" t="inlineStr">
        <is>
          <t>RNCP41300</t>
        </is>
      </c>
      <c r="K2563" s="45" t="inlineStr">
        <is>
          <t>Créateur de produits technologiques et durables (MS)</t>
        </is>
      </c>
      <c r="L2563" s="45" t="inlineStr">
        <is>
          <t>24/09/2030</t>
        </is>
      </c>
      <c r="M2563" s="45" t="inlineStr">
        <is>
          <t>12522 (Développement durable) ; 45027 (Art appliqué) ; 31684 (CAO) ; 31028 (Intelligence artificielle) ; 31606 (Conduite projet industriel)</t>
        </is>
      </c>
      <c r="N2563" s="50" t="inlineStr">
        <is>
          <t>NON</t>
        </is>
      </c>
      <c r="O2563" s="45" t="inlineStr"/>
    </row>
    <row r="2564" customFormat="1" s="3">
      <c r="A2564" s="45" t="n"/>
      <c r="B2564" s="46" t="inlineStr">
        <is>
          <t>31676</t>
        </is>
      </c>
      <c r="C2564" s="46">
        <f>LEFT(Tableau1[[#This Row],[Formacode]],3)</f>
        <v/>
      </c>
      <c r="D2564" s="47" t="n">
        <v>41334</v>
      </c>
      <c r="E2564" s="48">
        <f>"RNCP"&amp;D2564</f>
        <v/>
      </c>
      <c r="F2564" s="48" t="inlineStr">
        <is>
          <t>CQP Dessinateur d’études industrielles</t>
        </is>
      </c>
      <c r="G2564" s="49">
        <f>E2564&amp;" - "&amp;F2564</f>
        <v/>
      </c>
      <c r="H2564" s="36" t="inlineStr">
        <is>
          <t>RAS</t>
        </is>
      </c>
      <c r="I2564" s="45" t="inlineStr"/>
      <c r="J2564" s="45" t="inlineStr">
        <is>
          <t>RNCP41334</t>
        </is>
      </c>
      <c r="K2564" s="45" t="inlineStr">
        <is>
          <t>CQP Dessinateur d’études industrielles</t>
        </is>
      </c>
      <c r="L2564" s="45" t="inlineStr">
        <is>
          <t>24/09/2030</t>
        </is>
      </c>
      <c r="M2564" s="45" t="inlineStr">
        <is>
          <t>31686 (Dessin industriel) ; 22398 (Dessin construction) ; 23692 (Dessin construction mécanique) ; 31684 (CAO)</t>
        </is>
      </c>
      <c r="N2564" s="50" t="inlineStr">
        <is>
          <t>NON</t>
        </is>
      </c>
      <c r="O2564" s="45" t="inlineStr"/>
    </row>
    <row r="2565" customFormat="1" s="3">
      <c r="A2565" s="45" t="n"/>
      <c r="B2565" s="46" t="inlineStr">
        <is>
          <t>31701</t>
        </is>
      </c>
      <c r="C2565" s="46">
        <f>LEFT(Tableau1[[#This Row],[Formacode]],3)</f>
        <v/>
      </c>
      <c r="D2565" s="47" t="n">
        <v>36966</v>
      </c>
      <c r="E2565" s="48">
        <f>"RNCP"&amp;D2565</f>
        <v/>
      </c>
      <c r="F2565" s="48" t="inlineStr">
        <is>
          <t>BTS - Motorisations toutes énergies</t>
        </is>
      </c>
      <c r="G2565" s="49">
        <f>E2565&amp;" - "&amp;F2565</f>
        <v/>
      </c>
      <c r="H2565" s="36" t="inlineStr">
        <is>
          <t>RAS</t>
        </is>
      </c>
      <c r="I2565" s="45" t="inlineStr"/>
      <c r="J2565" s="45" t="inlineStr">
        <is>
          <t>RNCP36966</t>
        </is>
      </c>
      <c r="K2565" s="45" t="inlineStr">
        <is>
          <t>Motorisations toutes énergies</t>
        </is>
      </c>
      <c r="L2565" s="45" t="inlineStr">
        <is>
          <t>31/08/2027</t>
        </is>
      </c>
      <c r="M2565" s="45" t="inlineStr">
        <is>
          <t>23677 (Moteur) ; 31754 (Manutention) ; 11452 (Thermodynamique)</t>
        </is>
      </c>
      <c r="N2565" s="50" t="inlineStr">
        <is>
          <t>NON</t>
        </is>
      </c>
      <c r="O2565" s="45" t="inlineStr"/>
    </row>
    <row r="2566" customFormat="1" s="3">
      <c r="A2566" s="45" t="n"/>
      <c r="B2566" s="46" t="inlineStr">
        <is>
          <t>31701</t>
        </is>
      </c>
      <c r="C2566" s="46">
        <f>LEFT(Tableau1[[#This Row],[Formacode]],3)</f>
        <v/>
      </c>
      <c r="D2566" s="47" t="n">
        <v>37847</v>
      </c>
      <c r="E2566" s="48">
        <f>"RNCP"&amp;D2566</f>
        <v/>
      </c>
      <c r="F2566" s="48" t="inlineStr">
        <is>
          <t>CQP Accrocheur-rigger</t>
        </is>
      </c>
      <c r="G2566" s="49">
        <f>E2566&amp;" - "&amp;F2566</f>
        <v/>
      </c>
      <c r="H2566" s="36" t="inlineStr">
        <is>
          <t>RAS</t>
        </is>
      </c>
      <c r="I2566" s="45" t="inlineStr"/>
      <c r="J2566" s="45" t="inlineStr">
        <is>
          <t>RNCP37847</t>
        </is>
      </c>
      <c r="K2566" s="45" t="inlineStr">
        <is>
          <t>CQP Accrocheur-rigger</t>
        </is>
      </c>
      <c r="L2566" s="45" t="inlineStr">
        <is>
          <t>19/07/2028</t>
        </is>
      </c>
      <c r="M2566" s="45" t="inlineStr">
        <is>
          <t>31701 (Sécurité travaux en hauteur)</t>
        </is>
      </c>
      <c r="N2566" s="50" t="inlineStr">
        <is>
          <t>NON</t>
        </is>
      </c>
      <c r="O2566" s="45" t="inlineStr"/>
    </row>
    <row r="2567" customFormat="1" s="3">
      <c r="A2567" s="45" t="n"/>
      <c r="B2567" s="46" t="inlineStr">
        <is>
          <t>31701</t>
        </is>
      </c>
      <c r="C2567" s="46">
        <f>LEFT(Tableau1[[#This Row],[Formacode]],3)</f>
        <v/>
      </c>
      <c r="D2567" s="47" t="n">
        <v>37895</v>
      </c>
      <c r="E2567" s="48">
        <f>"RNCP"&amp;D2567</f>
        <v/>
      </c>
      <c r="F2567" s="48" t="inlineStr">
        <is>
          <t>Certificat d'aptitude professionnelle - Déménageur sur véhicule utile léger</t>
        </is>
      </c>
      <c r="G2567" s="49">
        <f>E2567&amp;" - "&amp;F2567</f>
        <v/>
      </c>
      <c r="H2567" s="36" t="inlineStr">
        <is>
          <t>RAS</t>
        </is>
      </c>
      <c r="I2567" s="45" t="inlineStr"/>
      <c r="J2567" s="45" t="inlineStr">
        <is>
          <t>RNCP37895</t>
        </is>
      </c>
      <c r="K2567" s="45" t="inlineStr">
        <is>
          <t>Déménageur sur véhicule utile léger</t>
        </is>
      </c>
      <c r="L2567" s="45" t="inlineStr">
        <is>
          <t>31/08/2028</t>
        </is>
      </c>
      <c r="M2567" s="45" t="inlineStr">
        <is>
          <t>31809 (Déménagement) ; 31754 (Manutention)</t>
        </is>
      </c>
      <c r="N2567" s="50" t="inlineStr">
        <is>
          <t>NON</t>
        </is>
      </c>
      <c r="O2567" s="45" t="inlineStr"/>
    </row>
    <row r="2568" customFormat="1" s="3">
      <c r="A2568" s="45" t="n"/>
      <c r="B2568" s="46" t="inlineStr">
        <is>
          <t>31701</t>
        </is>
      </c>
      <c r="C2568" s="46">
        <f>LEFT(Tableau1[[#This Row],[Formacode]],3)</f>
        <v/>
      </c>
      <c r="D2568" s="47" t="n">
        <v>38217</v>
      </c>
      <c r="E2568" s="48">
        <f>"RNCP"&amp;D2568</f>
        <v/>
      </c>
      <c r="F2568" s="48" t="inlineStr">
        <is>
          <t>BTS - Pilotage de procédés</t>
        </is>
      </c>
      <c r="G2568" s="49">
        <f>E2568&amp;" - "&amp;F2568</f>
        <v/>
      </c>
      <c r="H2568" s="36" t="inlineStr">
        <is>
          <t>RAS</t>
        </is>
      </c>
      <c r="I2568" s="45" t="inlineStr"/>
      <c r="J2568" s="45" t="inlineStr">
        <is>
          <t>RNCP38217</t>
        </is>
      </c>
      <c r="K2568" s="45" t="inlineStr">
        <is>
          <t>Pilotage de procédés</t>
        </is>
      </c>
      <c r="L2568" s="45" t="inlineStr">
        <is>
          <t>31/12/2028</t>
        </is>
      </c>
      <c r="M2568" s="45" t="inlineStr">
        <is>
          <t>31754 (Manutention)</t>
        </is>
      </c>
      <c r="N2568" s="50" t="inlineStr">
        <is>
          <t>NON</t>
        </is>
      </c>
      <c r="O2568" s="45" t="inlineStr"/>
    </row>
    <row r="2569" customFormat="1" s="3">
      <c r="A2569" s="45" t="n"/>
      <c r="B2569" s="46" t="inlineStr">
        <is>
          <t>31701</t>
        </is>
      </c>
      <c r="C2569" s="46">
        <f>LEFT(Tableau1[[#This Row],[Formacode]],3)</f>
        <v/>
      </c>
      <c r="D2569" s="47" t="n">
        <v>41326</v>
      </c>
      <c r="E2569" s="48">
        <f>"RNCP"&amp;D2569</f>
        <v/>
      </c>
      <c r="F2569" s="48" t="inlineStr">
        <is>
          <t>CQP Laveur de vitres</t>
        </is>
      </c>
      <c r="G2569" s="49">
        <f>E2569&amp;" - "&amp;F2569</f>
        <v/>
      </c>
      <c r="H2569" s="36" t="inlineStr">
        <is>
          <t>RAS</t>
        </is>
      </c>
      <c r="I2569" s="45" t="inlineStr"/>
      <c r="J2569" s="45" t="inlineStr">
        <is>
          <t>RNCP41326</t>
        </is>
      </c>
      <c r="K2569" s="45" t="inlineStr">
        <is>
          <t>CQP Laveur de vitres</t>
        </is>
      </c>
      <c r="L2569" s="45" t="inlineStr">
        <is>
          <t>24/09/2030</t>
        </is>
      </c>
      <c r="M2569" s="45" t="inlineStr">
        <is>
          <t>42084 (Entretien vitre) ; 31701 (Sécurité travaux en hauteur)</t>
        </is>
      </c>
      <c r="N2569" s="50" t="inlineStr">
        <is>
          <t>NON</t>
        </is>
      </c>
      <c r="O2569" s="45" t="inlineStr"/>
    </row>
    <row r="2570" customFormat="1" s="3">
      <c r="A2570" s="45" t="n"/>
      <c r="B2570" s="46" t="inlineStr">
        <is>
          <t>31702</t>
        </is>
      </c>
      <c r="C2570" s="46">
        <f>LEFT(Tableau1[[#This Row],[Formacode]],3)</f>
        <v/>
      </c>
      <c r="D2570" s="47" t="n">
        <v>36966</v>
      </c>
      <c r="E2570" s="48">
        <f>"RNCP"&amp;D2570</f>
        <v/>
      </c>
      <c r="F2570" s="48" t="inlineStr">
        <is>
          <t>BTS - Motorisations toutes énergies</t>
        </is>
      </c>
      <c r="G2570" s="49">
        <f>E2570&amp;" - "&amp;F2570</f>
        <v/>
      </c>
      <c r="H2570" s="36" t="inlineStr">
        <is>
          <t>RAS</t>
        </is>
      </c>
      <c r="I2570" s="45" t="inlineStr"/>
      <c r="J2570" s="45" t="inlineStr">
        <is>
          <t>RNCP36966</t>
        </is>
      </c>
      <c r="K2570" s="45" t="inlineStr">
        <is>
          <t>Motorisations toutes énergies</t>
        </is>
      </c>
      <c r="L2570" s="45" t="inlineStr">
        <is>
          <t>31/08/2027</t>
        </is>
      </c>
      <c r="M2570" s="45" t="inlineStr">
        <is>
          <t>23677 (Moteur) ; 31754 (Manutention) ; 11452 (Thermodynamique)</t>
        </is>
      </c>
      <c r="N2570" s="50" t="inlineStr">
        <is>
          <t>NON</t>
        </is>
      </c>
      <c r="O2570" s="45" t="inlineStr"/>
    </row>
    <row r="2571" customFormat="1" s="3">
      <c r="A2571" s="45" t="n"/>
      <c r="B2571" s="46" t="inlineStr">
        <is>
          <t>31702</t>
        </is>
      </c>
      <c r="C2571" s="46">
        <f>LEFT(Tableau1[[#This Row],[Formacode]],3)</f>
        <v/>
      </c>
      <c r="D2571" s="47" t="n">
        <v>37895</v>
      </c>
      <c r="E2571" s="48">
        <f>"RNCP"&amp;D2571</f>
        <v/>
      </c>
      <c r="F2571" s="48" t="inlineStr">
        <is>
          <t>Certificat d'aptitude professionnelle - Déménageur sur véhicule utile léger</t>
        </is>
      </c>
      <c r="G2571" s="49">
        <f>E2571&amp;" - "&amp;F2571</f>
        <v/>
      </c>
      <c r="H2571" s="36" t="inlineStr">
        <is>
          <t>RAS</t>
        </is>
      </c>
      <c r="I2571" s="45" t="inlineStr"/>
      <c r="J2571" s="45" t="inlineStr">
        <is>
          <t>RNCP37895</t>
        </is>
      </c>
      <c r="K2571" s="45" t="inlineStr">
        <is>
          <t>Déménageur sur véhicule utile léger</t>
        </is>
      </c>
      <c r="L2571" s="45" t="inlineStr">
        <is>
          <t>31/08/2028</t>
        </is>
      </c>
      <c r="M2571" s="45" t="inlineStr">
        <is>
          <t>31809 (Déménagement) ; 31754 (Manutention)</t>
        </is>
      </c>
      <c r="N2571" s="50" t="inlineStr">
        <is>
          <t>NON</t>
        </is>
      </c>
      <c r="O2571" s="45" t="inlineStr"/>
    </row>
    <row r="2572" customFormat="1" s="3">
      <c r="A2572" s="45" t="n"/>
      <c r="B2572" s="46" t="inlineStr">
        <is>
          <t>31702</t>
        </is>
      </c>
      <c r="C2572" s="46">
        <f>LEFT(Tableau1[[#This Row],[Formacode]],3)</f>
        <v/>
      </c>
      <c r="D2572" s="47" t="n">
        <v>38217</v>
      </c>
      <c r="E2572" s="48">
        <f>"RNCP"&amp;D2572</f>
        <v/>
      </c>
      <c r="F2572" s="48" t="inlineStr">
        <is>
          <t>BTS - Pilotage de procédés</t>
        </is>
      </c>
      <c r="G2572" s="49">
        <f>E2572&amp;" - "&amp;F2572</f>
        <v/>
      </c>
      <c r="H2572" s="36" t="inlineStr">
        <is>
          <t>RAS</t>
        </is>
      </c>
      <c r="I2572" s="45" t="inlineStr"/>
      <c r="J2572" s="45" t="inlineStr">
        <is>
          <t>RNCP38217</t>
        </is>
      </c>
      <c r="K2572" s="45" t="inlineStr">
        <is>
          <t>Pilotage de procédés</t>
        </is>
      </c>
      <c r="L2572" s="45" t="inlineStr">
        <is>
          <t>31/12/2028</t>
        </is>
      </c>
      <c r="M2572" s="45" t="inlineStr">
        <is>
          <t>31754 (Manutention)</t>
        </is>
      </c>
      <c r="N2572" s="50" t="inlineStr">
        <is>
          <t>NON</t>
        </is>
      </c>
      <c r="O2572" s="45" t="inlineStr"/>
    </row>
    <row r="2573" customFormat="1" s="3">
      <c r="A2573" s="45" t="n"/>
      <c r="B2573" s="46" t="inlineStr">
        <is>
          <t>31734</t>
        </is>
      </c>
      <c r="C2573" s="46">
        <f>LEFT(Tableau1[[#This Row],[Formacode]],3)</f>
        <v/>
      </c>
      <c r="D2573" s="47" t="n">
        <v>36221</v>
      </c>
      <c r="E2573" s="48">
        <f>"RNCP"&amp;D2573</f>
        <v/>
      </c>
      <c r="F2573" s="48" t="inlineStr">
        <is>
          <t>Conseiller de vente pièces de rechange et accessoires</t>
        </is>
      </c>
      <c r="G2573" s="49">
        <f>E2573&amp;" - "&amp;F2573</f>
        <v/>
      </c>
      <c r="H2573" s="36" t="inlineStr">
        <is>
          <t>RAS</t>
        </is>
      </c>
      <c r="I2573" s="45" t="inlineStr"/>
      <c r="J2573" s="45" t="inlineStr">
        <is>
          <t>RNCP36221</t>
        </is>
      </c>
      <c r="K2573" s="45" t="inlineStr">
        <is>
          <t>Conseiller de vente pièces de rechange et accessoires</t>
        </is>
      </c>
      <c r="L2573" s="45" t="inlineStr">
        <is>
          <t>25/02/2027</t>
        </is>
      </c>
      <c r="M2573" s="45" t="inlineStr">
        <is>
          <t>31734 (Magasinage)</t>
        </is>
      </c>
      <c r="N2573" s="50" t="inlineStr">
        <is>
          <t>NON</t>
        </is>
      </c>
      <c r="O2573" s="45" t="inlineStr"/>
    </row>
    <row r="2574" customFormat="1" s="3">
      <c r="A2574" s="45" t="n"/>
      <c r="B2574" s="46" t="inlineStr">
        <is>
          <t>31734</t>
        </is>
      </c>
      <c r="C2574" s="46">
        <f>LEFT(Tableau1[[#This Row],[Formacode]],3)</f>
        <v/>
      </c>
      <c r="D2574" s="47" t="n">
        <v>36237</v>
      </c>
      <c r="E2574" s="48">
        <f>"RNCP"&amp;D2574</f>
        <v/>
      </c>
      <c r="F2574" s="48" t="inlineStr">
        <is>
          <t>TP - Technicien en logistique d'entreposage</t>
        </is>
      </c>
      <c r="G2574" s="49">
        <f>E2574&amp;" - "&amp;F2574</f>
        <v/>
      </c>
      <c r="H2574" s="36" t="inlineStr">
        <is>
          <t>RAS</t>
        </is>
      </c>
      <c r="I2574" s="45" t="inlineStr"/>
      <c r="J2574" s="45" t="inlineStr">
        <is>
          <t>RNCP36237</t>
        </is>
      </c>
      <c r="K2574" s="45" t="inlineStr">
        <is>
          <t>Technicien en logistique d'entreposage</t>
        </is>
      </c>
      <c r="L2574" s="45" t="inlineStr">
        <is>
          <t>21/04/2027</t>
        </is>
      </c>
      <c r="M2574" s="45" t="inlineStr">
        <is>
          <t>31721 (Entreposage stockage) ; 31845 (Logistique)</t>
        </is>
      </c>
      <c r="N2574" s="50" t="inlineStr">
        <is>
          <t>NON</t>
        </is>
      </c>
      <c r="O2574" s="45" t="inlineStr"/>
    </row>
    <row r="2575" customFormat="1" s="3">
      <c r="A2575" s="45" t="n"/>
      <c r="B2575" s="46" t="inlineStr">
        <is>
          <t>31734</t>
        </is>
      </c>
      <c r="C2575" s="46">
        <f>LEFT(Tableau1[[#This Row],[Formacode]],3)</f>
        <v/>
      </c>
      <c r="D2575" s="47" t="n">
        <v>36966</v>
      </c>
      <c r="E2575" s="48">
        <f>"RNCP"&amp;D2575</f>
        <v/>
      </c>
      <c r="F2575" s="48" t="inlineStr">
        <is>
          <t>BTS - Motorisations toutes énergies</t>
        </is>
      </c>
      <c r="G2575" s="49">
        <f>E2575&amp;" - "&amp;F2575</f>
        <v/>
      </c>
      <c r="H2575" s="36" t="inlineStr">
        <is>
          <t>RAS</t>
        </is>
      </c>
      <c r="I2575" s="45" t="inlineStr"/>
      <c r="J2575" s="45" t="inlineStr">
        <is>
          <t>RNCP36966</t>
        </is>
      </c>
      <c r="K2575" s="45" t="inlineStr">
        <is>
          <t>Motorisations toutes énergies</t>
        </is>
      </c>
      <c r="L2575" s="45" t="inlineStr">
        <is>
          <t>31/08/2027</t>
        </is>
      </c>
      <c r="M2575" s="45" t="inlineStr">
        <is>
          <t>23677 (Moteur) ; 31754 (Manutention) ; 11452 (Thermodynamique)</t>
        </is>
      </c>
      <c r="N2575" s="50" t="inlineStr">
        <is>
          <t>NON</t>
        </is>
      </c>
      <c r="O2575" s="45" t="inlineStr"/>
    </row>
    <row r="2576" customFormat="1" s="3">
      <c r="A2576" s="45" t="n"/>
      <c r="B2576" s="46" t="inlineStr">
        <is>
          <t>31734</t>
        </is>
      </c>
      <c r="C2576" s="46">
        <f>LEFT(Tableau1[[#This Row],[Formacode]],3)</f>
        <v/>
      </c>
      <c r="D2576" s="47" t="n">
        <v>37099</v>
      </c>
      <c r="E2576" s="48">
        <f>"RNCP"&amp;D2576</f>
        <v/>
      </c>
      <c r="F2576" s="48" t="inlineStr">
        <is>
          <t>TP - Employé commercial</t>
        </is>
      </c>
      <c r="G2576" s="49">
        <f>E2576&amp;" - "&amp;F2576</f>
        <v/>
      </c>
      <c r="H2576" s="36" t="inlineStr">
        <is>
          <t>RAS</t>
        </is>
      </c>
      <c r="I2576" s="45" t="inlineStr"/>
      <c r="J2576" s="45" t="inlineStr">
        <is>
          <t>RNCP37099</t>
        </is>
      </c>
      <c r="K2576" s="45" t="inlineStr">
        <is>
          <t>Employé commercial</t>
        </is>
      </c>
      <c r="L2576" s="45" t="inlineStr">
        <is>
          <t>15/12/2027</t>
        </is>
      </c>
      <c r="M2576" s="45" t="inlineStr">
        <is>
          <t>34566 (Vente distribution) ; 31734 (Magasinage)</t>
        </is>
      </c>
      <c r="N2576" s="50" t="inlineStr">
        <is>
          <t>NON</t>
        </is>
      </c>
      <c r="O2576" s="45" t="inlineStr"/>
    </row>
    <row r="2577" customFormat="1" s="3">
      <c r="A2577" s="45" t="n"/>
      <c r="B2577" s="46" t="inlineStr">
        <is>
          <t>31734</t>
        </is>
      </c>
      <c r="C2577" s="46">
        <f>LEFT(Tableau1[[#This Row],[Formacode]],3)</f>
        <v/>
      </c>
      <c r="D2577" s="47" t="n">
        <v>37277</v>
      </c>
      <c r="E2577" s="48">
        <f>"RNCP"&amp;D2577</f>
        <v/>
      </c>
      <c r="F2577" s="48" t="inlineStr">
        <is>
          <t>TP - Technicien supérieur en méthodes et exploitation logistique</t>
        </is>
      </c>
      <c r="G2577" s="49">
        <f>E2577&amp;" - "&amp;F2577</f>
        <v/>
      </c>
      <c r="H2577" s="36" t="inlineStr">
        <is>
          <t>RAS</t>
        </is>
      </c>
      <c r="I2577" s="45" t="inlineStr"/>
      <c r="J2577" s="45" t="inlineStr">
        <is>
          <t>RNCP37277</t>
        </is>
      </c>
      <c r="K2577" s="45" t="inlineStr">
        <is>
          <t>Technicien supérieur en méthodes et exploitation logistique</t>
        </is>
      </c>
      <c r="L2577" s="45" t="inlineStr">
        <is>
          <t>08/03/2028</t>
        </is>
      </c>
      <c r="M2577" s="45" t="inlineStr">
        <is>
          <t>31845 (Logistique) ; 31663 (Gestion stock) ; 31734 (Magasinage)</t>
        </is>
      </c>
      <c r="N2577" s="50" t="inlineStr">
        <is>
          <t>NON</t>
        </is>
      </c>
      <c r="O2577" s="45" t="inlineStr"/>
    </row>
    <row r="2578" customFormat="1" s="3">
      <c r="A2578" s="45" t="n"/>
      <c r="B2578" s="46" t="inlineStr">
        <is>
          <t>31734</t>
        </is>
      </c>
      <c r="C2578" s="46">
        <f>LEFT(Tableau1[[#This Row],[Formacode]],3)</f>
        <v/>
      </c>
      <c r="D2578" s="47" t="n">
        <v>37284</v>
      </c>
      <c r="E2578" s="48">
        <f>"RNCP"&amp;D2578</f>
        <v/>
      </c>
      <c r="F2578" s="48" t="inlineStr">
        <is>
          <t>CQP Magasinier en négoce des matériaux de construction</t>
        </is>
      </c>
      <c r="G2578" s="49">
        <f>E2578&amp;" - "&amp;F2578</f>
        <v/>
      </c>
      <c r="H2578" s="36" t="inlineStr">
        <is>
          <t>RAS</t>
        </is>
      </c>
      <c r="I2578" s="45" t="inlineStr"/>
      <c r="J2578" s="45" t="inlineStr">
        <is>
          <t>RNCP37284</t>
        </is>
      </c>
      <c r="K2578" s="45" t="inlineStr">
        <is>
          <t>CQP Magasinier en négoce des matériaux de construction</t>
        </is>
      </c>
      <c r="L2578" s="45" t="inlineStr">
        <is>
          <t>25/01/2028</t>
        </is>
      </c>
      <c r="M2578" s="45" t="inlineStr">
        <is>
          <t>31734 (Magasinage) ; 22852 (Matériau construction) ; 34037 (Satisfaction client)</t>
        </is>
      </c>
      <c r="N2578" s="50" t="inlineStr">
        <is>
          <t>NON</t>
        </is>
      </c>
      <c r="O2578" s="45" t="inlineStr"/>
    </row>
    <row r="2579" customFormat="1" s="3">
      <c r="A2579" s="51" t="n"/>
      <c r="B2579" s="52" t="inlineStr">
        <is>
          <t>31734</t>
        </is>
      </c>
      <c r="C2579" s="52">
        <f>LEFT(Tableau1[[#This Row],[Formacode]],3)</f>
        <v/>
      </c>
      <c r="D2579" s="53" t="n">
        <v>37672</v>
      </c>
      <c r="E2579" s="54">
        <f>"RNCP"&amp;D2579</f>
        <v/>
      </c>
      <c r="F2579" s="54" t="inlineStr">
        <is>
          <t>CAP - Opérateur logistique</t>
        </is>
      </c>
      <c r="G2579" s="55">
        <f>E2579&amp;" - "&amp;F2579</f>
        <v/>
      </c>
      <c r="H2579" s="37" t="inlineStr">
        <is>
          <t>À vérifier</t>
        </is>
      </c>
      <c r="I2579" s="51" t="inlineStr">
        <is>
          <t>Successeur déjà publié : RNCP42142 (Opérateur logistique) ; RNCP42586 (Opérateur logistique) — préparer la bascule de l'offre CPF | Échéance le 31/08/2026 (dans 44 j)</t>
        </is>
      </c>
      <c r="J2579" s="51" t="inlineStr">
        <is>
          <t>RNCP42142, RNCP42586</t>
        </is>
      </c>
      <c r="K2579" s="51" t="inlineStr">
        <is>
          <t>Opérateur logistique</t>
        </is>
      </c>
      <c r="L2579" s="51" t="inlineStr">
        <is>
          <t>31/08/2026</t>
        </is>
      </c>
      <c r="M2579" s="51" t="inlineStr">
        <is>
          <t>31845 (Logistique) ; 31768 (Chariot automoteur) ; 31743 (Expédition)</t>
        </is>
      </c>
      <c r="N2579" s="62" t="inlineStr">
        <is>
          <t>NON</t>
        </is>
      </c>
      <c r="O2579" s="51" t="inlineStr"/>
    </row>
    <row r="2580" customFormat="1" s="3">
      <c r="A2580" s="45" t="n"/>
      <c r="B2580" s="46" t="inlineStr">
        <is>
          <t>31734</t>
        </is>
      </c>
      <c r="C2580" s="46">
        <f>LEFT(Tableau1[[#This Row],[Formacode]],3)</f>
        <v/>
      </c>
      <c r="D2580" s="47" t="n">
        <v>37895</v>
      </c>
      <c r="E2580" s="48">
        <f>"RNCP"&amp;D2580</f>
        <v/>
      </c>
      <c r="F2580" s="48" t="inlineStr">
        <is>
          <t>Certificat d'aptitude professionnelle - Déménageur sur véhicule utile léger</t>
        </is>
      </c>
      <c r="G2580" s="49">
        <f>E2580&amp;" - "&amp;F2580</f>
        <v/>
      </c>
      <c r="H2580" s="36" t="inlineStr">
        <is>
          <t>RAS</t>
        </is>
      </c>
      <c r="I2580" s="45" t="inlineStr"/>
      <c r="J2580" s="45" t="inlineStr">
        <is>
          <t>RNCP37895</t>
        </is>
      </c>
      <c r="K2580" s="45" t="inlineStr">
        <is>
          <t>Déménageur sur véhicule utile léger</t>
        </is>
      </c>
      <c r="L2580" s="45" t="inlineStr">
        <is>
          <t>31/08/2028</t>
        </is>
      </c>
      <c r="M2580" s="45" t="inlineStr">
        <is>
          <t>31809 (Déménagement) ; 31754 (Manutention)</t>
        </is>
      </c>
      <c r="N2580" s="50" t="inlineStr">
        <is>
          <t>NON</t>
        </is>
      </c>
      <c r="O2580" s="45" t="inlineStr"/>
    </row>
    <row r="2581" customFormat="1" s="3">
      <c r="A2581" s="45" t="n"/>
      <c r="B2581" s="46" t="inlineStr">
        <is>
          <t>31734</t>
        </is>
      </c>
      <c r="C2581" s="46">
        <f>LEFT(Tableau1[[#This Row],[Formacode]],3)</f>
        <v/>
      </c>
      <c r="D2581" s="47" t="n">
        <v>38217</v>
      </c>
      <c r="E2581" s="48">
        <f>"RNCP"&amp;D2581</f>
        <v/>
      </c>
      <c r="F2581" s="48" t="inlineStr">
        <is>
          <t>BTS - Pilotage de procédés</t>
        </is>
      </c>
      <c r="G2581" s="49">
        <f>E2581&amp;" - "&amp;F2581</f>
        <v/>
      </c>
      <c r="H2581" s="36" t="inlineStr">
        <is>
          <t>RAS</t>
        </is>
      </c>
      <c r="I2581" s="45" t="inlineStr"/>
      <c r="J2581" s="45" t="inlineStr">
        <is>
          <t>RNCP38217</t>
        </is>
      </c>
      <c r="K2581" s="45" t="inlineStr">
        <is>
          <t>Pilotage de procédés</t>
        </is>
      </c>
      <c r="L2581" s="45" t="inlineStr">
        <is>
          <t>31/12/2028</t>
        </is>
      </c>
      <c r="M2581" s="45" t="inlineStr">
        <is>
          <t>31754 (Manutention)</t>
        </is>
      </c>
      <c r="N2581" s="50" t="inlineStr">
        <is>
          <t>NON</t>
        </is>
      </c>
      <c r="O2581" s="45" t="inlineStr"/>
    </row>
    <row r="2582" customFormat="1" s="3">
      <c r="A2582" s="51" t="n"/>
      <c r="B2582" s="52" t="inlineStr">
        <is>
          <t>31734</t>
        </is>
      </c>
      <c r="C2582" s="52">
        <f>LEFT(Tableau1[[#This Row],[Formacode]],3)</f>
        <v/>
      </c>
      <c r="D2582" s="53" t="n">
        <v>38302</v>
      </c>
      <c r="E2582" s="54">
        <f>"RNCP"&amp;D2582</f>
        <v/>
      </c>
      <c r="F2582" s="54" t="inlineStr">
        <is>
          <t>BAC PRO - Logistique</t>
        </is>
      </c>
      <c r="G2582" s="55">
        <f>E2582&amp;" - "&amp;F2582</f>
        <v/>
      </c>
      <c r="H2582" s="37" t="inlineStr">
        <is>
          <t>À vérifier</t>
        </is>
      </c>
      <c r="I2582" s="51" t="inlineStr">
        <is>
          <t>Successeur déjà publié : RNCP40687 (Métiers de la logistique) — préparer la bascule de l'offre CPF | Échéance le 31/08/2026 (dans 44 j)</t>
        </is>
      </c>
      <c r="J2582" s="51" t="inlineStr">
        <is>
          <t>RNCP40687</t>
        </is>
      </c>
      <c r="K2582" s="51" t="inlineStr">
        <is>
          <t>Métiers de la logistique</t>
        </is>
      </c>
      <c r="L2582" s="51" t="inlineStr">
        <is>
          <t>31/08/2026</t>
        </is>
      </c>
      <c r="M2582" s="51" t="inlineStr">
        <is>
          <t>31845 (Logistique) ; 31663 (Gestion stock) ; 31734 (Magasinage)</t>
        </is>
      </c>
      <c r="N2582" s="62" t="inlineStr">
        <is>
          <t>NON</t>
        </is>
      </c>
      <c r="O2582" s="51" t="inlineStr"/>
    </row>
    <row r="2583" customFormat="1" s="3">
      <c r="A2583" s="45" t="n"/>
      <c r="B2583" s="46" t="inlineStr">
        <is>
          <t>31734</t>
        </is>
      </c>
      <c r="C2583" s="46">
        <f>LEFT(Tableau1[[#This Row],[Formacode]],3)</f>
        <v/>
      </c>
      <c r="D2583" s="47" t="n">
        <v>38403</v>
      </c>
      <c r="E2583" s="48">
        <f>"RNCP"&amp;D2583</f>
        <v/>
      </c>
      <c r="F2583" s="48" t="inlineStr">
        <is>
          <t>Certificat d'aptitude professionnelle - Opérateur de service - Relation client et livraison</t>
        </is>
      </c>
      <c r="G2583" s="49">
        <f>E2583&amp;" - "&amp;F2583</f>
        <v/>
      </c>
      <c r="H2583" s="36" t="inlineStr">
        <is>
          <t>RAS</t>
        </is>
      </c>
      <c r="I2583" s="45" t="inlineStr"/>
      <c r="J2583" s="45" t="inlineStr">
        <is>
          <t>RNCP38403</t>
        </is>
      </c>
      <c r="K2583" s="45" t="inlineStr">
        <is>
          <t>Opérateur de service - Relation client et livraison</t>
        </is>
      </c>
      <c r="L2583" s="45" t="inlineStr">
        <is>
          <t>31/12/2028</t>
        </is>
      </c>
      <c r="M2583" s="45" t="inlineStr">
        <is>
          <t>31731 (Gestion courrier)</t>
        </is>
      </c>
      <c r="N2583" s="50" t="inlineStr">
        <is>
          <t>NON</t>
        </is>
      </c>
      <c r="O2583" s="45" t="inlineStr"/>
    </row>
    <row r="2584" customFormat="1" s="3">
      <c r="A2584" s="45" t="n"/>
      <c r="B2584" s="46" t="inlineStr">
        <is>
          <t>31734</t>
        </is>
      </c>
      <c r="C2584" s="46">
        <f>LEFT(Tableau1[[#This Row],[Formacode]],3)</f>
        <v/>
      </c>
      <c r="D2584" s="47" t="n">
        <v>40216</v>
      </c>
      <c r="E2584" s="48">
        <f>"RNCP"&amp;D2584</f>
        <v/>
      </c>
      <c r="F2584" s="48" t="inlineStr">
        <is>
          <t>TP - Agent magasinier</t>
        </is>
      </c>
      <c r="G2584" s="49">
        <f>E2584&amp;" - "&amp;F2584</f>
        <v/>
      </c>
      <c r="H2584" s="36" t="inlineStr">
        <is>
          <t>RAS</t>
        </is>
      </c>
      <c r="I2584" s="45" t="inlineStr"/>
      <c r="J2584" s="45" t="inlineStr">
        <is>
          <t>RNCP40216</t>
        </is>
      </c>
      <c r="K2584" s="45" t="inlineStr">
        <is>
          <t>Agent magasinier</t>
        </is>
      </c>
      <c r="L2584" s="45" t="inlineStr">
        <is>
          <t>22/02/2030</t>
        </is>
      </c>
      <c r="M2584" s="45" t="inlineStr">
        <is>
          <t>31734 (Magasinage)</t>
        </is>
      </c>
      <c r="N2584" s="50" t="inlineStr">
        <is>
          <t>NON</t>
        </is>
      </c>
      <c r="O2584" s="45" t="inlineStr"/>
    </row>
    <row r="2585" customFormat="1" s="3">
      <c r="A2585" s="45" t="n"/>
      <c r="B2585" s="46" t="inlineStr">
        <is>
          <t>31734</t>
        </is>
      </c>
      <c r="C2585" s="46">
        <f>LEFT(Tableau1[[#This Row],[Formacode]],3)</f>
        <v/>
      </c>
      <c r="D2585" s="47" t="n">
        <v>40498</v>
      </c>
      <c r="E2585" s="48">
        <f>"RNCP"&amp;D2585</f>
        <v/>
      </c>
      <c r="F2585" s="48" t="inlineStr">
        <is>
          <t>TP - Préparateur de commandes en entrepôt</t>
        </is>
      </c>
      <c r="G2585" s="49">
        <f>E2585&amp;" - "&amp;F2585</f>
        <v/>
      </c>
      <c r="H2585" s="36" t="inlineStr">
        <is>
          <t>RAS</t>
        </is>
      </c>
      <c r="I2585" s="45" t="inlineStr"/>
      <c r="J2585" s="45" t="inlineStr">
        <is>
          <t>RNCP40498</t>
        </is>
      </c>
      <c r="K2585" s="45" t="inlineStr">
        <is>
          <t>Préparateur de commandes en entrepôt</t>
        </is>
      </c>
      <c r="L2585" s="45" t="inlineStr">
        <is>
          <t>28/07/2030</t>
        </is>
      </c>
      <c r="M2585" s="45" t="inlineStr">
        <is>
          <t>31743 (Expédition) ; 31795 (Sécurité manutention)</t>
        </is>
      </c>
      <c r="N2585" s="50" t="inlineStr">
        <is>
          <t>NON</t>
        </is>
      </c>
      <c r="O2585" s="45" t="inlineStr"/>
    </row>
    <row r="2586" customFormat="1" s="3">
      <c r="A2586" s="45" t="n"/>
      <c r="B2586" s="46" t="inlineStr">
        <is>
          <t>31734</t>
        </is>
      </c>
      <c r="C2586" s="46">
        <f>LEFT(Tableau1[[#This Row],[Formacode]],3)</f>
        <v/>
      </c>
      <c r="D2586" s="47" t="n">
        <v>40627</v>
      </c>
      <c r="E2586" s="48">
        <f>"RNCP"&amp;D2586</f>
        <v/>
      </c>
      <c r="F2586" s="48" t="inlineStr">
        <is>
          <t>CS - Collecte de grains et distribution d'agrofournitures</t>
        </is>
      </c>
      <c r="G2586" s="49">
        <f>E2586&amp;" - "&amp;F2586</f>
        <v/>
      </c>
      <c r="H2586" s="36" t="inlineStr">
        <is>
          <t>RAS</t>
        </is>
      </c>
      <c r="I2586" s="45" t="inlineStr"/>
      <c r="J2586" s="45" t="inlineStr">
        <is>
          <t>RNCP40627</t>
        </is>
      </c>
      <c r="K2586" s="45" t="inlineStr">
        <is>
          <t>Collecte de grains et distribution d'agrofournitures</t>
        </is>
      </c>
      <c r="L2586" s="45" t="inlineStr">
        <is>
          <t>31/12/2030</t>
        </is>
      </c>
      <c r="M2586" s="45" t="inlineStr">
        <is>
          <t>31711 (Silo)</t>
        </is>
      </c>
      <c r="N2586" s="50" t="inlineStr">
        <is>
          <t>NON</t>
        </is>
      </c>
      <c r="O2586" s="45" t="inlineStr"/>
    </row>
    <row r="2587" customFormat="1" s="3">
      <c r="A2587" s="45" t="n"/>
      <c r="B2587" s="46" t="inlineStr">
        <is>
          <t>31734</t>
        </is>
      </c>
      <c r="C2587" s="46">
        <f>LEFT(Tableau1[[#This Row],[Formacode]],3)</f>
        <v/>
      </c>
      <c r="D2587" s="47" t="n">
        <v>40687</v>
      </c>
      <c r="E2587" s="48">
        <f>"RNCP"&amp;D2587</f>
        <v/>
      </c>
      <c r="F2587" s="48" t="inlineStr">
        <is>
          <t>BAC PRO - Métiers de la logistique</t>
        </is>
      </c>
      <c r="G2587" s="49">
        <f>E2587&amp;" - "&amp;F2587</f>
        <v/>
      </c>
      <c r="H2587" s="36" t="inlineStr">
        <is>
          <t>RAS</t>
        </is>
      </c>
      <c r="I2587" s="45" t="inlineStr"/>
      <c r="J2587" s="45" t="inlineStr">
        <is>
          <t>RNCP40687</t>
        </is>
      </c>
      <c r="K2587" s="45" t="inlineStr">
        <is>
          <t>Métiers de la logistique</t>
        </is>
      </c>
      <c r="L2587" s="45" t="inlineStr">
        <is>
          <t>31/08/2030</t>
        </is>
      </c>
      <c r="M2587" s="45" t="inlineStr">
        <is>
          <t>31845 (Logistique) ; 31663 (Gestion stock) ; 31734 (Magasinage)</t>
        </is>
      </c>
      <c r="N2587" s="50" t="inlineStr">
        <is>
          <t>NON</t>
        </is>
      </c>
      <c r="O2587" s="45" t="inlineStr"/>
    </row>
    <row r="2588" customFormat="1" s="3">
      <c r="A2588" s="45" t="n"/>
      <c r="B2588" s="46" t="inlineStr">
        <is>
          <t>31734</t>
        </is>
      </c>
      <c r="C2588" s="46">
        <f>LEFT(Tableau1[[#This Row],[Formacode]],3)</f>
        <v/>
      </c>
      <c r="D2588" s="47" t="n">
        <v>41438</v>
      </c>
      <c r="E2588" s="48">
        <f>"RNCP"&amp;D2588</f>
        <v/>
      </c>
      <c r="F2588" s="48" t="inlineStr">
        <is>
          <t>CQP Responsable des ventes pièces de rechange et accessoires</t>
        </is>
      </c>
      <c r="G2588" s="49">
        <f>E2588&amp;" - "&amp;F2588</f>
        <v/>
      </c>
      <c r="H2588" s="36" t="inlineStr">
        <is>
          <t>RAS</t>
        </is>
      </c>
      <c r="I2588" s="45" t="inlineStr"/>
      <c r="J2588" s="45" t="inlineStr">
        <is>
          <t>RNCP41438</t>
        </is>
      </c>
      <c r="K2588" s="45" t="inlineStr">
        <is>
          <t>CQP Responsable des ventes pièces de rechange et accessoires</t>
        </is>
      </c>
      <c r="L2588" s="45" t="inlineStr">
        <is>
          <t>27/10/2028</t>
        </is>
      </c>
      <c r="M2588" s="45" t="inlineStr">
        <is>
          <t>31734 (Magasinage)</t>
        </is>
      </c>
      <c r="N2588" s="50" t="inlineStr">
        <is>
          <t>NON</t>
        </is>
      </c>
      <c r="O2588" s="45" t="inlineStr"/>
    </row>
    <row r="2589" customFormat="1" s="3">
      <c r="A2589" s="51" t="n"/>
      <c r="B2589" s="52" t="inlineStr">
        <is>
          <t>31747</t>
        </is>
      </c>
      <c r="C2589" s="52">
        <f>LEFT(Tableau1[[#This Row],[Formacode]],3)</f>
        <v/>
      </c>
      <c r="D2589" s="53" t="n">
        <v>35824</v>
      </c>
      <c r="E2589" s="54">
        <f>"RNCP"&amp;D2589</f>
        <v/>
      </c>
      <c r="F2589" s="54" t="inlineStr">
        <is>
          <t>TP - conducteur d'engins de chantiers urbains</t>
        </is>
      </c>
      <c r="G2589" s="55">
        <f>E2589&amp;" - "&amp;F2589</f>
        <v/>
      </c>
      <c r="H2589" s="37" t="inlineStr">
        <is>
          <t>À vérifier</t>
        </is>
      </c>
      <c r="I2589" s="51" t="inlineStr">
        <is>
          <t>Échéance le 12/10/2026 (dans 86 j)</t>
        </is>
      </c>
      <c r="J2589" s="51" t="inlineStr">
        <is>
          <t>RNCP35824</t>
        </is>
      </c>
      <c r="K2589" s="51" t="inlineStr">
        <is>
          <t>conducteur d'engins de chantiers urbains</t>
        </is>
      </c>
      <c r="L2589" s="51" t="inlineStr">
        <is>
          <t>12/10/2026</t>
        </is>
      </c>
      <c r="M2589" s="51" t="inlineStr">
        <is>
          <t>31717 (Engin chantier)</t>
        </is>
      </c>
      <c r="N2589" s="62" t="inlineStr">
        <is>
          <t>NON</t>
        </is>
      </c>
      <c r="O2589" s="51" t="inlineStr"/>
    </row>
    <row r="2590" customFormat="1" s="3">
      <c r="A2590" s="51" t="n"/>
      <c r="B2590" s="52" t="inlineStr">
        <is>
          <t>31747</t>
        </is>
      </c>
      <c r="C2590" s="52">
        <f>LEFT(Tableau1[[#This Row],[Formacode]],3)</f>
        <v/>
      </c>
      <c r="D2590" s="53" t="n">
        <v>35826</v>
      </c>
      <c r="E2590" s="54">
        <f>"RNCP"&amp;D2590</f>
        <v/>
      </c>
      <c r="F2590" s="54" t="inlineStr">
        <is>
          <t>TP - Conducteur de grue à tour</t>
        </is>
      </c>
      <c r="G2590" s="55">
        <f>E2590&amp;" - "&amp;F2590</f>
        <v/>
      </c>
      <c r="H2590" s="37" t="inlineStr">
        <is>
          <t>À vérifier</t>
        </is>
      </c>
      <c r="I2590" s="51" t="inlineStr">
        <is>
          <t>Échéance le 15/09/2026 (dans 59 j)</t>
        </is>
      </c>
      <c r="J2590" s="51" t="inlineStr">
        <is>
          <t>RNCP35826</t>
        </is>
      </c>
      <c r="K2590" s="51" t="inlineStr">
        <is>
          <t>Conducteur de grue à tour</t>
        </is>
      </c>
      <c r="L2590" s="51" t="inlineStr">
        <is>
          <t>15/09/2026</t>
        </is>
      </c>
      <c r="M2590" s="51" t="inlineStr">
        <is>
          <t>31708 (Grue)</t>
        </is>
      </c>
      <c r="N2590" s="62" t="inlineStr">
        <is>
          <t>NON</t>
        </is>
      </c>
      <c r="O2590" s="51" t="inlineStr"/>
    </row>
    <row r="2591" customFormat="1" s="3">
      <c r="A2591" s="51" t="n"/>
      <c r="B2591" s="52" t="inlineStr">
        <is>
          <t>31747</t>
        </is>
      </c>
      <c r="C2591" s="52">
        <f>LEFT(Tableau1[[#This Row],[Formacode]],3)</f>
        <v/>
      </c>
      <c r="D2591" s="53" t="n">
        <v>35827</v>
      </c>
      <c r="E2591" s="54">
        <f>"RNCP"&amp;D2591</f>
        <v/>
      </c>
      <c r="F2591" s="54" t="inlineStr">
        <is>
          <t>TP - Conducteur d'engins de grands terrassements</t>
        </is>
      </c>
      <c r="G2591" s="55">
        <f>E2591&amp;" - "&amp;F2591</f>
        <v/>
      </c>
      <c r="H2591" s="37" t="inlineStr">
        <is>
          <t>À vérifier</t>
        </is>
      </c>
      <c r="I2591" s="51" t="inlineStr">
        <is>
          <t>Échéance le 12/10/2026 (dans 86 j)</t>
        </is>
      </c>
      <c r="J2591" s="51" t="inlineStr">
        <is>
          <t>RNCP35827</t>
        </is>
      </c>
      <c r="K2591" s="51" t="inlineStr">
        <is>
          <t>Conducteur d'engins de grands terrassements</t>
        </is>
      </c>
      <c r="L2591" s="51" t="inlineStr">
        <is>
          <t>12/10/2026</t>
        </is>
      </c>
      <c r="M2591" s="51" t="inlineStr">
        <is>
          <t>31717 (Engin chantier) ; 22002 (Terrassement)</t>
        </is>
      </c>
      <c r="N2591" s="62" t="inlineStr">
        <is>
          <t>NON</t>
        </is>
      </c>
      <c r="O2591" s="51" t="inlineStr"/>
    </row>
    <row r="2592" customFormat="1" s="3">
      <c r="A2592" s="51" t="n"/>
      <c r="B2592" s="52" t="inlineStr">
        <is>
          <t>31747</t>
        </is>
      </c>
      <c r="C2592" s="52">
        <f>LEFT(Tableau1[[#This Row],[Formacode]],3)</f>
        <v/>
      </c>
      <c r="D2592" s="53" t="n">
        <v>35988</v>
      </c>
      <c r="E2592" s="54">
        <f>"RNCP"&amp;D2592</f>
        <v/>
      </c>
      <c r="F2592" s="54" t="inlineStr">
        <is>
          <t>CQP Opérateur de levage et manutention complexe en milieu industriel</t>
        </is>
      </c>
      <c r="G2592" s="55">
        <f>E2592&amp;" - "&amp;F2592</f>
        <v/>
      </c>
      <c r="H2592" s="37" t="inlineStr">
        <is>
          <t>À vérifier</t>
        </is>
      </c>
      <c r="I2592" s="51" t="inlineStr">
        <is>
          <t>Échéance le 15/10/2026 (dans 89 j)</t>
        </is>
      </c>
      <c r="J2592" s="51" t="inlineStr">
        <is>
          <t>RNCP35988</t>
        </is>
      </c>
      <c r="K2592" s="51" t="inlineStr">
        <is>
          <t>CQP Opérateur de levage et manutention complexe en milieu industriel</t>
        </is>
      </c>
      <c r="L2592" s="51" t="inlineStr">
        <is>
          <t>15/10/2026</t>
        </is>
      </c>
      <c r="M2592" s="51" t="inlineStr">
        <is>
          <t>31747 (Engin manutention levage)</t>
        </is>
      </c>
      <c r="N2592" s="62" t="inlineStr">
        <is>
          <t>NON</t>
        </is>
      </c>
      <c r="O2592" s="51" t="inlineStr"/>
    </row>
    <row r="2593" customFormat="1" s="3">
      <c r="A2593" s="45" t="n"/>
      <c r="B2593" s="46" t="inlineStr">
        <is>
          <t>31747</t>
        </is>
      </c>
      <c r="C2593" s="46">
        <f>LEFT(Tableau1[[#This Row],[Formacode]],3)</f>
        <v/>
      </c>
      <c r="D2593" s="47" t="n">
        <v>36966</v>
      </c>
      <c r="E2593" s="48">
        <f>"RNCP"&amp;D2593</f>
        <v/>
      </c>
      <c r="F2593" s="48" t="inlineStr">
        <is>
          <t>BTS - Motorisations toutes énergies</t>
        </is>
      </c>
      <c r="G2593" s="49">
        <f>E2593&amp;" - "&amp;F2593</f>
        <v/>
      </c>
      <c r="H2593" s="36" t="inlineStr">
        <is>
          <t>RAS</t>
        </is>
      </c>
      <c r="I2593" s="45" t="inlineStr"/>
      <c r="J2593" s="45" t="inlineStr">
        <is>
          <t>RNCP36966</t>
        </is>
      </c>
      <c r="K2593" s="45" t="inlineStr">
        <is>
          <t>Motorisations toutes énergies</t>
        </is>
      </c>
      <c r="L2593" s="45" t="inlineStr">
        <is>
          <t>31/08/2027</t>
        </is>
      </c>
      <c r="M2593" s="45" t="inlineStr">
        <is>
          <t>23677 (Moteur) ; 31754 (Manutention) ; 11452 (Thermodynamique)</t>
        </is>
      </c>
      <c r="N2593" s="50" t="inlineStr">
        <is>
          <t>NON</t>
        </is>
      </c>
      <c r="O2593" s="45" t="inlineStr"/>
    </row>
    <row r="2594" customFormat="1" s="3">
      <c r="A2594" s="51" t="n"/>
      <c r="B2594" s="52" t="inlineStr">
        <is>
          <t>31747</t>
        </is>
      </c>
      <c r="C2594" s="52">
        <f>LEFT(Tableau1[[#This Row],[Formacode]],3)</f>
        <v/>
      </c>
      <c r="D2594" s="53" t="n">
        <v>37672</v>
      </c>
      <c r="E2594" s="54">
        <f>"RNCP"&amp;D2594</f>
        <v/>
      </c>
      <c r="F2594" s="54" t="inlineStr">
        <is>
          <t>CAP - Opérateur logistique</t>
        </is>
      </c>
      <c r="G2594" s="55">
        <f>E2594&amp;" - "&amp;F2594</f>
        <v/>
      </c>
      <c r="H2594" s="37" t="inlineStr">
        <is>
          <t>À vérifier</t>
        </is>
      </c>
      <c r="I2594" s="51" t="inlineStr">
        <is>
          <t>Successeur déjà publié : RNCP42142 (Opérateur logistique) ; RNCP42586 (Opérateur logistique) — préparer la bascule de l'offre CPF | Échéance le 31/08/2026 (dans 44 j)</t>
        </is>
      </c>
      <c r="J2594" s="51" t="inlineStr">
        <is>
          <t>RNCP42142, RNCP42586</t>
        </is>
      </c>
      <c r="K2594" s="51" t="inlineStr">
        <is>
          <t>Opérateur logistique</t>
        </is>
      </c>
      <c r="L2594" s="51" t="inlineStr">
        <is>
          <t>31/08/2026</t>
        </is>
      </c>
      <c r="M2594" s="51" t="inlineStr">
        <is>
          <t>31845 (Logistique) ; 31768 (Chariot automoteur) ; 31743 (Expédition)</t>
        </is>
      </c>
      <c r="N2594" s="62" t="inlineStr">
        <is>
          <t>NON</t>
        </is>
      </c>
      <c r="O2594" s="51" t="inlineStr"/>
    </row>
    <row r="2595" customFormat="1" s="3">
      <c r="A2595" s="45" t="n"/>
      <c r="B2595" s="46" t="inlineStr">
        <is>
          <t>31747</t>
        </is>
      </c>
      <c r="C2595" s="46">
        <f>LEFT(Tableau1[[#This Row],[Formacode]],3)</f>
        <v/>
      </c>
      <c r="D2595" s="47" t="n">
        <v>37895</v>
      </c>
      <c r="E2595" s="48">
        <f>"RNCP"&amp;D2595</f>
        <v/>
      </c>
      <c r="F2595" s="48" t="inlineStr">
        <is>
          <t>Certificat d'aptitude professionnelle - Déménageur sur véhicule utile léger</t>
        </is>
      </c>
      <c r="G2595" s="49">
        <f>E2595&amp;" - "&amp;F2595</f>
        <v/>
      </c>
      <c r="H2595" s="36" t="inlineStr">
        <is>
          <t>RAS</t>
        </is>
      </c>
      <c r="I2595" s="45" t="inlineStr"/>
      <c r="J2595" s="45" t="inlineStr">
        <is>
          <t>RNCP37895</t>
        </is>
      </c>
      <c r="K2595" s="45" t="inlineStr">
        <is>
          <t>Déménageur sur véhicule utile léger</t>
        </is>
      </c>
      <c r="L2595" s="45" t="inlineStr">
        <is>
          <t>31/08/2028</t>
        </is>
      </c>
      <c r="M2595" s="45" t="inlineStr">
        <is>
          <t>31809 (Déménagement) ; 31754 (Manutention)</t>
        </is>
      </c>
      <c r="N2595" s="50" t="inlineStr">
        <is>
          <t>NON</t>
        </is>
      </c>
      <c r="O2595" s="45" t="inlineStr"/>
    </row>
    <row r="2596" customFormat="1" s="3">
      <c r="A2596" s="45" t="n"/>
      <c r="B2596" s="46" t="inlineStr">
        <is>
          <t>31747</t>
        </is>
      </c>
      <c r="C2596" s="46">
        <f>LEFT(Tableau1[[#This Row],[Formacode]],3)</f>
        <v/>
      </c>
      <c r="D2596" s="47" t="n">
        <v>38217</v>
      </c>
      <c r="E2596" s="48">
        <f>"RNCP"&amp;D2596</f>
        <v/>
      </c>
      <c r="F2596" s="48" t="inlineStr">
        <is>
          <t>BTS - Pilotage de procédés</t>
        </is>
      </c>
      <c r="G2596" s="49">
        <f>E2596&amp;" - "&amp;F2596</f>
        <v/>
      </c>
      <c r="H2596" s="36" t="inlineStr">
        <is>
          <t>RAS</t>
        </is>
      </c>
      <c r="I2596" s="45" t="inlineStr"/>
      <c r="J2596" s="45" t="inlineStr">
        <is>
          <t>RNCP38217</t>
        </is>
      </c>
      <c r="K2596" s="45" t="inlineStr">
        <is>
          <t>Pilotage de procédés</t>
        </is>
      </c>
      <c r="L2596" s="45" t="inlineStr">
        <is>
          <t>31/12/2028</t>
        </is>
      </c>
      <c r="M2596" s="45" t="inlineStr">
        <is>
          <t>31754 (Manutention)</t>
        </is>
      </c>
      <c r="N2596" s="50" t="inlineStr">
        <is>
          <t>NON</t>
        </is>
      </c>
      <c r="O2596" s="45" t="inlineStr"/>
    </row>
    <row r="2597" customFormat="1" s="3">
      <c r="A2597" s="45" t="n"/>
      <c r="B2597" s="46" t="inlineStr">
        <is>
          <t>31747</t>
        </is>
      </c>
      <c r="C2597" s="46">
        <f>LEFT(Tableau1[[#This Row],[Formacode]],3)</f>
        <v/>
      </c>
      <c r="D2597" s="47" t="n">
        <v>38577</v>
      </c>
      <c r="E2597" s="48">
        <f>"RNCP"&amp;D2597</f>
        <v/>
      </c>
      <c r="F2597" s="48" t="inlineStr">
        <is>
          <t>BTS - Maintenance des matériels de construction et de manutention</t>
        </is>
      </c>
      <c r="G2597" s="49">
        <f>E2597&amp;" - "&amp;F2597</f>
        <v/>
      </c>
      <c r="H2597" s="36" t="inlineStr">
        <is>
          <t>RAS</t>
        </is>
      </c>
      <c r="I2597" s="45" t="inlineStr"/>
      <c r="J2597" s="45" t="inlineStr">
        <is>
          <t>RNCP38577</t>
        </is>
      </c>
      <c r="K2597" s="45" t="inlineStr">
        <is>
          <t>Maintenance des matériels de construction et de manutention</t>
        </is>
      </c>
      <c r="L2597" s="45" t="inlineStr">
        <is>
          <t>31/12/2028</t>
        </is>
      </c>
      <c r="M2597" s="45" t="inlineStr">
        <is>
          <t>31736 (Réparation engin manutention) ; 22286 (Matériel chantier)</t>
        </is>
      </c>
      <c r="N2597" s="50" t="inlineStr">
        <is>
          <t>NON</t>
        </is>
      </c>
      <c r="O2597" s="45" t="inlineStr"/>
    </row>
    <row r="2598" customFormat="1" s="3">
      <c r="A2598" s="51" t="n"/>
      <c r="B2598" s="52" t="inlineStr">
        <is>
          <t>31747</t>
        </is>
      </c>
      <c r="C2598" s="52">
        <f>LEFT(Tableau1[[#This Row],[Formacode]],3)</f>
        <v/>
      </c>
      <c r="D2598" s="53" t="n">
        <v>38715</v>
      </c>
      <c r="E2598" s="54">
        <f>"RNCP"&amp;D2598</f>
        <v/>
      </c>
      <c r="F2598" s="54" t="inlineStr">
        <is>
          <t>BP - Conducteur d'engins : travaux publics et carrières</t>
        </is>
      </c>
      <c r="G2598" s="55">
        <f>E2598&amp;" - "&amp;F2598</f>
        <v/>
      </c>
      <c r="H2598" s="37" t="inlineStr">
        <is>
          <t>À vérifier</t>
        </is>
      </c>
      <c r="I2598" s="51" t="inlineStr">
        <is>
          <t>Échéance le 31/12/2026 (dans 166 j)</t>
        </is>
      </c>
      <c r="J2598" s="51" t="inlineStr">
        <is>
          <t>RNCP38715</t>
        </is>
      </c>
      <c r="K2598" s="51" t="inlineStr">
        <is>
          <t>Conducteur d'engins : travaux publics et carrières</t>
        </is>
      </c>
      <c r="L2598" s="51" t="inlineStr">
        <is>
          <t>31/12/2026</t>
        </is>
      </c>
      <c r="M2598" s="51" t="inlineStr">
        <is>
          <t>22054 (Travaux publics) ; 31717 (Engin chantier)</t>
        </is>
      </c>
      <c r="N2598" s="62" t="inlineStr">
        <is>
          <t>NON</t>
        </is>
      </c>
      <c r="O2598" s="51" t="inlineStr"/>
    </row>
    <row r="2599" customFormat="1" s="3">
      <c r="A2599" s="45" t="n"/>
      <c r="B2599" s="46" t="inlineStr">
        <is>
          <t>31747</t>
        </is>
      </c>
      <c r="C2599" s="46">
        <f>LEFT(Tableau1[[#This Row],[Formacode]],3)</f>
        <v/>
      </c>
      <c r="D2599" s="47" t="n">
        <v>39007</v>
      </c>
      <c r="E2599" s="48">
        <f>"RNCP"&amp;D2599</f>
        <v/>
      </c>
      <c r="F2599" s="48" t="inlineStr">
        <is>
          <t>TP - Technicien de maintenance d'engins et de matériels de chantier et de manutention</t>
        </is>
      </c>
      <c r="G2599" s="49">
        <f>E2599&amp;" - "&amp;F2599</f>
        <v/>
      </c>
      <c r="H2599" s="36" t="inlineStr">
        <is>
          <t>RAS</t>
        </is>
      </c>
      <c r="I2599" s="45" t="inlineStr"/>
      <c r="J2599" s="45" t="inlineStr">
        <is>
          <t>RNCP39007</t>
        </is>
      </c>
      <c r="K2599" s="45" t="inlineStr">
        <is>
          <t>Technicien de maintenance d'engins et de matériels de chantier et de manutention</t>
        </is>
      </c>
      <c r="L2599" s="45" t="inlineStr">
        <is>
          <t>23/03/2029</t>
        </is>
      </c>
      <c r="M2599" s="45" t="inlineStr">
        <is>
          <t>22286 (Matériel chantier) ; 23523 (Pneumatique) ; 31717 (Engin chantier) ; 31736 (Réparation engin manutention) ; 23652 (Transmission mécanique)</t>
        </is>
      </c>
      <c r="N2599" s="50" t="inlineStr">
        <is>
          <t>NON</t>
        </is>
      </c>
      <c r="O2599" s="45" t="inlineStr"/>
    </row>
    <row r="2600" customFormat="1" s="3">
      <c r="A2600" s="45" t="n"/>
      <c r="B2600" s="46" t="inlineStr">
        <is>
          <t>31747</t>
        </is>
      </c>
      <c r="C2600" s="46">
        <f>LEFT(Tableau1[[#This Row],[Formacode]],3)</f>
        <v/>
      </c>
      <c r="D2600" s="47" t="n">
        <v>39283</v>
      </c>
      <c r="E2600" s="48">
        <f>"RNCP"&amp;D2600</f>
        <v/>
      </c>
      <c r="F2600" s="48" t="inlineStr">
        <is>
          <t>TP - Mécanicien réparateur de matériels de chantier et de manutention</t>
        </is>
      </c>
      <c r="G2600" s="49">
        <f>E2600&amp;" - "&amp;F2600</f>
        <v/>
      </c>
      <c r="H2600" s="36" t="inlineStr">
        <is>
          <t>RAS</t>
        </is>
      </c>
      <c r="I2600" s="45" t="inlineStr"/>
      <c r="J2600" s="45" t="inlineStr">
        <is>
          <t>RNCP39283</t>
        </is>
      </c>
      <c r="K2600" s="45" t="inlineStr">
        <is>
          <t>Mécanicien réparateur de matériels de chantier et de manutention</t>
        </is>
      </c>
      <c r="L2600" s="45" t="inlineStr">
        <is>
          <t>19/07/2029</t>
        </is>
      </c>
      <c r="M2600" s="45" t="inlineStr">
        <is>
          <t>31736 (Réparation engin manutention) ; 23523 (Pneumatique)</t>
        </is>
      </c>
      <c r="N2600" s="50" t="inlineStr">
        <is>
          <t>NON</t>
        </is>
      </c>
      <c r="O2600" s="45" t="inlineStr"/>
    </row>
    <row r="2601" customFormat="1" s="3">
      <c r="A2601" s="45" t="n"/>
      <c r="B2601" s="46" t="inlineStr">
        <is>
          <t>31747</t>
        </is>
      </c>
      <c r="C2601" s="46">
        <f>LEFT(Tableau1[[#This Row],[Formacode]],3)</f>
        <v/>
      </c>
      <c r="D2601" s="47" t="n">
        <v>39327</v>
      </c>
      <c r="E2601" s="48">
        <f>"RNCP"&amp;D2601</f>
        <v/>
      </c>
      <c r="F2601" s="48" t="inlineStr">
        <is>
          <t>BAC PRO - Maintenance des matériels</t>
        </is>
      </c>
      <c r="G2601" s="49">
        <f>E2601&amp;" - "&amp;F2601</f>
        <v/>
      </c>
      <c r="H2601" s="36" t="inlineStr">
        <is>
          <t>RAS</t>
        </is>
      </c>
      <c r="I2601" s="45" t="inlineStr"/>
      <c r="J2601" s="45" t="inlineStr">
        <is>
          <t>RNCP39327</t>
        </is>
      </c>
      <c r="K2601" s="45" t="inlineStr">
        <is>
          <t>Maintenance des matériels</t>
        </is>
      </c>
      <c r="L2601" s="45" t="inlineStr">
        <is>
          <t>31/12/2028</t>
        </is>
      </c>
      <c r="M2601" s="45" t="inlineStr">
        <is>
          <t>21011 (Machinisme agricole) ; 31736 (Réparation engin manutention) ; 22286 (Matériel chantier) ; 21034 (Machinisme horticole)</t>
        </is>
      </c>
      <c r="N2601" s="50" t="inlineStr">
        <is>
          <t>NON</t>
        </is>
      </c>
      <c r="O2601" s="45" t="inlineStr"/>
    </row>
    <row r="2602" customFormat="1" s="3">
      <c r="A2602" s="45" t="n"/>
      <c r="B2602" s="46" t="inlineStr">
        <is>
          <t>31747</t>
        </is>
      </c>
      <c r="C2602" s="46">
        <f>LEFT(Tableau1[[#This Row],[Formacode]],3)</f>
        <v/>
      </c>
      <c r="D2602" s="47" t="n">
        <v>39330</v>
      </c>
      <c r="E2602" s="48">
        <f>"RNCP"&amp;D2602</f>
        <v/>
      </c>
      <c r="F2602" s="48" t="inlineStr">
        <is>
          <t>CAP - Maintenance des matériels</t>
        </is>
      </c>
      <c r="G2602" s="49">
        <f>E2602&amp;" - "&amp;F2602</f>
        <v/>
      </c>
      <c r="H2602" s="36" t="inlineStr">
        <is>
          <t>RAS</t>
        </is>
      </c>
      <c r="I2602" s="45" t="inlineStr"/>
      <c r="J2602" s="45" t="inlineStr">
        <is>
          <t>RNCP39330</t>
        </is>
      </c>
      <c r="K2602" s="45" t="inlineStr">
        <is>
          <t>Maintenance des matériels</t>
        </is>
      </c>
      <c r="L2602" s="45" t="inlineStr">
        <is>
          <t>31/12/2028</t>
        </is>
      </c>
      <c r="M2602" s="45" t="inlineStr">
        <is>
          <t>21011 (Machinisme agricole) ; 31747 (Engin manutention levage) ; 21034 (Machinisme horticole)</t>
        </is>
      </c>
      <c r="N2602" s="50" t="inlineStr">
        <is>
          <t>NON</t>
        </is>
      </c>
      <c r="O2602" s="45" t="inlineStr"/>
    </row>
    <row r="2603" customFormat="1" s="3">
      <c r="A2603" s="45" t="n"/>
      <c r="B2603" s="46" t="inlineStr">
        <is>
          <t>31747</t>
        </is>
      </c>
      <c r="C2603" s="46">
        <f>LEFT(Tableau1[[#This Row],[Formacode]],3)</f>
        <v/>
      </c>
      <c r="D2603" s="47" t="n">
        <v>40486</v>
      </c>
      <c r="E2603" s="48">
        <f>"RNCP"&amp;D2603</f>
        <v/>
      </c>
      <c r="F2603" s="48" t="inlineStr">
        <is>
          <t>CAP - Conducteur d'engins de travaux publics et carrières</t>
        </is>
      </c>
      <c r="G2603" s="49">
        <f>E2603&amp;" - "&amp;F2603</f>
        <v/>
      </c>
      <c r="H2603" s="36" t="inlineStr">
        <is>
          <t>RAS</t>
        </is>
      </c>
      <c r="I2603" s="45" t="inlineStr"/>
      <c r="J2603" s="45" t="inlineStr">
        <is>
          <t>RNCP40486</t>
        </is>
      </c>
      <c r="K2603" s="45" t="inlineStr">
        <is>
          <t>Conducteur d'engins de travaux publics et carrières</t>
        </is>
      </c>
      <c r="L2603" s="45" t="inlineStr">
        <is>
          <t>31/08/2030</t>
        </is>
      </c>
      <c r="M2603" s="45" t="inlineStr">
        <is>
          <t>31717 (Engin chantier)</t>
        </is>
      </c>
      <c r="N2603" s="50" t="inlineStr">
        <is>
          <t>NON</t>
        </is>
      </c>
      <c r="O2603" s="45" t="inlineStr"/>
    </row>
    <row r="2604" customFormat="1" s="3">
      <c r="A2604" s="45" t="n"/>
      <c r="B2604" s="46" t="inlineStr">
        <is>
          <t>31747</t>
        </is>
      </c>
      <c r="C2604" s="46">
        <f>LEFT(Tableau1[[#This Row],[Formacode]],3)</f>
        <v/>
      </c>
      <c r="D2604" s="47" t="n">
        <v>40499</v>
      </c>
      <c r="E2604" s="48">
        <f>"RNCP"&amp;D2604</f>
        <v/>
      </c>
      <c r="F2604" s="48" t="inlineStr">
        <is>
          <t>TP - Cariste d'entrepôt</t>
        </is>
      </c>
      <c r="G2604" s="49">
        <f>E2604&amp;" - "&amp;F2604</f>
        <v/>
      </c>
      <c r="H2604" s="36" t="inlineStr">
        <is>
          <t>RAS</t>
        </is>
      </c>
      <c r="I2604" s="45" t="inlineStr"/>
      <c r="J2604" s="45" t="inlineStr">
        <is>
          <t>RNCP40499</t>
        </is>
      </c>
      <c r="K2604" s="45" t="inlineStr">
        <is>
          <t>Cariste d'entrepôt</t>
        </is>
      </c>
      <c r="L2604" s="45" t="inlineStr">
        <is>
          <t>27/07/2030</t>
        </is>
      </c>
      <c r="M2604" s="45" t="inlineStr">
        <is>
          <t>31768 (Chariot automoteur) ; 31795 (Sécurité manutention)</t>
        </is>
      </c>
      <c r="N2604" s="50" t="inlineStr">
        <is>
          <t>NON</t>
        </is>
      </c>
      <c r="O2604" s="45" t="inlineStr"/>
    </row>
    <row r="2605" customFormat="1" s="3">
      <c r="A2605" s="45" t="n"/>
      <c r="B2605" s="46" t="inlineStr">
        <is>
          <t>31747</t>
        </is>
      </c>
      <c r="C2605" s="46">
        <f>LEFT(Tableau1[[#This Row],[Formacode]],3)</f>
        <v/>
      </c>
      <c r="D2605" s="47" t="n">
        <v>41332</v>
      </c>
      <c r="E2605" s="48">
        <f>"RNCP"&amp;D2605</f>
        <v/>
      </c>
      <c r="F2605" s="48" t="inlineStr">
        <is>
          <t>CQP Agent de maintenance de matériels de manutention/levage</t>
        </is>
      </c>
      <c r="G2605" s="49">
        <f>E2605&amp;" - "&amp;F2605</f>
        <v/>
      </c>
      <c r="H2605" s="36" t="inlineStr">
        <is>
          <t>RAS</t>
        </is>
      </c>
      <c r="I2605" s="45" t="inlineStr"/>
      <c r="J2605" s="45" t="inlineStr">
        <is>
          <t>RNCP41332</t>
        </is>
      </c>
      <c r="K2605" s="45" t="inlineStr">
        <is>
          <t>CQP Agent de maintenance de matériels de manutention/levage</t>
        </is>
      </c>
      <c r="L2605" s="45" t="inlineStr">
        <is>
          <t>24/09/2030</t>
        </is>
      </c>
      <c r="M2605" s="45" t="inlineStr">
        <is>
          <t>31736 (Réparation engin manutention) ; 31624 (Maintenance industrielle)</t>
        </is>
      </c>
      <c r="N2605" s="50" t="inlineStr">
        <is>
          <t>NON</t>
        </is>
      </c>
      <c r="O2605" s="45" t="inlineStr"/>
    </row>
    <row r="2606" customFormat="1" s="3">
      <c r="A2606" s="45" t="n"/>
      <c r="B2606" s="46" t="inlineStr">
        <is>
          <t>31752</t>
        </is>
      </c>
      <c r="C2606" s="46">
        <f>LEFT(Tableau1[[#This Row],[Formacode]],3)</f>
        <v/>
      </c>
      <c r="D2606" s="47" t="n">
        <v>36966</v>
      </c>
      <c r="E2606" s="48">
        <f>"RNCP"&amp;D2606</f>
        <v/>
      </c>
      <c r="F2606" s="48" t="inlineStr">
        <is>
          <t>BTS - Motorisations toutes énergies</t>
        </is>
      </c>
      <c r="G2606" s="49">
        <f>E2606&amp;" - "&amp;F2606</f>
        <v/>
      </c>
      <c r="H2606" s="36" t="inlineStr">
        <is>
          <t>RAS</t>
        </is>
      </c>
      <c r="I2606" s="45" t="inlineStr"/>
      <c r="J2606" s="45" t="inlineStr">
        <is>
          <t>RNCP36966</t>
        </is>
      </c>
      <c r="K2606" s="45" t="inlineStr">
        <is>
          <t>Motorisations toutes énergies</t>
        </is>
      </c>
      <c r="L2606" s="45" t="inlineStr">
        <is>
          <t>31/08/2027</t>
        </is>
      </c>
      <c r="M2606" s="45" t="inlineStr">
        <is>
          <t>23677 (Moteur) ; 31754 (Manutention) ; 11452 (Thermodynamique)</t>
        </is>
      </c>
      <c r="N2606" s="50" t="inlineStr">
        <is>
          <t>NON</t>
        </is>
      </c>
      <c r="O2606" s="45" t="inlineStr"/>
    </row>
    <row r="2607" customFormat="1" s="3">
      <c r="A2607" s="45" t="n"/>
      <c r="B2607" s="46" t="inlineStr">
        <is>
          <t>31752</t>
        </is>
      </c>
      <c r="C2607" s="46">
        <f>LEFT(Tableau1[[#This Row],[Formacode]],3)</f>
        <v/>
      </c>
      <c r="D2607" s="47" t="n">
        <v>37398</v>
      </c>
      <c r="E2607" s="48">
        <f>"RNCP"&amp;D2607</f>
        <v/>
      </c>
      <c r="F2607" s="48" t="inlineStr">
        <is>
          <t>TP - Conducteur d'installation et de machines automatisées</t>
        </is>
      </c>
      <c r="G2607" s="49">
        <f>E2607&amp;" - "&amp;F2607</f>
        <v/>
      </c>
      <c r="H2607" s="36" t="inlineStr">
        <is>
          <t>RAS</t>
        </is>
      </c>
      <c r="I2607" s="45" t="inlineStr"/>
      <c r="J2607" s="45" t="inlineStr">
        <is>
          <t>RNCP37398</t>
        </is>
      </c>
      <c r="K2607" s="45" t="inlineStr">
        <is>
          <t>Conducteur d'installation et de machines automatisées</t>
        </is>
      </c>
      <c r="L2607" s="45" t="inlineStr">
        <is>
          <t>13/04/2028</t>
        </is>
      </c>
      <c r="M2607" s="45" t="inlineStr">
        <is>
          <t>31620 (Conduite installation industrielle) ; 31752 (Conditionnement emballage) ; 31784 (Palettisation)</t>
        </is>
      </c>
      <c r="N2607" s="50" t="inlineStr">
        <is>
          <t>NON</t>
        </is>
      </c>
      <c r="O2607" s="45" t="inlineStr"/>
    </row>
    <row r="2608" customFormat="1" s="3">
      <c r="A2608" s="45" t="n"/>
      <c r="B2608" s="46" t="inlineStr">
        <is>
          <t>31752</t>
        </is>
      </c>
      <c r="C2608" s="46">
        <f>LEFT(Tableau1[[#This Row],[Formacode]],3)</f>
        <v/>
      </c>
      <c r="D2608" s="47" t="n">
        <v>37895</v>
      </c>
      <c r="E2608" s="48">
        <f>"RNCP"&amp;D2608</f>
        <v/>
      </c>
      <c r="F2608" s="48" t="inlineStr">
        <is>
          <t>Certificat d'aptitude professionnelle - Déménageur sur véhicule utile léger</t>
        </is>
      </c>
      <c r="G2608" s="49">
        <f>E2608&amp;" - "&amp;F2608</f>
        <v/>
      </c>
      <c r="H2608" s="36" t="inlineStr">
        <is>
          <t>RAS</t>
        </is>
      </c>
      <c r="I2608" s="45" t="inlineStr"/>
      <c r="J2608" s="45" t="inlineStr">
        <is>
          <t>RNCP37895</t>
        </is>
      </c>
      <c r="K2608" s="45" t="inlineStr">
        <is>
          <t>Déménageur sur véhicule utile léger</t>
        </is>
      </c>
      <c r="L2608" s="45" t="inlineStr">
        <is>
          <t>31/08/2028</t>
        </is>
      </c>
      <c r="M2608" s="45" t="inlineStr">
        <is>
          <t>31809 (Déménagement) ; 31754 (Manutention)</t>
        </is>
      </c>
      <c r="N2608" s="50" t="inlineStr">
        <is>
          <t>NON</t>
        </is>
      </c>
      <c r="O2608" s="45" t="inlineStr"/>
    </row>
    <row r="2609" customFormat="1" s="3">
      <c r="A2609" s="51" t="n"/>
      <c r="B2609" s="52" t="inlineStr">
        <is>
          <t>31752</t>
        </is>
      </c>
      <c r="C2609" s="52">
        <f>LEFT(Tableau1[[#This Row],[Formacode]],3)</f>
        <v/>
      </c>
      <c r="D2609" s="53" t="n">
        <v>37941</v>
      </c>
      <c r="E2609" s="54">
        <f>"RNCP"&amp;D2609</f>
        <v/>
      </c>
      <c r="F2609" s="54" t="inlineStr">
        <is>
          <t>Certificat d'aptitude professionnelle - Emballeur professionnel</t>
        </is>
      </c>
      <c r="G2609" s="55">
        <f>E2609&amp;" - "&amp;F2609</f>
        <v/>
      </c>
      <c r="H2609" s="37" t="inlineStr">
        <is>
          <t>À vérifier</t>
        </is>
      </c>
      <c r="I2609" s="51" t="inlineStr">
        <is>
          <t>Successeur déjà publié : RNCP42143 (Emballeur professionnel) — préparer la bascule de l'offre CPF | Échéance le 31/08/2026 (dans 44 j)</t>
        </is>
      </c>
      <c r="J2609" s="51" t="inlineStr">
        <is>
          <t>RNCP42143</t>
        </is>
      </c>
      <c r="K2609" s="51" t="inlineStr">
        <is>
          <t>Emballeur professionnel</t>
        </is>
      </c>
      <c r="L2609" s="51" t="inlineStr">
        <is>
          <t>31/08/2026</t>
        </is>
      </c>
      <c r="M2609" s="51" t="inlineStr">
        <is>
          <t>31752 (Conditionnement emballage)</t>
        </is>
      </c>
      <c r="N2609" s="62" t="inlineStr">
        <is>
          <t>NON</t>
        </is>
      </c>
      <c r="O2609" s="51" t="inlineStr"/>
    </row>
    <row r="2610" customFormat="1" s="3">
      <c r="A2610" s="45" t="n"/>
      <c r="B2610" s="46" t="inlineStr">
        <is>
          <t>31752</t>
        </is>
      </c>
      <c r="C2610" s="46">
        <f>LEFT(Tableau1[[#This Row],[Formacode]],3)</f>
        <v/>
      </c>
      <c r="D2610" s="47" t="n">
        <v>38217</v>
      </c>
      <c r="E2610" s="48">
        <f>"RNCP"&amp;D2610</f>
        <v/>
      </c>
      <c r="F2610" s="48" t="inlineStr">
        <is>
          <t>BTS - Pilotage de procédés</t>
        </is>
      </c>
      <c r="G2610" s="49">
        <f>E2610&amp;" - "&amp;F2610</f>
        <v/>
      </c>
      <c r="H2610" s="36" t="inlineStr">
        <is>
          <t>RAS</t>
        </is>
      </c>
      <c r="I2610" s="45" t="inlineStr"/>
      <c r="J2610" s="45" t="inlineStr">
        <is>
          <t>RNCP38217</t>
        </is>
      </c>
      <c r="K2610" s="45" t="inlineStr">
        <is>
          <t>Pilotage de procédés</t>
        </is>
      </c>
      <c r="L2610" s="45" t="inlineStr">
        <is>
          <t>31/12/2028</t>
        </is>
      </c>
      <c r="M2610" s="45" t="inlineStr">
        <is>
          <t>31754 (Manutention)</t>
        </is>
      </c>
      <c r="N2610" s="50" t="inlineStr">
        <is>
          <t>NON</t>
        </is>
      </c>
      <c r="O2610" s="45" t="inlineStr"/>
    </row>
    <row r="2611" customFormat="1" s="3">
      <c r="A2611" s="45" t="n"/>
      <c r="B2611" s="46" t="inlineStr">
        <is>
          <t>31771</t>
        </is>
      </c>
      <c r="C2611" s="46">
        <f>LEFT(Tableau1[[#This Row],[Formacode]],3)</f>
        <v/>
      </c>
      <c r="D2611" s="47" t="n">
        <v>36966</v>
      </c>
      <c r="E2611" s="48">
        <f>"RNCP"&amp;D2611</f>
        <v/>
      </c>
      <c r="F2611" s="48" t="inlineStr">
        <is>
          <t>BTS - Motorisations toutes énergies</t>
        </is>
      </c>
      <c r="G2611" s="49">
        <f>E2611&amp;" - "&amp;F2611</f>
        <v/>
      </c>
      <c r="H2611" s="36" t="inlineStr">
        <is>
          <t>RAS</t>
        </is>
      </c>
      <c r="I2611" s="45" t="inlineStr"/>
      <c r="J2611" s="45" t="inlineStr">
        <is>
          <t>RNCP36966</t>
        </is>
      </c>
      <c r="K2611" s="45" t="inlineStr">
        <is>
          <t>Motorisations toutes énergies</t>
        </is>
      </c>
      <c r="L2611" s="45" t="inlineStr">
        <is>
          <t>31/08/2027</t>
        </is>
      </c>
      <c r="M2611" s="45" t="inlineStr">
        <is>
          <t>23677 (Moteur) ; 31754 (Manutention) ; 11452 (Thermodynamique)</t>
        </is>
      </c>
      <c r="N2611" s="50" t="inlineStr">
        <is>
          <t>NON</t>
        </is>
      </c>
      <c r="O2611" s="45" t="inlineStr"/>
    </row>
    <row r="2612" customFormat="1" s="3">
      <c r="A2612" s="45" t="n"/>
      <c r="B2612" s="46" t="inlineStr">
        <is>
          <t>31771</t>
        </is>
      </c>
      <c r="C2612" s="46">
        <f>LEFT(Tableau1[[#This Row],[Formacode]],3)</f>
        <v/>
      </c>
      <c r="D2612" s="47" t="n">
        <v>37895</v>
      </c>
      <c r="E2612" s="48">
        <f>"RNCP"&amp;D2612</f>
        <v/>
      </c>
      <c r="F2612" s="48" t="inlineStr">
        <is>
          <t>Certificat d'aptitude professionnelle - Déménageur sur véhicule utile léger</t>
        </is>
      </c>
      <c r="G2612" s="49">
        <f>E2612&amp;" - "&amp;F2612</f>
        <v/>
      </c>
      <c r="H2612" s="36" t="inlineStr">
        <is>
          <t>RAS</t>
        </is>
      </c>
      <c r="I2612" s="45" t="inlineStr"/>
      <c r="J2612" s="45" t="inlineStr">
        <is>
          <t>RNCP37895</t>
        </is>
      </c>
      <c r="K2612" s="45" t="inlineStr">
        <is>
          <t>Déménageur sur véhicule utile léger</t>
        </is>
      </c>
      <c r="L2612" s="45" t="inlineStr">
        <is>
          <t>31/08/2028</t>
        </is>
      </c>
      <c r="M2612" s="45" t="inlineStr">
        <is>
          <t>31809 (Déménagement) ; 31754 (Manutention)</t>
        </is>
      </c>
      <c r="N2612" s="50" t="inlineStr">
        <is>
          <t>NON</t>
        </is>
      </c>
      <c r="O2612" s="45" t="inlineStr"/>
    </row>
    <row r="2613" customFormat="1" s="3">
      <c r="A2613" s="45" t="n"/>
      <c r="B2613" s="46" t="inlineStr">
        <is>
          <t>31771</t>
        </is>
      </c>
      <c r="C2613" s="46">
        <f>LEFT(Tableau1[[#This Row],[Formacode]],3)</f>
        <v/>
      </c>
      <c r="D2613" s="47" t="n">
        <v>38217</v>
      </c>
      <c r="E2613" s="48">
        <f>"RNCP"&amp;D2613</f>
        <v/>
      </c>
      <c r="F2613" s="48" t="inlineStr">
        <is>
          <t>BTS - Pilotage de procédés</t>
        </is>
      </c>
      <c r="G2613" s="49">
        <f>E2613&amp;" - "&amp;F2613</f>
        <v/>
      </c>
      <c r="H2613" s="36" t="inlineStr">
        <is>
          <t>RAS</t>
        </is>
      </c>
      <c r="I2613" s="45" t="inlineStr"/>
      <c r="J2613" s="45" t="inlineStr">
        <is>
          <t>RNCP38217</t>
        </is>
      </c>
      <c r="K2613" s="45" t="inlineStr">
        <is>
          <t>Pilotage de procédés</t>
        </is>
      </c>
      <c r="L2613" s="45" t="inlineStr">
        <is>
          <t>31/12/2028</t>
        </is>
      </c>
      <c r="M2613" s="45" t="inlineStr">
        <is>
          <t>31754 (Manutention)</t>
        </is>
      </c>
      <c r="N2613" s="50" t="inlineStr">
        <is>
          <t>NON</t>
        </is>
      </c>
      <c r="O2613" s="45" t="inlineStr"/>
    </row>
    <row r="2614" customFormat="1" s="3">
      <c r="A2614" s="45" t="n"/>
      <c r="B2614" s="46" t="inlineStr">
        <is>
          <t>31776</t>
        </is>
      </c>
      <c r="C2614" s="46">
        <f>LEFT(Tableau1[[#This Row],[Formacode]],3)</f>
        <v/>
      </c>
      <c r="D2614" s="47" t="n">
        <v>36966</v>
      </c>
      <c r="E2614" s="48">
        <f>"RNCP"&amp;D2614</f>
        <v/>
      </c>
      <c r="F2614" s="48" t="inlineStr">
        <is>
          <t>BTS - Motorisations toutes énergies</t>
        </is>
      </c>
      <c r="G2614" s="49">
        <f>E2614&amp;" - "&amp;F2614</f>
        <v/>
      </c>
      <c r="H2614" s="36" t="inlineStr">
        <is>
          <t>RAS</t>
        </is>
      </c>
      <c r="I2614" s="45" t="inlineStr"/>
      <c r="J2614" s="45" t="inlineStr">
        <is>
          <t>RNCP36966</t>
        </is>
      </c>
      <c r="K2614" s="45" t="inlineStr">
        <is>
          <t>Motorisations toutes énergies</t>
        </is>
      </c>
      <c r="L2614" s="45" t="inlineStr">
        <is>
          <t>31/08/2027</t>
        </is>
      </c>
      <c r="M2614" s="45" t="inlineStr">
        <is>
          <t>23677 (Moteur) ; 31754 (Manutention) ; 11452 (Thermodynamique)</t>
        </is>
      </c>
      <c r="N2614" s="50" t="inlineStr">
        <is>
          <t>NON</t>
        </is>
      </c>
      <c r="O2614" s="45" t="inlineStr"/>
    </row>
    <row r="2615" customFormat="1" s="3">
      <c r="A2615" s="45" t="n"/>
      <c r="B2615" s="46" t="inlineStr">
        <is>
          <t>31776</t>
        </is>
      </c>
      <c r="C2615" s="46">
        <f>LEFT(Tableau1[[#This Row],[Formacode]],3)</f>
        <v/>
      </c>
      <c r="D2615" s="47" t="n">
        <v>37895</v>
      </c>
      <c r="E2615" s="48">
        <f>"RNCP"&amp;D2615</f>
        <v/>
      </c>
      <c r="F2615" s="48" t="inlineStr">
        <is>
          <t>Certificat d'aptitude professionnelle - Déménageur sur véhicule utile léger</t>
        </is>
      </c>
      <c r="G2615" s="49">
        <f>E2615&amp;" - "&amp;F2615</f>
        <v/>
      </c>
      <c r="H2615" s="36" t="inlineStr">
        <is>
          <t>RAS</t>
        </is>
      </c>
      <c r="I2615" s="45" t="inlineStr"/>
      <c r="J2615" s="45" t="inlineStr">
        <is>
          <t>RNCP37895</t>
        </is>
      </c>
      <c r="K2615" s="45" t="inlineStr">
        <is>
          <t>Déménageur sur véhicule utile léger</t>
        </is>
      </c>
      <c r="L2615" s="45" t="inlineStr">
        <is>
          <t>31/08/2028</t>
        </is>
      </c>
      <c r="M2615" s="45" t="inlineStr">
        <is>
          <t>31809 (Déménagement) ; 31754 (Manutention)</t>
        </is>
      </c>
      <c r="N2615" s="50" t="inlineStr">
        <is>
          <t>NON</t>
        </is>
      </c>
      <c r="O2615" s="45" t="inlineStr"/>
    </row>
    <row r="2616" customFormat="1" s="3">
      <c r="A2616" s="45" t="n"/>
      <c r="B2616" s="46" t="inlineStr">
        <is>
          <t>31776</t>
        </is>
      </c>
      <c r="C2616" s="46">
        <f>LEFT(Tableau1[[#This Row],[Formacode]],3)</f>
        <v/>
      </c>
      <c r="D2616" s="47" t="n">
        <v>38217</v>
      </c>
      <c r="E2616" s="48">
        <f>"RNCP"&amp;D2616</f>
        <v/>
      </c>
      <c r="F2616" s="48" t="inlineStr">
        <is>
          <t>BTS - Pilotage de procédés</t>
        </is>
      </c>
      <c r="G2616" s="49">
        <f>E2616&amp;" - "&amp;F2616</f>
        <v/>
      </c>
      <c r="H2616" s="36" t="inlineStr">
        <is>
          <t>RAS</t>
        </is>
      </c>
      <c r="I2616" s="45" t="inlineStr"/>
      <c r="J2616" s="45" t="inlineStr">
        <is>
          <t>RNCP38217</t>
        </is>
      </c>
      <c r="K2616" s="45" t="inlineStr">
        <is>
          <t>Pilotage de procédés</t>
        </is>
      </c>
      <c r="L2616" s="45" t="inlineStr">
        <is>
          <t>31/12/2028</t>
        </is>
      </c>
      <c r="M2616" s="45" t="inlineStr">
        <is>
          <t>31754 (Manutention)</t>
        </is>
      </c>
      <c r="N2616" s="50" t="inlineStr">
        <is>
          <t>NON</t>
        </is>
      </c>
      <c r="O2616" s="45" t="inlineStr"/>
    </row>
    <row r="2617" customFormat="1" s="3">
      <c r="A2617" s="45" t="n"/>
      <c r="B2617" s="46" t="inlineStr">
        <is>
          <t>31784</t>
        </is>
      </c>
      <c r="C2617" s="46">
        <f>LEFT(Tableau1[[#This Row],[Formacode]],3)</f>
        <v/>
      </c>
      <c r="D2617" s="47" t="n">
        <v>36966</v>
      </c>
      <c r="E2617" s="48">
        <f>"RNCP"&amp;D2617</f>
        <v/>
      </c>
      <c r="F2617" s="48" t="inlineStr">
        <is>
          <t>BTS - Motorisations toutes énergies</t>
        </is>
      </c>
      <c r="G2617" s="49">
        <f>E2617&amp;" - "&amp;F2617</f>
        <v/>
      </c>
      <c r="H2617" s="36" t="inlineStr">
        <is>
          <t>RAS</t>
        </is>
      </c>
      <c r="I2617" s="45" t="inlineStr"/>
      <c r="J2617" s="45" t="inlineStr">
        <is>
          <t>RNCP36966</t>
        </is>
      </c>
      <c r="K2617" s="45" t="inlineStr">
        <is>
          <t>Motorisations toutes énergies</t>
        </is>
      </c>
      <c r="L2617" s="45" t="inlineStr">
        <is>
          <t>31/08/2027</t>
        </is>
      </c>
      <c r="M2617" s="45" t="inlineStr">
        <is>
          <t>23677 (Moteur) ; 31754 (Manutention) ; 11452 (Thermodynamique)</t>
        </is>
      </c>
      <c r="N2617" s="50" t="inlineStr">
        <is>
          <t>NON</t>
        </is>
      </c>
      <c r="O2617" s="45" t="inlineStr"/>
    </row>
    <row r="2618" customFormat="1" s="3">
      <c r="A2618" s="45" t="n"/>
      <c r="B2618" s="46" t="inlineStr">
        <is>
          <t>31784</t>
        </is>
      </c>
      <c r="C2618" s="46">
        <f>LEFT(Tableau1[[#This Row],[Formacode]],3)</f>
        <v/>
      </c>
      <c r="D2618" s="47" t="n">
        <v>37398</v>
      </c>
      <c r="E2618" s="48">
        <f>"RNCP"&amp;D2618</f>
        <v/>
      </c>
      <c r="F2618" s="48" t="inlineStr">
        <is>
          <t>TP - Conducteur d'installation et de machines automatisées</t>
        </is>
      </c>
      <c r="G2618" s="49">
        <f>E2618&amp;" - "&amp;F2618</f>
        <v/>
      </c>
      <c r="H2618" s="36" t="inlineStr">
        <is>
          <t>RAS</t>
        </is>
      </c>
      <c r="I2618" s="45" t="inlineStr"/>
      <c r="J2618" s="45" t="inlineStr">
        <is>
          <t>RNCP37398</t>
        </is>
      </c>
      <c r="K2618" s="45" t="inlineStr">
        <is>
          <t>Conducteur d'installation et de machines automatisées</t>
        </is>
      </c>
      <c r="L2618" s="45" t="inlineStr">
        <is>
          <t>13/04/2028</t>
        </is>
      </c>
      <c r="M2618" s="45" t="inlineStr">
        <is>
          <t>31620 (Conduite installation industrielle) ; 31752 (Conditionnement emballage) ; 31784 (Palettisation)</t>
        </is>
      </c>
      <c r="N2618" s="50" t="inlineStr">
        <is>
          <t>NON</t>
        </is>
      </c>
      <c r="O2618" s="45" t="inlineStr"/>
    </row>
    <row r="2619" customFormat="1" s="3">
      <c r="A2619" s="45" t="n"/>
      <c r="B2619" s="46" t="inlineStr">
        <is>
          <t>31784</t>
        </is>
      </c>
      <c r="C2619" s="46">
        <f>LEFT(Tableau1[[#This Row],[Formacode]],3)</f>
        <v/>
      </c>
      <c r="D2619" s="47" t="n">
        <v>37895</v>
      </c>
      <c r="E2619" s="48">
        <f>"RNCP"&amp;D2619</f>
        <v/>
      </c>
      <c r="F2619" s="48" t="inlineStr">
        <is>
          <t>Certificat d'aptitude professionnelle - Déménageur sur véhicule utile léger</t>
        </is>
      </c>
      <c r="G2619" s="49">
        <f>E2619&amp;" - "&amp;F2619</f>
        <v/>
      </c>
      <c r="H2619" s="36" t="inlineStr">
        <is>
          <t>RAS</t>
        </is>
      </c>
      <c r="I2619" s="45" t="inlineStr"/>
      <c r="J2619" s="45" t="inlineStr">
        <is>
          <t>RNCP37895</t>
        </is>
      </c>
      <c r="K2619" s="45" t="inlineStr">
        <is>
          <t>Déménageur sur véhicule utile léger</t>
        </is>
      </c>
      <c r="L2619" s="45" t="inlineStr">
        <is>
          <t>31/08/2028</t>
        </is>
      </c>
      <c r="M2619" s="45" t="inlineStr">
        <is>
          <t>31809 (Déménagement) ; 31754 (Manutention)</t>
        </is>
      </c>
      <c r="N2619" s="50" t="inlineStr">
        <is>
          <t>NON</t>
        </is>
      </c>
      <c r="O2619" s="45" t="inlineStr"/>
    </row>
    <row r="2620" customFormat="1" s="3">
      <c r="A2620" s="45" t="n"/>
      <c r="B2620" s="46" t="inlineStr">
        <is>
          <t>31784</t>
        </is>
      </c>
      <c r="C2620" s="46">
        <f>LEFT(Tableau1[[#This Row],[Formacode]],3)</f>
        <v/>
      </c>
      <c r="D2620" s="47" t="n">
        <v>38217</v>
      </c>
      <c r="E2620" s="48">
        <f>"RNCP"&amp;D2620</f>
        <v/>
      </c>
      <c r="F2620" s="48" t="inlineStr">
        <is>
          <t>BTS - Pilotage de procédés</t>
        </is>
      </c>
      <c r="G2620" s="49">
        <f>E2620&amp;" - "&amp;F2620</f>
        <v/>
      </c>
      <c r="H2620" s="36" t="inlineStr">
        <is>
          <t>RAS</t>
        </is>
      </c>
      <c r="I2620" s="45" t="inlineStr"/>
      <c r="J2620" s="45" t="inlineStr">
        <is>
          <t>RNCP38217</t>
        </is>
      </c>
      <c r="K2620" s="45" t="inlineStr">
        <is>
          <t>Pilotage de procédés</t>
        </is>
      </c>
      <c r="L2620" s="45" t="inlineStr">
        <is>
          <t>31/12/2028</t>
        </is>
      </c>
      <c r="M2620" s="45" t="inlineStr">
        <is>
          <t>31754 (Manutention)</t>
        </is>
      </c>
      <c r="N2620" s="50" t="inlineStr">
        <is>
          <t>NON</t>
        </is>
      </c>
      <c r="O2620" s="45" t="inlineStr"/>
    </row>
    <row r="2621" customFormat="1" s="3">
      <c r="A2621" s="45" t="n"/>
      <c r="B2621" s="46" t="inlineStr">
        <is>
          <t>31793</t>
        </is>
      </c>
      <c r="C2621" s="46">
        <f>LEFT(Tableau1[[#This Row],[Formacode]],3)</f>
        <v/>
      </c>
      <c r="D2621" s="47" t="n">
        <v>36966</v>
      </c>
      <c r="E2621" s="48">
        <f>"RNCP"&amp;D2621</f>
        <v/>
      </c>
      <c r="F2621" s="48" t="inlineStr">
        <is>
          <t>BTS - Motorisations toutes énergies</t>
        </is>
      </c>
      <c r="G2621" s="49">
        <f>E2621&amp;" - "&amp;F2621</f>
        <v/>
      </c>
      <c r="H2621" s="36" t="inlineStr">
        <is>
          <t>RAS</t>
        </is>
      </c>
      <c r="I2621" s="45" t="inlineStr"/>
      <c r="J2621" s="45" t="inlineStr">
        <is>
          <t>RNCP36966</t>
        </is>
      </c>
      <c r="K2621" s="45" t="inlineStr">
        <is>
          <t>Motorisations toutes énergies</t>
        </is>
      </c>
      <c r="L2621" s="45" t="inlineStr">
        <is>
          <t>31/08/2027</t>
        </is>
      </c>
      <c r="M2621" s="45" t="inlineStr">
        <is>
          <t>23677 (Moteur) ; 31754 (Manutention) ; 11452 (Thermodynamique)</t>
        </is>
      </c>
      <c r="N2621" s="50" t="inlineStr">
        <is>
          <t>NON</t>
        </is>
      </c>
      <c r="O2621" s="45" t="inlineStr"/>
    </row>
    <row r="2622" customFormat="1" s="3">
      <c r="A2622" s="45" t="n"/>
      <c r="B2622" s="46" t="inlineStr">
        <is>
          <t>31793</t>
        </is>
      </c>
      <c r="C2622" s="46">
        <f>LEFT(Tableau1[[#This Row],[Formacode]],3)</f>
        <v/>
      </c>
      <c r="D2622" s="47" t="n">
        <v>37895</v>
      </c>
      <c r="E2622" s="48">
        <f>"RNCP"&amp;D2622</f>
        <v/>
      </c>
      <c r="F2622" s="48" t="inlineStr">
        <is>
          <t>Certificat d'aptitude professionnelle - Déménageur sur véhicule utile léger</t>
        </is>
      </c>
      <c r="G2622" s="49">
        <f>E2622&amp;" - "&amp;F2622</f>
        <v/>
      </c>
      <c r="H2622" s="36" t="inlineStr">
        <is>
          <t>RAS</t>
        </is>
      </c>
      <c r="I2622" s="45" t="inlineStr"/>
      <c r="J2622" s="45" t="inlineStr">
        <is>
          <t>RNCP37895</t>
        </is>
      </c>
      <c r="K2622" s="45" t="inlineStr">
        <is>
          <t>Déménageur sur véhicule utile léger</t>
        </is>
      </c>
      <c r="L2622" s="45" t="inlineStr">
        <is>
          <t>31/08/2028</t>
        </is>
      </c>
      <c r="M2622" s="45" t="inlineStr">
        <is>
          <t>31809 (Déménagement) ; 31754 (Manutention)</t>
        </is>
      </c>
      <c r="N2622" s="50" t="inlineStr">
        <is>
          <t>NON</t>
        </is>
      </c>
      <c r="O2622" s="45" t="inlineStr"/>
    </row>
    <row r="2623" customFormat="1" s="3">
      <c r="A2623" s="45" t="n"/>
      <c r="B2623" s="46" t="inlineStr">
        <is>
          <t>31793</t>
        </is>
      </c>
      <c r="C2623" s="46">
        <f>LEFT(Tableau1[[#This Row],[Formacode]],3)</f>
        <v/>
      </c>
      <c r="D2623" s="47" t="n">
        <v>38217</v>
      </c>
      <c r="E2623" s="48">
        <f>"RNCP"&amp;D2623</f>
        <v/>
      </c>
      <c r="F2623" s="48" t="inlineStr">
        <is>
          <t>BTS - Pilotage de procédés</t>
        </is>
      </c>
      <c r="G2623" s="49">
        <f>E2623&amp;" - "&amp;F2623</f>
        <v/>
      </c>
      <c r="H2623" s="36" t="inlineStr">
        <is>
          <t>RAS</t>
        </is>
      </c>
      <c r="I2623" s="45" t="inlineStr"/>
      <c r="J2623" s="45" t="inlineStr">
        <is>
          <t>RNCP38217</t>
        </is>
      </c>
      <c r="K2623" s="45" t="inlineStr">
        <is>
          <t>Pilotage de procédés</t>
        </is>
      </c>
      <c r="L2623" s="45" t="inlineStr">
        <is>
          <t>31/12/2028</t>
        </is>
      </c>
      <c r="M2623" s="45" t="inlineStr">
        <is>
          <t>31754 (Manutention)</t>
        </is>
      </c>
      <c r="N2623" s="50" t="inlineStr">
        <is>
          <t>NON</t>
        </is>
      </c>
      <c r="O2623" s="45" t="inlineStr"/>
    </row>
    <row r="2624" customFormat="1" s="3">
      <c r="A2624" s="45" t="n"/>
      <c r="B2624" s="46" t="inlineStr">
        <is>
          <t>31795</t>
        </is>
      </c>
      <c r="C2624" s="46">
        <f>LEFT(Tableau1[[#This Row],[Formacode]],3)</f>
        <v/>
      </c>
      <c r="D2624" s="47" t="n">
        <v>36966</v>
      </c>
      <c r="E2624" s="48">
        <f>"RNCP"&amp;D2624</f>
        <v/>
      </c>
      <c r="F2624" s="48" t="inlineStr">
        <is>
          <t>BTS - Motorisations toutes énergies</t>
        </is>
      </c>
      <c r="G2624" s="49">
        <f>E2624&amp;" - "&amp;F2624</f>
        <v/>
      </c>
      <c r="H2624" s="36" t="inlineStr">
        <is>
          <t>RAS</t>
        </is>
      </c>
      <c r="I2624" s="45" t="inlineStr"/>
      <c r="J2624" s="45" t="inlineStr">
        <is>
          <t>RNCP36966</t>
        </is>
      </c>
      <c r="K2624" s="45" t="inlineStr">
        <is>
          <t>Motorisations toutes énergies</t>
        </is>
      </c>
      <c r="L2624" s="45" t="inlineStr">
        <is>
          <t>31/08/2027</t>
        </is>
      </c>
      <c r="M2624" s="45" t="inlineStr">
        <is>
          <t>23677 (Moteur) ; 31754 (Manutention) ; 11452 (Thermodynamique)</t>
        </is>
      </c>
      <c r="N2624" s="50" t="inlineStr">
        <is>
          <t>NON</t>
        </is>
      </c>
      <c r="O2624" s="45" t="inlineStr"/>
    </row>
    <row r="2625" customFormat="1" s="3">
      <c r="A2625" s="45" t="n"/>
      <c r="B2625" s="46" t="inlineStr">
        <is>
          <t>31795</t>
        </is>
      </c>
      <c r="C2625" s="46">
        <f>LEFT(Tableau1[[#This Row],[Formacode]],3)</f>
        <v/>
      </c>
      <c r="D2625" s="47" t="n">
        <v>37895</v>
      </c>
      <c r="E2625" s="48">
        <f>"RNCP"&amp;D2625</f>
        <v/>
      </c>
      <c r="F2625" s="48" t="inlineStr">
        <is>
          <t>Certificat d'aptitude professionnelle - Déménageur sur véhicule utile léger</t>
        </is>
      </c>
      <c r="G2625" s="49">
        <f>E2625&amp;" - "&amp;F2625</f>
        <v/>
      </c>
      <c r="H2625" s="36" t="inlineStr">
        <is>
          <t>RAS</t>
        </is>
      </c>
      <c r="I2625" s="45" t="inlineStr"/>
      <c r="J2625" s="45" t="inlineStr">
        <is>
          <t>RNCP37895</t>
        </is>
      </c>
      <c r="K2625" s="45" t="inlineStr">
        <is>
          <t>Déménageur sur véhicule utile léger</t>
        </is>
      </c>
      <c r="L2625" s="45" t="inlineStr">
        <is>
          <t>31/08/2028</t>
        </is>
      </c>
      <c r="M2625" s="45" t="inlineStr">
        <is>
          <t>31809 (Déménagement) ; 31754 (Manutention)</t>
        </is>
      </c>
      <c r="N2625" s="50" t="inlineStr">
        <is>
          <t>NON</t>
        </is>
      </c>
      <c r="O2625" s="45" t="inlineStr"/>
    </row>
    <row r="2626" customFormat="1" s="3">
      <c r="A2626" s="45" t="n"/>
      <c r="B2626" s="46" t="inlineStr">
        <is>
          <t>31795</t>
        </is>
      </c>
      <c r="C2626" s="46">
        <f>LEFT(Tableau1[[#This Row],[Formacode]],3)</f>
        <v/>
      </c>
      <c r="D2626" s="47" t="n">
        <v>38217</v>
      </c>
      <c r="E2626" s="48">
        <f>"RNCP"&amp;D2626</f>
        <v/>
      </c>
      <c r="F2626" s="48" t="inlineStr">
        <is>
          <t>BTS - Pilotage de procédés</t>
        </is>
      </c>
      <c r="G2626" s="49">
        <f>E2626&amp;" - "&amp;F2626</f>
        <v/>
      </c>
      <c r="H2626" s="36" t="inlineStr">
        <is>
          <t>RAS</t>
        </is>
      </c>
      <c r="I2626" s="45" t="inlineStr"/>
      <c r="J2626" s="45" t="inlineStr">
        <is>
          <t>RNCP38217</t>
        </is>
      </c>
      <c r="K2626" s="45" t="inlineStr">
        <is>
          <t>Pilotage de procédés</t>
        </is>
      </c>
      <c r="L2626" s="45" t="inlineStr">
        <is>
          <t>31/12/2028</t>
        </is>
      </c>
      <c r="M2626" s="45" t="inlineStr">
        <is>
          <t>31754 (Manutention)</t>
        </is>
      </c>
      <c r="N2626" s="50" t="inlineStr">
        <is>
          <t>NON</t>
        </is>
      </c>
      <c r="O2626" s="45" t="inlineStr"/>
    </row>
    <row r="2627" customFormat="1" s="3">
      <c r="A2627" s="45" t="n"/>
      <c r="B2627" s="46" t="inlineStr">
        <is>
          <t>31795</t>
        </is>
      </c>
      <c r="C2627" s="46">
        <f>LEFT(Tableau1[[#This Row],[Formacode]],3)</f>
        <v/>
      </c>
      <c r="D2627" s="47" t="n">
        <v>40315</v>
      </c>
      <c r="E2627" s="48">
        <f>"RNCP"&amp;D2627</f>
        <v/>
      </c>
      <c r="F2627" s="48" t="inlineStr">
        <is>
          <t>TP - Aide opérateur en dépollution pyrotechnique</t>
        </is>
      </c>
      <c r="G2627" s="49">
        <f>E2627&amp;" - "&amp;F2627</f>
        <v/>
      </c>
      <c r="H2627" s="36" t="inlineStr">
        <is>
          <t>RAS</t>
        </is>
      </c>
      <c r="I2627" s="45" t="inlineStr"/>
      <c r="J2627" s="45" t="inlineStr">
        <is>
          <t>RNCP40315</t>
        </is>
      </c>
      <c r="K2627" s="45" t="inlineStr">
        <is>
          <t>Aide opérateur en dépollution pyrotechnique</t>
        </is>
      </c>
      <c r="L2627" s="45" t="inlineStr">
        <is>
          <t>26/04/2028</t>
        </is>
      </c>
      <c r="M2627" s="45" t="inlineStr">
        <is>
          <t>12580 (Pollution sol) ; 31795 (Sécurité manutention)</t>
        </is>
      </c>
      <c r="N2627" s="50" t="inlineStr">
        <is>
          <t>NON</t>
        </is>
      </c>
      <c r="O2627" s="45" t="inlineStr"/>
    </row>
    <row r="2628" customFormat="1" s="3">
      <c r="A2628" s="45" t="n"/>
      <c r="B2628" s="46" t="inlineStr">
        <is>
          <t>31795</t>
        </is>
      </c>
      <c r="C2628" s="46">
        <f>LEFT(Tableau1[[#This Row],[Formacode]],3)</f>
        <v/>
      </c>
      <c r="D2628" s="47" t="n">
        <v>40498</v>
      </c>
      <c r="E2628" s="48">
        <f>"RNCP"&amp;D2628</f>
        <v/>
      </c>
      <c r="F2628" s="48" t="inlineStr">
        <is>
          <t>TP - Préparateur de commandes en entrepôt</t>
        </is>
      </c>
      <c r="G2628" s="49">
        <f>E2628&amp;" - "&amp;F2628</f>
        <v/>
      </c>
      <c r="H2628" s="36" t="inlineStr">
        <is>
          <t>RAS</t>
        </is>
      </c>
      <c r="I2628" s="45" t="inlineStr"/>
      <c r="J2628" s="45" t="inlineStr">
        <is>
          <t>RNCP40498</t>
        </is>
      </c>
      <c r="K2628" s="45" t="inlineStr">
        <is>
          <t>Préparateur de commandes en entrepôt</t>
        </is>
      </c>
      <c r="L2628" s="45" t="inlineStr">
        <is>
          <t>28/07/2030</t>
        </is>
      </c>
      <c r="M2628" s="45" t="inlineStr">
        <is>
          <t>31743 (Expédition) ; 31795 (Sécurité manutention)</t>
        </is>
      </c>
      <c r="N2628" s="50" t="inlineStr">
        <is>
          <t>NON</t>
        </is>
      </c>
      <c r="O2628" s="45" t="inlineStr"/>
    </row>
    <row r="2629" customFormat="1" s="3">
      <c r="A2629" s="45" t="n"/>
      <c r="B2629" s="46" t="inlineStr">
        <is>
          <t>31795</t>
        </is>
      </c>
      <c r="C2629" s="46">
        <f>LEFT(Tableau1[[#This Row],[Formacode]],3)</f>
        <v/>
      </c>
      <c r="D2629" s="47" t="n">
        <v>40499</v>
      </c>
      <c r="E2629" s="48">
        <f>"RNCP"&amp;D2629</f>
        <v/>
      </c>
      <c r="F2629" s="48" t="inlineStr">
        <is>
          <t>TP - Cariste d'entrepôt</t>
        </is>
      </c>
      <c r="G2629" s="49">
        <f>E2629&amp;" - "&amp;F2629</f>
        <v/>
      </c>
      <c r="H2629" s="36" t="inlineStr">
        <is>
          <t>RAS</t>
        </is>
      </c>
      <c r="I2629" s="45" t="inlineStr"/>
      <c r="J2629" s="45" t="inlineStr">
        <is>
          <t>RNCP40499</t>
        </is>
      </c>
      <c r="K2629" s="45" t="inlineStr">
        <is>
          <t>Cariste d'entrepôt</t>
        </is>
      </c>
      <c r="L2629" s="45" t="inlineStr">
        <is>
          <t>27/07/2030</t>
        </is>
      </c>
      <c r="M2629" s="45" t="inlineStr">
        <is>
          <t>31768 (Chariot automoteur) ; 31795 (Sécurité manutention)</t>
        </is>
      </c>
      <c r="N2629" s="50" t="inlineStr">
        <is>
          <t>NON</t>
        </is>
      </c>
      <c r="O2629" s="45" t="inlineStr"/>
    </row>
    <row r="2630" customFormat="1" s="3">
      <c r="A2630" s="51" t="n"/>
      <c r="B2630" s="52" t="inlineStr">
        <is>
          <t>31815</t>
        </is>
      </c>
      <c r="C2630" s="52">
        <f>LEFT(Tableau1[[#This Row],[Formacode]],3)</f>
        <v/>
      </c>
      <c r="D2630" s="53" t="n">
        <v>38225</v>
      </c>
      <c r="E2630" s="54">
        <f>"RNCP"&amp;D2630</f>
        <v/>
      </c>
      <c r="F2630" s="54" t="inlineStr">
        <is>
          <t>Certificat de spécialisation - Accueil dans les transports</t>
        </is>
      </c>
      <c r="G2630" s="55">
        <f>E2630&amp;" - "&amp;F2630</f>
        <v/>
      </c>
      <c r="H2630" s="37" t="inlineStr">
        <is>
          <t>À vérifier</t>
        </is>
      </c>
      <c r="I2630" s="51" t="inlineStr">
        <is>
          <t>Successeur déjà publié : RNCP42552 (Accueil dans les transports) — préparer la bascule de l'offre CPF | Échéance le 31/08/2026 (dans 44 j)</t>
        </is>
      </c>
      <c r="J2630" s="51" t="inlineStr">
        <is>
          <t>RNCP42552</t>
        </is>
      </c>
      <c r="K2630" s="51" t="inlineStr">
        <is>
          <t>Accueil dans les transports</t>
        </is>
      </c>
      <c r="L2630" s="51" t="inlineStr">
        <is>
          <t>31/08/2026</t>
        </is>
      </c>
      <c r="M2630" s="51" t="inlineStr">
        <is>
          <t>35052 (Accueil) ; 31854 (Transport)</t>
        </is>
      </c>
      <c r="N2630" s="62" t="inlineStr">
        <is>
          <t>NON</t>
        </is>
      </c>
      <c r="O2630" s="51" t="inlineStr"/>
    </row>
    <row r="2631" customFormat="1" s="3">
      <c r="A2631" s="45" t="n"/>
      <c r="B2631" s="46" t="inlineStr">
        <is>
          <t>31815</t>
        </is>
      </c>
      <c r="C2631" s="46">
        <f>LEFT(Tableau1[[#This Row],[Formacode]],3)</f>
        <v/>
      </c>
      <c r="D2631" s="47" t="n">
        <v>39792</v>
      </c>
      <c r="E2631" s="48">
        <f>"RNCP"&amp;D2631</f>
        <v/>
      </c>
      <c r="F2631" s="48" t="inlineStr">
        <is>
          <t>TP - Exploitant régulateur en transport routier de voyageurs</t>
        </is>
      </c>
      <c r="G2631" s="49">
        <f>E2631&amp;" - "&amp;F2631</f>
        <v/>
      </c>
      <c r="H2631" s="36" t="inlineStr">
        <is>
          <t>RAS</t>
        </is>
      </c>
      <c r="I2631" s="45" t="inlineStr"/>
      <c r="J2631" s="45" t="inlineStr">
        <is>
          <t>RNCP39792</t>
        </is>
      </c>
      <c r="K2631" s="45" t="inlineStr">
        <is>
          <t>Exploitant régulateur en transport routier de voyageurs</t>
        </is>
      </c>
      <c r="L2631" s="45" t="inlineStr">
        <is>
          <t>27/12/2029</t>
        </is>
      </c>
      <c r="M2631" s="45" t="inlineStr">
        <is>
          <t>31895 (Gestion entreprise transport) ; 31805 (Transport en commun routier) ; 31815 (Transport sanitaire)</t>
        </is>
      </c>
      <c r="N2631" s="50" t="inlineStr">
        <is>
          <t>NON</t>
        </is>
      </c>
      <c r="O2631" s="45" t="inlineStr"/>
    </row>
    <row r="2632" customFormat="1" s="3">
      <c r="A2632" s="45" t="n"/>
      <c r="B2632" s="46" t="inlineStr">
        <is>
          <t>31815</t>
        </is>
      </c>
      <c r="C2632" s="46">
        <f>LEFT(Tableau1[[#This Row],[Formacode]],3)</f>
        <v/>
      </c>
      <c r="D2632" s="47" t="n">
        <v>40798</v>
      </c>
      <c r="E2632" s="48">
        <f>"RNCP"&amp;D2632</f>
        <v/>
      </c>
      <c r="F2632" s="48" t="inlineStr">
        <is>
          <t>Certificat de spécialisation - Traction équine et conduite d'attelages</t>
        </is>
      </c>
      <c r="G2632" s="49">
        <f>E2632&amp;" - "&amp;F2632</f>
        <v/>
      </c>
      <c r="H2632" s="36" t="inlineStr">
        <is>
          <t>RAS</t>
        </is>
      </c>
      <c r="I2632" s="45" t="inlineStr"/>
      <c r="J2632" s="45" t="inlineStr">
        <is>
          <t>RNCP40798</t>
        </is>
      </c>
      <c r="K2632" s="45" t="inlineStr">
        <is>
          <t>Traction équine et conduite d'attelages</t>
        </is>
      </c>
      <c r="L2632" s="45" t="inlineStr">
        <is>
          <t>31/12/2030</t>
        </is>
      </c>
      <c r="M2632" s="45" t="inlineStr">
        <is>
          <t>42691 (Tourisme équestre) ; 15479 (Sport équestre) ; 21053 (Viticulture) ; 21042 (Exploitation forestière) ; 31854 (Transport)</t>
        </is>
      </c>
      <c r="N2632" s="50" t="inlineStr">
        <is>
          <t>NON</t>
        </is>
      </c>
      <c r="O2632" s="45" t="inlineStr"/>
    </row>
    <row r="2633" customFormat="1" s="3">
      <c r="A2633" s="51" t="n"/>
      <c r="B2633" s="52" t="inlineStr">
        <is>
          <t>31818</t>
        </is>
      </c>
      <c r="C2633" s="52">
        <f>LEFT(Tableau1[[#This Row],[Formacode]],3)</f>
        <v/>
      </c>
      <c r="D2633" s="53" t="n">
        <v>38225</v>
      </c>
      <c r="E2633" s="54">
        <f>"RNCP"&amp;D2633</f>
        <v/>
      </c>
      <c r="F2633" s="54" t="inlineStr">
        <is>
          <t>Certificat de spécialisation - Accueil dans les transports</t>
        </is>
      </c>
      <c r="G2633" s="55">
        <f>E2633&amp;" - "&amp;F2633</f>
        <v/>
      </c>
      <c r="H2633" s="37" t="inlineStr">
        <is>
          <t>À vérifier</t>
        </is>
      </c>
      <c r="I2633" s="51" t="inlineStr">
        <is>
          <t>Successeur déjà publié : RNCP42552 (Accueil dans les transports) — préparer la bascule de l'offre CPF | Échéance le 31/08/2026 (dans 44 j)</t>
        </is>
      </c>
      <c r="J2633" s="51" t="inlineStr">
        <is>
          <t>RNCP42552</t>
        </is>
      </c>
      <c r="K2633" s="51" t="inlineStr">
        <is>
          <t>Accueil dans les transports</t>
        </is>
      </c>
      <c r="L2633" s="51" t="inlineStr">
        <is>
          <t>31/08/2026</t>
        </is>
      </c>
      <c r="M2633" s="51" t="inlineStr">
        <is>
          <t>35052 (Accueil) ; 31854 (Transport)</t>
        </is>
      </c>
      <c r="N2633" s="62" t="inlineStr">
        <is>
          <t>NON</t>
        </is>
      </c>
      <c r="O2633" s="51" t="inlineStr"/>
    </row>
    <row r="2634" customFormat="1" s="3">
      <c r="A2634" s="45" t="n"/>
      <c r="B2634" s="46" t="inlineStr">
        <is>
          <t>31818</t>
        </is>
      </c>
      <c r="C2634" s="46">
        <f>LEFT(Tableau1[[#This Row],[Formacode]],3)</f>
        <v/>
      </c>
      <c r="D2634" s="47" t="n">
        <v>40798</v>
      </c>
      <c r="E2634" s="48">
        <f>"RNCP"&amp;D2634</f>
        <v/>
      </c>
      <c r="F2634" s="48" t="inlineStr">
        <is>
          <t>Certificat de spécialisation - Traction équine et conduite d'attelages</t>
        </is>
      </c>
      <c r="G2634" s="49">
        <f>E2634&amp;" - "&amp;F2634</f>
        <v/>
      </c>
      <c r="H2634" s="36" t="inlineStr">
        <is>
          <t>RAS</t>
        </is>
      </c>
      <c r="I2634" s="45" t="inlineStr"/>
      <c r="J2634" s="45" t="inlineStr">
        <is>
          <t>RNCP40798</t>
        </is>
      </c>
      <c r="K2634" s="45" t="inlineStr">
        <is>
          <t>Traction équine et conduite d'attelages</t>
        </is>
      </c>
      <c r="L2634" s="45" t="inlineStr">
        <is>
          <t>31/12/2030</t>
        </is>
      </c>
      <c r="M2634" s="45" t="inlineStr">
        <is>
          <t>42691 (Tourisme équestre) ; 15479 (Sport équestre) ; 21053 (Viticulture) ; 21042 (Exploitation forestière) ; 31854 (Transport)</t>
        </is>
      </c>
      <c r="N2634" s="50" t="inlineStr">
        <is>
          <t>NON</t>
        </is>
      </c>
      <c r="O2634" s="45" t="inlineStr"/>
    </row>
    <row r="2635" customFormat="1" s="3">
      <c r="A2635" s="45" t="n"/>
      <c r="B2635" s="46" t="inlineStr">
        <is>
          <t>31822</t>
        </is>
      </c>
      <c r="C2635" s="46">
        <f>LEFT(Tableau1[[#This Row],[Formacode]],3)</f>
        <v/>
      </c>
      <c r="D2635" s="47" t="n">
        <v>36529</v>
      </c>
      <c r="E2635" s="48">
        <f>"RNCP"&amp;D2635</f>
        <v/>
      </c>
      <c r="F2635" s="48" t="inlineStr">
        <is>
          <t>Manager de la chaîne logistique durable</t>
        </is>
      </c>
      <c r="G2635" s="49">
        <f>E2635&amp;" - "&amp;F2635</f>
        <v/>
      </c>
      <c r="H2635" s="36" t="inlineStr">
        <is>
          <t>RAS</t>
        </is>
      </c>
      <c r="I2635" s="45" t="inlineStr"/>
      <c r="J2635" s="45" t="inlineStr">
        <is>
          <t>RNCP36529</t>
        </is>
      </c>
      <c r="K2635" s="45" t="inlineStr">
        <is>
          <t>Manager de la chaîne logistique durable</t>
        </is>
      </c>
      <c r="L2635" s="45" t="inlineStr">
        <is>
          <t>01/06/2027</t>
        </is>
      </c>
      <c r="M2635" s="45" t="inlineStr">
        <is>
          <t>31845 (Logistique) ; 31822 (Transport logistique durable)</t>
        </is>
      </c>
      <c r="N2635" s="50" t="inlineStr">
        <is>
          <t>NON</t>
        </is>
      </c>
      <c r="O2635" s="45" t="inlineStr"/>
    </row>
    <row r="2636" customFormat="1" s="3">
      <c r="A2636" s="51" t="n"/>
      <c r="B2636" s="52" t="inlineStr">
        <is>
          <t>31822</t>
        </is>
      </c>
      <c r="C2636" s="52">
        <f>LEFT(Tableau1[[#This Row],[Formacode]],3)</f>
        <v/>
      </c>
      <c r="D2636" s="53" t="n">
        <v>38225</v>
      </c>
      <c r="E2636" s="54">
        <f>"RNCP"&amp;D2636</f>
        <v/>
      </c>
      <c r="F2636" s="54" t="inlineStr">
        <is>
          <t>Certificat de spécialisation - Accueil dans les transports</t>
        </is>
      </c>
      <c r="G2636" s="55">
        <f>E2636&amp;" - "&amp;F2636</f>
        <v/>
      </c>
      <c r="H2636" s="37" t="inlineStr">
        <is>
          <t>À vérifier</t>
        </is>
      </c>
      <c r="I2636" s="51" t="inlineStr">
        <is>
          <t>Successeur déjà publié : RNCP42552 (Accueil dans les transports) — préparer la bascule de l'offre CPF | Échéance le 31/08/2026 (dans 44 j)</t>
        </is>
      </c>
      <c r="J2636" s="51" t="inlineStr">
        <is>
          <t>RNCP42552</t>
        </is>
      </c>
      <c r="K2636" s="51" t="inlineStr">
        <is>
          <t>Accueil dans les transports</t>
        </is>
      </c>
      <c r="L2636" s="51" t="inlineStr">
        <is>
          <t>31/08/2026</t>
        </is>
      </c>
      <c r="M2636" s="51" t="inlineStr">
        <is>
          <t>35052 (Accueil) ; 31854 (Transport)</t>
        </is>
      </c>
      <c r="N2636" s="62" t="inlineStr">
        <is>
          <t>NON</t>
        </is>
      </c>
      <c r="O2636" s="51" t="inlineStr"/>
    </row>
    <row r="2637" customFormat="1" s="3">
      <c r="A2637" s="45" t="n"/>
      <c r="B2637" s="46" t="inlineStr">
        <is>
          <t>31822</t>
        </is>
      </c>
      <c r="C2637" s="46">
        <f>LEFT(Tableau1[[#This Row],[Formacode]],3)</f>
        <v/>
      </c>
      <c r="D2637" s="47" t="n">
        <v>40798</v>
      </c>
      <c r="E2637" s="48">
        <f>"RNCP"&amp;D2637</f>
        <v/>
      </c>
      <c r="F2637" s="48" t="inlineStr">
        <is>
          <t>Certificat de spécialisation - Traction équine et conduite d'attelages</t>
        </is>
      </c>
      <c r="G2637" s="49">
        <f>E2637&amp;" - "&amp;F2637</f>
        <v/>
      </c>
      <c r="H2637" s="36" t="inlineStr">
        <is>
          <t>RAS</t>
        </is>
      </c>
      <c r="I2637" s="45" t="inlineStr"/>
      <c r="J2637" s="45" t="inlineStr">
        <is>
          <t>RNCP40798</t>
        </is>
      </c>
      <c r="K2637" s="45" t="inlineStr">
        <is>
          <t>Traction équine et conduite d'attelages</t>
        </is>
      </c>
      <c r="L2637" s="45" t="inlineStr">
        <is>
          <t>31/12/2030</t>
        </is>
      </c>
      <c r="M2637" s="45" t="inlineStr">
        <is>
          <t>42691 (Tourisme équestre) ; 15479 (Sport équestre) ; 21053 (Viticulture) ; 21042 (Exploitation forestière) ; 31854 (Transport)</t>
        </is>
      </c>
      <c r="N2637" s="50" t="inlineStr">
        <is>
          <t>NON</t>
        </is>
      </c>
      <c r="O2637" s="45" t="inlineStr"/>
    </row>
    <row r="2638" customFormat="1" s="3">
      <c r="A2638" s="45" t="n"/>
      <c r="B2638" s="46" t="inlineStr">
        <is>
          <t>31822</t>
        </is>
      </c>
      <c r="C2638" s="46">
        <f>LEFT(Tableau1[[#This Row],[Formacode]],3)</f>
        <v/>
      </c>
      <c r="D2638" s="47" t="n">
        <v>40990</v>
      </c>
      <c r="E2638" s="48">
        <f>"RNCP"&amp;D2638</f>
        <v/>
      </c>
      <c r="F2638" s="48" t="inlineStr">
        <is>
          <t>TP - Gestionnaire des opérations de transport routier de marchandises</t>
        </is>
      </c>
      <c r="G2638" s="49">
        <f>E2638&amp;" - "&amp;F2638</f>
        <v/>
      </c>
      <c r="H2638" s="36" t="inlineStr">
        <is>
          <t>RAS</t>
        </is>
      </c>
      <c r="I2638" s="45" t="inlineStr"/>
      <c r="J2638" s="45" t="inlineStr">
        <is>
          <t>RNCP40990</t>
        </is>
      </c>
      <c r="K2638" s="45" t="inlineStr">
        <is>
          <t>Gestionnaire des opérations de transport routier de marchandises</t>
        </is>
      </c>
      <c r="L2638" s="45" t="inlineStr">
        <is>
          <t>23/08/2030</t>
        </is>
      </c>
      <c r="M2638" s="45" t="inlineStr">
        <is>
          <t>31895 (Gestion entreprise transport) ; 31822 (Transport logistique durable) ; 31839 (Transit marchandise) ; 31856 (Affrètement)</t>
        </is>
      </c>
      <c r="N2638" s="50" t="inlineStr">
        <is>
          <t>NON</t>
        </is>
      </c>
      <c r="O2638" s="45" t="inlineStr"/>
    </row>
    <row r="2639" customFormat="1" s="3">
      <c r="A2639" s="45" t="n"/>
      <c r="B2639" s="46" t="inlineStr">
        <is>
          <t>31822</t>
        </is>
      </c>
      <c r="C2639" s="46">
        <f>LEFT(Tableau1[[#This Row],[Formacode]],3)</f>
        <v/>
      </c>
      <c r="D2639" s="47" t="n">
        <v>40992</v>
      </c>
      <c r="E2639" s="48">
        <f>"RNCP"&amp;D2639</f>
        <v/>
      </c>
      <c r="F2639" s="48" t="inlineStr">
        <is>
          <t>TP - Exploitant en transport routier de marchandises</t>
        </is>
      </c>
      <c r="G2639" s="49">
        <f>E2639&amp;" - "&amp;F2639</f>
        <v/>
      </c>
      <c r="H2639" s="36" t="inlineStr">
        <is>
          <t>RAS</t>
        </is>
      </c>
      <c r="I2639" s="45" t="inlineStr"/>
      <c r="J2639" s="45" t="inlineStr">
        <is>
          <t>RNCP40992</t>
        </is>
      </c>
      <c r="K2639" s="45" t="inlineStr">
        <is>
          <t>Exploitant en transport routier de marchandises</t>
        </is>
      </c>
      <c r="L2639" s="45" t="inlineStr">
        <is>
          <t>23/08/2030</t>
        </is>
      </c>
      <c r="M2639" s="45" t="inlineStr">
        <is>
          <t>31827 (Transport marchandise) ; 31856 (Affrètement) ; 31822 (Transport logistique durable) ; 31895 (Gestion entreprise transport)</t>
        </is>
      </c>
      <c r="N2639" s="50" t="inlineStr">
        <is>
          <t>NON</t>
        </is>
      </c>
      <c r="O2639" s="45" t="inlineStr"/>
    </row>
    <row r="2640" customFormat="1" s="3">
      <c r="A2640" s="51" t="n"/>
      <c r="B2640" s="52" t="inlineStr">
        <is>
          <t>31823</t>
        </is>
      </c>
      <c r="C2640" s="52">
        <f>LEFT(Tableau1[[#This Row],[Formacode]],3)</f>
        <v/>
      </c>
      <c r="D2640" s="53" t="n">
        <v>38225</v>
      </c>
      <c r="E2640" s="54">
        <f>"RNCP"&amp;D2640</f>
        <v/>
      </c>
      <c r="F2640" s="54" t="inlineStr">
        <is>
          <t>Certificat de spécialisation - Accueil dans les transports</t>
        </is>
      </c>
      <c r="G2640" s="55">
        <f>E2640&amp;" - "&amp;F2640</f>
        <v/>
      </c>
      <c r="H2640" s="37" t="inlineStr">
        <is>
          <t>À vérifier</t>
        </is>
      </c>
      <c r="I2640" s="51" t="inlineStr">
        <is>
          <t>Successeur déjà publié : RNCP42552 (Accueil dans les transports) — préparer la bascule de l'offre CPF | Échéance le 31/08/2026 (dans 44 j)</t>
        </is>
      </c>
      <c r="J2640" s="51" t="inlineStr">
        <is>
          <t>RNCP42552</t>
        </is>
      </c>
      <c r="K2640" s="51" t="inlineStr">
        <is>
          <t>Accueil dans les transports</t>
        </is>
      </c>
      <c r="L2640" s="51" t="inlineStr">
        <is>
          <t>31/08/2026</t>
        </is>
      </c>
      <c r="M2640" s="51" t="inlineStr">
        <is>
          <t>35052 (Accueil) ; 31854 (Transport)</t>
        </is>
      </c>
      <c r="N2640" s="62" t="inlineStr">
        <is>
          <t>NON</t>
        </is>
      </c>
      <c r="O2640" s="51" t="inlineStr"/>
    </row>
    <row r="2641" customFormat="1" s="3">
      <c r="A2641" s="45" t="n"/>
      <c r="B2641" s="46" t="inlineStr">
        <is>
          <t>31823</t>
        </is>
      </c>
      <c r="C2641" s="46">
        <f>LEFT(Tableau1[[#This Row],[Formacode]],3)</f>
        <v/>
      </c>
      <c r="D2641" s="47" t="n">
        <v>40798</v>
      </c>
      <c r="E2641" s="48">
        <f>"RNCP"&amp;D2641</f>
        <v/>
      </c>
      <c r="F2641" s="48" t="inlineStr">
        <is>
          <t>Certificat de spécialisation - Traction équine et conduite d'attelages</t>
        </is>
      </c>
      <c r="G2641" s="49">
        <f>E2641&amp;" - "&amp;F2641</f>
        <v/>
      </c>
      <c r="H2641" s="36" t="inlineStr">
        <is>
          <t>RAS</t>
        </is>
      </c>
      <c r="I2641" s="45" t="inlineStr"/>
      <c r="J2641" s="45" t="inlineStr">
        <is>
          <t>RNCP40798</t>
        </is>
      </c>
      <c r="K2641" s="45" t="inlineStr">
        <is>
          <t>Traction équine et conduite d'attelages</t>
        </is>
      </c>
      <c r="L2641" s="45" t="inlineStr">
        <is>
          <t>31/12/2030</t>
        </is>
      </c>
      <c r="M2641" s="45" t="inlineStr">
        <is>
          <t>42691 (Tourisme équestre) ; 15479 (Sport équestre) ; 21053 (Viticulture) ; 21042 (Exploitation forestière) ; 31854 (Transport)</t>
        </is>
      </c>
      <c r="N2641" s="50" t="inlineStr">
        <is>
          <t>NON</t>
        </is>
      </c>
      <c r="O2641" s="45" t="inlineStr"/>
    </row>
    <row r="2642" customFormat="1" s="3">
      <c r="A2642" s="63" t="n"/>
      <c r="B2642" s="64" t="inlineStr">
        <is>
          <t>31827</t>
        </is>
      </c>
      <c r="C2642" s="64">
        <f>LEFT(Tableau1[[#This Row],[Formacode]],3)</f>
        <v/>
      </c>
      <c r="D2642" s="65" t="n">
        <v>35429</v>
      </c>
      <c r="E2642" s="66">
        <f>"RNCP"&amp;D2642</f>
        <v/>
      </c>
      <c r="F2642" s="66" t="inlineStr">
        <is>
          <t>Assistant déclarant en douane</t>
        </is>
      </c>
      <c r="G2642" s="67">
        <f>E2642&amp;" - "&amp;F2642</f>
        <v/>
      </c>
      <c r="H2642" s="38" t="inlineStr">
        <is>
          <t>Expiré / remplacé</t>
        </is>
      </c>
      <c r="I2642" s="63" t="inlineStr">
        <is>
          <t>Fiche inactive — remplacée par RNCP42333 (Assistant déclarant en douane)</t>
        </is>
      </c>
      <c r="J2642" s="63" t="inlineStr">
        <is>
          <t>RNCP42333</t>
        </is>
      </c>
      <c r="K2642" s="63" t="inlineStr">
        <is>
          <t>Assistant déclarant en douane</t>
        </is>
      </c>
      <c r="L2642" s="63" t="inlineStr">
        <is>
          <t>17/03/2026</t>
        </is>
      </c>
      <c r="M2642" s="63" t="inlineStr">
        <is>
          <t>31859 (Procédure douanière)</t>
        </is>
      </c>
      <c r="N2642" s="68" t="inlineStr">
        <is>
          <t>NON</t>
        </is>
      </c>
      <c r="O2642" s="63" t="inlineStr"/>
    </row>
    <row r="2643" customFormat="1" s="3">
      <c r="A2643" s="45" t="n"/>
      <c r="B2643" s="46" t="inlineStr">
        <is>
          <t>31827</t>
        </is>
      </c>
      <c r="C2643" s="46">
        <f>LEFT(Tableau1[[#This Row],[Formacode]],3)</f>
        <v/>
      </c>
      <c r="D2643" s="47" t="n">
        <v>37895</v>
      </c>
      <c r="E2643" s="48">
        <f>"RNCP"&amp;D2643</f>
        <v/>
      </c>
      <c r="F2643" s="48" t="inlineStr">
        <is>
          <t>Certificat d'aptitude professionnelle - Déménageur sur véhicule utile léger</t>
        </is>
      </c>
      <c r="G2643" s="49">
        <f>E2643&amp;" - "&amp;F2643</f>
        <v/>
      </c>
      <c r="H2643" s="36" t="inlineStr">
        <is>
          <t>RAS</t>
        </is>
      </c>
      <c r="I2643" s="45" t="inlineStr"/>
      <c r="J2643" s="45" t="inlineStr">
        <is>
          <t>RNCP37895</t>
        </is>
      </c>
      <c r="K2643" s="45" t="inlineStr">
        <is>
          <t>Déménageur sur véhicule utile léger</t>
        </is>
      </c>
      <c r="L2643" s="45" t="inlineStr">
        <is>
          <t>31/08/2028</t>
        </is>
      </c>
      <c r="M2643" s="45" t="inlineStr">
        <is>
          <t>31809 (Déménagement) ; 31754 (Manutention)</t>
        </is>
      </c>
      <c r="N2643" s="50" t="inlineStr">
        <is>
          <t>NON</t>
        </is>
      </c>
      <c r="O2643" s="45" t="inlineStr"/>
    </row>
    <row r="2644" customFormat="1" s="3">
      <c r="A2644" s="51" t="n"/>
      <c r="B2644" s="52" t="inlineStr">
        <is>
          <t>31827</t>
        </is>
      </c>
      <c r="C2644" s="52">
        <f>LEFT(Tableau1[[#This Row],[Formacode]],3)</f>
        <v/>
      </c>
      <c r="D2644" s="53" t="n">
        <v>38225</v>
      </c>
      <c r="E2644" s="54">
        <f>"RNCP"&amp;D2644</f>
        <v/>
      </c>
      <c r="F2644" s="54" t="inlineStr">
        <is>
          <t>Certificat de spécialisation - Accueil dans les transports</t>
        </is>
      </c>
      <c r="G2644" s="55">
        <f>E2644&amp;" - "&amp;F2644</f>
        <v/>
      </c>
      <c r="H2644" s="37" t="inlineStr">
        <is>
          <t>À vérifier</t>
        </is>
      </c>
      <c r="I2644" s="51" t="inlineStr">
        <is>
          <t>Successeur déjà publié : RNCP42552 (Accueil dans les transports) — préparer la bascule de l'offre CPF | Échéance le 31/08/2026 (dans 44 j)</t>
        </is>
      </c>
      <c r="J2644" s="51" t="inlineStr">
        <is>
          <t>RNCP42552</t>
        </is>
      </c>
      <c r="K2644" s="51" t="inlineStr">
        <is>
          <t>Accueil dans les transports</t>
        </is>
      </c>
      <c r="L2644" s="51" t="inlineStr">
        <is>
          <t>31/08/2026</t>
        </is>
      </c>
      <c r="M2644" s="51" t="inlineStr">
        <is>
          <t>35052 (Accueil) ; 31854 (Transport)</t>
        </is>
      </c>
      <c r="N2644" s="62" t="inlineStr">
        <is>
          <t>NON</t>
        </is>
      </c>
      <c r="O2644" s="51" t="inlineStr"/>
    </row>
    <row r="2645" customFormat="1" s="3">
      <c r="A2645" s="45" t="n"/>
      <c r="B2645" s="46" t="inlineStr">
        <is>
          <t>31827</t>
        </is>
      </c>
      <c r="C2645" s="46">
        <f>LEFT(Tableau1[[#This Row],[Formacode]],3)</f>
        <v/>
      </c>
      <c r="D2645" s="47" t="n">
        <v>38365</v>
      </c>
      <c r="E2645" s="48">
        <f>"RNCP"&amp;D2645</f>
        <v/>
      </c>
      <c r="F2645" s="48" t="inlineStr">
        <is>
          <t>BTS - Gestion des transports et logistique associée</t>
        </is>
      </c>
      <c r="G2645" s="49">
        <f>E2645&amp;" - "&amp;F2645</f>
        <v/>
      </c>
      <c r="H2645" s="36" t="inlineStr">
        <is>
          <t>RAS</t>
        </is>
      </c>
      <c r="I2645" s="45" t="inlineStr"/>
      <c r="J2645" s="45" t="inlineStr">
        <is>
          <t>RNCP38365</t>
        </is>
      </c>
      <c r="K2645" s="45" t="inlineStr">
        <is>
          <t>Gestion des transports et logistique associée</t>
        </is>
      </c>
      <c r="L2645" s="45" t="inlineStr">
        <is>
          <t>31/12/2028</t>
        </is>
      </c>
      <c r="M2645" s="45" t="inlineStr">
        <is>
          <t>31837 (Logistique distribution) ; 31834 (Logistique transport) ; 31847 (Transport international marchandise) ; 34287 (Logistique internationale)</t>
        </is>
      </c>
      <c r="N2645" s="50" t="inlineStr">
        <is>
          <t>NON</t>
        </is>
      </c>
      <c r="O2645" s="45" t="inlineStr"/>
    </row>
    <row r="2646" customFormat="1" s="3">
      <c r="A2646" s="45" t="n"/>
      <c r="B2646" s="46" t="inlineStr">
        <is>
          <t>31827</t>
        </is>
      </c>
      <c r="C2646" s="46">
        <f>LEFT(Tableau1[[#This Row],[Formacode]],3)</f>
        <v/>
      </c>
      <c r="D2646" s="47" t="n">
        <v>39795</v>
      </c>
      <c r="E2646" s="48">
        <f>"RNCP"&amp;D2646</f>
        <v/>
      </c>
      <c r="F2646" s="48" t="inlineStr">
        <is>
          <t>TP - Conducteur du transport routier de marchandises sur tous véhicules</t>
        </is>
      </c>
      <c r="G2646" s="49">
        <f>E2646&amp;" - "&amp;F2646</f>
        <v/>
      </c>
      <c r="H2646" s="36" t="inlineStr">
        <is>
          <t>RAS</t>
        </is>
      </c>
      <c r="I2646" s="45" t="inlineStr"/>
      <c r="J2646" s="45" t="inlineStr">
        <is>
          <t>RNCP39795</t>
        </is>
      </c>
      <c r="K2646" s="45" t="inlineStr">
        <is>
          <t>Conducteur du transport routier de marchandises sur tous véhicules</t>
        </is>
      </c>
      <c r="L2646" s="45" t="inlineStr">
        <is>
          <t>31/12/2029</t>
        </is>
      </c>
      <c r="M2646" s="45" t="inlineStr">
        <is>
          <t>31827 (Transport marchandise) ; 31804 (Conduite véhicule articulé) ; 31816 (Conduite poids lourd)</t>
        </is>
      </c>
      <c r="N2646" s="50" t="inlineStr">
        <is>
          <t>NON</t>
        </is>
      </c>
      <c r="O2646" s="45" t="inlineStr"/>
    </row>
    <row r="2647" customFormat="1" s="3">
      <c r="A2647" s="45" t="n"/>
      <c r="B2647" s="46" t="inlineStr">
        <is>
          <t>31827</t>
        </is>
      </c>
      <c r="C2647" s="46">
        <f>LEFT(Tableau1[[#This Row],[Formacode]],3)</f>
        <v/>
      </c>
      <c r="D2647" s="47" t="n">
        <v>39796</v>
      </c>
      <c r="E2647" s="48">
        <f>"RNCP"&amp;D2647</f>
        <v/>
      </c>
      <c r="F2647" s="48" t="inlineStr">
        <is>
          <t>TP - Conducteur du transport routier de marchandises sur porteur</t>
        </is>
      </c>
      <c r="G2647" s="49">
        <f>E2647&amp;" - "&amp;F2647</f>
        <v/>
      </c>
      <c r="H2647" s="36" t="inlineStr">
        <is>
          <t>RAS</t>
        </is>
      </c>
      <c r="I2647" s="45" t="inlineStr"/>
      <c r="J2647" s="45" t="inlineStr">
        <is>
          <t>RNCP39796</t>
        </is>
      </c>
      <c r="K2647" s="45" t="inlineStr">
        <is>
          <t>Conducteur du transport routier de marchandises sur porteur</t>
        </is>
      </c>
      <c r="L2647" s="45" t="inlineStr">
        <is>
          <t>31/12/2029</t>
        </is>
      </c>
      <c r="M2647" s="45" t="inlineStr">
        <is>
          <t>31827 (Transport marchandise) ; 31816 (Conduite poids lourd)</t>
        </is>
      </c>
      <c r="N2647" s="50" t="inlineStr">
        <is>
          <t>NON</t>
        </is>
      </c>
      <c r="O2647" s="45" t="inlineStr"/>
    </row>
    <row r="2648" customFormat="1" s="3">
      <c r="A2648" s="45" t="n"/>
      <c r="B2648" s="46" t="inlineStr">
        <is>
          <t>31827</t>
        </is>
      </c>
      <c r="C2648" s="46">
        <f>LEFT(Tableau1[[#This Row],[Formacode]],3)</f>
        <v/>
      </c>
      <c r="D2648" s="47" t="n">
        <v>40706</v>
      </c>
      <c r="E2648" s="48">
        <f>"RNCP"&amp;D2648</f>
        <v/>
      </c>
      <c r="F2648" s="48" t="inlineStr">
        <is>
          <t>Baccalauréat professionnel - Conducteur routier de marchandises</t>
        </is>
      </c>
      <c r="G2648" s="49">
        <f>E2648&amp;" - "&amp;F2648</f>
        <v/>
      </c>
      <c r="H2648" s="36" t="inlineStr">
        <is>
          <t>RAS</t>
        </is>
      </c>
      <c r="I2648" s="45" t="inlineStr"/>
      <c r="J2648" s="45" t="inlineStr">
        <is>
          <t>RNCP40706</t>
        </is>
      </c>
      <c r="K2648" s="45" t="inlineStr">
        <is>
          <t>Conducteur routier de marchandises</t>
        </is>
      </c>
      <c r="L2648" s="45" t="inlineStr">
        <is>
          <t>31/08/2030</t>
        </is>
      </c>
      <c r="M2648" s="45" t="inlineStr">
        <is>
          <t>31827 (Transport marchandise)</t>
        </is>
      </c>
      <c r="N2648" s="50" t="inlineStr">
        <is>
          <t>NON</t>
        </is>
      </c>
      <c r="O2648" s="45" t="inlineStr"/>
    </row>
    <row r="2649" customFormat="1" s="3">
      <c r="A2649" s="45" t="n"/>
      <c r="B2649" s="46" t="inlineStr">
        <is>
          <t>31827</t>
        </is>
      </c>
      <c r="C2649" s="46">
        <f>LEFT(Tableau1[[#This Row],[Formacode]],3)</f>
        <v/>
      </c>
      <c r="D2649" s="47" t="n">
        <v>40798</v>
      </c>
      <c r="E2649" s="48">
        <f>"RNCP"&amp;D2649</f>
        <v/>
      </c>
      <c r="F2649" s="48" t="inlineStr">
        <is>
          <t>Certificat de spécialisation - Traction équine et conduite d'attelages</t>
        </is>
      </c>
      <c r="G2649" s="49">
        <f>E2649&amp;" - "&amp;F2649</f>
        <v/>
      </c>
      <c r="H2649" s="36" t="inlineStr">
        <is>
          <t>RAS</t>
        </is>
      </c>
      <c r="I2649" s="45" t="inlineStr"/>
      <c r="J2649" s="45" t="inlineStr">
        <is>
          <t>RNCP40798</t>
        </is>
      </c>
      <c r="K2649" s="45" t="inlineStr">
        <is>
          <t>Traction équine et conduite d'attelages</t>
        </is>
      </c>
      <c r="L2649" s="45" t="inlineStr">
        <is>
          <t>31/12/2030</t>
        </is>
      </c>
      <c r="M2649" s="45" t="inlineStr">
        <is>
          <t>42691 (Tourisme équestre) ; 15479 (Sport équestre) ; 21053 (Viticulture) ; 21042 (Exploitation forestière) ; 31854 (Transport)</t>
        </is>
      </c>
      <c r="N2649" s="50" t="inlineStr">
        <is>
          <t>NON</t>
        </is>
      </c>
      <c r="O2649" s="45" t="inlineStr"/>
    </row>
    <row r="2650" customFormat="1" s="3">
      <c r="A2650" s="45" t="n"/>
      <c r="B2650" s="46" t="inlineStr">
        <is>
          <t>31827</t>
        </is>
      </c>
      <c r="C2650" s="46">
        <f>LEFT(Tableau1[[#This Row],[Formacode]],3)</f>
        <v/>
      </c>
      <c r="D2650" s="47" t="n">
        <v>40990</v>
      </c>
      <c r="E2650" s="48">
        <f>"RNCP"&amp;D2650</f>
        <v/>
      </c>
      <c r="F2650" s="48" t="inlineStr">
        <is>
          <t>TP - Gestionnaire des opérations de transport routier de marchandises</t>
        </is>
      </c>
      <c r="G2650" s="49">
        <f>E2650&amp;" - "&amp;F2650</f>
        <v/>
      </c>
      <c r="H2650" s="36" t="inlineStr">
        <is>
          <t>RAS</t>
        </is>
      </c>
      <c r="I2650" s="45" t="inlineStr"/>
      <c r="J2650" s="45" t="inlineStr">
        <is>
          <t>RNCP40990</t>
        </is>
      </c>
      <c r="K2650" s="45" t="inlineStr">
        <is>
          <t>Gestionnaire des opérations de transport routier de marchandises</t>
        </is>
      </c>
      <c r="L2650" s="45" t="inlineStr">
        <is>
          <t>23/08/2030</t>
        </is>
      </c>
      <c r="M2650" s="45" t="inlineStr">
        <is>
          <t>31895 (Gestion entreprise transport) ; 31822 (Transport logistique durable) ; 31839 (Transit marchandise) ; 31856 (Affrètement)</t>
        </is>
      </c>
      <c r="N2650" s="50" t="inlineStr">
        <is>
          <t>NON</t>
        </is>
      </c>
      <c r="O2650" s="45" t="inlineStr"/>
    </row>
    <row r="2651" customFormat="1" s="3">
      <c r="A2651" s="45" t="n"/>
      <c r="B2651" s="46" t="inlineStr">
        <is>
          <t>31827</t>
        </is>
      </c>
      <c r="C2651" s="46">
        <f>LEFT(Tableau1[[#This Row],[Formacode]],3)</f>
        <v/>
      </c>
      <c r="D2651" s="47" t="n">
        <v>40991</v>
      </c>
      <c r="E2651" s="48">
        <f>"RNCP"&amp;D2651</f>
        <v/>
      </c>
      <c r="F2651" s="48" t="inlineStr">
        <is>
          <t>TP - Organisateur de transports aériens ou maritimes de marchandises</t>
        </is>
      </c>
      <c r="G2651" s="49">
        <f>E2651&amp;" - "&amp;F2651</f>
        <v/>
      </c>
      <c r="H2651" s="36" t="inlineStr">
        <is>
          <t>RAS</t>
        </is>
      </c>
      <c r="I2651" s="45" t="inlineStr"/>
      <c r="J2651" s="45" t="inlineStr">
        <is>
          <t>RNCP40991</t>
        </is>
      </c>
      <c r="K2651" s="45" t="inlineStr">
        <is>
          <t>Organisateur de transports aériens ou maritimes de marchandises</t>
        </is>
      </c>
      <c r="L2651" s="45" t="inlineStr">
        <is>
          <t>23/08/2030</t>
        </is>
      </c>
      <c r="M2651" s="45" t="inlineStr">
        <is>
          <t>31827 (Transport marchandise) ; 31869 (Fret aérien) ; 31872 (Transport maritime)</t>
        </is>
      </c>
      <c r="N2651" s="50" t="inlineStr">
        <is>
          <t>NON</t>
        </is>
      </c>
      <c r="O2651" s="45" t="inlineStr"/>
    </row>
    <row r="2652" customFormat="1" s="3">
      <c r="A2652" s="45" t="n"/>
      <c r="B2652" s="46" t="inlineStr">
        <is>
          <t>31827</t>
        </is>
      </c>
      <c r="C2652" s="46">
        <f>LEFT(Tableau1[[#This Row],[Formacode]],3)</f>
        <v/>
      </c>
      <c r="D2652" s="47" t="n">
        <v>40992</v>
      </c>
      <c r="E2652" s="48">
        <f>"RNCP"&amp;D2652</f>
        <v/>
      </c>
      <c r="F2652" s="48" t="inlineStr">
        <is>
          <t>TP - Exploitant en transport routier de marchandises</t>
        </is>
      </c>
      <c r="G2652" s="49">
        <f>E2652&amp;" - "&amp;F2652</f>
        <v/>
      </c>
      <c r="H2652" s="36" t="inlineStr">
        <is>
          <t>RAS</t>
        </is>
      </c>
      <c r="I2652" s="45" t="inlineStr"/>
      <c r="J2652" s="45" t="inlineStr">
        <is>
          <t>RNCP40992</t>
        </is>
      </c>
      <c r="K2652" s="45" t="inlineStr">
        <is>
          <t>Exploitant en transport routier de marchandises</t>
        </is>
      </c>
      <c r="L2652" s="45" t="inlineStr">
        <is>
          <t>23/08/2030</t>
        </is>
      </c>
      <c r="M2652" s="45" t="inlineStr">
        <is>
          <t>31827 (Transport marchandise) ; 31856 (Affrètement) ; 31822 (Transport logistique durable) ; 31895 (Gestion entreprise transport)</t>
        </is>
      </c>
      <c r="N2652" s="50" t="inlineStr">
        <is>
          <t>NON</t>
        </is>
      </c>
      <c r="O2652" s="45" t="inlineStr"/>
    </row>
    <row r="2653" customFormat="1" s="3">
      <c r="A2653" s="45" t="n"/>
      <c r="B2653" s="46" t="inlineStr">
        <is>
          <t>31827</t>
        </is>
      </c>
      <c r="C2653" s="46">
        <f>LEFT(Tableau1[[#This Row],[Formacode]],3)</f>
        <v/>
      </c>
      <c r="D2653" s="47" t="n">
        <v>40993</v>
      </c>
      <c r="E2653" s="48">
        <f>"RNCP"&amp;D2653</f>
        <v/>
      </c>
      <c r="F2653" s="48" t="inlineStr">
        <is>
          <t>Baccalauréat professionnel - Organisation de transport de marchandises</t>
        </is>
      </c>
      <c r="G2653" s="49">
        <f>E2653&amp;" - "&amp;F2653</f>
        <v/>
      </c>
      <c r="H2653" s="36" t="inlineStr">
        <is>
          <t>RAS</t>
        </is>
      </c>
      <c r="I2653" s="45" t="inlineStr"/>
      <c r="J2653" s="45" t="inlineStr">
        <is>
          <t>RNCP40993</t>
        </is>
      </c>
      <c r="K2653" s="45" t="inlineStr">
        <is>
          <t>Organisation de transport de marchandises</t>
        </is>
      </c>
      <c r="L2653" s="45" t="inlineStr">
        <is>
          <t>31/08/2030</t>
        </is>
      </c>
      <c r="M2653" s="45" t="inlineStr">
        <is>
          <t>31827 (Transport marchandise) ; 31845 (Logistique)</t>
        </is>
      </c>
      <c r="N2653" s="50" t="inlineStr">
        <is>
          <t>NON</t>
        </is>
      </c>
      <c r="O2653" s="45" t="inlineStr"/>
    </row>
    <row r="2654" ht="28.8" customFormat="1" customHeight="1" s="3">
      <c r="A2654" s="45" t="n"/>
      <c r="B2654" s="46" t="inlineStr">
        <is>
          <t>31827</t>
        </is>
      </c>
      <c r="C2654" s="46">
        <f>LEFT(Tableau1[[#This Row],[Formacode]],3)</f>
        <v/>
      </c>
      <c r="D2654" s="47" t="n">
        <v>40995</v>
      </c>
      <c r="E2654" s="48">
        <f>"RNCP"&amp;D2654</f>
        <v/>
      </c>
      <c r="F2654" s="48" t="inlineStr">
        <is>
          <t>Certificat d'aptitude professionnelle - Conducteur routier de marchandises  options « Livraisons de proximité » et « Livraisons longue distance »</t>
        </is>
      </c>
      <c r="G2654" s="49">
        <f>E2654&amp;" - "&amp;F2654</f>
        <v/>
      </c>
      <c r="H2654" s="36" t="inlineStr">
        <is>
          <t>RAS</t>
        </is>
      </c>
      <c r="I2654" s="45" t="inlineStr"/>
      <c r="J2654" s="45" t="inlineStr">
        <is>
          <t>RNCP40995</t>
        </is>
      </c>
      <c r="K2654" s="45" t="inlineStr">
        <is>
          <t>Conducteur routier de marchandises options « Livraisons de proximité » et « Livraisons longue distance »</t>
        </is>
      </c>
      <c r="L2654" s="45" t="inlineStr">
        <is>
          <t>31/08/2030</t>
        </is>
      </c>
      <c r="M2654" s="45" t="inlineStr">
        <is>
          <t>31807 (Livraison)</t>
        </is>
      </c>
      <c r="N2654" s="50" t="inlineStr">
        <is>
          <t>NON</t>
        </is>
      </c>
      <c r="O2654" s="45" t="inlineStr"/>
    </row>
    <row r="2655" customFormat="1" s="3">
      <c r="A2655" s="45" t="n"/>
      <c r="B2655" s="46" t="inlineStr">
        <is>
          <t>31827</t>
        </is>
      </c>
      <c r="C2655" s="46">
        <f>LEFT(Tableau1[[#This Row],[Formacode]],3)</f>
        <v/>
      </c>
      <c r="D2655" s="47" t="n">
        <v>41633</v>
      </c>
      <c r="E2655" s="48">
        <f>"RNCP"&amp;D2655</f>
        <v/>
      </c>
      <c r="F2655" s="48" t="inlineStr">
        <is>
          <t>TP - Conducteur livreur sur véhicule utilitaire léger</t>
        </is>
      </c>
      <c r="G2655" s="49">
        <f>E2655&amp;" - "&amp;F2655</f>
        <v/>
      </c>
      <c r="H2655" s="36" t="inlineStr">
        <is>
          <t>RAS</t>
        </is>
      </c>
      <c r="I2655" s="45" t="inlineStr"/>
      <c r="J2655" s="45" t="inlineStr">
        <is>
          <t>RNCP41633</t>
        </is>
      </c>
      <c r="K2655" s="45" t="inlineStr">
        <is>
          <t>Conducteur livreur sur véhicule utilitaire léger</t>
        </is>
      </c>
      <c r="L2655" s="45" t="inlineStr">
        <is>
          <t>31/12/2030</t>
        </is>
      </c>
      <c r="M2655" s="45" t="inlineStr">
        <is>
          <t>31807 (Livraison)</t>
        </is>
      </c>
      <c r="N2655" s="50" t="inlineStr">
        <is>
          <t>NON</t>
        </is>
      </c>
      <c r="O2655" s="45" t="inlineStr"/>
    </row>
    <row r="2656" customFormat="1" s="3">
      <c r="A2656" s="63" t="n"/>
      <c r="B2656" s="64" t="inlineStr">
        <is>
          <t>31833</t>
        </is>
      </c>
      <c r="C2656" s="64">
        <f>LEFT(Tableau1[[#This Row],[Formacode]],3)</f>
        <v/>
      </c>
      <c r="D2656" s="65" t="n">
        <v>35329</v>
      </c>
      <c r="E2656" s="66">
        <f>"RNCP"&amp;D2656</f>
        <v/>
      </c>
      <c r="F2656" s="66" t="inlineStr">
        <is>
          <t>TP - Enseignant de la conduite et de la sécurité routière</t>
        </is>
      </c>
      <c r="G2656" s="67">
        <f>E2656&amp;" - "&amp;F2656</f>
        <v/>
      </c>
      <c r="H2656" s="38" t="inlineStr">
        <is>
          <t>Expiré / remplacé</t>
        </is>
      </c>
      <c r="I2656" s="63" t="inlineStr">
        <is>
          <t>Fiche inactive — remplacée par RNCP41862 (Enseignant de la conduite et de la sécurité routière)</t>
        </is>
      </c>
      <c r="J2656" s="63" t="inlineStr">
        <is>
          <t>RNCP41862</t>
        </is>
      </c>
      <c r="K2656" s="63" t="inlineStr">
        <is>
          <t>Enseignant de la conduite et de la sécurité routière</t>
        </is>
      </c>
      <c r="L2656" s="63" t="inlineStr">
        <is>
          <t>28/04/2026</t>
        </is>
      </c>
      <c r="M2656" s="63" t="inlineStr">
        <is>
          <t>31802 (Monitorat auto-école)</t>
        </is>
      </c>
      <c r="N2656" s="68" t="inlineStr">
        <is>
          <t>NON</t>
        </is>
      </c>
      <c r="O2656" s="63" t="inlineStr"/>
    </row>
    <row r="2657" ht="28.8" customFormat="1" customHeight="1" s="3">
      <c r="A2657" s="45" t="n"/>
      <c r="B2657" s="46" t="inlineStr">
        <is>
          <t>31833</t>
        </is>
      </c>
      <c r="C2657" s="46">
        <f>LEFT(Tableau1[[#This Row],[Formacode]],3)</f>
        <v/>
      </c>
      <c r="D2657" s="47" t="n">
        <v>37598</v>
      </c>
      <c r="E2657" s="48">
        <f>"RNCP"&amp;D2657</f>
        <v/>
      </c>
      <c r="F2657" s="48" t="inlineStr">
        <is>
          <t>Certificat d'aptitude professionnelle - Conducteur agent d’accueil en autobus et autocar</t>
        </is>
      </c>
      <c r="G2657" s="49">
        <f>E2657&amp;" - "&amp;F2657</f>
        <v/>
      </c>
      <c r="H2657" s="36" t="inlineStr">
        <is>
          <t>RAS</t>
        </is>
      </c>
      <c r="I2657" s="45" t="inlineStr"/>
      <c r="J2657" s="45" t="inlineStr">
        <is>
          <t>RNCP37598</t>
        </is>
      </c>
      <c r="K2657" s="45" t="inlineStr">
        <is>
          <t>Conducteur agent d’accueil en autobus et autocar</t>
        </is>
      </c>
      <c r="L2657" s="45" t="inlineStr">
        <is>
          <t>31/08/2028</t>
        </is>
      </c>
      <c r="M2657" s="45" t="inlineStr">
        <is>
          <t>31805 (Transport en commun routier)</t>
        </is>
      </c>
      <c r="N2657" s="50" t="inlineStr">
        <is>
          <t>NON</t>
        </is>
      </c>
      <c r="O2657" s="45" t="inlineStr"/>
    </row>
    <row r="2658" customFormat="1" s="3">
      <c r="A2658" s="45" t="n"/>
      <c r="B2658" s="46" t="inlineStr">
        <is>
          <t>31833</t>
        </is>
      </c>
      <c r="C2658" s="46">
        <f>LEFT(Tableau1[[#This Row],[Formacode]],3)</f>
        <v/>
      </c>
      <c r="D2658" s="47" t="n">
        <v>37878</v>
      </c>
      <c r="E2658" s="48">
        <f>"RNCP"&amp;D2658</f>
        <v/>
      </c>
      <c r="F2658" s="48" t="inlineStr">
        <is>
          <t>TP - Conducteur de transport en commun sur route</t>
        </is>
      </c>
      <c r="G2658" s="49">
        <f>E2658&amp;" - "&amp;F2658</f>
        <v/>
      </c>
      <c r="H2658" s="36" t="inlineStr">
        <is>
          <t>RAS</t>
        </is>
      </c>
      <c r="I2658" s="45" t="inlineStr"/>
      <c r="J2658" s="45" t="inlineStr">
        <is>
          <t>RNCP37878</t>
        </is>
      </c>
      <c r="K2658" s="45" t="inlineStr">
        <is>
          <t>Conducteur de transport en commun sur route</t>
        </is>
      </c>
      <c r="L2658" s="45" t="inlineStr">
        <is>
          <t>07/06/2028</t>
        </is>
      </c>
      <c r="M2658" s="45" t="inlineStr">
        <is>
          <t>31805 (Transport en commun routier)</t>
        </is>
      </c>
      <c r="N2658" s="50" t="inlineStr">
        <is>
          <t>NON</t>
        </is>
      </c>
      <c r="O2658" s="45" t="inlineStr"/>
    </row>
    <row r="2659" customFormat="1" s="3">
      <c r="A2659" s="51" t="n"/>
      <c r="B2659" s="52" t="inlineStr">
        <is>
          <t>31833</t>
        </is>
      </c>
      <c r="C2659" s="52">
        <f>LEFT(Tableau1[[#This Row],[Formacode]],3)</f>
        <v/>
      </c>
      <c r="D2659" s="53" t="n">
        <v>38225</v>
      </c>
      <c r="E2659" s="54">
        <f>"RNCP"&amp;D2659</f>
        <v/>
      </c>
      <c r="F2659" s="54" t="inlineStr">
        <is>
          <t>Certificat de spécialisation - Accueil dans les transports</t>
        </is>
      </c>
      <c r="G2659" s="55">
        <f>E2659&amp;" - "&amp;F2659</f>
        <v/>
      </c>
      <c r="H2659" s="37" t="inlineStr">
        <is>
          <t>À vérifier</t>
        </is>
      </c>
      <c r="I2659" s="51" t="inlineStr">
        <is>
          <t>Successeur déjà publié : RNCP42552 (Accueil dans les transports) — préparer la bascule de l'offre CPF | Échéance le 31/08/2026 (dans 44 j)</t>
        </is>
      </c>
      <c r="J2659" s="51" t="inlineStr">
        <is>
          <t>RNCP42552</t>
        </is>
      </c>
      <c r="K2659" s="51" t="inlineStr">
        <is>
          <t>Accueil dans les transports</t>
        </is>
      </c>
      <c r="L2659" s="51" t="inlineStr">
        <is>
          <t>31/08/2026</t>
        </is>
      </c>
      <c r="M2659" s="51" t="inlineStr">
        <is>
          <t>35052 (Accueil) ; 31854 (Transport)</t>
        </is>
      </c>
      <c r="N2659" s="62" t="inlineStr">
        <is>
          <t>NON</t>
        </is>
      </c>
      <c r="O2659" s="51" t="inlineStr"/>
    </row>
    <row r="2660" customFormat="1" s="3">
      <c r="A2660" s="45" t="n"/>
      <c r="B2660" s="46" t="inlineStr">
        <is>
          <t>31833</t>
        </is>
      </c>
      <c r="C2660" s="46">
        <f>LEFT(Tableau1[[#This Row],[Formacode]],3)</f>
        <v/>
      </c>
      <c r="D2660" s="47" t="n">
        <v>39726</v>
      </c>
      <c r="E2660" s="48">
        <f>"RNCP"&amp;D2660</f>
        <v/>
      </c>
      <c r="F2660" s="48" t="inlineStr">
        <is>
          <t>Formateur aux métiers de l'éducation et de la sécurité routières</t>
        </is>
      </c>
      <c r="G2660" s="49">
        <f>E2660&amp;" - "&amp;F2660</f>
        <v/>
      </c>
      <c r="H2660" s="36" t="inlineStr">
        <is>
          <t>RAS</t>
        </is>
      </c>
      <c r="I2660" s="45" t="inlineStr"/>
      <c r="J2660" s="45" t="inlineStr">
        <is>
          <t>RNCP39726</t>
        </is>
      </c>
      <c r="K2660" s="45" t="inlineStr">
        <is>
          <t>Formateur aux métiers de l'éducation et de la sécurité routières</t>
        </is>
      </c>
      <c r="L2660" s="45" t="inlineStr">
        <is>
          <t>31/10/2029</t>
        </is>
      </c>
      <c r="M2660" s="45" t="inlineStr">
        <is>
          <t>31817 (Prévention sécurité routière) ; 31812 (Conduite auto) ; 31895 (Gestion entreprise transport)</t>
        </is>
      </c>
      <c r="N2660" s="50" t="inlineStr">
        <is>
          <t>NON</t>
        </is>
      </c>
      <c r="O2660" s="45" t="inlineStr"/>
    </row>
    <row r="2661" customFormat="1" s="3">
      <c r="A2661" s="45" t="n"/>
      <c r="B2661" s="46" t="inlineStr">
        <is>
          <t>31833</t>
        </is>
      </c>
      <c r="C2661" s="46">
        <f>LEFT(Tableau1[[#This Row],[Formacode]],3)</f>
        <v/>
      </c>
      <c r="D2661" s="47" t="n">
        <v>39792</v>
      </c>
      <c r="E2661" s="48">
        <f>"RNCP"&amp;D2661</f>
        <v/>
      </c>
      <c r="F2661" s="48" t="inlineStr">
        <is>
          <t>TP - Exploitant régulateur en transport routier de voyageurs</t>
        </is>
      </c>
      <c r="G2661" s="49">
        <f>E2661&amp;" - "&amp;F2661</f>
        <v/>
      </c>
      <c r="H2661" s="36" t="inlineStr">
        <is>
          <t>RAS</t>
        </is>
      </c>
      <c r="I2661" s="45" t="inlineStr"/>
      <c r="J2661" s="45" t="inlineStr">
        <is>
          <t>RNCP39792</t>
        </is>
      </c>
      <c r="K2661" s="45" t="inlineStr">
        <is>
          <t>Exploitant régulateur en transport routier de voyageurs</t>
        </is>
      </c>
      <c r="L2661" s="45" t="inlineStr">
        <is>
          <t>27/12/2029</t>
        </is>
      </c>
      <c r="M2661" s="45" t="inlineStr">
        <is>
          <t>31895 (Gestion entreprise transport) ; 31805 (Transport en commun routier) ; 31815 (Transport sanitaire)</t>
        </is>
      </c>
      <c r="N2661" s="50" t="inlineStr">
        <is>
          <t>NON</t>
        </is>
      </c>
      <c r="O2661" s="45" t="inlineStr"/>
    </row>
    <row r="2662" customFormat="1" s="3">
      <c r="A2662" s="45" t="n"/>
      <c r="B2662" s="46" t="inlineStr">
        <is>
          <t>31833</t>
        </is>
      </c>
      <c r="C2662" s="46">
        <f>LEFT(Tableau1[[#This Row],[Formacode]],3)</f>
        <v/>
      </c>
      <c r="D2662" s="47" t="n">
        <v>39795</v>
      </c>
      <c r="E2662" s="48">
        <f>"RNCP"&amp;D2662</f>
        <v/>
      </c>
      <c r="F2662" s="48" t="inlineStr">
        <is>
          <t>TP - Conducteur du transport routier de marchandises sur tous véhicules</t>
        </is>
      </c>
      <c r="G2662" s="49">
        <f>E2662&amp;" - "&amp;F2662</f>
        <v/>
      </c>
      <c r="H2662" s="36" t="inlineStr">
        <is>
          <t>RAS</t>
        </is>
      </c>
      <c r="I2662" s="45" t="inlineStr"/>
      <c r="J2662" s="45" t="inlineStr">
        <is>
          <t>RNCP39795</t>
        </is>
      </c>
      <c r="K2662" s="45" t="inlineStr">
        <is>
          <t>Conducteur du transport routier de marchandises sur tous véhicules</t>
        </is>
      </c>
      <c r="L2662" s="45" t="inlineStr">
        <is>
          <t>31/12/2029</t>
        </is>
      </c>
      <c r="M2662" s="45" t="inlineStr">
        <is>
          <t>31827 (Transport marchandise) ; 31804 (Conduite véhicule articulé) ; 31816 (Conduite poids lourd)</t>
        </is>
      </c>
      <c r="N2662" s="50" t="inlineStr">
        <is>
          <t>NON</t>
        </is>
      </c>
      <c r="O2662" s="45" t="inlineStr"/>
    </row>
    <row r="2663" customFormat="1" s="3">
      <c r="A2663" s="45" t="n"/>
      <c r="B2663" s="46" t="inlineStr">
        <is>
          <t>31833</t>
        </is>
      </c>
      <c r="C2663" s="46">
        <f>LEFT(Tableau1[[#This Row],[Formacode]],3)</f>
        <v/>
      </c>
      <c r="D2663" s="47" t="n">
        <v>39796</v>
      </c>
      <c r="E2663" s="48">
        <f>"RNCP"&amp;D2663</f>
        <v/>
      </c>
      <c r="F2663" s="48" t="inlineStr">
        <is>
          <t>TP - Conducteur du transport routier de marchandises sur porteur</t>
        </is>
      </c>
      <c r="G2663" s="49">
        <f>E2663&amp;" - "&amp;F2663</f>
        <v/>
      </c>
      <c r="H2663" s="36" t="inlineStr">
        <is>
          <t>RAS</t>
        </is>
      </c>
      <c r="I2663" s="45" t="inlineStr"/>
      <c r="J2663" s="45" t="inlineStr">
        <is>
          <t>RNCP39796</t>
        </is>
      </c>
      <c r="K2663" s="45" t="inlineStr">
        <is>
          <t>Conducteur du transport routier de marchandises sur porteur</t>
        </is>
      </c>
      <c r="L2663" s="45" t="inlineStr">
        <is>
          <t>31/12/2029</t>
        </is>
      </c>
      <c r="M2663" s="45" t="inlineStr">
        <is>
          <t>31827 (Transport marchandise) ; 31816 (Conduite poids lourd)</t>
        </is>
      </c>
      <c r="N2663" s="50" t="inlineStr">
        <is>
          <t>NON</t>
        </is>
      </c>
      <c r="O2663" s="45" t="inlineStr"/>
    </row>
    <row r="2664" customFormat="1" s="3">
      <c r="A2664" s="45" t="n"/>
      <c r="B2664" s="46" t="inlineStr">
        <is>
          <t>31833</t>
        </is>
      </c>
      <c r="C2664" s="46">
        <f>LEFT(Tableau1[[#This Row],[Formacode]],3)</f>
        <v/>
      </c>
      <c r="D2664" s="47" t="n">
        <v>40798</v>
      </c>
      <c r="E2664" s="48">
        <f>"RNCP"&amp;D2664</f>
        <v/>
      </c>
      <c r="F2664" s="48" t="inlineStr">
        <is>
          <t>Certificat de spécialisation - Traction équine et conduite d'attelages</t>
        </is>
      </c>
      <c r="G2664" s="49">
        <f>E2664&amp;" - "&amp;F2664</f>
        <v/>
      </c>
      <c r="H2664" s="36" t="inlineStr">
        <is>
          <t>RAS</t>
        </is>
      </c>
      <c r="I2664" s="45" t="inlineStr"/>
      <c r="J2664" s="45" t="inlineStr">
        <is>
          <t>RNCP40798</t>
        </is>
      </c>
      <c r="K2664" s="45" t="inlineStr">
        <is>
          <t>Traction équine et conduite d'attelages</t>
        </is>
      </c>
      <c r="L2664" s="45" t="inlineStr">
        <is>
          <t>31/12/2030</t>
        </is>
      </c>
      <c r="M2664" s="45" t="inlineStr">
        <is>
          <t>42691 (Tourisme équestre) ; 15479 (Sport équestre) ; 21053 (Viticulture) ; 21042 (Exploitation forestière) ; 31854 (Transport)</t>
        </is>
      </c>
      <c r="N2664" s="50" t="inlineStr">
        <is>
          <t>NON</t>
        </is>
      </c>
      <c r="O2664" s="45" t="inlineStr"/>
    </row>
    <row r="2665" customFormat="1" s="3">
      <c r="A2665" s="51" t="n"/>
      <c r="B2665" s="52" t="inlineStr">
        <is>
          <t>31840</t>
        </is>
      </c>
      <c r="C2665" s="52">
        <f>LEFT(Tableau1[[#This Row],[Formacode]],3)</f>
        <v/>
      </c>
      <c r="D2665" s="53" t="n">
        <v>38225</v>
      </c>
      <c r="E2665" s="54">
        <f>"RNCP"&amp;D2665</f>
        <v/>
      </c>
      <c r="F2665" s="54" t="inlineStr">
        <is>
          <t>Certificat de spécialisation - Accueil dans les transports</t>
        </is>
      </c>
      <c r="G2665" s="55">
        <f>E2665&amp;" - "&amp;F2665</f>
        <v/>
      </c>
      <c r="H2665" s="37" t="inlineStr">
        <is>
          <t>À vérifier</t>
        </is>
      </c>
      <c r="I2665" s="51" t="inlineStr">
        <is>
          <t>Successeur déjà publié : RNCP42552 (Accueil dans les transports) — préparer la bascule de l'offre CPF | Échéance le 31/08/2026 (dans 44 j)</t>
        </is>
      </c>
      <c r="J2665" s="51" t="inlineStr">
        <is>
          <t>RNCP42552</t>
        </is>
      </c>
      <c r="K2665" s="51" t="inlineStr">
        <is>
          <t>Accueil dans les transports</t>
        </is>
      </c>
      <c r="L2665" s="51" t="inlineStr">
        <is>
          <t>31/08/2026</t>
        </is>
      </c>
      <c r="M2665" s="51" t="inlineStr">
        <is>
          <t>35052 (Accueil) ; 31854 (Transport)</t>
        </is>
      </c>
      <c r="N2665" s="62" t="inlineStr">
        <is>
          <t>NON</t>
        </is>
      </c>
      <c r="O2665" s="51" t="inlineStr"/>
    </row>
    <row r="2666" customFormat="1" s="3">
      <c r="A2666" s="45" t="n"/>
      <c r="B2666" s="46" t="inlineStr">
        <is>
          <t>31840</t>
        </is>
      </c>
      <c r="C2666" s="46">
        <f>LEFT(Tableau1[[#This Row],[Formacode]],3)</f>
        <v/>
      </c>
      <c r="D2666" s="47" t="n">
        <v>40798</v>
      </c>
      <c r="E2666" s="48">
        <f>"RNCP"&amp;D2666</f>
        <v/>
      </c>
      <c r="F2666" s="48" t="inlineStr">
        <is>
          <t>Certificat de spécialisation - Traction équine et conduite d'attelages</t>
        </is>
      </c>
      <c r="G2666" s="49">
        <f>E2666&amp;" - "&amp;F2666</f>
        <v/>
      </c>
      <c r="H2666" s="36" t="inlineStr">
        <is>
          <t>RAS</t>
        </is>
      </c>
      <c r="I2666" s="45" t="inlineStr"/>
      <c r="J2666" s="45" t="inlineStr">
        <is>
          <t>RNCP40798</t>
        </is>
      </c>
      <c r="K2666" s="45" t="inlineStr">
        <is>
          <t>Traction équine et conduite d'attelages</t>
        </is>
      </c>
      <c r="L2666" s="45" t="inlineStr">
        <is>
          <t>31/12/2030</t>
        </is>
      </c>
      <c r="M2666" s="45" t="inlineStr">
        <is>
          <t>42691 (Tourisme équestre) ; 15479 (Sport équestre) ; 21053 (Viticulture) ; 21042 (Exploitation forestière) ; 31854 (Transport)</t>
        </is>
      </c>
      <c r="N2666" s="50" t="inlineStr">
        <is>
          <t>NON</t>
        </is>
      </c>
      <c r="O2666" s="45" t="inlineStr"/>
    </row>
    <row r="2667" customFormat="1" s="3">
      <c r="A2667" s="45" t="n"/>
      <c r="B2667" s="46" t="inlineStr">
        <is>
          <t>31842</t>
        </is>
      </c>
      <c r="C2667" s="46">
        <f>LEFT(Tableau1[[#This Row],[Formacode]],3)</f>
        <v/>
      </c>
      <c r="D2667" s="47" t="n">
        <v>37306</v>
      </c>
      <c r="E2667" s="48">
        <f>"RNCP"&amp;D2667</f>
        <v/>
      </c>
      <c r="F2667" s="48" t="inlineStr">
        <is>
          <t>CAP - Transports par câbles et remontées mécaniques</t>
        </is>
      </c>
      <c r="G2667" s="49">
        <f>E2667&amp;" - "&amp;F2667</f>
        <v/>
      </c>
      <c r="H2667" s="36" t="inlineStr">
        <is>
          <t>RAS</t>
        </is>
      </c>
      <c r="I2667" s="45" t="inlineStr"/>
      <c r="J2667" s="45" t="inlineStr">
        <is>
          <t>RNCP37306</t>
        </is>
      </c>
      <c r="K2667" s="45" t="inlineStr">
        <is>
          <t>Transports par câbles et remontées mécaniques</t>
        </is>
      </c>
      <c r="L2667" s="45" t="inlineStr">
        <is>
          <t>31/08/2028</t>
        </is>
      </c>
      <c r="M2667" s="45" t="inlineStr">
        <is>
          <t>31842 (Transport filoguidé) ; 15448 (Installation sportive)</t>
        </is>
      </c>
      <c r="N2667" s="50" t="inlineStr">
        <is>
          <t>NON</t>
        </is>
      </c>
      <c r="O2667" s="45" t="inlineStr"/>
    </row>
    <row r="2668" customFormat="1" s="3">
      <c r="A2668" s="45" t="n"/>
      <c r="B2668" s="46" t="inlineStr">
        <is>
          <t>31842</t>
        </is>
      </c>
      <c r="C2668" s="46">
        <f>LEFT(Tableau1[[#This Row],[Formacode]],3)</f>
        <v/>
      </c>
      <c r="D2668" s="47" t="n">
        <v>37309</v>
      </c>
      <c r="E2668" s="48">
        <f>"RNCP"&amp;D2668</f>
        <v/>
      </c>
      <c r="F2668" s="48" t="inlineStr">
        <is>
          <t>BAC PRO - Transports par câbles et remontées mécaniques</t>
        </is>
      </c>
      <c r="G2668" s="49">
        <f>E2668&amp;" - "&amp;F2668</f>
        <v/>
      </c>
      <c r="H2668" s="36" t="inlineStr">
        <is>
          <t>RAS</t>
        </is>
      </c>
      <c r="I2668" s="45" t="inlineStr"/>
      <c r="J2668" s="45" t="inlineStr">
        <is>
          <t>RNCP37309</t>
        </is>
      </c>
      <c r="K2668" s="45" t="inlineStr">
        <is>
          <t>Transports par câbles et remontées mécaniques</t>
        </is>
      </c>
      <c r="L2668" s="45" t="inlineStr">
        <is>
          <t>31/08/2028</t>
        </is>
      </c>
      <c r="M2668" s="45" t="inlineStr">
        <is>
          <t>31842 (Transport filoguidé) ; 15448 (Installation sportive)</t>
        </is>
      </c>
      <c r="N2668" s="50" t="inlineStr">
        <is>
          <t>NON</t>
        </is>
      </c>
      <c r="O2668" s="45" t="inlineStr"/>
    </row>
    <row r="2669" customFormat="1" s="3">
      <c r="A2669" s="51" t="n"/>
      <c r="B2669" s="52" t="inlineStr">
        <is>
          <t>31842</t>
        </is>
      </c>
      <c r="C2669" s="52">
        <f>LEFT(Tableau1[[#This Row],[Formacode]],3)</f>
        <v/>
      </c>
      <c r="D2669" s="53" t="n">
        <v>38225</v>
      </c>
      <c r="E2669" s="54">
        <f>"RNCP"&amp;D2669</f>
        <v/>
      </c>
      <c r="F2669" s="54" t="inlineStr">
        <is>
          <t>Certificat de spécialisation - Accueil dans les transports</t>
        </is>
      </c>
      <c r="G2669" s="55">
        <f>E2669&amp;" - "&amp;F2669</f>
        <v/>
      </c>
      <c r="H2669" s="37" t="inlineStr">
        <is>
          <t>À vérifier</t>
        </is>
      </c>
      <c r="I2669" s="51" t="inlineStr">
        <is>
          <t>Successeur déjà publié : RNCP42552 (Accueil dans les transports) — préparer la bascule de l'offre CPF | Échéance le 31/08/2026 (dans 44 j)</t>
        </is>
      </c>
      <c r="J2669" s="51" t="inlineStr">
        <is>
          <t>RNCP42552</t>
        </is>
      </c>
      <c r="K2669" s="51" t="inlineStr">
        <is>
          <t>Accueil dans les transports</t>
        </is>
      </c>
      <c r="L2669" s="51" t="inlineStr">
        <is>
          <t>31/08/2026</t>
        </is>
      </c>
      <c r="M2669" s="51" t="inlineStr">
        <is>
          <t>35052 (Accueil) ; 31854 (Transport)</t>
        </is>
      </c>
      <c r="N2669" s="62" t="inlineStr">
        <is>
          <t>NON</t>
        </is>
      </c>
      <c r="O2669" s="51" t="inlineStr"/>
    </row>
    <row r="2670" customFormat="1" s="3">
      <c r="A2670" s="45" t="n"/>
      <c r="B2670" s="46" t="inlineStr">
        <is>
          <t>31842</t>
        </is>
      </c>
      <c r="C2670" s="46">
        <f>LEFT(Tableau1[[#This Row],[Formacode]],3)</f>
        <v/>
      </c>
      <c r="D2670" s="47" t="n">
        <v>40798</v>
      </c>
      <c r="E2670" s="48">
        <f>"RNCP"&amp;D2670</f>
        <v/>
      </c>
      <c r="F2670" s="48" t="inlineStr">
        <is>
          <t>Certificat de spécialisation - Traction équine et conduite d'attelages</t>
        </is>
      </c>
      <c r="G2670" s="49">
        <f>E2670&amp;" - "&amp;F2670</f>
        <v/>
      </c>
      <c r="H2670" s="36" t="inlineStr">
        <is>
          <t>RAS</t>
        </is>
      </c>
      <c r="I2670" s="45" t="inlineStr"/>
      <c r="J2670" s="45" t="inlineStr">
        <is>
          <t>RNCP40798</t>
        </is>
      </c>
      <c r="K2670" s="45" t="inlineStr">
        <is>
          <t>Traction équine et conduite d'attelages</t>
        </is>
      </c>
      <c r="L2670" s="45" t="inlineStr">
        <is>
          <t>31/12/2030</t>
        </is>
      </c>
      <c r="M2670" s="45" t="inlineStr">
        <is>
          <t>42691 (Tourisme équestre) ; 15479 (Sport équestre) ; 21053 (Viticulture) ; 21042 (Exploitation forestière) ; 31854 (Transport)</t>
        </is>
      </c>
      <c r="N2670" s="50" t="inlineStr">
        <is>
          <t>NON</t>
        </is>
      </c>
      <c r="O2670" s="45" t="inlineStr"/>
    </row>
    <row r="2671" customFormat="1" s="3">
      <c r="A2671" s="45" t="n"/>
      <c r="B2671" s="46" t="inlineStr">
        <is>
          <t>31845</t>
        </is>
      </c>
      <c r="C2671" s="46">
        <f>LEFT(Tableau1[[#This Row],[Formacode]],3)</f>
        <v/>
      </c>
      <c r="D2671" s="47" t="n">
        <v>36237</v>
      </c>
      <c r="E2671" s="48">
        <f>"RNCP"&amp;D2671</f>
        <v/>
      </c>
      <c r="F2671" s="48" t="inlineStr">
        <is>
          <t>TP - Technicien en logistique d'entreposage</t>
        </is>
      </c>
      <c r="G2671" s="49">
        <f>E2671&amp;" - "&amp;F2671</f>
        <v/>
      </c>
      <c r="H2671" s="36" t="inlineStr">
        <is>
          <t>RAS</t>
        </is>
      </c>
      <c r="I2671" s="45" t="inlineStr"/>
      <c r="J2671" s="45" t="inlineStr">
        <is>
          <t>RNCP36237</t>
        </is>
      </c>
      <c r="K2671" s="45" t="inlineStr">
        <is>
          <t>Technicien en logistique d'entreposage</t>
        </is>
      </c>
      <c r="L2671" s="45" t="inlineStr">
        <is>
          <t>21/04/2027</t>
        </is>
      </c>
      <c r="M2671" s="45" t="inlineStr">
        <is>
          <t>31721 (Entreposage stockage) ; 31845 (Logistique)</t>
        </is>
      </c>
      <c r="N2671" s="50" t="inlineStr">
        <is>
          <t>NON</t>
        </is>
      </c>
      <c r="O2671" s="45" t="inlineStr"/>
    </row>
    <row r="2672" customFormat="1" s="3">
      <c r="A2672" s="45" t="n"/>
      <c r="B2672" s="46" t="inlineStr">
        <is>
          <t>31845</t>
        </is>
      </c>
      <c r="C2672" s="46">
        <f>LEFT(Tableau1[[#This Row],[Formacode]],3)</f>
        <v/>
      </c>
      <c r="D2672" s="47" t="n">
        <v>36529</v>
      </c>
      <c r="E2672" s="48">
        <f>"RNCP"&amp;D2672</f>
        <v/>
      </c>
      <c r="F2672" s="48" t="inlineStr">
        <is>
          <t>Manager de la chaîne logistique durable</t>
        </is>
      </c>
      <c r="G2672" s="49">
        <f>E2672&amp;" - "&amp;F2672</f>
        <v/>
      </c>
      <c r="H2672" s="36" t="inlineStr">
        <is>
          <t>RAS</t>
        </is>
      </c>
      <c r="I2672" s="45" t="inlineStr"/>
      <c r="J2672" s="45" t="inlineStr">
        <is>
          <t>RNCP36529</t>
        </is>
      </c>
      <c r="K2672" s="45" t="inlineStr">
        <is>
          <t>Manager de la chaîne logistique durable</t>
        </is>
      </c>
      <c r="L2672" s="45" t="inlineStr">
        <is>
          <t>01/06/2027</t>
        </is>
      </c>
      <c r="M2672" s="45" t="inlineStr">
        <is>
          <t>31845 (Logistique) ; 31822 (Transport logistique durable)</t>
        </is>
      </c>
      <c r="N2672" s="50" t="inlineStr">
        <is>
          <t>NON</t>
        </is>
      </c>
      <c r="O2672" s="45" t="inlineStr"/>
    </row>
    <row r="2673" customFormat="1" s="3">
      <c r="A2673" s="45" t="n"/>
      <c r="B2673" s="46" t="inlineStr">
        <is>
          <t>31845</t>
        </is>
      </c>
      <c r="C2673" s="46">
        <f>LEFT(Tableau1[[#This Row],[Formacode]],3)</f>
        <v/>
      </c>
      <c r="D2673" s="47" t="n">
        <v>37277</v>
      </c>
      <c r="E2673" s="48">
        <f>"RNCP"&amp;D2673</f>
        <v/>
      </c>
      <c r="F2673" s="48" t="inlineStr">
        <is>
          <t>TP - Technicien supérieur en méthodes et exploitation logistique</t>
        </is>
      </c>
      <c r="G2673" s="49">
        <f>E2673&amp;" - "&amp;F2673</f>
        <v/>
      </c>
      <c r="H2673" s="36" t="inlineStr">
        <is>
          <t>RAS</t>
        </is>
      </c>
      <c r="I2673" s="45" t="inlineStr"/>
      <c r="J2673" s="45" t="inlineStr">
        <is>
          <t>RNCP37277</t>
        </is>
      </c>
      <c r="K2673" s="45" t="inlineStr">
        <is>
          <t>Technicien supérieur en méthodes et exploitation logistique</t>
        </is>
      </c>
      <c r="L2673" s="45" t="inlineStr">
        <is>
          <t>08/03/2028</t>
        </is>
      </c>
      <c r="M2673" s="45" t="inlineStr">
        <is>
          <t>31845 (Logistique) ; 31663 (Gestion stock) ; 31734 (Magasinage)</t>
        </is>
      </c>
      <c r="N2673" s="50" t="inlineStr">
        <is>
          <t>NON</t>
        </is>
      </c>
      <c r="O2673" s="45" t="inlineStr"/>
    </row>
    <row r="2674" customFormat="1" s="3">
      <c r="A2674" s="51" t="n"/>
      <c r="B2674" s="52" t="inlineStr">
        <is>
          <t>31845</t>
        </is>
      </c>
      <c r="C2674" s="52">
        <f>LEFT(Tableau1[[#This Row],[Formacode]],3)</f>
        <v/>
      </c>
      <c r="D2674" s="53" t="n">
        <v>37672</v>
      </c>
      <c r="E2674" s="54">
        <f>"RNCP"&amp;D2674</f>
        <v/>
      </c>
      <c r="F2674" s="54" t="inlineStr">
        <is>
          <t>CAP - Opérateur logistique</t>
        </is>
      </c>
      <c r="G2674" s="55">
        <f>E2674&amp;" - "&amp;F2674</f>
        <v/>
      </c>
      <c r="H2674" s="37" t="inlineStr">
        <is>
          <t>À vérifier</t>
        </is>
      </c>
      <c r="I2674" s="51" t="inlineStr">
        <is>
          <t>Successeur déjà publié : RNCP42142 (Opérateur logistique) ; RNCP42586 (Opérateur logistique) — préparer la bascule de l'offre CPF | Échéance le 31/08/2026 (dans 44 j)</t>
        </is>
      </c>
      <c r="J2674" s="51" t="inlineStr">
        <is>
          <t>RNCP42142, RNCP42586</t>
        </is>
      </c>
      <c r="K2674" s="51" t="inlineStr">
        <is>
          <t>Opérateur logistique</t>
        </is>
      </c>
      <c r="L2674" s="51" t="inlineStr">
        <is>
          <t>31/08/2026</t>
        </is>
      </c>
      <c r="M2674" s="51" t="inlineStr">
        <is>
          <t>31845 (Logistique) ; 31768 (Chariot automoteur) ; 31743 (Expédition)</t>
        </is>
      </c>
      <c r="N2674" s="62" t="inlineStr">
        <is>
          <t>NON</t>
        </is>
      </c>
      <c r="O2674" s="51" t="inlineStr"/>
    </row>
    <row r="2675" customFormat="1" s="3">
      <c r="A2675" s="51" t="n"/>
      <c r="B2675" s="52" t="inlineStr">
        <is>
          <t>31845</t>
        </is>
      </c>
      <c r="C2675" s="52">
        <f>LEFT(Tableau1[[#This Row],[Formacode]],3)</f>
        <v/>
      </c>
      <c r="D2675" s="53" t="n">
        <v>38225</v>
      </c>
      <c r="E2675" s="54">
        <f>"RNCP"&amp;D2675</f>
        <v/>
      </c>
      <c r="F2675" s="54" t="inlineStr">
        <is>
          <t>Certificat de spécialisation - Accueil dans les transports</t>
        </is>
      </c>
      <c r="G2675" s="55">
        <f>E2675&amp;" - "&amp;F2675</f>
        <v/>
      </c>
      <c r="H2675" s="37" t="inlineStr">
        <is>
          <t>À vérifier</t>
        </is>
      </c>
      <c r="I2675" s="51" t="inlineStr">
        <is>
          <t>Successeur déjà publié : RNCP42552 (Accueil dans les transports) — préparer la bascule de l'offre CPF | Échéance le 31/08/2026 (dans 44 j)</t>
        </is>
      </c>
      <c r="J2675" s="51" t="inlineStr">
        <is>
          <t>RNCP42552</t>
        </is>
      </c>
      <c r="K2675" s="51" t="inlineStr">
        <is>
          <t>Accueil dans les transports</t>
        </is>
      </c>
      <c r="L2675" s="51" t="inlineStr">
        <is>
          <t>31/08/2026</t>
        </is>
      </c>
      <c r="M2675" s="51" t="inlineStr">
        <is>
          <t>35052 (Accueil) ; 31854 (Transport)</t>
        </is>
      </c>
      <c r="N2675" s="62" t="inlineStr">
        <is>
          <t>NON</t>
        </is>
      </c>
      <c r="O2675" s="51" t="inlineStr"/>
    </row>
    <row r="2676" customFormat="1" s="3">
      <c r="A2676" s="51" t="n"/>
      <c r="B2676" s="52" t="inlineStr">
        <is>
          <t>31845</t>
        </is>
      </c>
      <c r="C2676" s="52">
        <f>LEFT(Tableau1[[#This Row],[Formacode]],3)</f>
        <v/>
      </c>
      <c r="D2676" s="53" t="n">
        <v>38302</v>
      </c>
      <c r="E2676" s="54">
        <f>"RNCP"&amp;D2676</f>
        <v/>
      </c>
      <c r="F2676" s="54" t="inlineStr">
        <is>
          <t>BAC PRO - Logistique</t>
        </is>
      </c>
      <c r="G2676" s="55">
        <f>E2676&amp;" - "&amp;F2676</f>
        <v/>
      </c>
      <c r="H2676" s="37" t="inlineStr">
        <is>
          <t>À vérifier</t>
        </is>
      </c>
      <c r="I2676" s="51" t="inlineStr">
        <is>
          <t>Successeur déjà publié : RNCP40687 (Métiers de la logistique) — préparer la bascule de l'offre CPF | Échéance le 31/08/2026 (dans 44 j)</t>
        </is>
      </c>
      <c r="J2676" s="51" t="inlineStr">
        <is>
          <t>RNCP40687</t>
        </is>
      </c>
      <c r="K2676" s="51" t="inlineStr">
        <is>
          <t>Métiers de la logistique</t>
        </is>
      </c>
      <c r="L2676" s="51" t="inlineStr">
        <is>
          <t>31/08/2026</t>
        </is>
      </c>
      <c r="M2676" s="51" t="inlineStr">
        <is>
          <t>31845 (Logistique) ; 31663 (Gestion stock) ; 31734 (Magasinage)</t>
        </is>
      </c>
      <c r="N2676" s="62" t="inlineStr">
        <is>
          <t>NON</t>
        </is>
      </c>
      <c r="O2676" s="51" t="inlineStr"/>
    </row>
    <row r="2677" customFormat="1" s="3">
      <c r="A2677" s="45" t="n"/>
      <c r="B2677" s="46" t="inlineStr">
        <is>
          <t>31845</t>
        </is>
      </c>
      <c r="C2677" s="46">
        <f>LEFT(Tableau1[[#This Row],[Formacode]],3)</f>
        <v/>
      </c>
      <c r="D2677" s="47" t="n">
        <v>38365</v>
      </c>
      <c r="E2677" s="48">
        <f>"RNCP"&amp;D2677</f>
        <v/>
      </c>
      <c r="F2677" s="48" t="inlineStr">
        <is>
          <t>BTS - Gestion des transports et logistique associée</t>
        </is>
      </c>
      <c r="G2677" s="49">
        <f>E2677&amp;" - "&amp;F2677</f>
        <v/>
      </c>
      <c r="H2677" s="36" t="inlineStr">
        <is>
          <t>RAS</t>
        </is>
      </c>
      <c r="I2677" s="45" t="inlineStr"/>
      <c r="J2677" s="45" t="inlineStr">
        <is>
          <t>RNCP38365</t>
        </is>
      </c>
      <c r="K2677" s="45" t="inlineStr">
        <is>
          <t>Gestion des transports et logistique associée</t>
        </is>
      </c>
      <c r="L2677" s="45" t="inlineStr">
        <is>
          <t>31/12/2028</t>
        </is>
      </c>
      <c r="M2677" s="45" t="inlineStr">
        <is>
          <t>31837 (Logistique distribution) ; 31834 (Logistique transport) ; 31847 (Transport international marchandise) ; 34287 (Logistique internationale)</t>
        </is>
      </c>
      <c r="N2677" s="50" t="inlineStr">
        <is>
          <t>NON</t>
        </is>
      </c>
      <c r="O2677" s="45" t="inlineStr"/>
    </row>
    <row r="2678" customFormat="1" s="3">
      <c r="A2678" s="45" t="n"/>
      <c r="B2678" s="46" t="inlineStr">
        <is>
          <t>31845</t>
        </is>
      </c>
      <c r="C2678" s="46">
        <f>LEFT(Tableau1[[#This Row],[Formacode]],3)</f>
        <v/>
      </c>
      <c r="D2678" s="47" t="n">
        <v>38496</v>
      </c>
      <c r="E2678" s="48">
        <f>"RNCP"&amp;D2678</f>
        <v/>
      </c>
      <c r="F2678" s="48" t="inlineStr">
        <is>
          <t>Manager des achats et de la supply Chain</t>
        </is>
      </c>
      <c r="G2678" s="49">
        <f>E2678&amp;" - "&amp;F2678</f>
        <v/>
      </c>
      <c r="H2678" s="36" t="inlineStr">
        <is>
          <t>RAS</t>
        </is>
      </c>
      <c r="I2678" s="45" t="inlineStr"/>
      <c r="J2678" s="45" t="inlineStr">
        <is>
          <t>RNCP38496</t>
        </is>
      </c>
      <c r="K2678" s="45" t="inlineStr">
        <is>
          <t>Manager des achats et de la supply Chain</t>
        </is>
      </c>
      <c r="L2678" s="45" t="inlineStr">
        <is>
          <t>21/12/2028</t>
        </is>
      </c>
      <c r="M2678" s="45" t="inlineStr">
        <is>
          <t>31660 (Approvisionnement) ; 34292 (Achat international) ; 34287 (Logistique internationale) ; 34024 (Achat) ; 31845 (Logistique)</t>
        </is>
      </c>
      <c r="N2678" s="50" t="inlineStr">
        <is>
          <t>NON</t>
        </is>
      </c>
      <c r="O2678" s="45" t="inlineStr"/>
    </row>
    <row r="2679" customFormat="1" s="3">
      <c r="A2679" s="45" t="n"/>
      <c r="B2679" s="46" t="inlineStr">
        <is>
          <t>31845</t>
        </is>
      </c>
      <c r="C2679" s="46">
        <f>LEFT(Tableau1[[#This Row],[Formacode]],3)</f>
        <v/>
      </c>
      <c r="D2679" s="47" t="n">
        <v>38898</v>
      </c>
      <c r="E2679" s="48">
        <f>"RNCP"&amp;D2679</f>
        <v/>
      </c>
      <c r="F2679" s="48" t="inlineStr">
        <is>
          <t>CQP Agent logistique (CQPI)</t>
        </is>
      </c>
      <c r="G2679" s="49">
        <f>E2679&amp;" - "&amp;F2679</f>
        <v/>
      </c>
      <c r="H2679" s="36" t="inlineStr">
        <is>
          <t>RAS</t>
        </is>
      </c>
      <c r="I2679" s="45" t="inlineStr"/>
      <c r="J2679" s="45" t="inlineStr">
        <is>
          <t>RNCP38898</t>
        </is>
      </c>
      <c r="K2679" s="45" t="inlineStr">
        <is>
          <t>CQP Agent logistique (CQPI)</t>
        </is>
      </c>
      <c r="L2679" s="45" t="inlineStr">
        <is>
          <t>26/04/2027</t>
        </is>
      </c>
      <c r="M2679" s="45" t="inlineStr">
        <is>
          <t>31845 (Logistique)</t>
        </is>
      </c>
      <c r="N2679" s="50" t="inlineStr">
        <is>
          <t>NON</t>
        </is>
      </c>
      <c r="O2679" s="45" t="inlineStr"/>
    </row>
    <row r="2680" customFormat="1" s="3">
      <c r="A2680" s="45" t="n"/>
      <c r="B2680" s="46" t="inlineStr">
        <is>
          <t>31845</t>
        </is>
      </c>
      <c r="C2680" s="46">
        <f>LEFT(Tableau1[[#This Row],[Formacode]],3)</f>
        <v/>
      </c>
      <c r="D2680" s="47" t="n">
        <v>39106</v>
      </c>
      <c r="E2680" s="48">
        <f>"RNCP"&amp;D2680</f>
        <v/>
      </c>
      <c r="F2680" s="48" t="inlineStr">
        <is>
          <t>Responsable opérationnel de la chaine logistique</t>
        </is>
      </c>
      <c r="G2680" s="49">
        <f>E2680&amp;" - "&amp;F2680</f>
        <v/>
      </c>
      <c r="H2680" s="36" t="inlineStr">
        <is>
          <t>RAS</t>
        </is>
      </c>
      <c r="I2680" s="45" t="inlineStr"/>
      <c r="J2680" s="45" t="inlineStr">
        <is>
          <t>RNCP39106</t>
        </is>
      </c>
      <c r="K2680" s="45" t="inlineStr">
        <is>
          <t>Responsable opérationnel de la chaine logistique</t>
        </is>
      </c>
      <c r="L2680" s="45" t="inlineStr">
        <is>
          <t>31/05/2027</t>
        </is>
      </c>
      <c r="M2680" s="45" t="inlineStr">
        <is>
          <t>31845 (Logistique)</t>
        </is>
      </c>
      <c r="N2680" s="50" t="inlineStr">
        <is>
          <t>NON</t>
        </is>
      </c>
      <c r="O2680" s="45" t="inlineStr"/>
    </row>
    <row r="2681" customFormat="1" s="3">
      <c r="A2681" s="45" t="n"/>
      <c r="B2681" s="46" t="inlineStr">
        <is>
          <t>31845</t>
        </is>
      </c>
      <c r="C2681" s="46">
        <f>LEFT(Tableau1[[#This Row],[Formacode]],3)</f>
        <v/>
      </c>
      <c r="D2681" s="47" t="n">
        <v>39949</v>
      </c>
      <c r="E2681" s="48">
        <f>"RNCP"&amp;D2681</f>
        <v/>
      </c>
      <c r="F2681" s="48" t="inlineStr">
        <is>
          <t>CQP Technicien logistique industrielle</t>
        </is>
      </c>
      <c r="G2681" s="49">
        <f>E2681&amp;" - "&amp;F2681</f>
        <v/>
      </c>
      <c r="H2681" s="36" t="inlineStr">
        <is>
          <t>RAS</t>
        </is>
      </c>
      <c r="I2681" s="45" t="inlineStr"/>
      <c r="J2681" s="45" t="inlineStr">
        <is>
          <t>RNCP39949</t>
        </is>
      </c>
      <c r="K2681" s="45" t="inlineStr">
        <is>
          <t>CQP Technicien logistique industrielle</t>
        </is>
      </c>
      <c r="L2681" s="45" t="inlineStr">
        <is>
          <t>18/12/2029</t>
        </is>
      </c>
      <c r="M2681" s="45" t="inlineStr">
        <is>
          <t>31845 (Logistique)</t>
        </is>
      </c>
      <c r="N2681" s="50" t="inlineStr">
        <is>
          <t>NON</t>
        </is>
      </c>
      <c r="O2681" s="45" t="inlineStr"/>
    </row>
    <row r="2682" customFormat="1" s="3">
      <c r="A2682" s="45" t="n"/>
      <c r="B2682" s="46" t="inlineStr">
        <is>
          <t>31845</t>
        </is>
      </c>
      <c r="C2682" s="46">
        <f>LEFT(Tableau1[[#This Row],[Formacode]],3)</f>
        <v/>
      </c>
      <c r="D2682" s="47" t="n">
        <v>40372</v>
      </c>
      <c r="E2682" s="48">
        <f>"RNCP"&amp;D2682</f>
        <v/>
      </c>
      <c r="F2682" s="48" t="inlineStr">
        <is>
          <t>Manager des achats et de la logistique</t>
        </is>
      </c>
      <c r="G2682" s="49">
        <f>E2682&amp;" - "&amp;F2682</f>
        <v/>
      </c>
      <c r="H2682" s="36" t="inlineStr">
        <is>
          <t>RAS</t>
        </is>
      </c>
      <c r="I2682" s="45" t="inlineStr"/>
      <c r="J2682" s="45" t="inlineStr">
        <is>
          <t>RNCP40372</t>
        </is>
      </c>
      <c r="K2682" s="45" t="inlineStr">
        <is>
          <t>Manager des achats et de la logistique</t>
        </is>
      </c>
      <c r="L2682" s="45" t="inlineStr">
        <is>
          <t>28/03/2028</t>
        </is>
      </c>
      <c r="M2682" s="45" t="inlineStr">
        <is>
          <t>34025 (Achat responsable) ; 34022 (Gestion fournisseur) ; 32025 (Stratégie entreprise) ; 31660 (Approvisionnement) ; 31845 (Logistique)</t>
        </is>
      </c>
      <c r="N2682" s="50" t="inlineStr">
        <is>
          <t>NON</t>
        </is>
      </c>
      <c r="O2682" s="45" t="inlineStr"/>
    </row>
    <row r="2683" customFormat="1" s="3">
      <c r="A2683" s="45" t="n"/>
      <c r="B2683" s="46" t="inlineStr">
        <is>
          <t>31845</t>
        </is>
      </c>
      <c r="C2683" s="46">
        <f>LEFT(Tableau1[[#This Row],[Formacode]],3)</f>
        <v/>
      </c>
      <c r="D2683" s="47" t="n">
        <v>40687</v>
      </c>
      <c r="E2683" s="48">
        <f>"RNCP"&amp;D2683</f>
        <v/>
      </c>
      <c r="F2683" s="48" t="inlineStr">
        <is>
          <t>BAC PRO - Métiers de la logistique</t>
        </is>
      </c>
      <c r="G2683" s="49">
        <f>E2683&amp;" - "&amp;F2683</f>
        <v/>
      </c>
      <c r="H2683" s="36" t="inlineStr">
        <is>
          <t>RAS</t>
        </is>
      </c>
      <c r="I2683" s="45" t="inlineStr"/>
      <c r="J2683" s="45" t="inlineStr">
        <is>
          <t>RNCP40687</t>
        </is>
      </c>
      <c r="K2683" s="45" t="inlineStr">
        <is>
          <t>Métiers de la logistique</t>
        </is>
      </c>
      <c r="L2683" s="45" t="inlineStr">
        <is>
          <t>31/08/2030</t>
        </is>
      </c>
      <c r="M2683" s="45" t="inlineStr">
        <is>
          <t>31845 (Logistique) ; 31663 (Gestion stock) ; 31734 (Magasinage)</t>
        </is>
      </c>
      <c r="N2683" s="50" t="inlineStr">
        <is>
          <t>NON</t>
        </is>
      </c>
      <c r="O2683" s="45" t="inlineStr"/>
    </row>
    <row r="2684" customFormat="1" s="3">
      <c r="A2684" s="45" t="n"/>
      <c r="B2684" s="46" t="inlineStr">
        <is>
          <t>31845</t>
        </is>
      </c>
      <c r="C2684" s="46">
        <f>LEFT(Tableau1[[#This Row],[Formacode]],3)</f>
        <v/>
      </c>
      <c r="D2684" s="47" t="n">
        <v>40726</v>
      </c>
      <c r="E2684" s="48">
        <f>"RNCP"&amp;D2684</f>
        <v/>
      </c>
      <c r="F2684" s="48" t="inlineStr">
        <is>
          <t>DipViGrL - Diplôme d’enseignement supérieur en management</t>
        </is>
      </c>
      <c r="G2684" s="49">
        <f>E2684&amp;" - "&amp;F2684</f>
        <v/>
      </c>
      <c r="H2684" s="36" t="inlineStr">
        <is>
          <t>RAS</t>
        </is>
      </c>
      <c r="I2684" s="45" t="inlineStr"/>
      <c r="J2684" s="45" t="inlineStr">
        <is>
          <t>RNCP40726</t>
        </is>
      </c>
      <c r="K2684" s="45" t="inlineStr">
        <is>
          <t>Diplôme d’enseignement supérieur en management</t>
        </is>
      </c>
      <c r="L2684" s="45" t="inlineStr">
        <is>
          <t>31/08/2028</t>
        </is>
      </c>
      <c r="M2684" s="45" t="inlineStr">
        <is>
          <t>34054 (Gestion commerciale achats) ; 34554 (Commerce) ; 31834 (Logistique transport)</t>
        </is>
      </c>
      <c r="N2684" s="50" t="inlineStr">
        <is>
          <t>NON</t>
        </is>
      </c>
      <c r="O2684" s="45" t="inlineStr"/>
    </row>
    <row r="2685" customFormat="1" s="3">
      <c r="A2685" s="45" t="n"/>
      <c r="B2685" s="46" t="inlineStr">
        <is>
          <t>31845</t>
        </is>
      </c>
      <c r="C2685" s="46">
        <f>LEFT(Tableau1[[#This Row],[Formacode]],3)</f>
        <v/>
      </c>
      <c r="D2685" s="47" t="n">
        <v>40798</v>
      </c>
      <c r="E2685" s="48">
        <f>"RNCP"&amp;D2685</f>
        <v/>
      </c>
      <c r="F2685" s="48" t="inlineStr">
        <is>
          <t>Certificat de spécialisation - Traction équine et conduite d'attelages</t>
        </is>
      </c>
      <c r="G2685" s="49">
        <f>E2685&amp;" - "&amp;F2685</f>
        <v/>
      </c>
      <c r="H2685" s="36" t="inlineStr">
        <is>
          <t>RAS</t>
        </is>
      </c>
      <c r="I2685" s="45" t="inlineStr"/>
      <c r="J2685" s="45" t="inlineStr">
        <is>
          <t>RNCP40798</t>
        </is>
      </c>
      <c r="K2685" s="45" t="inlineStr">
        <is>
          <t>Traction équine et conduite d'attelages</t>
        </is>
      </c>
      <c r="L2685" s="45" t="inlineStr">
        <is>
          <t>31/12/2030</t>
        </is>
      </c>
      <c r="M2685" s="45" t="inlineStr">
        <is>
          <t>42691 (Tourisme équestre) ; 15479 (Sport équestre) ; 21053 (Viticulture) ; 21042 (Exploitation forestière) ; 31854 (Transport)</t>
        </is>
      </c>
      <c r="N2685" s="50" t="inlineStr">
        <is>
          <t>NON</t>
        </is>
      </c>
      <c r="O2685" s="45" t="inlineStr"/>
    </row>
    <row r="2686" customFormat="1" s="3">
      <c r="A2686" s="45" t="n"/>
      <c r="B2686" s="46" t="inlineStr">
        <is>
          <t>31845</t>
        </is>
      </c>
      <c r="C2686" s="46">
        <f>LEFT(Tableau1[[#This Row],[Formacode]],3)</f>
        <v/>
      </c>
      <c r="D2686" s="47" t="n">
        <v>40993</v>
      </c>
      <c r="E2686" s="48">
        <f>"RNCP"&amp;D2686</f>
        <v/>
      </c>
      <c r="F2686" s="48" t="inlineStr">
        <is>
          <t>Baccalauréat professionnel - Organisation de transport de marchandises</t>
        </is>
      </c>
      <c r="G2686" s="49">
        <f>E2686&amp;" - "&amp;F2686</f>
        <v/>
      </c>
      <c r="H2686" s="36" t="inlineStr">
        <is>
          <t>RAS</t>
        </is>
      </c>
      <c r="I2686" s="45" t="inlineStr"/>
      <c r="J2686" s="45" t="inlineStr">
        <is>
          <t>RNCP40993</t>
        </is>
      </c>
      <c r="K2686" s="45" t="inlineStr">
        <is>
          <t>Organisation de transport de marchandises</t>
        </is>
      </c>
      <c r="L2686" s="45" t="inlineStr">
        <is>
          <t>31/08/2030</t>
        </is>
      </c>
      <c r="M2686" s="45" t="inlineStr">
        <is>
          <t>31827 (Transport marchandise) ; 31845 (Logistique)</t>
        </is>
      </c>
      <c r="N2686" s="50" t="inlineStr">
        <is>
          <t>NON</t>
        </is>
      </c>
      <c r="O2686" s="45" t="inlineStr"/>
    </row>
    <row r="2687" customFormat="1" s="3">
      <c r="A2687" s="45" t="n"/>
      <c r="B2687" s="46" t="inlineStr">
        <is>
          <t>31845</t>
        </is>
      </c>
      <c r="C2687" s="46">
        <f>LEFT(Tableau1[[#This Row],[Formacode]],3)</f>
        <v/>
      </c>
      <c r="D2687" s="47" t="n">
        <v>41410</v>
      </c>
      <c r="E2687" s="48">
        <f>"RNCP"&amp;D2687</f>
        <v/>
      </c>
      <c r="F2687" s="48" t="inlineStr">
        <is>
          <t>CQP Pilote opérationnel en logistique de production</t>
        </is>
      </c>
      <c r="G2687" s="49">
        <f>E2687&amp;" - "&amp;F2687</f>
        <v/>
      </c>
      <c r="H2687" s="36" t="inlineStr">
        <is>
          <t>RAS</t>
        </is>
      </c>
      <c r="I2687" s="45" t="inlineStr"/>
      <c r="J2687" s="45" t="inlineStr">
        <is>
          <t>RNCP41410</t>
        </is>
      </c>
      <c r="K2687" s="45" t="inlineStr">
        <is>
          <t>CQP Pilote opérationnel en logistique de production</t>
        </is>
      </c>
      <c r="L2687" s="45" t="inlineStr">
        <is>
          <t>27/10/2030</t>
        </is>
      </c>
      <c r="M2687" s="45" t="inlineStr">
        <is>
          <t>31845 (Logistique)</t>
        </is>
      </c>
      <c r="N2687" s="50" t="inlineStr">
        <is>
          <t>NON</t>
        </is>
      </c>
      <c r="O2687" s="45" t="inlineStr"/>
    </row>
    <row r="2688" customFormat="1" s="3">
      <c r="A2688" s="45" t="n"/>
      <c r="B2688" s="46" t="inlineStr">
        <is>
          <t>31845</t>
        </is>
      </c>
      <c r="C2688" s="46">
        <f>LEFT(Tableau1[[#This Row],[Formacode]],3)</f>
        <v/>
      </c>
      <c r="D2688" s="47" t="n">
        <v>41682</v>
      </c>
      <c r="E2688" s="48">
        <f>"RNCP"&amp;D2688</f>
        <v/>
      </c>
      <c r="F2688" s="48" t="inlineStr">
        <is>
          <t>CQP Agent logistique du secteur alimentaire</t>
        </is>
      </c>
      <c r="G2688" s="49">
        <f>E2688&amp;" - "&amp;F2688</f>
        <v/>
      </c>
      <c r="H2688" s="36" t="inlineStr">
        <is>
          <t>RAS</t>
        </is>
      </c>
      <c r="I2688" s="45" t="inlineStr"/>
      <c r="J2688" s="45" t="inlineStr">
        <is>
          <t>RNCP41682</t>
        </is>
      </c>
      <c r="K2688" s="45" t="inlineStr">
        <is>
          <t>CQP Agent logistique du secteur alimentaire</t>
        </is>
      </c>
      <c r="L2688" s="45" t="inlineStr">
        <is>
          <t>27/11/2030</t>
        </is>
      </c>
      <c r="M2688" s="45" t="inlineStr">
        <is>
          <t>31836 (Logistique agroalimentaire)</t>
        </is>
      </c>
      <c r="N2688" s="50" t="inlineStr">
        <is>
          <t>NON</t>
        </is>
      </c>
      <c r="O2688" s="45" t="inlineStr"/>
    </row>
    <row r="2689" customFormat="1" s="3">
      <c r="A2689" s="51" t="n"/>
      <c r="B2689" s="52" t="inlineStr">
        <is>
          <t>31848</t>
        </is>
      </c>
      <c r="C2689" s="52">
        <f>LEFT(Tableau1[[#This Row],[Formacode]],3)</f>
        <v/>
      </c>
      <c r="D2689" s="53" t="n">
        <v>38225</v>
      </c>
      <c r="E2689" s="54">
        <f>"RNCP"&amp;D2689</f>
        <v/>
      </c>
      <c r="F2689" s="54" t="inlineStr">
        <is>
          <t>Certificat de spécialisation - Accueil dans les transports</t>
        </is>
      </c>
      <c r="G2689" s="55">
        <f>E2689&amp;" - "&amp;F2689</f>
        <v/>
      </c>
      <c r="H2689" s="37" t="inlineStr">
        <is>
          <t>À vérifier</t>
        </is>
      </c>
      <c r="I2689" s="51" t="inlineStr">
        <is>
          <t>Successeur déjà publié : RNCP42552 (Accueil dans les transports) — préparer la bascule de l'offre CPF | Échéance le 31/08/2026 (dans 44 j)</t>
        </is>
      </c>
      <c r="J2689" s="51" t="inlineStr">
        <is>
          <t>RNCP42552</t>
        </is>
      </c>
      <c r="K2689" s="51" t="inlineStr">
        <is>
          <t>Accueil dans les transports</t>
        </is>
      </c>
      <c r="L2689" s="51" t="inlineStr">
        <is>
          <t>31/08/2026</t>
        </is>
      </c>
      <c r="M2689" s="51" t="inlineStr">
        <is>
          <t>35052 (Accueil) ; 31854 (Transport)</t>
        </is>
      </c>
      <c r="N2689" s="62" t="inlineStr">
        <is>
          <t>NON</t>
        </is>
      </c>
      <c r="O2689" s="51" t="inlineStr"/>
    </row>
    <row r="2690" customFormat="1" s="3">
      <c r="A2690" s="45" t="n"/>
      <c r="B2690" s="46" t="inlineStr">
        <is>
          <t>31848</t>
        </is>
      </c>
      <c r="C2690" s="46">
        <f>LEFT(Tableau1[[#This Row],[Formacode]],3)</f>
        <v/>
      </c>
      <c r="D2690" s="47" t="n">
        <v>40798</v>
      </c>
      <c r="E2690" s="48">
        <f>"RNCP"&amp;D2690</f>
        <v/>
      </c>
      <c r="F2690" s="48" t="inlineStr">
        <is>
          <t>Certificat de spécialisation - Traction équine et conduite d'attelages</t>
        </is>
      </c>
      <c r="G2690" s="49">
        <f>E2690&amp;" - "&amp;F2690</f>
        <v/>
      </c>
      <c r="H2690" s="36" t="inlineStr">
        <is>
          <t>RAS</t>
        </is>
      </c>
      <c r="I2690" s="45" t="inlineStr"/>
      <c r="J2690" s="45" t="inlineStr">
        <is>
          <t>RNCP40798</t>
        </is>
      </c>
      <c r="K2690" s="45" t="inlineStr">
        <is>
          <t>Traction équine et conduite d'attelages</t>
        </is>
      </c>
      <c r="L2690" s="45" t="inlineStr">
        <is>
          <t>31/12/2030</t>
        </is>
      </c>
      <c r="M2690" s="45" t="inlineStr">
        <is>
          <t>42691 (Tourisme équestre) ; 15479 (Sport équestre) ; 21053 (Viticulture) ; 21042 (Exploitation forestière) ; 31854 (Transport)</t>
        </is>
      </c>
      <c r="N2690" s="50" t="inlineStr">
        <is>
          <t>NON</t>
        </is>
      </c>
      <c r="O2690" s="45" t="inlineStr"/>
    </row>
    <row r="2691" customFormat="1" s="3">
      <c r="A2691" s="51" t="n"/>
      <c r="B2691" s="52" t="inlineStr">
        <is>
          <t>31849</t>
        </is>
      </c>
      <c r="C2691" s="52">
        <f>LEFT(Tableau1[[#This Row],[Formacode]],3)</f>
        <v/>
      </c>
      <c r="D2691" s="53" t="n">
        <v>38225</v>
      </c>
      <c r="E2691" s="54">
        <f>"RNCP"&amp;D2691</f>
        <v/>
      </c>
      <c r="F2691" s="54" t="inlineStr">
        <is>
          <t>Certificat de spécialisation - Accueil dans les transports</t>
        </is>
      </c>
      <c r="G2691" s="55">
        <f>E2691&amp;" - "&amp;F2691</f>
        <v/>
      </c>
      <c r="H2691" s="37" t="inlineStr">
        <is>
          <t>À vérifier</t>
        </is>
      </c>
      <c r="I2691" s="51" t="inlineStr">
        <is>
          <t>Successeur déjà publié : RNCP42552 (Accueil dans les transports) — préparer la bascule de l'offre CPF | Échéance le 31/08/2026 (dans 44 j)</t>
        </is>
      </c>
      <c r="J2691" s="51" t="inlineStr">
        <is>
          <t>RNCP42552</t>
        </is>
      </c>
      <c r="K2691" s="51" t="inlineStr">
        <is>
          <t>Accueil dans les transports</t>
        </is>
      </c>
      <c r="L2691" s="51" t="inlineStr">
        <is>
          <t>31/08/2026</t>
        </is>
      </c>
      <c r="M2691" s="51" t="inlineStr">
        <is>
          <t>35052 (Accueil) ; 31854 (Transport)</t>
        </is>
      </c>
      <c r="N2691" s="62" t="inlineStr">
        <is>
          <t>NON</t>
        </is>
      </c>
      <c r="O2691" s="51" t="inlineStr"/>
    </row>
    <row r="2692" customFormat="1" s="3">
      <c r="A2692" s="45" t="n"/>
      <c r="B2692" s="46" t="inlineStr">
        <is>
          <t>31849</t>
        </is>
      </c>
      <c r="C2692" s="46">
        <f>LEFT(Tableau1[[#This Row],[Formacode]],3)</f>
        <v/>
      </c>
      <c r="D2692" s="47" t="n">
        <v>40798</v>
      </c>
      <c r="E2692" s="48">
        <f>"RNCP"&amp;D2692</f>
        <v/>
      </c>
      <c r="F2692" s="48" t="inlineStr">
        <is>
          <t>Certificat de spécialisation - Traction équine et conduite d'attelages</t>
        </is>
      </c>
      <c r="G2692" s="49">
        <f>E2692&amp;" - "&amp;F2692</f>
        <v/>
      </c>
      <c r="H2692" s="36" t="inlineStr">
        <is>
          <t>RAS</t>
        </is>
      </c>
      <c r="I2692" s="45" t="inlineStr"/>
      <c r="J2692" s="45" t="inlineStr">
        <is>
          <t>RNCP40798</t>
        </is>
      </c>
      <c r="K2692" s="45" t="inlineStr">
        <is>
          <t>Traction équine et conduite d'attelages</t>
        </is>
      </c>
      <c r="L2692" s="45" t="inlineStr">
        <is>
          <t>31/12/2030</t>
        </is>
      </c>
      <c r="M2692" s="45" t="inlineStr">
        <is>
          <t>42691 (Tourisme équestre) ; 15479 (Sport équestre) ; 21053 (Viticulture) ; 21042 (Exploitation forestière) ; 31854 (Transport)</t>
        </is>
      </c>
      <c r="N2692" s="50" t="inlineStr">
        <is>
          <t>NON</t>
        </is>
      </c>
      <c r="O2692" s="45" t="inlineStr"/>
    </row>
    <row r="2693" customFormat="1" s="3">
      <c r="A2693" s="51" t="n"/>
      <c r="B2693" s="52" t="inlineStr">
        <is>
          <t>31850</t>
        </is>
      </c>
      <c r="C2693" s="52">
        <f>LEFT(Tableau1[[#This Row],[Formacode]],3)</f>
        <v/>
      </c>
      <c r="D2693" s="53" t="n">
        <v>38225</v>
      </c>
      <c r="E2693" s="54">
        <f>"RNCP"&amp;D2693</f>
        <v/>
      </c>
      <c r="F2693" s="54" t="inlineStr">
        <is>
          <t>Certificat de spécialisation - Accueil dans les transports</t>
        </is>
      </c>
      <c r="G2693" s="55">
        <f>E2693&amp;" - "&amp;F2693</f>
        <v/>
      </c>
      <c r="H2693" s="37" t="inlineStr">
        <is>
          <t>À vérifier</t>
        </is>
      </c>
      <c r="I2693" s="51" t="inlineStr">
        <is>
          <t>Successeur déjà publié : RNCP42552 (Accueil dans les transports) — préparer la bascule de l'offre CPF | Échéance le 31/08/2026 (dans 44 j)</t>
        </is>
      </c>
      <c r="J2693" s="51" t="inlineStr">
        <is>
          <t>RNCP42552</t>
        </is>
      </c>
      <c r="K2693" s="51" t="inlineStr">
        <is>
          <t>Accueil dans les transports</t>
        </is>
      </c>
      <c r="L2693" s="51" t="inlineStr">
        <is>
          <t>31/08/2026</t>
        </is>
      </c>
      <c r="M2693" s="51" t="inlineStr">
        <is>
          <t>35052 (Accueil) ; 31854 (Transport)</t>
        </is>
      </c>
      <c r="N2693" s="62" t="inlineStr">
        <is>
          <t>NON</t>
        </is>
      </c>
      <c r="O2693" s="51" t="inlineStr"/>
    </row>
    <row r="2694" customFormat="1" s="3">
      <c r="A2694" s="45" t="n"/>
      <c r="B2694" s="46" t="inlineStr">
        <is>
          <t>31850</t>
        </is>
      </c>
      <c r="C2694" s="46">
        <f>LEFT(Tableau1[[#This Row],[Formacode]],3)</f>
        <v/>
      </c>
      <c r="D2694" s="47" t="n">
        <v>38570</v>
      </c>
      <c r="E2694" s="48">
        <f>"RNCP"&amp;D2694</f>
        <v/>
      </c>
      <c r="F2694" s="48" t="inlineStr">
        <is>
          <t>BAC PRO - Transport fluvial</t>
        </is>
      </c>
      <c r="G2694" s="49">
        <f>E2694&amp;" - "&amp;F2694</f>
        <v/>
      </c>
      <c r="H2694" s="36" t="inlineStr">
        <is>
          <t>RAS</t>
        </is>
      </c>
      <c r="I2694" s="45" t="inlineStr"/>
      <c r="J2694" s="45" t="inlineStr">
        <is>
          <t>RNCP38570</t>
        </is>
      </c>
      <c r="K2694" s="45" t="inlineStr">
        <is>
          <t>Transport fluvial</t>
        </is>
      </c>
      <c r="L2694" s="45" t="inlineStr">
        <is>
          <t>31/08/2028</t>
        </is>
      </c>
      <c r="M2694" s="45" t="inlineStr">
        <is>
          <t>31850 (Transport fluvial)</t>
        </is>
      </c>
      <c r="N2694" s="50" t="inlineStr">
        <is>
          <t>NON</t>
        </is>
      </c>
      <c r="O2694" s="45" t="inlineStr"/>
    </row>
    <row r="2695" customFormat="1" s="3">
      <c r="A2695" s="45" t="n"/>
      <c r="B2695" s="46" t="inlineStr">
        <is>
          <t>31850</t>
        </is>
      </c>
      <c r="C2695" s="46">
        <f>LEFT(Tableau1[[#This Row],[Formacode]],3)</f>
        <v/>
      </c>
      <c r="D2695" s="47" t="n">
        <v>38571</v>
      </c>
      <c r="E2695" s="48">
        <f>"RNCP"&amp;D2695</f>
        <v/>
      </c>
      <c r="F2695" s="48" t="inlineStr">
        <is>
          <t>CAP - transport fluvial</t>
        </is>
      </c>
      <c r="G2695" s="49">
        <f>E2695&amp;" - "&amp;F2695</f>
        <v/>
      </c>
      <c r="H2695" s="36" t="inlineStr">
        <is>
          <t>RAS</t>
        </is>
      </c>
      <c r="I2695" s="45" t="inlineStr"/>
      <c r="J2695" s="45" t="inlineStr">
        <is>
          <t>RNCP38571</t>
        </is>
      </c>
      <c r="K2695" s="45" t="inlineStr">
        <is>
          <t>transport fluvial</t>
        </is>
      </c>
      <c r="L2695" s="45" t="inlineStr">
        <is>
          <t>31/08/2028</t>
        </is>
      </c>
      <c r="M2695" s="45" t="inlineStr">
        <is>
          <t>31850 (Transport fluvial)</t>
        </is>
      </c>
      <c r="N2695" s="50" t="inlineStr">
        <is>
          <t>NON</t>
        </is>
      </c>
      <c r="O2695" s="45" t="inlineStr"/>
    </row>
    <row r="2696" customFormat="1" s="3">
      <c r="A2696" s="51" t="n"/>
      <c r="B2696" s="52" t="inlineStr">
        <is>
          <t>31850</t>
        </is>
      </c>
      <c r="C2696" s="52">
        <f>LEFT(Tableau1[[#This Row],[Formacode]],3)</f>
        <v/>
      </c>
      <c r="D2696" s="53" t="n">
        <v>39584</v>
      </c>
      <c r="E2696" s="54">
        <f>"RNCP"&amp;D2696</f>
        <v/>
      </c>
      <c r="F2696" s="54" t="inlineStr">
        <is>
          <t>Expert maritime et fluvial</t>
        </is>
      </c>
      <c r="G2696" s="55">
        <f>E2696&amp;" - "&amp;F2696</f>
        <v/>
      </c>
      <c r="H2696" s="37" t="inlineStr">
        <is>
          <t>À vérifier</t>
        </is>
      </c>
      <c r="I2696" s="51" t="inlineStr">
        <is>
          <t>Successeur déjà publié : RNCP42207 (Expert dans le domaine des constructions flottantes option maritime ou fluvial) — préparer la bascule de l'offre CPF | Échéance le 01/10/2026 (dans 75 j)</t>
        </is>
      </c>
      <c r="J2696" s="51" t="inlineStr">
        <is>
          <t>RNCP42207</t>
        </is>
      </c>
      <c r="K2696" s="51" t="inlineStr">
        <is>
          <t>Expert dans le domaine des constructions flottantes option maritime ou fluvial</t>
        </is>
      </c>
      <c r="L2696" s="51" t="inlineStr">
        <is>
          <t>01/10/2026</t>
        </is>
      </c>
      <c r="M2696" s="51" t="inlineStr">
        <is>
          <t>23610 (Mécanique navale) ; 31872 (Transport maritime) ; 31850 (Transport fluvial)</t>
        </is>
      </c>
      <c r="N2696" s="62" t="inlineStr">
        <is>
          <t>NON</t>
        </is>
      </c>
      <c r="O2696" s="51" t="inlineStr"/>
    </row>
    <row r="2697" customFormat="1" s="3">
      <c r="A2697" s="45" t="n"/>
      <c r="B2697" s="46" t="inlineStr">
        <is>
          <t>31850</t>
        </is>
      </c>
      <c r="C2697" s="46">
        <f>LEFT(Tableau1[[#This Row],[Formacode]],3)</f>
        <v/>
      </c>
      <c r="D2697" s="47" t="n">
        <v>40798</v>
      </c>
      <c r="E2697" s="48">
        <f>"RNCP"&amp;D2697</f>
        <v/>
      </c>
      <c r="F2697" s="48" t="inlineStr">
        <is>
          <t>Certificat de spécialisation - Traction équine et conduite d'attelages</t>
        </is>
      </c>
      <c r="G2697" s="49">
        <f>E2697&amp;" - "&amp;F2697</f>
        <v/>
      </c>
      <c r="H2697" s="36" t="inlineStr">
        <is>
          <t>RAS</t>
        </is>
      </c>
      <c r="I2697" s="45" t="inlineStr"/>
      <c r="J2697" s="45" t="inlineStr">
        <is>
          <t>RNCP40798</t>
        </is>
      </c>
      <c r="K2697" s="45" t="inlineStr">
        <is>
          <t>Traction équine et conduite d'attelages</t>
        </is>
      </c>
      <c r="L2697" s="45" t="inlineStr">
        <is>
          <t>31/12/2030</t>
        </is>
      </c>
      <c r="M2697" s="45" t="inlineStr">
        <is>
          <t>42691 (Tourisme équestre) ; 15479 (Sport équestre) ; 21053 (Viticulture) ; 21042 (Exploitation forestière) ; 31854 (Transport)</t>
        </is>
      </c>
      <c r="N2697" s="50" t="inlineStr">
        <is>
          <t>NON</t>
        </is>
      </c>
      <c r="O2697" s="45" t="inlineStr"/>
    </row>
    <row r="2698" customFormat="1" s="3">
      <c r="A2698" s="51" t="n"/>
      <c r="B2698" s="52" t="inlineStr">
        <is>
          <t>31856</t>
        </is>
      </c>
      <c r="C2698" s="52">
        <f>LEFT(Tableau1[[#This Row],[Formacode]],3)</f>
        <v/>
      </c>
      <c r="D2698" s="53" t="n">
        <v>38225</v>
      </c>
      <c r="E2698" s="54">
        <f>"RNCP"&amp;D2698</f>
        <v/>
      </c>
      <c r="F2698" s="54" t="inlineStr">
        <is>
          <t>Certificat de spécialisation - Accueil dans les transports</t>
        </is>
      </c>
      <c r="G2698" s="55">
        <f>E2698&amp;" - "&amp;F2698</f>
        <v/>
      </c>
      <c r="H2698" s="37" t="inlineStr">
        <is>
          <t>À vérifier</t>
        </is>
      </c>
      <c r="I2698" s="51" t="inlineStr">
        <is>
          <t>Successeur déjà publié : RNCP42552 (Accueil dans les transports) — préparer la bascule de l'offre CPF | Échéance le 31/08/2026 (dans 44 j)</t>
        </is>
      </c>
      <c r="J2698" s="51" t="inlineStr">
        <is>
          <t>RNCP42552</t>
        </is>
      </c>
      <c r="K2698" s="51" t="inlineStr">
        <is>
          <t>Accueil dans les transports</t>
        </is>
      </c>
      <c r="L2698" s="51" t="inlineStr">
        <is>
          <t>31/08/2026</t>
        </is>
      </c>
      <c r="M2698" s="51" t="inlineStr">
        <is>
          <t>35052 (Accueil) ; 31854 (Transport)</t>
        </is>
      </c>
      <c r="N2698" s="62" t="inlineStr">
        <is>
          <t>NON</t>
        </is>
      </c>
      <c r="O2698" s="51" t="inlineStr"/>
    </row>
    <row r="2699" customFormat="1" s="3">
      <c r="A2699" s="45" t="n"/>
      <c r="B2699" s="46" t="inlineStr">
        <is>
          <t>31856</t>
        </is>
      </c>
      <c r="C2699" s="46">
        <f>LEFT(Tableau1[[#This Row],[Formacode]],3)</f>
        <v/>
      </c>
      <c r="D2699" s="47" t="n">
        <v>40798</v>
      </c>
      <c r="E2699" s="48">
        <f>"RNCP"&amp;D2699</f>
        <v/>
      </c>
      <c r="F2699" s="48" t="inlineStr">
        <is>
          <t>Certificat de spécialisation - Traction équine et conduite d'attelages</t>
        </is>
      </c>
      <c r="G2699" s="49">
        <f>E2699&amp;" - "&amp;F2699</f>
        <v/>
      </c>
      <c r="H2699" s="36" t="inlineStr">
        <is>
          <t>RAS</t>
        </is>
      </c>
      <c r="I2699" s="45" t="inlineStr"/>
      <c r="J2699" s="45" t="inlineStr">
        <is>
          <t>RNCP40798</t>
        </is>
      </c>
      <c r="K2699" s="45" t="inlineStr">
        <is>
          <t>Traction équine et conduite d'attelages</t>
        </is>
      </c>
      <c r="L2699" s="45" t="inlineStr">
        <is>
          <t>31/12/2030</t>
        </is>
      </c>
      <c r="M2699" s="45" t="inlineStr">
        <is>
          <t>42691 (Tourisme équestre) ; 15479 (Sport équestre) ; 21053 (Viticulture) ; 21042 (Exploitation forestière) ; 31854 (Transport)</t>
        </is>
      </c>
      <c r="N2699" s="50" t="inlineStr">
        <is>
          <t>NON</t>
        </is>
      </c>
      <c r="O2699" s="45" t="inlineStr"/>
    </row>
    <row r="2700" customFormat="1" s="3">
      <c r="A2700" s="45" t="n"/>
      <c r="B2700" s="46" t="inlineStr">
        <is>
          <t>31856</t>
        </is>
      </c>
      <c r="C2700" s="46">
        <f>LEFT(Tableau1[[#This Row],[Formacode]],3)</f>
        <v/>
      </c>
      <c r="D2700" s="47" t="n">
        <v>40990</v>
      </c>
      <c r="E2700" s="48">
        <f>"RNCP"&amp;D2700</f>
        <v/>
      </c>
      <c r="F2700" s="48" t="inlineStr">
        <is>
          <t>TP - Gestionnaire des opérations de transport routier de marchandises</t>
        </is>
      </c>
      <c r="G2700" s="49">
        <f>E2700&amp;" - "&amp;F2700</f>
        <v/>
      </c>
      <c r="H2700" s="36" t="inlineStr">
        <is>
          <t>RAS</t>
        </is>
      </c>
      <c r="I2700" s="45" t="inlineStr"/>
      <c r="J2700" s="45" t="inlineStr">
        <is>
          <t>RNCP40990</t>
        </is>
      </c>
      <c r="K2700" s="45" t="inlineStr">
        <is>
          <t>Gestionnaire des opérations de transport routier de marchandises</t>
        </is>
      </c>
      <c r="L2700" s="45" t="inlineStr">
        <is>
          <t>23/08/2030</t>
        </is>
      </c>
      <c r="M2700" s="45" t="inlineStr">
        <is>
          <t>31895 (Gestion entreprise transport) ; 31822 (Transport logistique durable) ; 31839 (Transit marchandise) ; 31856 (Affrètement)</t>
        </is>
      </c>
      <c r="N2700" s="50" t="inlineStr">
        <is>
          <t>NON</t>
        </is>
      </c>
      <c r="O2700" s="45" t="inlineStr"/>
    </row>
    <row r="2701" customFormat="1" s="3">
      <c r="A2701" s="45" t="n"/>
      <c r="B2701" s="46" t="inlineStr">
        <is>
          <t>31856</t>
        </is>
      </c>
      <c r="C2701" s="46">
        <f>LEFT(Tableau1[[#This Row],[Formacode]],3)</f>
        <v/>
      </c>
      <c r="D2701" s="47" t="n">
        <v>40992</v>
      </c>
      <c r="E2701" s="48">
        <f>"RNCP"&amp;D2701</f>
        <v/>
      </c>
      <c r="F2701" s="48" t="inlineStr">
        <is>
          <t>TP - Exploitant en transport routier de marchandises</t>
        </is>
      </c>
      <c r="G2701" s="49">
        <f>E2701&amp;" - "&amp;F2701</f>
        <v/>
      </c>
      <c r="H2701" s="36" t="inlineStr">
        <is>
          <t>RAS</t>
        </is>
      </c>
      <c r="I2701" s="45" t="inlineStr"/>
      <c r="J2701" s="45" t="inlineStr">
        <is>
          <t>RNCP40992</t>
        </is>
      </c>
      <c r="K2701" s="45" t="inlineStr">
        <is>
          <t>Exploitant en transport routier de marchandises</t>
        </is>
      </c>
      <c r="L2701" s="45" t="inlineStr">
        <is>
          <t>23/08/2030</t>
        </is>
      </c>
      <c r="M2701" s="45" t="inlineStr">
        <is>
          <t>31827 (Transport marchandise) ; 31856 (Affrètement) ; 31822 (Transport logistique durable) ; 31895 (Gestion entreprise transport)</t>
        </is>
      </c>
      <c r="N2701" s="50" t="inlineStr">
        <is>
          <t>NON</t>
        </is>
      </c>
      <c r="O2701" s="45" t="inlineStr"/>
    </row>
    <row r="2702" customFormat="1" s="3">
      <c r="A2702" s="51" t="n"/>
      <c r="B2702" s="52" t="inlineStr">
        <is>
          <t>31861</t>
        </is>
      </c>
      <c r="C2702" s="52">
        <f>LEFT(Tableau1[[#This Row],[Formacode]],3)</f>
        <v/>
      </c>
      <c r="D2702" s="53" t="n">
        <v>38225</v>
      </c>
      <c r="E2702" s="54">
        <f>"RNCP"&amp;D2702</f>
        <v/>
      </c>
      <c r="F2702" s="54" t="inlineStr">
        <is>
          <t>Certificat de spécialisation - Accueil dans les transports</t>
        </is>
      </c>
      <c r="G2702" s="55">
        <f>E2702&amp;" - "&amp;F2702</f>
        <v/>
      </c>
      <c r="H2702" s="37" t="inlineStr">
        <is>
          <t>À vérifier</t>
        </is>
      </c>
      <c r="I2702" s="51" t="inlineStr">
        <is>
          <t>Successeur déjà publié : RNCP42552 (Accueil dans les transports) — préparer la bascule de l'offre CPF | Échéance le 31/08/2026 (dans 44 j)</t>
        </is>
      </c>
      <c r="J2702" s="51" t="inlineStr">
        <is>
          <t>RNCP42552</t>
        </is>
      </c>
      <c r="K2702" s="51" t="inlineStr">
        <is>
          <t>Accueil dans les transports</t>
        </is>
      </c>
      <c r="L2702" s="51" t="inlineStr">
        <is>
          <t>31/08/2026</t>
        </is>
      </c>
      <c r="M2702" s="51" t="inlineStr">
        <is>
          <t>35052 (Accueil) ; 31854 (Transport)</t>
        </is>
      </c>
      <c r="N2702" s="62" t="inlineStr">
        <is>
          <t>NON</t>
        </is>
      </c>
      <c r="O2702" s="51" t="inlineStr"/>
    </row>
    <row r="2703" customFormat="1" s="3">
      <c r="A2703" s="45" t="n"/>
      <c r="B2703" s="46" t="inlineStr">
        <is>
          <t>31861</t>
        </is>
      </c>
      <c r="C2703" s="46">
        <f>LEFT(Tableau1[[#This Row],[Formacode]],3)</f>
        <v/>
      </c>
      <c r="D2703" s="47" t="n">
        <v>40798</v>
      </c>
      <c r="E2703" s="48">
        <f>"RNCP"&amp;D2703</f>
        <v/>
      </c>
      <c r="F2703" s="48" t="inlineStr">
        <is>
          <t>Certificat de spécialisation - Traction équine et conduite d'attelages</t>
        </is>
      </c>
      <c r="G2703" s="49">
        <f>E2703&amp;" - "&amp;F2703</f>
        <v/>
      </c>
      <c r="H2703" s="36" t="inlineStr">
        <is>
          <t>RAS</t>
        </is>
      </c>
      <c r="I2703" s="45" t="inlineStr"/>
      <c r="J2703" s="45" t="inlineStr">
        <is>
          <t>RNCP40798</t>
        </is>
      </c>
      <c r="K2703" s="45" t="inlineStr">
        <is>
          <t>Traction équine et conduite d'attelages</t>
        </is>
      </c>
      <c r="L2703" s="45" t="inlineStr">
        <is>
          <t>31/12/2030</t>
        </is>
      </c>
      <c r="M2703" s="45" t="inlineStr">
        <is>
          <t>42691 (Tourisme équestre) ; 15479 (Sport équestre) ; 21053 (Viticulture) ; 21042 (Exploitation forestière) ; 31854 (Transport)</t>
        </is>
      </c>
      <c r="N2703" s="50" t="inlineStr">
        <is>
          <t>NON</t>
        </is>
      </c>
      <c r="O2703" s="45" t="inlineStr"/>
    </row>
    <row r="2704" customFormat="1" s="3">
      <c r="A2704" s="51" t="n"/>
      <c r="B2704" s="52" t="inlineStr">
        <is>
          <t>31863</t>
        </is>
      </c>
      <c r="C2704" s="52">
        <f>LEFT(Tableau1[[#This Row],[Formacode]],3)</f>
        <v/>
      </c>
      <c r="D2704" s="53" t="n">
        <v>38225</v>
      </c>
      <c r="E2704" s="54">
        <f>"RNCP"&amp;D2704</f>
        <v/>
      </c>
      <c r="F2704" s="54" t="inlineStr">
        <is>
          <t>Certificat de spécialisation - Accueil dans les transports</t>
        </is>
      </c>
      <c r="G2704" s="55">
        <f>E2704&amp;" - "&amp;F2704</f>
        <v/>
      </c>
      <c r="H2704" s="37" t="inlineStr">
        <is>
          <t>À vérifier</t>
        </is>
      </c>
      <c r="I2704" s="51" t="inlineStr">
        <is>
          <t>Successeur déjà publié : RNCP42552 (Accueil dans les transports) — préparer la bascule de l'offre CPF | Échéance le 31/08/2026 (dans 44 j)</t>
        </is>
      </c>
      <c r="J2704" s="51" t="inlineStr">
        <is>
          <t>RNCP42552</t>
        </is>
      </c>
      <c r="K2704" s="51" t="inlineStr">
        <is>
          <t>Accueil dans les transports</t>
        </is>
      </c>
      <c r="L2704" s="51" t="inlineStr">
        <is>
          <t>31/08/2026</t>
        </is>
      </c>
      <c r="M2704" s="51" t="inlineStr">
        <is>
          <t>35052 (Accueil) ; 31854 (Transport)</t>
        </is>
      </c>
      <c r="N2704" s="62" t="inlineStr">
        <is>
          <t>NON</t>
        </is>
      </c>
      <c r="O2704" s="51" t="inlineStr"/>
    </row>
    <row r="2705" customFormat="1" s="3">
      <c r="A2705" s="45" t="n"/>
      <c r="B2705" s="46" t="inlineStr">
        <is>
          <t>31863</t>
        </is>
      </c>
      <c r="C2705" s="46">
        <f>LEFT(Tableau1[[#This Row],[Formacode]],3)</f>
        <v/>
      </c>
      <c r="D2705" s="47" t="n">
        <v>40798</v>
      </c>
      <c r="E2705" s="48">
        <f>"RNCP"&amp;D2705</f>
        <v/>
      </c>
      <c r="F2705" s="48" t="inlineStr">
        <is>
          <t>Certificat de spécialisation - Traction équine et conduite d'attelages</t>
        </is>
      </c>
      <c r="G2705" s="49">
        <f>E2705&amp;" - "&amp;F2705</f>
        <v/>
      </c>
      <c r="H2705" s="36" t="inlineStr">
        <is>
          <t>RAS</t>
        </is>
      </c>
      <c r="I2705" s="45" t="inlineStr"/>
      <c r="J2705" s="45" t="inlineStr">
        <is>
          <t>RNCP40798</t>
        </is>
      </c>
      <c r="K2705" s="45" t="inlineStr">
        <is>
          <t>Traction équine et conduite d'attelages</t>
        </is>
      </c>
      <c r="L2705" s="45" t="inlineStr">
        <is>
          <t>31/12/2030</t>
        </is>
      </c>
      <c r="M2705" s="45" t="inlineStr">
        <is>
          <t>42691 (Tourisme équestre) ; 15479 (Sport équestre) ; 21053 (Viticulture) ; 21042 (Exploitation forestière) ; 31854 (Transport)</t>
        </is>
      </c>
      <c r="N2705" s="50" t="inlineStr">
        <is>
          <t>NON</t>
        </is>
      </c>
      <c r="O2705" s="45" t="inlineStr"/>
    </row>
    <row r="2706" customFormat="1" s="3">
      <c r="A2706" s="51" t="n"/>
      <c r="B2706" s="52" t="inlineStr">
        <is>
          <t>31867</t>
        </is>
      </c>
      <c r="C2706" s="52">
        <f>LEFT(Tableau1[[#This Row],[Formacode]],3)</f>
        <v/>
      </c>
      <c r="D2706" s="53" t="n">
        <v>38225</v>
      </c>
      <c r="E2706" s="54">
        <f>"RNCP"&amp;D2706</f>
        <v/>
      </c>
      <c r="F2706" s="54" t="inlineStr">
        <is>
          <t>Certificat de spécialisation - Accueil dans les transports</t>
        </is>
      </c>
      <c r="G2706" s="55">
        <f>E2706&amp;" - "&amp;F2706</f>
        <v/>
      </c>
      <c r="H2706" s="37" t="inlineStr">
        <is>
          <t>À vérifier</t>
        </is>
      </c>
      <c r="I2706" s="51" t="inlineStr">
        <is>
          <t>Successeur déjà publié : RNCP42552 (Accueil dans les transports) — préparer la bascule de l'offre CPF | Échéance le 31/08/2026 (dans 44 j)</t>
        </is>
      </c>
      <c r="J2706" s="51" t="inlineStr">
        <is>
          <t>RNCP42552</t>
        </is>
      </c>
      <c r="K2706" s="51" t="inlineStr">
        <is>
          <t>Accueil dans les transports</t>
        </is>
      </c>
      <c r="L2706" s="51" t="inlineStr">
        <is>
          <t>31/08/2026</t>
        </is>
      </c>
      <c r="M2706" s="51" t="inlineStr">
        <is>
          <t>35052 (Accueil) ; 31854 (Transport)</t>
        </is>
      </c>
      <c r="N2706" s="62" t="inlineStr">
        <is>
          <t>NON</t>
        </is>
      </c>
      <c r="O2706" s="51" t="inlineStr"/>
    </row>
    <row r="2707" customFormat="1" s="3">
      <c r="A2707" s="45" t="n"/>
      <c r="B2707" s="46" t="inlineStr">
        <is>
          <t>31867</t>
        </is>
      </c>
      <c r="C2707" s="46">
        <f>LEFT(Tableau1[[#This Row],[Formacode]],3)</f>
        <v/>
      </c>
      <c r="D2707" s="47" t="n">
        <v>40798</v>
      </c>
      <c r="E2707" s="48">
        <f>"RNCP"&amp;D2707</f>
        <v/>
      </c>
      <c r="F2707" s="48" t="inlineStr">
        <is>
          <t>Certificat de spécialisation - Traction équine et conduite d'attelages</t>
        </is>
      </c>
      <c r="G2707" s="49">
        <f>E2707&amp;" - "&amp;F2707</f>
        <v/>
      </c>
      <c r="H2707" s="36" t="inlineStr">
        <is>
          <t>RAS</t>
        </is>
      </c>
      <c r="I2707" s="45" t="inlineStr"/>
      <c r="J2707" s="45" t="inlineStr">
        <is>
          <t>RNCP40798</t>
        </is>
      </c>
      <c r="K2707" s="45" t="inlineStr">
        <is>
          <t>Traction équine et conduite d'attelages</t>
        </is>
      </c>
      <c r="L2707" s="45" t="inlineStr">
        <is>
          <t>31/12/2030</t>
        </is>
      </c>
      <c r="M2707" s="45" t="inlineStr">
        <is>
          <t>42691 (Tourisme équestre) ; 15479 (Sport équestre) ; 21053 (Viticulture) ; 21042 (Exploitation forestière) ; 31854 (Transport)</t>
        </is>
      </c>
      <c r="N2707" s="50" t="inlineStr">
        <is>
          <t>NON</t>
        </is>
      </c>
      <c r="O2707" s="45" t="inlineStr"/>
    </row>
    <row r="2708" customFormat="1" s="3">
      <c r="A2708" s="45" t="n"/>
      <c r="B2708" s="46" t="inlineStr">
        <is>
          <t>31867</t>
        </is>
      </c>
      <c r="C2708" s="46">
        <f>LEFT(Tableau1[[#This Row],[Formacode]],3)</f>
        <v/>
      </c>
      <c r="D2708" s="47" t="n">
        <v>40991</v>
      </c>
      <c r="E2708" s="48">
        <f>"RNCP"&amp;D2708</f>
        <v/>
      </c>
      <c r="F2708" s="48" t="inlineStr">
        <is>
          <t>TP - Organisateur de transports aériens ou maritimes de marchandises</t>
        </is>
      </c>
      <c r="G2708" s="49">
        <f>E2708&amp;" - "&amp;F2708</f>
        <v/>
      </c>
      <c r="H2708" s="36" t="inlineStr">
        <is>
          <t>RAS</t>
        </is>
      </c>
      <c r="I2708" s="45" t="inlineStr"/>
      <c r="J2708" s="45" t="inlineStr">
        <is>
          <t>RNCP40991</t>
        </is>
      </c>
      <c r="K2708" s="45" t="inlineStr">
        <is>
          <t>Organisateur de transports aériens ou maritimes de marchandises</t>
        </is>
      </c>
      <c r="L2708" s="45" t="inlineStr">
        <is>
          <t>23/08/2030</t>
        </is>
      </c>
      <c r="M2708" s="45" t="inlineStr">
        <is>
          <t>31827 (Transport marchandise) ; 31869 (Fret aérien) ; 31872 (Transport maritime)</t>
        </is>
      </c>
      <c r="N2708" s="50" t="inlineStr">
        <is>
          <t>NON</t>
        </is>
      </c>
      <c r="O2708" s="45" t="inlineStr"/>
    </row>
    <row r="2709" customFormat="1" s="3">
      <c r="A2709" s="45" t="n"/>
      <c r="B2709" s="46" t="inlineStr">
        <is>
          <t>31867</t>
        </is>
      </c>
      <c r="C2709" s="46">
        <f>LEFT(Tableau1[[#This Row],[Formacode]],3)</f>
        <v/>
      </c>
      <c r="D2709" s="47" t="n">
        <v>41401</v>
      </c>
      <c r="E2709" s="48">
        <f>"RNCP"&amp;D2709</f>
        <v/>
      </c>
      <c r="F2709" s="48" t="inlineStr">
        <is>
          <t>CQP Technicien de cellule autonome pluri-technologique</t>
        </is>
      </c>
      <c r="G2709" s="49">
        <f>E2709&amp;" - "&amp;F2709</f>
        <v/>
      </c>
      <c r="H2709" s="36" t="inlineStr">
        <is>
          <t>RAS</t>
        </is>
      </c>
      <c r="I2709" s="45" t="inlineStr"/>
      <c r="J2709" s="45" t="inlineStr">
        <is>
          <t>RNCP41401</t>
        </is>
      </c>
      <c r="K2709" s="45" t="inlineStr">
        <is>
          <t>CQP Technicien de cellule autonome pluri-technologique</t>
        </is>
      </c>
      <c r="L2709" s="45" t="inlineStr">
        <is>
          <t>27/10/2030</t>
        </is>
      </c>
      <c r="M2709" s="45" t="inlineStr">
        <is>
          <t>31889 (Pilote ligne) ; 31620 (Conduite installation industrielle)</t>
        </is>
      </c>
      <c r="N2709" s="50" t="inlineStr">
        <is>
          <t>NON</t>
        </is>
      </c>
      <c r="O2709" s="45" t="inlineStr"/>
    </row>
    <row r="2710" customFormat="1" s="3">
      <c r="A2710" s="51" t="n"/>
      <c r="B2710" s="52" t="inlineStr">
        <is>
          <t>31872</t>
        </is>
      </c>
      <c r="C2710" s="52">
        <f>LEFT(Tableau1[[#This Row],[Formacode]],3)</f>
        <v/>
      </c>
      <c r="D2710" s="53" t="n">
        <v>38225</v>
      </c>
      <c r="E2710" s="54">
        <f>"RNCP"&amp;D2710</f>
        <v/>
      </c>
      <c r="F2710" s="54" t="inlineStr">
        <is>
          <t>Certificat de spécialisation - Accueil dans les transports</t>
        </is>
      </c>
      <c r="G2710" s="55">
        <f>E2710&amp;" - "&amp;F2710</f>
        <v/>
      </c>
      <c r="H2710" s="37" t="inlineStr">
        <is>
          <t>À vérifier</t>
        </is>
      </c>
      <c r="I2710" s="51" t="inlineStr">
        <is>
          <t>Successeur déjà publié : RNCP42552 (Accueil dans les transports) — préparer la bascule de l'offre CPF | Échéance le 31/08/2026 (dans 44 j)</t>
        </is>
      </c>
      <c r="J2710" s="51" t="inlineStr">
        <is>
          <t>RNCP42552</t>
        </is>
      </c>
      <c r="K2710" s="51" t="inlineStr">
        <is>
          <t>Accueil dans les transports</t>
        </is>
      </c>
      <c r="L2710" s="51" t="inlineStr">
        <is>
          <t>31/08/2026</t>
        </is>
      </c>
      <c r="M2710" s="51" t="inlineStr">
        <is>
          <t>35052 (Accueil) ; 31854 (Transport)</t>
        </is>
      </c>
      <c r="N2710" s="62" t="inlineStr">
        <is>
          <t>NON</t>
        </is>
      </c>
      <c r="O2710" s="51" t="inlineStr"/>
    </row>
    <row r="2711" customFormat="1" s="3">
      <c r="A2711" s="51" t="n"/>
      <c r="B2711" s="52" t="inlineStr">
        <is>
          <t>31872</t>
        </is>
      </c>
      <c r="C2711" s="52">
        <f>LEFT(Tableau1[[#This Row],[Formacode]],3)</f>
        <v/>
      </c>
      <c r="D2711" s="53" t="n">
        <v>39584</v>
      </c>
      <c r="E2711" s="54">
        <f>"RNCP"&amp;D2711</f>
        <v/>
      </c>
      <c r="F2711" s="54" t="inlineStr">
        <is>
          <t>Expert maritime et fluvial</t>
        </is>
      </c>
      <c r="G2711" s="55">
        <f>E2711&amp;" - "&amp;F2711</f>
        <v/>
      </c>
      <c r="H2711" s="37" t="inlineStr">
        <is>
          <t>À vérifier</t>
        </is>
      </c>
      <c r="I2711" s="51" t="inlineStr">
        <is>
          <t>Successeur déjà publié : RNCP42207 (Expert dans le domaine des constructions flottantes option maritime ou fluvial) — préparer la bascule de l'offre CPF | Échéance le 01/10/2026 (dans 75 j)</t>
        </is>
      </c>
      <c r="J2711" s="51" t="inlineStr">
        <is>
          <t>RNCP42207</t>
        </is>
      </c>
      <c r="K2711" s="51" t="inlineStr">
        <is>
          <t>Expert dans le domaine des constructions flottantes option maritime ou fluvial</t>
        </is>
      </c>
      <c r="L2711" s="51" t="inlineStr">
        <is>
          <t>01/10/2026</t>
        </is>
      </c>
      <c r="M2711" s="51" t="inlineStr">
        <is>
          <t>23610 (Mécanique navale) ; 31872 (Transport maritime) ; 31850 (Transport fluvial)</t>
        </is>
      </c>
      <c r="N2711" s="62" t="inlineStr">
        <is>
          <t>NON</t>
        </is>
      </c>
      <c r="O2711" s="51" t="inlineStr"/>
    </row>
    <row r="2712" customFormat="1" s="3">
      <c r="A2712" s="45" t="n"/>
      <c r="B2712" s="46" t="inlineStr">
        <is>
          <t>31872</t>
        </is>
      </c>
      <c r="C2712" s="46">
        <f>LEFT(Tableau1[[#This Row],[Formacode]],3)</f>
        <v/>
      </c>
      <c r="D2712" s="47" t="n">
        <v>40798</v>
      </c>
      <c r="E2712" s="48">
        <f>"RNCP"&amp;D2712</f>
        <v/>
      </c>
      <c r="F2712" s="48" t="inlineStr">
        <is>
          <t>Certificat de spécialisation - Traction équine et conduite d'attelages</t>
        </is>
      </c>
      <c r="G2712" s="49">
        <f>E2712&amp;" - "&amp;F2712</f>
        <v/>
      </c>
      <c r="H2712" s="36" t="inlineStr">
        <is>
          <t>RAS</t>
        </is>
      </c>
      <c r="I2712" s="45" t="inlineStr"/>
      <c r="J2712" s="45" t="inlineStr">
        <is>
          <t>RNCP40798</t>
        </is>
      </c>
      <c r="K2712" s="45" t="inlineStr">
        <is>
          <t>Traction équine et conduite d'attelages</t>
        </is>
      </c>
      <c r="L2712" s="45" t="inlineStr">
        <is>
          <t>31/12/2030</t>
        </is>
      </c>
      <c r="M2712" s="45" t="inlineStr">
        <is>
          <t>42691 (Tourisme équestre) ; 15479 (Sport équestre) ; 21053 (Viticulture) ; 21042 (Exploitation forestière) ; 31854 (Transport)</t>
        </is>
      </c>
      <c r="N2712" s="50" t="inlineStr">
        <is>
          <t>NON</t>
        </is>
      </c>
      <c r="O2712" s="45" t="inlineStr"/>
    </row>
    <row r="2713" customFormat="1" s="3">
      <c r="A2713" s="45" t="n"/>
      <c r="B2713" s="46" t="inlineStr">
        <is>
          <t>31872</t>
        </is>
      </c>
      <c r="C2713" s="46">
        <f>LEFT(Tableau1[[#This Row],[Formacode]],3)</f>
        <v/>
      </c>
      <c r="D2713" s="47" t="n">
        <v>40991</v>
      </c>
      <c r="E2713" s="48">
        <f>"RNCP"&amp;D2713</f>
        <v/>
      </c>
      <c r="F2713" s="48" t="inlineStr">
        <is>
          <t>TP - Organisateur de transports aériens ou maritimes de marchandises</t>
        </is>
      </c>
      <c r="G2713" s="49">
        <f>E2713&amp;" - "&amp;F2713</f>
        <v/>
      </c>
      <c r="H2713" s="36" t="inlineStr">
        <is>
          <t>RAS</t>
        </is>
      </c>
      <c r="I2713" s="45" t="inlineStr"/>
      <c r="J2713" s="45" t="inlineStr">
        <is>
          <t>RNCP40991</t>
        </is>
      </c>
      <c r="K2713" s="45" t="inlineStr">
        <is>
          <t>Organisateur de transports aériens ou maritimes de marchandises</t>
        </is>
      </c>
      <c r="L2713" s="45" t="inlineStr">
        <is>
          <t>23/08/2030</t>
        </is>
      </c>
      <c r="M2713" s="45" t="inlineStr">
        <is>
          <t>31827 (Transport marchandise) ; 31869 (Fret aérien) ; 31872 (Transport maritime)</t>
        </is>
      </c>
      <c r="N2713" s="50" t="inlineStr">
        <is>
          <t>NON</t>
        </is>
      </c>
      <c r="O2713" s="45" t="inlineStr"/>
    </row>
    <row r="2714" customFormat="1" s="3">
      <c r="A2714" s="51" t="n"/>
      <c r="B2714" s="52" t="inlineStr">
        <is>
          <t>31873</t>
        </is>
      </c>
      <c r="C2714" s="52">
        <f>LEFT(Tableau1[[#This Row],[Formacode]],3)</f>
        <v/>
      </c>
      <c r="D2714" s="53" t="n">
        <v>38225</v>
      </c>
      <c r="E2714" s="54">
        <f>"RNCP"&amp;D2714</f>
        <v/>
      </c>
      <c r="F2714" s="54" t="inlineStr">
        <is>
          <t>Certificat de spécialisation - Accueil dans les transports</t>
        </is>
      </c>
      <c r="G2714" s="55">
        <f>E2714&amp;" - "&amp;F2714</f>
        <v/>
      </c>
      <c r="H2714" s="37" t="inlineStr">
        <is>
          <t>À vérifier</t>
        </is>
      </c>
      <c r="I2714" s="51" t="inlineStr">
        <is>
          <t>Successeur déjà publié : RNCP42552 (Accueil dans les transports) — préparer la bascule de l'offre CPF | Échéance le 31/08/2026 (dans 44 j)</t>
        </is>
      </c>
      <c r="J2714" s="51" t="inlineStr">
        <is>
          <t>RNCP42552</t>
        </is>
      </c>
      <c r="K2714" s="51" t="inlineStr">
        <is>
          <t>Accueil dans les transports</t>
        </is>
      </c>
      <c r="L2714" s="51" t="inlineStr">
        <is>
          <t>31/08/2026</t>
        </is>
      </c>
      <c r="M2714" s="51" t="inlineStr">
        <is>
          <t>35052 (Accueil) ; 31854 (Transport)</t>
        </is>
      </c>
      <c r="N2714" s="62" t="inlineStr">
        <is>
          <t>NON</t>
        </is>
      </c>
      <c r="O2714" s="51" t="inlineStr"/>
    </row>
    <row r="2715" customFormat="1" s="3">
      <c r="A2715" s="45" t="n"/>
      <c r="B2715" s="46" t="inlineStr">
        <is>
          <t>31873</t>
        </is>
      </c>
      <c r="C2715" s="46">
        <f>LEFT(Tableau1[[#This Row],[Formacode]],3)</f>
        <v/>
      </c>
      <c r="D2715" s="47" t="n">
        <v>40798</v>
      </c>
      <c r="E2715" s="48">
        <f>"RNCP"&amp;D2715</f>
        <v/>
      </c>
      <c r="F2715" s="48" t="inlineStr">
        <is>
          <t>Certificat de spécialisation - Traction équine et conduite d'attelages</t>
        </is>
      </c>
      <c r="G2715" s="49">
        <f>E2715&amp;" - "&amp;F2715</f>
        <v/>
      </c>
      <c r="H2715" s="36" t="inlineStr">
        <is>
          <t>RAS</t>
        </is>
      </c>
      <c r="I2715" s="45" t="inlineStr"/>
      <c r="J2715" s="45" t="inlineStr">
        <is>
          <t>RNCP40798</t>
        </is>
      </c>
      <c r="K2715" s="45" t="inlineStr">
        <is>
          <t>Traction équine et conduite d'attelages</t>
        </is>
      </c>
      <c r="L2715" s="45" t="inlineStr">
        <is>
          <t>31/12/2030</t>
        </is>
      </c>
      <c r="M2715" s="45" t="inlineStr">
        <is>
          <t>42691 (Tourisme équestre) ; 15479 (Sport équestre) ; 21053 (Viticulture) ; 21042 (Exploitation forestière) ; 31854 (Transport)</t>
        </is>
      </c>
      <c r="N2715" s="50" t="inlineStr">
        <is>
          <t>NON</t>
        </is>
      </c>
      <c r="O2715" s="45" t="inlineStr"/>
    </row>
    <row r="2716" customFormat="1" s="3">
      <c r="A2716" s="51" t="n"/>
      <c r="B2716" s="52" t="inlineStr">
        <is>
          <t>31874</t>
        </is>
      </c>
      <c r="C2716" s="52">
        <f>LEFT(Tableau1[[#This Row],[Formacode]],3)</f>
        <v/>
      </c>
      <c r="D2716" s="53" t="n">
        <v>38225</v>
      </c>
      <c r="E2716" s="54">
        <f>"RNCP"&amp;D2716</f>
        <v/>
      </c>
      <c r="F2716" s="54" t="inlineStr">
        <is>
          <t>Certificat de spécialisation - Accueil dans les transports</t>
        </is>
      </c>
      <c r="G2716" s="55">
        <f>E2716&amp;" - "&amp;F2716</f>
        <v/>
      </c>
      <c r="H2716" s="37" t="inlineStr">
        <is>
          <t>À vérifier</t>
        </is>
      </c>
      <c r="I2716" s="51" t="inlineStr">
        <is>
          <t>Successeur déjà publié : RNCP42552 (Accueil dans les transports) — préparer la bascule de l'offre CPF | Échéance le 31/08/2026 (dans 44 j)</t>
        </is>
      </c>
      <c r="J2716" s="51" t="inlineStr">
        <is>
          <t>RNCP42552</t>
        </is>
      </c>
      <c r="K2716" s="51" t="inlineStr">
        <is>
          <t>Accueil dans les transports</t>
        </is>
      </c>
      <c r="L2716" s="51" t="inlineStr">
        <is>
          <t>31/08/2026</t>
        </is>
      </c>
      <c r="M2716" s="51" t="inlineStr">
        <is>
          <t>35052 (Accueil) ; 31854 (Transport)</t>
        </is>
      </c>
      <c r="N2716" s="62" t="inlineStr">
        <is>
          <t>NON</t>
        </is>
      </c>
      <c r="O2716" s="51" t="inlineStr"/>
    </row>
    <row r="2717" customFormat="1" s="3">
      <c r="A2717" s="45" t="n"/>
      <c r="B2717" s="46" t="inlineStr">
        <is>
          <t>31874</t>
        </is>
      </c>
      <c r="C2717" s="46">
        <f>LEFT(Tableau1[[#This Row],[Formacode]],3)</f>
        <v/>
      </c>
      <c r="D2717" s="47" t="n">
        <v>40798</v>
      </c>
      <c r="E2717" s="48">
        <f>"RNCP"&amp;D2717</f>
        <v/>
      </c>
      <c r="F2717" s="48" t="inlineStr">
        <is>
          <t>Certificat de spécialisation - Traction équine et conduite d'attelages</t>
        </is>
      </c>
      <c r="G2717" s="49">
        <f>E2717&amp;" - "&amp;F2717</f>
        <v/>
      </c>
      <c r="H2717" s="36" t="inlineStr">
        <is>
          <t>RAS</t>
        </is>
      </c>
      <c r="I2717" s="45" t="inlineStr"/>
      <c r="J2717" s="45" t="inlineStr">
        <is>
          <t>RNCP40798</t>
        </is>
      </c>
      <c r="K2717" s="45" t="inlineStr">
        <is>
          <t>Traction équine et conduite d'attelages</t>
        </is>
      </c>
      <c r="L2717" s="45" t="inlineStr">
        <is>
          <t>31/12/2030</t>
        </is>
      </c>
      <c r="M2717" s="45" t="inlineStr">
        <is>
          <t>42691 (Tourisme équestre) ; 15479 (Sport équestre) ; 21053 (Viticulture) ; 21042 (Exploitation forestière) ; 31854 (Transport)</t>
        </is>
      </c>
      <c r="N2717" s="50" t="inlineStr">
        <is>
          <t>NON</t>
        </is>
      </c>
      <c r="O2717" s="45" t="inlineStr"/>
    </row>
    <row r="2718" customFormat="1" s="3">
      <c r="A2718" s="51" t="n"/>
      <c r="B2718" s="52" t="inlineStr">
        <is>
          <t>31875</t>
        </is>
      </c>
      <c r="C2718" s="52">
        <f>LEFT(Tableau1[[#This Row],[Formacode]],3)</f>
        <v/>
      </c>
      <c r="D2718" s="53" t="n">
        <v>38225</v>
      </c>
      <c r="E2718" s="54">
        <f>"RNCP"&amp;D2718</f>
        <v/>
      </c>
      <c r="F2718" s="54" t="inlineStr">
        <is>
          <t>Certificat de spécialisation - Accueil dans les transports</t>
        </is>
      </c>
      <c r="G2718" s="55">
        <f>E2718&amp;" - "&amp;F2718</f>
        <v/>
      </c>
      <c r="H2718" s="37" t="inlineStr">
        <is>
          <t>À vérifier</t>
        </is>
      </c>
      <c r="I2718" s="51" t="inlineStr">
        <is>
          <t>Successeur déjà publié : RNCP42552 (Accueil dans les transports) — préparer la bascule de l'offre CPF | Échéance le 31/08/2026 (dans 44 j)</t>
        </is>
      </c>
      <c r="J2718" s="51" t="inlineStr">
        <is>
          <t>RNCP42552</t>
        </is>
      </c>
      <c r="K2718" s="51" t="inlineStr">
        <is>
          <t>Accueil dans les transports</t>
        </is>
      </c>
      <c r="L2718" s="51" t="inlineStr">
        <is>
          <t>31/08/2026</t>
        </is>
      </c>
      <c r="M2718" s="51" t="inlineStr">
        <is>
          <t>35052 (Accueil) ; 31854 (Transport)</t>
        </is>
      </c>
      <c r="N2718" s="62" t="inlineStr">
        <is>
          <t>NON</t>
        </is>
      </c>
      <c r="O2718" s="51" t="inlineStr"/>
    </row>
    <row r="2719" customFormat="1" s="3">
      <c r="A2719" s="51" t="n"/>
      <c r="B2719" s="52" t="inlineStr">
        <is>
          <t>31875</t>
        </is>
      </c>
      <c r="C2719" s="52">
        <f>LEFT(Tableau1[[#This Row],[Formacode]],3)</f>
        <v/>
      </c>
      <c r="D2719" s="53" t="n">
        <v>40298</v>
      </c>
      <c r="E2719" s="54">
        <f>"RNCP"&amp;D2719</f>
        <v/>
      </c>
      <c r="F2719" s="54" t="inlineStr">
        <is>
          <t>TP - Agent de sûreté et de sécurité privée</t>
        </is>
      </c>
      <c r="G2719" s="55">
        <f>E2719&amp;" - "&amp;F2719</f>
        <v/>
      </c>
      <c r="H2719" s="37" t="inlineStr">
        <is>
          <t>À vérifier</t>
        </is>
      </c>
      <c r="I2719" s="51" t="inlineStr">
        <is>
          <t>Successeur déjà publié : RNCP42530 (Agent de sûreté et de sécurité privée) — préparer la bascule de l'offre CPF | Échéance le 01/09/2026 (dans 45 j)</t>
        </is>
      </c>
      <c r="J2719" s="51" t="inlineStr">
        <is>
          <t>RNCP42530</t>
        </is>
      </c>
      <c r="K2719" s="51" t="inlineStr">
        <is>
          <t>Agent de sûreté et de sécurité privée</t>
        </is>
      </c>
      <c r="L2719" s="51" t="inlineStr">
        <is>
          <t>01/09/2026</t>
        </is>
      </c>
      <c r="M2719" s="51" t="inlineStr">
        <is>
          <t>42811 (SSIAP) ; 42841 (Surveillance sécurité IGH) ; 42850 (Surveillance sécurité ERP) ; 42820 (Surveillance sécurité magasin) ; 31875 (Sécurité transport)</t>
        </is>
      </c>
      <c r="N2719" s="62" t="inlineStr">
        <is>
          <t>NON</t>
        </is>
      </c>
      <c r="O2719" s="51" t="inlineStr"/>
    </row>
    <row r="2720" customFormat="1" s="3">
      <c r="A2720" s="45" t="n"/>
      <c r="B2720" s="46" t="inlineStr">
        <is>
          <t>31875</t>
        </is>
      </c>
      <c r="C2720" s="46">
        <f>LEFT(Tableau1[[#This Row],[Formacode]],3)</f>
        <v/>
      </c>
      <c r="D2720" s="47" t="n">
        <v>40798</v>
      </c>
      <c r="E2720" s="48">
        <f>"RNCP"&amp;D2720</f>
        <v/>
      </c>
      <c r="F2720" s="48" t="inlineStr">
        <is>
          <t>Certificat de spécialisation - Traction équine et conduite d'attelages</t>
        </is>
      </c>
      <c r="G2720" s="49">
        <f>E2720&amp;" - "&amp;F2720</f>
        <v/>
      </c>
      <c r="H2720" s="36" t="inlineStr">
        <is>
          <t>RAS</t>
        </is>
      </c>
      <c r="I2720" s="45" t="inlineStr"/>
      <c r="J2720" s="45" t="inlineStr">
        <is>
          <t>RNCP40798</t>
        </is>
      </c>
      <c r="K2720" s="45" t="inlineStr">
        <is>
          <t>Traction équine et conduite d'attelages</t>
        </is>
      </c>
      <c r="L2720" s="45" t="inlineStr">
        <is>
          <t>31/12/2030</t>
        </is>
      </c>
      <c r="M2720" s="45" t="inlineStr">
        <is>
          <t>42691 (Tourisme équestre) ; 15479 (Sport équestre) ; 21053 (Viticulture) ; 21042 (Exploitation forestière) ; 31854 (Transport)</t>
        </is>
      </c>
      <c r="N2720" s="50" t="inlineStr">
        <is>
          <t>NON</t>
        </is>
      </c>
      <c r="O2720" s="45" t="inlineStr"/>
    </row>
    <row r="2721" customFormat="1" s="3">
      <c r="A2721" s="51" t="n"/>
      <c r="B2721" s="52" t="inlineStr">
        <is>
          <t>31894</t>
        </is>
      </c>
      <c r="C2721" s="52">
        <f>LEFT(Tableau1[[#This Row],[Formacode]],3)</f>
        <v/>
      </c>
      <c r="D2721" s="53" t="n">
        <v>38225</v>
      </c>
      <c r="E2721" s="54">
        <f>"RNCP"&amp;D2721</f>
        <v/>
      </c>
      <c r="F2721" s="54" t="inlineStr">
        <is>
          <t>Certificat de spécialisation - Accueil dans les transports</t>
        </is>
      </c>
      <c r="G2721" s="55">
        <f>E2721&amp;" - "&amp;F2721</f>
        <v/>
      </c>
      <c r="H2721" s="37" t="inlineStr">
        <is>
          <t>À vérifier</t>
        </is>
      </c>
      <c r="I2721" s="51" t="inlineStr">
        <is>
          <t>Successeur déjà publié : RNCP42552 (Accueil dans les transports) — préparer la bascule de l'offre CPF | Échéance le 31/08/2026 (dans 44 j)</t>
        </is>
      </c>
      <c r="J2721" s="51" t="inlineStr">
        <is>
          <t>RNCP42552</t>
        </is>
      </c>
      <c r="K2721" s="51" t="inlineStr">
        <is>
          <t>Accueil dans les transports</t>
        </is>
      </c>
      <c r="L2721" s="51" t="inlineStr">
        <is>
          <t>31/08/2026</t>
        </is>
      </c>
      <c r="M2721" s="51" t="inlineStr">
        <is>
          <t>35052 (Accueil) ; 31854 (Transport)</t>
        </is>
      </c>
      <c r="N2721" s="62" t="inlineStr">
        <is>
          <t>NON</t>
        </is>
      </c>
      <c r="O2721" s="51" t="inlineStr"/>
    </row>
    <row r="2722" customFormat="1" s="3">
      <c r="A2722" s="45" t="n"/>
      <c r="B2722" s="46" t="inlineStr">
        <is>
          <t>31894</t>
        </is>
      </c>
      <c r="C2722" s="46">
        <f>LEFT(Tableau1[[#This Row],[Formacode]],3)</f>
        <v/>
      </c>
      <c r="D2722" s="47" t="n">
        <v>40798</v>
      </c>
      <c r="E2722" s="48">
        <f>"RNCP"&amp;D2722</f>
        <v/>
      </c>
      <c r="F2722" s="48" t="inlineStr">
        <is>
          <t>Certificat de spécialisation - Traction équine et conduite d'attelages</t>
        </is>
      </c>
      <c r="G2722" s="49">
        <f>E2722&amp;" - "&amp;F2722</f>
        <v/>
      </c>
      <c r="H2722" s="36" t="inlineStr">
        <is>
          <t>RAS</t>
        </is>
      </c>
      <c r="I2722" s="45" t="inlineStr"/>
      <c r="J2722" s="45" t="inlineStr">
        <is>
          <t>RNCP40798</t>
        </is>
      </c>
      <c r="K2722" s="45" t="inlineStr">
        <is>
          <t>Traction équine et conduite d'attelages</t>
        </is>
      </c>
      <c r="L2722" s="45" t="inlineStr">
        <is>
          <t>31/12/2030</t>
        </is>
      </c>
      <c r="M2722" s="45" t="inlineStr">
        <is>
          <t>42691 (Tourisme équestre) ; 15479 (Sport équestre) ; 21053 (Viticulture) ; 21042 (Exploitation forestière) ; 31854 (Transport)</t>
        </is>
      </c>
      <c r="N2722" s="50" t="inlineStr">
        <is>
          <t>NON</t>
        </is>
      </c>
      <c r="O2722" s="45" t="inlineStr"/>
    </row>
    <row r="2723" customFormat="1" s="3">
      <c r="A2723" s="51" t="n"/>
      <c r="B2723" s="52" t="inlineStr">
        <is>
          <t>31895</t>
        </is>
      </c>
      <c r="C2723" s="52">
        <f>LEFT(Tableau1[[#This Row],[Formacode]],3)</f>
        <v/>
      </c>
      <c r="D2723" s="53" t="n">
        <v>38225</v>
      </c>
      <c r="E2723" s="54">
        <f>"RNCP"&amp;D2723</f>
        <v/>
      </c>
      <c r="F2723" s="54" t="inlineStr">
        <is>
          <t>Certificat de spécialisation - Accueil dans les transports</t>
        </is>
      </c>
      <c r="G2723" s="55">
        <f>E2723&amp;" - "&amp;F2723</f>
        <v/>
      </c>
      <c r="H2723" s="37" t="inlineStr">
        <is>
          <t>À vérifier</t>
        </is>
      </c>
      <c r="I2723" s="51" t="inlineStr">
        <is>
          <t>Successeur déjà publié : RNCP42552 (Accueil dans les transports) — préparer la bascule de l'offre CPF | Échéance le 31/08/2026 (dans 44 j)</t>
        </is>
      </c>
      <c r="J2723" s="51" t="inlineStr">
        <is>
          <t>RNCP42552</t>
        </is>
      </c>
      <c r="K2723" s="51" t="inlineStr">
        <is>
          <t>Accueil dans les transports</t>
        </is>
      </c>
      <c r="L2723" s="51" t="inlineStr">
        <is>
          <t>31/08/2026</t>
        </is>
      </c>
      <c r="M2723" s="51" t="inlineStr">
        <is>
          <t>35052 (Accueil) ; 31854 (Transport)</t>
        </is>
      </c>
      <c r="N2723" s="62" t="inlineStr">
        <is>
          <t>NON</t>
        </is>
      </c>
      <c r="O2723" s="51" t="inlineStr"/>
    </row>
    <row r="2724" customFormat="1" s="3">
      <c r="A2724" s="45" t="n"/>
      <c r="B2724" s="46" t="inlineStr">
        <is>
          <t>31895</t>
        </is>
      </c>
      <c r="C2724" s="46">
        <f>LEFT(Tableau1[[#This Row],[Formacode]],3)</f>
        <v/>
      </c>
      <c r="D2724" s="47" t="n">
        <v>39726</v>
      </c>
      <c r="E2724" s="48">
        <f>"RNCP"&amp;D2724</f>
        <v/>
      </c>
      <c r="F2724" s="48" t="inlineStr">
        <is>
          <t>Formateur aux métiers de l'éducation et de la sécurité routières</t>
        </is>
      </c>
      <c r="G2724" s="49">
        <f>E2724&amp;" - "&amp;F2724</f>
        <v/>
      </c>
      <c r="H2724" s="36" t="inlineStr">
        <is>
          <t>RAS</t>
        </is>
      </c>
      <c r="I2724" s="45" t="inlineStr"/>
      <c r="J2724" s="45" t="inlineStr">
        <is>
          <t>RNCP39726</t>
        </is>
      </c>
      <c r="K2724" s="45" t="inlineStr">
        <is>
          <t>Formateur aux métiers de l'éducation et de la sécurité routières</t>
        </is>
      </c>
      <c r="L2724" s="45" t="inlineStr">
        <is>
          <t>31/10/2029</t>
        </is>
      </c>
      <c r="M2724" s="45" t="inlineStr">
        <is>
          <t>31817 (Prévention sécurité routière) ; 31812 (Conduite auto) ; 31895 (Gestion entreprise transport)</t>
        </is>
      </c>
      <c r="N2724" s="50" t="inlineStr">
        <is>
          <t>NON</t>
        </is>
      </c>
      <c r="O2724" s="45" t="inlineStr"/>
    </row>
    <row r="2725" customFormat="1" s="3">
      <c r="A2725" s="45" t="n"/>
      <c r="B2725" s="46" t="inlineStr">
        <is>
          <t>31895</t>
        </is>
      </c>
      <c r="C2725" s="46">
        <f>LEFT(Tableau1[[#This Row],[Formacode]],3)</f>
        <v/>
      </c>
      <c r="D2725" s="47" t="n">
        <v>39740</v>
      </c>
      <c r="E2725" s="48">
        <f>"RNCP"&amp;D2725</f>
        <v/>
      </c>
      <c r="F2725" s="48" t="inlineStr">
        <is>
          <t>CQP Responsable d'unité(s) d'enseignement de la sécurité routière et de la conduite</t>
        </is>
      </c>
      <c r="G2725" s="49">
        <f>E2725&amp;" - "&amp;F2725</f>
        <v/>
      </c>
      <c r="H2725" s="36" t="inlineStr">
        <is>
          <t>RAS</t>
        </is>
      </c>
      <c r="I2725" s="45" t="inlineStr"/>
      <c r="J2725" s="45" t="inlineStr">
        <is>
          <t>RNCP39740</t>
        </is>
      </c>
      <c r="K2725" s="45" t="inlineStr">
        <is>
          <t>CQP Responsable d'unité(s) d'enseignement de la sécurité routière et de la conduite</t>
        </is>
      </c>
      <c r="L2725" s="45" t="inlineStr">
        <is>
          <t>31/10/2029</t>
        </is>
      </c>
      <c r="M2725" s="45" t="inlineStr">
        <is>
          <t>31895 (Gestion entreprise transport)</t>
        </is>
      </c>
      <c r="N2725" s="50" t="inlineStr">
        <is>
          <t>NON</t>
        </is>
      </c>
      <c r="O2725" s="45" t="inlineStr"/>
    </row>
    <row r="2726" customFormat="1" s="3">
      <c r="A2726" s="45" t="n"/>
      <c r="B2726" s="46" t="inlineStr">
        <is>
          <t>31895</t>
        </is>
      </c>
      <c r="C2726" s="46">
        <f>LEFT(Tableau1[[#This Row],[Formacode]],3)</f>
        <v/>
      </c>
      <c r="D2726" s="47" t="n">
        <v>39792</v>
      </c>
      <c r="E2726" s="48">
        <f>"RNCP"&amp;D2726</f>
        <v/>
      </c>
      <c r="F2726" s="48" t="inlineStr">
        <is>
          <t>TP - Exploitant régulateur en transport routier de voyageurs</t>
        </is>
      </c>
      <c r="G2726" s="49">
        <f>E2726&amp;" - "&amp;F2726</f>
        <v/>
      </c>
      <c r="H2726" s="36" t="inlineStr">
        <is>
          <t>RAS</t>
        </is>
      </c>
      <c r="I2726" s="45" t="inlineStr"/>
      <c r="J2726" s="45" t="inlineStr">
        <is>
          <t>RNCP39792</t>
        </is>
      </c>
      <c r="K2726" s="45" t="inlineStr">
        <is>
          <t>Exploitant régulateur en transport routier de voyageurs</t>
        </is>
      </c>
      <c r="L2726" s="45" t="inlineStr">
        <is>
          <t>27/12/2029</t>
        </is>
      </c>
      <c r="M2726" s="45" t="inlineStr">
        <is>
          <t>31895 (Gestion entreprise transport) ; 31805 (Transport en commun routier) ; 31815 (Transport sanitaire)</t>
        </is>
      </c>
      <c r="N2726" s="50" t="inlineStr">
        <is>
          <t>NON</t>
        </is>
      </c>
      <c r="O2726" s="45" t="inlineStr"/>
    </row>
    <row r="2727" customFormat="1" s="3">
      <c r="A2727" s="45" t="n"/>
      <c r="B2727" s="46" t="inlineStr">
        <is>
          <t>31895</t>
        </is>
      </c>
      <c r="C2727" s="46">
        <f>LEFT(Tableau1[[#This Row],[Formacode]],3)</f>
        <v/>
      </c>
      <c r="D2727" s="47" t="n">
        <v>40798</v>
      </c>
      <c r="E2727" s="48">
        <f>"RNCP"&amp;D2727</f>
        <v/>
      </c>
      <c r="F2727" s="48" t="inlineStr">
        <is>
          <t>Certificat de spécialisation - Traction équine et conduite d'attelages</t>
        </is>
      </c>
      <c r="G2727" s="49">
        <f>E2727&amp;" - "&amp;F2727</f>
        <v/>
      </c>
      <c r="H2727" s="36" t="inlineStr">
        <is>
          <t>RAS</t>
        </is>
      </c>
      <c r="I2727" s="45" t="inlineStr"/>
      <c r="J2727" s="45" t="inlineStr">
        <is>
          <t>RNCP40798</t>
        </is>
      </c>
      <c r="K2727" s="45" t="inlineStr">
        <is>
          <t>Traction équine et conduite d'attelages</t>
        </is>
      </c>
      <c r="L2727" s="45" t="inlineStr">
        <is>
          <t>31/12/2030</t>
        </is>
      </c>
      <c r="M2727" s="45" t="inlineStr">
        <is>
          <t>42691 (Tourisme équestre) ; 15479 (Sport équestre) ; 21053 (Viticulture) ; 21042 (Exploitation forestière) ; 31854 (Transport)</t>
        </is>
      </c>
      <c r="N2727" s="50" t="inlineStr">
        <is>
          <t>NON</t>
        </is>
      </c>
      <c r="O2727" s="45" t="inlineStr"/>
    </row>
    <row r="2728" customFormat="1" s="3">
      <c r="A2728" s="45" t="n"/>
      <c r="B2728" s="46" t="inlineStr">
        <is>
          <t>31895</t>
        </is>
      </c>
      <c r="C2728" s="46">
        <f>LEFT(Tableau1[[#This Row],[Formacode]],3)</f>
        <v/>
      </c>
      <c r="D2728" s="47" t="n">
        <v>40990</v>
      </c>
      <c r="E2728" s="48">
        <f>"RNCP"&amp;D2728</f>
        <v/>
      </c>
      <c r="F2728" s="48" t="inlineStr">
        <is>
          <t>TP - Gestionnaire des opérations de transport routier de marchandises</t>
        </is>
      </c>
      <c r="G2728" s="49">
        <f>E2728&amp;" - "&amp;F2728</f>
        <v/>
      </c>
      <c r="H2728" s="36" t="inlineStr">
        <is>
          <t>RAS</t>
        </is>
      </c>
      <c r="I2728" s="45" t="inlineStr"/>
      <c r="J2728" s="45" t="inlineStr">
        <is>
          <t>RNCP40990</t>
        </is>
      </c>
      <c r="K2728" s="45" t="inlineStr">
        <is>
          <t>Gestionnaire des opérations de transport routier de marchandises</t>
        </is>
      </c>
      <c r="L2728" s="45" t="inlineStr">
        <is>
          <t>23/08/2030</t>
        </is>
      </c>
      <c r="M2728" s="45" t="inlineStr">
        <is>
          <t>31895 (Gestion entreprise transport) ; 31822 (Transport logistique durable) ; 31839 (Transit marchandise) ; 31856 (Affrètement)</t>
        </is>
      </c>
      <c r="N2728" s="50" t="inlineStr">
        <is>
          <t>NON</t>
        </is>
      </c>
      <c r="O2728" s="45" t="inlineStr"/>
    </row>
    <row r="2729" customFormat="1" s="3">
      <c r="A2729" s="45" t="n"/>
      <c r="B2729" s="46" t="inlineStr">
        <is>
          <t>31895</t>
        </is>
      </c>
      <c r="C2729" s="46">
        <f>LEFT(Tableau1[[#This Row],[Formacode]],3)</f>
        <v/>
      </c>
      <c r="D2729" s="47" t="n">
        <v>40992</v>
      </c>
      <c r="E2729" s="48">
        <f>"RNCP"&amp;D2729</f>
        <v/>
      </c>
      <c r="F2729" s="48" t="inlineStr">
        <is>
          <t>TP - Exploitant en transport routier de marchandises</t>
        </is>
      </c>
      <c r="G2729" s="49">
        <f>E2729&amp;" - "&amp;F2729</f>
        <v/>
      </c>
      <c r="H2729" s="36" t="inlineStr">
        <is>
          <t>RAS</t>
        </is>
      </c>
      <c r="I2729" s="45" t="inlineStr"/>
      <c r="J2729" s="45" t="inlineStr">
        <is>
          <t>RNCP40992</t>
        </is>
      </c>
      <c r="K2729" s="45" t="inlineStr">
        <is>
          <t>Exploitant en transport routier de marchandises</t>
        </is>
      </c>
      <c r="L2729" s="45" t="inlineStr">
        <is>
          <t>23/08/2030</t>
        </is>
      </c>
      <c r="M2729" s="45" t="inlineStr">
        <is>
          <t>31827 (Transport marchandise) ; 31856 (Affrètement) ; 31822 (Transport logistique durable) ; 31895 (Gestion entreprise transport)</t>
        </is>
      </c>
      <c r="N2729" s="50" t="inlineStr">
        <is>
          <t>NON</t>
        </is>
      </c>
      <c r="O2729" s="45" t="inlineStr"/>
    </row>
    <row r="2730" customFormat="1" s="4">
      <c r="A2730" s="45" t="n"/>
      <c r="B2730" s="46" t="inlineStr">
        <is>
          <t>32004</t>
        </is>
      </c>
      <c r="C2730" s="46">
        <f>LEFT(Tableau1[[#This Row],[Formacode]],3)</f>
        <v/>
      </c>
      <c r="D2730" s="47" t="n">
        <v>36420</v>
      </c>
      <c r="E2730" s="48">
        <f>"RNCP"&amp;D2730</f>
        <v/>
      </c>
      <c r="F2730" s="48" t="inlineStr">
        <is>
          <t>DIPLOVIS - Programme supérieur de gestion et de commerce</t>
        </is>
      </c>
      <c r="G2730" s="49">
        <f>E2730&amp;" - "&amp;F2730</f>
        <v/>
      </c>
      <c r="H2730" s="36" t="inlineStr">
        <is>
          <t>RAS</t>
        </is>
      </c>
      <c r="I2730" s="45" t="inlineStr"/>
      <c r="J2730" s="45" t="inlineStr">
        <is>
          <t>RNCP36420</t>
        </is>
      </c>
      <c r="K2730" s="45" t="inlineStr">
        <is>
          <t>Programme supérieur de gestion et de commerce</t>
        </is>
      </c>
      <c r="L2730" s="45" t="inlineStr">
        <is>
          <t>31/08/2027</t>
        </is>
      </c>
      <c r="M2730" s="45" t="inlineStr">
        <is>
          <t>32110 (Management opérationnel) ; 32135 (Conduite projet) ; 32054 (Gestion des organisations)</t>
        </is>
      </c>
      <c r="N2730" s="50" t="inlineStr">
        <is>
          <t>NON</t>
        </is>
      </c>
      <c r="O2730" s="45" t="inlineStr"/>
    </row>
    <row r="2731" customFormat="1" s="4">
      <c r="A2731" s="45" t="n"/>
      <c r="B2731" s="46" t="inlineStr">
        <is>
          <t>32004</t>
        </is>
      </c>
      <c r="C2731" s="46">
        <f>LEFT(Tableau1[[#This Row],[Formacode]],3)</f>
        <v/>
      </c>
      <c r="D2731" s="47" t="n">
        <v>36461</v>
      </c>
      <c r="E2731" s="48">
        <f>"RNCP"&amp;D2731</f>
        <v/>
      </c>
      <c r="F2731" s="48" t="inlineStr">
        <is>
          <t>Directeur d'unité opérationnelle</t>
        </is>
      </c>
      <c r="G2731" s="49">
        <f>E2731&amp;" - "&amp;F2731</f>
        <v/>
      </c>
      <c r="H2731" s="36" t="inlineStr">
        <is>
          <t>RAS</t>
        </is>
      </c>
      <c r="I2731" s="45" t="inlineStr"/>
      <c r="J2731" s="45" t="inlineStr">
        <is>
          <t>RNCP36461</t>
        </is>
      </c>
      <c r="K2731" s="45" t="inlineStr">
        <is>
          <t>Directeur d'unité opérationnelle</t>
        </is>
      </c>
      <c r="L2731" s="45" t="inlineStr">
        <is>
          <t>02/06/2027</t>
        </is>
      </c>
      <c r="M2731" s="45" t="inlineStr">
        <is>
          <t>32054 (Gestion des organisations) ; 32154 (Encadrement management)</t>
        </is>
      </c>
      <c r="N2731" s="50" t="inlineStr">
        <is>
          <t>NON</t>
        </is>
      </c>
      <c r="O2731" s="45" t="inlineStr"/>
    </row>
    <row r="2732" customFormat="1" s="4">
      <c r="A2732" s="45" t="n"/>
      <c r="B2732" s="46" t="inlineStr">
        <is>
          <t>32004</t>
        </is>
      </c>
      <c r="C2732" s="46">
        <f>LEFT(Tableau1[[#This Row],[Formacode]],3)</f>
        <v/>
      </c>
      <c r="D2732" s="47" t="n">
        <v>36677</v>
      </c>
      <c r="E2732" s="48">
        <f>"RNCP"&amp;D2732</f>
        <v/>
      </c>
      <c r="F2732" s="48" t="inlineStr">
        <is>
          <t>DIPLOVIS - Responsable en marketing, commercialisation et gestion</t>
        </is>
      </c>
      <c r="G2732" s="49">
        <f>E2732&amp;" - "&amp;F2732</f>
        <v/>
      </c>
      <c r="H2732" s="36" t="inlineStr">
        <is>
          <t>RAS</t>
        </is>
      </c>
      <c r="I2732" s="45" t="inlineStr"/>
      <c r="J2732" s="45" t="inlineStr">
        <is>
          <t>RNCP36677</t>
        </is>
      </c>
      <c r="K2732" s="45" t="inlineStr">
        <is>
          <t>Responsable en marketing, commercialisation et gestion</t>
        </is>
      </c>
      <c r="L2732" s="45" t="inlineStr">
        <is>
          <t>31/08/2027</t>
        </is>
      </c>
      <c r="M2732" s="45" t="inlineStr">
        <is>
          <t>34052 (Marketing) ; 34554 (Commerce) ; 32054 (Gestion des organisations)</t>
        </is>
      </c>
      <c r="N2732" s="50" t="inlineStr">
        <is>
          <t>NON</t>
        </is>
      </c>
      <c r="O2732" s="45" t="inlineStr"/>
    </row>
    <row r="2733" customFormat="1" s="4">
      <c r="A2733" s="45" t="n"/>
      <c r="B2733" s="46" t="inlineStr">
        <is>
          <t>32004</t>
        </is>
      </c>
      <c r="C2733" s="46">
        <f>LEFT(Tableau1[[#This Row],[Formacode]],3)</f>
        <v/>
      </c>
      <c r="D2733" s="47" t="n">
        <v>37645</v>
      </c>
      <c r="E2733" s="48">
        <f>"RNCP"&amp;D2733</f>
        <v/>
      </c>
      <c r="F2733" s="48" t="inlineStr">
        <is>
          <t>Cadre dirigeant</t>
        </is>
      </c>
      <c r="G2733" s="49">
        <f>E2733&amp;" - "&amp;F2733</f>
        <v/>
      </c>
      <c r="H2733" s="36" t="inlineStr">
        <is>
          <t>RAS</t>
        </is>
      </c>
      <c r="I2733" s="45" t="inlineStr"/>
      <c r="J2733" s="45" t="inlineStr">
        <is>
          <t>RNCP37645</t>
        </is>
      </c>
      <c r="K2733" s="45" t="inlineStr">
        <is>
          <t>Cadre dirigeant</t>
        </is>
      </c>
      <c r="L2733" s="45" t="inlineStr">
        <is>
          <t>31/05/2028</t>
        </is>
      </c>
      <c r="M2733" s="45" t="inlineStr">
        <is>
          <t>32054 (Gestion des organisations)</t>
        </is>
      </c>
      <c r="N2733" s="50" t="inlineStr">
        <is>
          <t>NON</t>
        </is>
      </c>
      <c r="O2733" s="45" t="inlineStr"/>
    </row>
    <row r="2734" customFormat="1" s="4">
      <c r="A2734" s="51" t="n"/>
      <c r="B2734" s="52" t="inlineStr">
        <is>
          <t>32004</t>
        </is>
      </c>
      <c r="C2734" s="52">
        <f>LEFT(Tableau1[[#This Row],[Formacode]],3)</f>
        <v/>
      </c>
      <c r="D2734" s="53" t="n">
        <v>37719</v>
      </c>
      <c r="E2734" s="54">
        <f>"RNCP"&amp;D2734</f>
        <v/>
      </c>
      <c r="F2734" s="54" t="inlineStr">
        <is>
          <t>DIPLOVIS - Diplôme en management international de l'hôtellerie et de la restauration</t>
        </is>
      </c>
      <c r="G2734" s="55">
        <f>E2734&amp;" - "&amp;F2734</f>
        <v/>
      </c>
      <c r="H2734" s="37" t="inlineStr">
        <is>
          <t>À vérifier</t>
        </is>
      </c>
      <c r="I2734" s="51" t="inlineStr">
        <is>
          <t>Échéance le 31/08/2026 (dans 44 j)</t>
        </is>
      </c>
      <c r="J2734" s="51" t="inlineStr">
        <is>
          <t>RNCP37719</t>
        </is>
      </c>
      <c r="K2734" s="51" t="inlineStr">
        <is>
          <t>Diplôme en management international de l'hôtellerie et de la restauration</t>
        </is>
      </c>
      <c r="L2734" s="51" t="inlineStr">
        <is>
          <t>31/08/2026</t>
        </is>
      </c>
      <c r="M2734" s="51" t="inlineStr">
        <is>
          <t>32054 (Gestion des organisations) ; 42754 (Hôtellerie restauration) ; 42627 (Gestion entreprise touristique)</t>
        </is>
      </c>
      <c r="N2734" s="62" t="inlineStr">
        <is>
          <t>NON</t>
        </is>
      </c>
      <c r="O2734" s="51" t="inlineStr"/>
    </row>
    <row r="2735" customFormat="1" s="4">
      <c r="A2735" s="51" t="n"/>
      <c r="B2735" s="52" t="inlineStr">
        <is>
          <t>32004</t>
        </is>
      </c>
      <c r="C2735" s="52">
        <f>LEFT(Tableau1[[#This Row],[Formacode]],3)</f>
        <v/>
      </c>
      <c r="D2735" s="53" t="n">
        <v>37932</v>
      </c>
      <c r="E2735" s="54">
        <f>"RNCP"&amp;D2735</f>
        <v/>
      </c>
      <c r="F2735" s="54" t="inlineStr">
        <is>
          <t>DIPLOVIS - Diplôme en Management International des Arts Culinaires</t>
        </is>
      </c>
      <c r="G2735" s="55">
        <f>E2735&amp;" - "&amp;F2735</f>
        <v/>
      </c>
      <c r="H2735" s="37" t="inlineStr">
        <is>
          <t>À vérifier</t>
        </is>
      </c>
      <c r="I2735" s="51" t="inlineStr">
        <is>
          <t>Successeur déjà publié : RNCP42267 (DIPLOVIS - Diplôme en management international des arts culinaires) — préparer la bascule de l'offre CPF | Échéance le 31/08/2026 (dans 44 j)</t>
        </is>
      </c>
      <c r="J2735" s="51" t="inlineStr">
        <is>
          <t>RNCP42267</t>
        </is>
      </c>
      <c r="K2735" s="51" t="inlineStr">
        <is>
          <t>DIPLOVIS - Diplôme en management international des arts culinaires</t>
        </is>
      </c>
      <c r="L2735" s="51" t="inlineStr">
        <is>
          <t>31/08/2026</t>
        </is>
      </c>
      <c r="M2735" s="51" t="inlineStr">
        <is>
          <t>42782 (Gestion cuisine) ; 42760 (Gastronomie) ; 42766 (Gestion hôtel restaurant bar) ; 32054 (Gestion des organisations)</t>
        </is>
      </c>
      <c r="N2735" s="62" t="inlineStr">
        <is>
          <t>NON</t>
        </is>
      </c>
      <c r="O2735" s="51" t="inlineStr"/>
    </row>
    <row r="2736" customFormat="1" s="4">
      <c r="A2736" s="45" t="n"/>
      <c r="B2736" s="46" t="inlineStr">
        <is>
          <t>32004</t>
        </is>
      </c>
      <c r="C2736" s="46">
        <f>LEFT(Tableau1[[#This Row],[Formacode]],3)</f>
        <v/>
      </c>
      <c r="D2736" s="47" t="n">
        <v>37949</v>
      </c>
      <c r="E2736" s="48">
        <f>"RNCP"&amp;D2736</f>
        <v/>
      </c>
      <c r="F2736" s="48" t="inlineStr">
        <is>
          <t>TP - Gestionnaire comptable et  fiscal</t>
        </is>
      </c>
      <c r="G2736" s="49">
        <f>E2736&amp;" - "&amp;F2736</f>
        <v/>
      </c>
      <c r="H2736" s="36" t="inlineStr">
        <is>
          <t>RAS</t>
        </is>
      </c>
      <c r="I2736" s="45" t="inlineStr"/>
      <c r="J2736" s="45" t="inlineStr">
        <is>
          <t>RNCP37949</t>
        </is>
      </c>
      <c r="K2736" s="45" t="inlineStr">
        <is>
          <t>Gestionnaire comptable et fiscal</t>
        </is>
      </c>
      <c r="L2736" s="45" t="inlineStr">
        <is>
          <t>01/12/2028</t>
        </is>
      </c>
      <c r="M2736" s="45" t="inlineStr">
        <is>
          <t>32663 (Comptabilité) ; 32054 (Gestion des organisations)</t>
        </is>
      </c>
      <c r="N2736" s="50" t="inlineStr">
        <is>
          <t>NON</t>
        </is>
      </c>
      <c r="O2736" s="45" t="inlineStr"/>
    </row>
    <row r="2737" customFormat="1" s="4">
      <c r="A2737" s="51" t="n"/>
      <c r="B2737" s="52" t="inlineStr">
        <is>
          <t>32004</t>
        </is>
      </c>
      <c r="C2737" s="52">
        <f>LEFT(Tableau1[[#This Row],[Formacode]],3)</f>
        <v/>
      </c>
      <c r="D2737" s="53" t="n">
        <v>37988</v>
      </c>
      <c r="E2737" s="54">
        <f>"RNCP"&amp;D2737</f>
        <v/>
      </c>
      <c r="F2737" s="54" t="inlineStr">
        <is>
          <t>Diplôme visé - Diplôme supérieur en marketing, vente et gestion</t>
        </is>
      </c>
      <c r="G2737" s="55">
        <f>E2737&amp;" - "&amp;F2737</f>
        <v/>
      </c>
      <c r="H2737" s="37" t="inlineStr">
        <is>
          <t>À vérifier</t>
        </is>
      </c>
      <c r="I2737" s="51" t="inlineStr">
        <is>
          <t>Successeur déjà publié : RNCP42254 (Diplôme supérieur en marketing, vente et gestion) — préparer la bascule de l'offre CPF | Échéance le 31/08/2026 (dans 44 j)</t>
        </is>
      </c>
      <c r="J2737" s="51" t="inlineStr">
        <is>
          <t>RNCP42254</t>
        </is>
      </c>
      <c r="K2737" s="51" t="inlineStr">
        <is>
          <t>Diplôme supérieur en marketing, vente et gestion</t>
        </is>
      </c>
      <c r="L2737" s="51" t="inlineStr">
        <is>
          <t>31/08/2026</t>
        </is>
      </c>
      <c r="M2737" s="51" t="inlineStr">
        <is>
          <t>34085 (Stratégie commerciale) ; 34052 (Marketing) ; 32154 (Encadrement management) ; 32054 (Gestion des organisations)</t>
        </is>
      </c>
      <c r="N2737" s="62" t="inlineStr">
        <is>
          <t>NON</t>
        </is>
      </c>
      <c r="O2737" s="51" t="inlineStr"/>
    </row>
    <row r="2738" customFormat="1" s="4">
      <c r="A2738" s="45" t="n"/>
      <c r="B2738" s="46" t="inlineStr">
        <is>
          <t>32004</t>
        </is>
      </c>
      <c r="C2738" s="46">
        <f>LEFT(Tableau1[[#This Row],[Formacode]],3)</f>
        <v/>
      </c>
      <c r="D2738" s="47" t="n">
        <v>39626</v>
      </c>
      <c r="E2738" s="48">
        <f>"RNCP"&amp;D2738</f>
        <v/>
      </c>
      <c r="F2738" s="48" t="inlineStr">
        <is>
          <t>Assistant de gestion des petites entreprises</t>
        </is>
      </c>
      <c r="G2738" s="49">
        <f>E2738&amp;" - "&amp;F2738</f>
        <v/>
      </c>
      <c r="H2738" s="36" t="inlineStr">
        <is>
          <t>RAS</t>
        </is>
      </c>
      <c r="I2738" s="45" t="inlineStr"/>
      <c r="J2738" s="45" t="inlineStr">
        <is>
          <t>RNCP39626</t>
        </is>
      </c>
      <c r="K2738" s="45" t="inlineStr">
        <is>
          <t>Assistant de gestion des petites entreprises</t>
        </is>
      </c>
      <c r="L2738" s="45" t="inlineStr">
        <is>
          <t>01/10/2029</t>
        </is>
      </c>
      <c r="M2738" s="45" t="inlineStr">
        <is>
          <t>35049 (Secrétariat assistanat comptabilité) ; 32054 (Gestion des organisations) ; 35007 (Secrétariat assistanat gestion PME PMI)</t>
        </is>
      </c>
      <c r="N2738" s="50" t="inlineStr">
        <is>
          <t>NON</t>
        </is>
      </c>
      <c r="O2738" s="45" t="inlineStr"/>
    </row>
    <row r="2739" customFormat="1" s="4">
      <c r="A2739" s="45" t="n"/>
      <c r="B2739" s="46" t="inlineStr">
        <is>
          <t>32004</t>
        </is>
      </c>
      <c r="C2739" s="46">
        <f>LEFT(Tableau1[[#This Row],[Formacode]],3)</f>
        <v/>
      </c>
      <c r="D2739" s="47" t="n">
        <v>41308</v>
      </c>
      <c r="E2739" s="48">
        <f>"RNCP"&amp;D2739</f>
        <v/>
      </c>
      <c r="F2739" s="48" t="inlineStr">
        <is>
          <t>Office manager</t>
        </is>
      </c>
      <c r="G2739" s="49">
        <f>E2739&amp;" - "&amp;F2739</f>
        <v/>
      </c>
      <c r="H2739" s="36" t="inlineStr">
        <is>
          <t>RAS</t>
        </is>
      </c>
      <c r="I2739" s="45" t="inlineStr"/>
      <c r="J2739" s="45" t="inlineStr">
        <is>
          <t>RNCP41308</t>
        </is>
      </c>
      <c r="K2739" s="45" t="inlineStr">
        <is>
          <t>Office manager</t>
        </is>
      </c>
      <c r="L2739" s="45" t="inlineStr">
        <is>
          <t>24/09/2028</t>
        </is>
      </c>
      <c r="M2739" s="45" t="inlineStr">
        <is>
          <t>35047 (Secrétariat assistanat direction) ; 32054 (Gestion des organisations)</t>
        </is>
      </c>
      <c r="N2739" s="50" t="inlineStr">
        <is>
          <t>NON</t>
        </is>
      </c>
      <c r="O2739" s="45" t="inlineStr"/>
    </row>
    <row r="2740" customFormat="1" s="4">
      <c r="A2740" s="45" t="n"/>
      <c r="B2740" s="46" t="inlineStr">
        <is>
          <t>32006</t>
        </is>
      </c>
      <c r="C2740" s="46">
        <f>LEFT(Tableau1[[#This Row],[Formacode]],3)</f>
        <v/>
      </c>
      <c r="D2740" s="47" t="n">
        <v>36420</v>
      </c>
      <c r="E2740" s="48">
        <f>"RNCP"&amp;D2740</f>
        <v/>
      </c>
      <c r="F2740" s="48" t="inlineStr">
        <is>
          <t>DIPLOVIS - Programme supérieur de gestion et de commerce</t>
        </is>
      </c>
      <c r="G2740" s="49">
        <f>E2740&amp;" - "&amp;F2740</f>
        <v/>
      </c>
      <c r="H2740" s="36" t="inlineStr">
        <is>
          <t>RAS</t>
        </is>
      </c>
      <c r="I2740" s="45" t="inlineStr"/>
      <c r="J2740" s="45" t="inlineStr">
        <is>
          <t>RNCP36420</t>
        </is>
      </c>
      <c r="K2740" s="45" t="inlineStr">
        <is>
          <t>Programme supérieur de gestion et de commerce</t>
        </is>
      </c>
      <c r="L2740" s="45" t="inlineStr">
        <is>
          <t>31/08/2027</t>
        </is>
      </c>
      <c r="M2740" s="45" t="inlineStr">
        <is>
          <t>32110 (Management opérationnel) ; 32135 (Conduite projet) ; 32054 (Gestion des organisations)</t>
        </is>
      </c>
      <c r="N2740" s="50" t="inlineStr">
        <is>
          <t>NON</t>
        </is>
      </c>
      <c r="O2740" s="45" t="inlineStr"/>
    </row>
    <row r="2741" customFormat="1" s="4">
      <c r="A2741" s="45" t="n"/>
      <c r="B2741" s="46" t="inlineStr">
        <is>
          <t>32006</t>
        </is>
      </c>
      <c r="C2741" s="46">
        <f>LEFT(Tableau1[[#This Row],[Formacode]],3)</f>
        <v/>
      </c>
      <c r="D2741" s="47" t="n">
        <v>36461</v>
      </c>
      <c r="E2741" s="48">
        <f>"RNCP"&amp;D2741</f>
        <v/>
      </c>
      <c r="F2741" s="48" t="inlineStr">
        <is>
          <t>Directeur d'unité opérationnelle</t>
        </is>
      </c>
      <c r="G2741" s="49">
        <f>E2741&amp;" - "&amp;F2741</f>
        <v/>
      </c>
      <c r="H2741" s="36" t="inlineStr">
        <is>
          <t>RAS</t>
        </is>
      </c>
      <c r="I2741" s="45" t="inlineStr"/>
      <c r="J2741" s="45" t="inlineStr">
        <is>
          <t>RNCP36461</t>
        </is>
      </c>
      <c r="K2741" s="45" t="inlineStr">
        <is>
          <t>Directeur d'unité opérationnelle</t>
        </is>
      </c>
      <c r="L2741" s="45" t="inlineStr">
        <is>
          <t>02/06/2027</t>
        </is>
      </c>
      <c r="M2741" s="45" t="inlineStr">
        <is>
          <t>32054 (Gestion des organisations) ; 32154 (Encadrement management)</t>
        </is>
      </c>
      <c r="N2741" s="50" t="inlineStr">
        <is>
          <t>NON</t>
        </is>
      </c>
      <c r="O2741" s="45" t="inlineStr"/>
    </row>
    <row r="2742" customFormat="1" s="4">
      <c r="A2742" s="45" t="n"/>
      <c r="B2742" s="46" t="inlineStr">
        <is>
          <t>32006</t>
        </is>
      </c>
      <c r="C2742" s="46">
        <f>LEFT(Tableau1[[#This Row],[Formacode]],3)</f>
        <v/>
      </c>
      <c r="D2742" s="47" t="n">
        <v>36677</v>
      </c>
      <c r="E2742" s="48">
        <f>"RNCP"&amp;D2742</f>
        <v/>
      </c>
      <c r="F2742" s="48" t="inlineStr">
        <is>
          <t>DIPLOVIS - Responsable en marketing, commercialisation et gestion</t>
        </is>
      </c>
      <c r="G2742" s="49">
        <f>E2742&amp;" - "&amp;F2742</f>
        <v/>
      </c>
      <c r="H2742" s="36" t="inlineStr">
        <is>
          <t>RAS</t>
        </is>
      </c>
      <c r="I2742" s="45" t="inlineStr"/>
      <c r="J2742" s="45" t="inlineStr">
        <is>
          <t>RNCP36677</t>
        </is>
      </c>
      <c r="K2742" s="45" t="inlineStr">
        <is>
          <t>Responsable en marketing, commercialisation et gestion</t>
        </is>
      </c>
      <c r="L2742" s="45" t="inlineStr">
        <is>
          <t>31/08/2027</t>
        </is>
      </c>
      <c r="M2742" s="45" t="inlineStr">
        <is>
          <t>34052 (Marketing) ; 34554 (Commerce) ; 32054 (Gestion des organisations)</t>
        </is>
      </c>
      <c r="N2742" s="50" t="inlineStr">
        <is>
          <t>NON</t>
        </is>
      </c>
      <c r="O2742" s="45" t="inlineStr"/>
    </row>
    <row r="2743" customFormat="1" s="4">
      <c r="A2743" s="45" t="n"/>
      <c r="B2743" s="46" t="inlineStr">
        <is>
          <t>32006</t>
        </is>
      </c>
      <c r="C2743" s="46">
        <f>LEFT(Tableau1[[#This Row],[Formacode]],3)</f>
        <v/>
      </c>
      <c r="D2743" s="47" t="n">
        <v>37645</v>
      </c>
      <c r="E2743" s="48">
        <f>"RNCP"&amp;D2743</f>
        <v/>
      </c>
      <c r="F2743" s="48" t="inlineStr">
        <is>
          <t>Cadre dirigeant</t>
        </is>
      </c>
      <c r="G2743" s="49">
        <f>E2743&amp;" - "&amp;F2743</f>
        <v/>
      </c>
      <c r="H2743" s="36" t="inlineStr">
        <is>
          <t>RAS</t>
        </is>
      </c>
      <c r="I2743" s="45" t="inlineStr"/>
      <c r="J2743" s="45" t="inlineStr">
        <is>
          <t>RNCP37645</t>
        </is>
      </c>
      <c r="K2743" s="45" t="inlineStr">
        <is>
          <t>Cadre dirigeant</t>
        </is>
      </c>
      <c r="L2743" s="45" t="inlineStr">
        <is>
          <t>31/05/2028</t>
        </is>
      </c>
      <c r="M2743" s="45" t="inlineStr">
        <is>
          <t>32054 (Gestion des organisations)</t>
        </is>
      </c>
      <c r="N2743" s="50" t="inlineStr">
        <is>
          <t>NON</t>
        </is>
      </c>
      <c r="O2743" s="45" t="inlineStr"/>
    </row>
    <row r="2744" customFormat="1" s="4">
      <c r="A2744" s="45" t="n"/>
      <c r="B2744" s="46" t="inlineStr">
        <is>
          <t>32006</t>
        </is>
      </c>
      <c r="C2744" s="46">
        <f>LEFT(Tableau1[[#This Row],[Formacode]],3)</f>
        <v/>
      </c>
      <c r="D2744" s="47" t="n">
        <v>37683</v>
      </c>
      <c r="E2744" s="48">
        <f>"RNCP"&amp;D2744</f>
        <v/>
      </c>
      <c r="F2744" s="48" t="inlineStr">
        <is>
          <t>DipViGrM - Programme grande école</t>
        </is>
      </c>
      <c r="G2744" s="49">
        <f>E2744&amp;" - "&amp;F2744</f>
        <v/>
      </c>
      <c r="H2744" s="36" t="inlineStr">
        <is>
          <t>RAS</t>
        </is>
      </c>
      <c r="I2744" s="45" t="inlineStr"/>
      <c r="J2744" s="45" t="inlineStr">
        <is>
          <t>RNCP37683</t>
        </is>
      </c>
      <c r="K2744" s="45" t="inlineStr">
        <is>
          <t>Programme grande école</t>
        </is>
      </c>
      <c r="L2744" s="45" t="inlineStr">
        <is>
          <t>31/08/2028</t>
        </is>
      </c>
      <c r="M2744" s="45" t="inlineStr">
        <is>
          <t>32654 (Gestion financière comptabilité) ; 32145 (Management transversal) ; 34054 (Gestion commerciale achats) ; 32006 (Gestion entreprise internationale)</t>
        </is>
      </c>
      <c r="N2744" s="50" t="inlineStr">
        <is>
          <t>NON</t>
        </is>
      </c>
      <c r="O2744" s="45" t="inlineStr"/>
    </row>
    <row r="2745" customFormat="1" s="4">
      <c r="A2745" s="51" t="n"/>
      <c r="B2745" s="52" t="inlineStr">
        <is>
          <t>32006</t>
        </is>
      </c>
      <c r="C2745" s="52">
        <f>LEFT(Tableau1[[#This Row],[Formacode]],3)</f>
        <v/>
      </c>
      <c r="D2745" s="53" t="n">
        <v>37719</v>
      </c>
      <c r="E2745" s="54">
        <f>"RNCP"&amp;D2745</f>
        <v/>
      </c>
      <c r="F2745" s="54" t="inlineStr">
        <is>
          <t>DIPLOVIS - Diplôme en management international de l'hôtellerie et de la restauration</t>
        </is>
      </c>
      <c r="G2745" s="55">
        <f>E2745&amp;" - "&amp;F2745</f>
        <v/>
      </c>
      <c r="H2745" s="37" t="inlineStr">
        <is>
          <t>À vérifier</t>
        </is>
      </c>
      <c r="I2745" s="51" t="inlineStr">
        <is>
          <t>Échéance le 31/08/2026 (dans 44 j)</t>
        </is>
      </c>
      <c r="J2745" s="51" t="inlineStr">
        <is>
          <t>RNCP37719</t>
        </is>
      </c>
      <c r="K2745" s="51" t="inlineStr">
        <is>
          <t>Diplôme en management international de l'hôtellerie et de la restauration</t>
        </is>
      </c>
      <c r="L2745" s="51" t="inlineStr">
        <is>
          <t>31/08/2026</t>
        </is>
      </c>
      <c r="M2745" s="51" t="inlineStr">
        <is>
          <t>32054 (Gestion des organisations) ; 42754 (Hôtellerie restauration) ; 42627 (Gestion entreprise touristique)</t>
        </is>
      </c>
      <c r="N2745" s="62" t="inlineStr">
        <is>
          <t>NON</t>
        </is>
      </c>
      <c r="O2745" s="51" t="inlineStr"/>
    </row>
    <row r="2746" customFormat="1" s="4">
      <c r="A2746" s="51" t="n"/>
      <c r="B2746" s="52" t="inlineStr">
        <is>
          <t>32006</t>
        </is>
      </c>
      <c r="C2746" s="52">
        <f>LEFT(Tableau1[[#This Row],[Formacode]],3)</f>
        <v/>
      </c>
      <c r="D2746" s="53" t="n">
        <v>37932</v>
      </c>
      <c r="E2746" s="54">
        <f>"RNCP"&amp;D2746</f>
        <v/>
      </c>
      <c r="F2746" s="54" t="inlineStr">
        <is>
          <t>DIPLOVIS - Diplôme en Management International des Arts Culinaires</t>
        </is>
      </c>
      <c r="G2746" s="55">
        <f>E2746&amp;" - "&amp;F2746</f>
        <v/>
      </c>
      <c r="H2746" s="37" t="inlineStr">
        <is>
          <t>À vérifier</t>
        </is>
      </c>
      <c r="I2746" s="51" t="inlineStr">
        <is>
          <t>Successeur déjà publié : RNCP42267 (DIPLOVIS - Diplôme en management international des arts culinaires) — préparer la bascule de l'offre CPF | Échéance le 31/08/2026 (dans 44 j)</t>
        </is>
      </c>
      <c r="J2746" s="51" t="inlineStr">
        <is>
          <t>RNCP42267</t>
        </is>
      </c>
      <c r="K2746" s="51" t="inlineStr">
        <is>
          <t>DIPLOVIS - Diplôme en management international des arts culinaires</t>
        </is>
      </c>
      <c r="L2746" s="51" t="inlineStr">
        <is>
          <t>31/08/2026</t>
        </is>
      </c>
      <c r="M2746" s="51" t="inlineStr">
        <is>
          <t>42782 (Gestion cuisine) ; 42760 (Gastronomie) ; 42766 (Gestion hôtel restaurant bar) ; 32054 (Gestion des organisations)</t>
        </is>
      </c>
      <c r="N2746" s="62" t="inlineStr">
        <is>
          <t>NON</t>
        </is>
      </c>
      <c r="O2746" s="51" t="inlineStr"/>
    </row>
    <row r="2747" customFormat="1" s="4">
      <c r="A2747" s="45" t="n"/>
      <c r="B2747" s="46" t="inlineStr">
        <is>
          <t>32006</t>
        </is>
      </c>
      <c r="C2747" s="46">
        <f>LEFT(Tableau1[[#This Row],[Formacode]],3)</f>
        <v/>
      </c>
      <c r="D2747" s="47" t="n">
        <v>37949</v>
      </c>
      <c r="E2747" s="48">
        <f>"RNCP"&amp;D2747</f>
        <v/>
      </c>
      <c r="F2747" s="48" t="inlineStr">
        <is>
          <t>TP - Gestionnaire comptable et  fiscal</t>
        </is>
      </c>
      <c r="G2747" s="49">
        <f>E2747&amp;" - "&amp;F2747</f>
        <v/>
      </c>
      <c r="H2747" s="36" t="inlineStr">
        <is>
          <t>RAS</t>
        </is>
      </c>
      <c r="I2747" s="45" t="inlineStr"/>
      <c r="J2747" s="45" t="inlineStr">
        <is>
          <t>RNCP37949</t>
        </is>
      </c>
      <c r="K2747" s="45" t="inlineStr">
        <is>
          <t>Gestionnaire comptable et fiscal</t>
        </is>
      </c>
      <c r="L2747" s="45" t="inlineStr">
        <is>
          <t>01/12/2028</t>
        </is>
      </c>
      <c r="M2747" s="45" t="inlineStr">
        <is>
          <t>32663 (Comptabilité) ; 32054 (Gestion des organisations)</t>
        </is>
      </c>
      <c r="N2747" s="50" t="inlineStr">
        <is>
          <t>NON</t>
        </is>
      </c>
      <c r="O2747" s="45" t="inlineStr"/>
    </row>
    <row r="2748" customFormat="1" s="4">
      <c r="A2748" s="51" t="n"/>
      <c r="B2748" s="52" t="inlineStr">
        <is>
          <t>32006</t>
        </is>
      </c>
      <c r="C2748" s="52">
        <f>LEFT(Tableau1[[#This Row],[Formacode]],3)</f>
        <v/>
      </c>
      <c r="D2748" s="53" t="n">
        <v>37988</v>
      </c>
      <c r="E2748" s="54">
        <f>"RNCP"&amp;D2748</f>
        <v/>
      </c>
      <c r="F2748" s="54" t="inlineStr">
        <is>
          <t>Diplôme visé - Diplôme supérieur en marketing, vente et gestion</t>
        </is>
      </c>
      <c r="G2748" s="55">
        <f>E2748&amp;" - "&amp;F2748</f>
        <v/>
      </c>
      <c r="H2748" s="37" t="inlineStr">
        <is>
          <t>À vérifier</t>
        </is>
      </c>
      <c r="I2748" s="51" t="inlineStr">
        <is>
          <t>Successeur déjà publié : RNCP42254 (Diplôme supérieur en marketing, vente et gestion) — préparer la bascule de l'offre CPF | Échéance le 31/08/2026 (dans 44 j)</t>
        </is>
      </c>
      <c r="J2748" s="51" t="inlineStr">
        <is>
          <t>RNCP42254</t>
        </is>
      </c>
      <c r="K2748" s="51" t="inlineStr">
        <is>
          <t>Diplôme supérieur en marketing, vente et gestion</t>
        </is>
      </c>
      <c r="L2748" s="51" t="inlineStr">
        <is>
          <t>31/08/2026</t>
        </is>
      </c>
      <c r="M2748" s="51" t="inlineStr">
        <is>
          <t>34085 (Stratégie commerciale) ; 34052 (Marketing) ; 32154 (Encadrement management) ; 32054 (Gestion des organisations)</t>
        </is>
      </c>
      <c r="N2748" s="62" t="inlineStr">
        <is>
          <t>NON</t>
        </is>
      </c>
      <c r="O2748" s="51" t="inlineStr"/>
    </row>
    <row r="2749" customFormat="1" s="4">
      <c r="A2749" s="45" t="n"/>
      <c r="B2749" s="46" t="inlineStr">
        <is>
          <t>32006</t>
        </is>
      </c>
      <c r="C2749" s="46">
        <f>LEFT(Tableau1[[#This Row],[Formacode]],3)</f>
        <v/>
      </c>
      <c r="D2749" s="47" t="n">
        <v>39268</v>
      </c>
      <c r="E2749" s="48">
        <f>"RNCP"&amp;D2749</f>
        <v/>
      </c>
      <c r="F2749" s="48" t="inlineStr">
        <is>
          <t>DIPLOVIS - Diplôme d’Etudes Spécialisées en Management International</t>
        </is>
      </c>
      <c r="G2749" s="49">
        <f>E2749&amp;" - "&amp;F2749</f>
        <v/>
      </c>
      <c r="H2749" s="36" t="inlineStr">
        <is>
          <t>RAS</t>
        </is>
      </c>
      <c r="I2749" s="45" t="inlineStr"/>
      <c r="J2749" s="45" t="inlineStr">
        <is>
          <t>RNCP39268</t>
        </is>
      </c>
      <c r="K2749" s="45" t="inlineStr">
        <is>
          <t>Diplôme d’Etudes Spécialisées en Management International</t>
        </is>
      </c>
      <c r="L2749" s="45" t="inlineStr">
        <is>
          <t>31/08/2029</t>
        </is>
      </c>
      <c r="M2749" s="45" t="inlineStr">
        <is>
          <t>32005 (Stratégie internationale) ; 32006 (Gestion entreprise internationale) ; 32008 (Responsabilité sociétale entreprise) ; 34254 (Commerce international)</t>
        </is>
      </c>
      <c r="N2749" s="50" t="inlineStr">
        <is>
          <t>NON</t>
        </is>
      </c>
      <c r="O2749" s="45" t="inlineStr"/>
    </row>
    <row r="2750" customFormat="1" s="4">
      <c r="A2750" s="45" t="n"/>
      <c r="B2750" s="46" t="inlineStr">
        <is>
          <t>32006</t>
        </is>
      </c>
      <c r="C2750" s="46">
        <f>LEFT(Tableau1[[#This Row],[Formacode]],3)</f>
        <v/>
      </c>
      <c r="D2750" s="47" t="n">
        <v>39570</v>
      </c>
      <c r="E2750" s="48">
        <f>"RNCP"&amp;D2750</f>
        <v/>
      </c>
      <c r="F2750" s="48" t="inlineStr">
        <is>
          <t>DIPLOVIS - Coordinateur de projets de développement international et sociétal</t>
        </is>
      </c>
      <c r="G2750" s="49">
        <f>E2750&amp;" - "&amp;F2750</f>
        <v/>
      </c>
      <c r="H2750" s="36" t="inlineStr">
        <is>
          <t>RAS</t>
        </is>
      </c>
      <c r="I2750" s="45" t="inlineStr"/>
      <c r="J2750" s="45" t="inlineStr">
        <is>
          <t>RNCP39570</t>
        </is>
      </c>
      <c r="K2750" s="45" t="inlineStr">
        <is>
          <t>Coordinateur de projets de développement international et sociétal</t>
        </is>
      </c>
      <c r="L2750" s="45" t="inlineStr">
        <is>
          <t>31/08/2027</t>
        </is>
      </c>
      <c r="M2750" s="45" t="inlineStr">
        <is>
          <t>13017 (Action humanitaire) ; 13175 (Économie sociale) ; 12522 (Développement durable) ; 32094 (Gestion PME PMI) ; 32006 (Gestion entreprise internationale)</t>
        </is>
      </c>
      <c r="N2750" s="50" t="inlineStr">
        <is>
          <t>NON</t>
        </is>
      </c>
      <c r="O2750" s="45" t="inlineStr"/>
    </row>
    <row r="2751" customFormat="1" s="4">
      <c r="A2751" s="45" t="n"/>
      <c r="B2751" s="46" t="inlineStr">
        <is>
          <t>32006</t>
        </is>
      </c>
      <c r="C2751" s="46">
        <f>LEFT(Tableau1[[#This Row],[Formacode]],3)</f>
        <v/>
      </c>
      <c r="D2751" s="47" t="n">
        <v>39626</v>
      </c>
      <c r="E2751" s="48">
        <f>"RNCP"&amp;D2751</f>
        <v/>
      </c>
      <c r="F2751" s="48" t="inlineStr">
        <is>
          <t>Assistant de gestion des petites entreprises</t>
        </is>
      </c>
      <c r="G2751" s="49">
        <f>E2751&amp;" - "&amp;F2751</f>
        <v/>
      </c>
      <c r="H2751" s="36" t="inlineStr">
        <is>
          <t>RAS</t>
        </is>
      </c>
      <c r="I2751" s="45" t="inlineStr"/>
      <c r="J2751" s="45" t="inlineStr">
        <is>
          <t>RNCP39626</t>
        </is>
      </c>
      <c r="K2751" s="45" t="inlineStr">
        <is>
          <t>Assistant de gestion des petites entreprises</t>
        </is>
      </c>
      <c r="L2751" s="45" t="inlineStr">
        <is>
          <t>01/10/2029</t>
        </is>
      </c>
      <c r="M2751" s="45" t="inlineStr">
        <is>
          <t>35049 (Secrétariat assistanat comptabilité) ; 32054 (Gestion des organisations) ; 35007 (Secrétariat assistanat gestion PME PMI)</t>
        </is>
      </c>
      <c r="N2751" s="50" t="inlineStr">
        <is>
          <t>NON</t>
        </is>
      </c>
      <c r="O2751" s="45" t="inlineStr"/>
    </row>
    <row r="2752" customFormat="1" s="4">
      <c r="A2752" s="45" t="n"/>
      <c r="B2752" s="46" t="inlineStr">
        <is>
          <t>32006</t>
        </is>
      </c>
      <c r="C2752" s="46">
        <f>LEFT(Tableau1[[#This Row],[Formacode]],3)</f>
        <v/>
      </c>
      <c r="D2752" s="47" t="n">
        <v>40352</v>
      </c>
      <c r="E2752" s="48">
        <f>"RNCP"&amp;D2752</f>
        <v/>
      </c>
      <c r="F2752" s="48" t="inlineStr">
        <is>
          <t>Manager du développement international</t>
        </is>
      </c>
      <c r="G2752" s="49">
        <f>E2752&amp;" - "&amp;F2752</f>
        <v/>
      </c>
      <c r="H2752" s="36" t="inlineStr">
        <is>
          <t>RAS</t>
        </is>
      </c>
      <c r="I2752" s="45" t="inlineStr"/>
      <c r="J2752" s="45" t="inlineStr">
        <is>
          <t>RNCP40352</t>
        </is>
      </c>
      <c r="K2752" s="45" t="inlineStr">
        <is>
          <t>Manager du développement international</t>
        </is>
      </c>
      <c r="L2752" s="45" t="inlineStr">
        <is>
          <t>28/03/2030</t>
        </is>
      </c>
      <c r="M2752" s="45" t="inlineStr">
        <is>
          <t>32005 (Stratégie internationale) ; 32006 (Gestion entreprise internationale) ; 34254 (Commerce international) ; 32136 (Conduite projet international)</t>
        </is>
      </c>
      <c r="N2752" s="50" t="inlineStr">
        <is>
          <t>NON</t>
        </is>
      </c>
      <c r="O2752" s="45" t="inlineStr"/>
    </row>
    <row r="2753" ht="28.8" customFormat="1" customHeight="1" s="4">
      <c r="A2753" s="45" t="n"/>
      <c r="B2753" s="46" t="inlineStr">
        <is>
          <t>32006</t>
        </is>
      </c>
      <c r="C2753" s="46">
        <f>LEFT(Tableau1[[#This Row],[Formacode]],3)</f>
        <v/>
      </c>
      <c r="D2753" s="47" t="n">
        <v>40724</v>
      </c>
      <c r="E2753" s="48">
        <f>"RNCP"&amp;D2753</f>
        <v/>
      </c>
      <c r="F2753" s="48" t="inlineStr">
        <is>
          <t>DipViGrL - Diplôme d’enseignement supérieure en management des affaires internationales</t>
        </is>
      </c>
      <c r="G2753" s="49">
        <f>E2753&amp;" - "&amp;F2753</f>
        <v/>
      </c>
      <c r="H2753" s="36" t="inlineStr">
        <is>
          <t>RAS</t>
        </is>
      </c>
      <c r="I2753" s="45" t="inlineStr"/>
      <c r="J2753" s="45" t="inlineStr">
        <is>
          <t>RNCP40724</t>
        </is>
      </c>
      <c r="K2753" s="45" t="inlineStr">
        <is>
          <t>Diplôme d’enseignement supérieure en management des affaires internationales</t>
        </is>
      </c>
      <c r="L2753" s="45" t="inlineStr">
        <is>
          <t>31/08/2028</t>
        </is>
      </c>
      <c r="M2753" s="45" t="inlineStr">
        <is>
          <t>34254 (Commerce international) ; 34052 (Marketing) ; 34056 (Administration ventes) ; 32006 (Gestion entreprise internationale)</t>
        </is>
      </c>
      <c r="N2753" s="50" t="inlineStr">
        <is>
          <t>NON</t>
        </is>
      </c>
      <c r="O2753" s="45" t="inlineStr"/>
    </row>
    <row r="2754" customFormat="1" s="4">
      <c r="A2754" s="45" t="n"/>
      <c r="B2754" s="46" t="inlineStr">
        <is>
          <t>32006</t>
        </is>
      </c>
      <c r="C2754" s="46">
        <f>LEFT(Tableau1[[#This Row],[Formacode]],3)</f>
        <v/>
      </c>
      <c r="D2754" s="47" t="n">
        <v>41308</v>
      </c>
      <c r="E2754" s="48">
        <f>"RNCP"&amp;D2754</f>
        <v/>
      </c>
      <c r="F2754" s="48" t="inlineStr">
        <is>
          <t>Office manager</t>
        </is>
      </c>
      <c r="G2754" s="49">
        <f>E2754&amp;" - "&amp;F2754</f>
        <v/>
      </c>
      <c r="H2754" s="36" t="inlineStr">
        <is>
          <t>RAS</t>
        </is>
      </c>
      <c r="I2754" s="45" t="inlineStr"/>
      <c r="J2754" s="45" t="inlineStr">
        <is>
          <t>RNCP41308</t>
        </is>
      </c>
      <c r="K2754" s="45" t="inlineStr">
        <is>
          <t>Office manager</t>
        </is>
      </c>
      <c r="L2754" s="45" t="inlineStr">
        <is>
          <t>24/09/2028</t>
        </is>
      </c>
      <c r="M2754" s="45" t="inlineStr">
        <is>
          <t>35047 (Secrétariat assistanat direction) ; 32054 (Gestion des organisations)</t>
        </is>
      </c>
      <c r="N2754" s="50" t="inlineStr">
        <is>
          <t>NON</t>
        </is>
      </c>
      <c r="O2754" s="45" t="inlineStr"/>
    </row>
    <row r="2755" customFormat="1" s="4">
      <c r="A2755" s="51" t="n"/>
      <c r="B2755" s="52" t="inlineStr">
        <is>
          <t>32008</t>
        </is>
      </c>
      <c r="C2755" s="52">
        <f>LEFT(Tableau1[[#This Row],[Formacode]],3)</f>
        <v/>
      </c>
      <c r="D2755" s="53" t="n">
        <v>35862</v>
      </c>
      <c r="E2755" s="54">
        <f>"RNCP"&amp;D2755</f>
        <v/>
      </c>
      <c r="F2755" s="54" t="inlineStr">
        <is>
          <t>Responsable qualité, santé, sécurité, environnement</t>
        </is>
      </c>
      <c r="G2755" s="55">
        <f>E2755&amp;" - "&amp;F2755</f>
        <v/>
      </c>
      <c r="H2755" s="37" t="inlineStr">
        <is>
          <t>À vérifier</t>
        </is>
      </c>
      <c r="I2755" s="51" t="inlineStr">
        <is>
          <t>Successeur déjà publié : RNCP42494 (Responsable qualité santé sécurité environnement) — préparer la bascule de l'offre CPF | Échéance le 15/09/2026 (dans 59 j)</t>
        </is>
      </c>
      <c r="J2755" s="51" t="inlineStr">
        <is>
          <t>RNCP42494</t>
        </is>
      </c>
      <c r="K2755" s="51" t="inlineStr">
        <is>
          <t>Responsable qualité santé sécurité environnement</t>
        </is>
      </c>
      <c r="L2755" s="51" t="inlineStr">
        <is>
          <t>15/09/2026</t>
        </is>
      </c>
      <c r="M2755" s="51" t="inlineStr">
        <is>
          <t>31407 (Qualité hygiène sécurité environnement) ; 32008 (Responsabilité sociétale entreprise) ; 42818 (Système management santé sécurité travail) ; 12587 (Management environnemental)</t>
        </is>
      </c>
      <c r="N2755" s="62" t="inlineStr">
        <is>
          <t>NON</t>
        </is>
      </c>
      <c r="O2755" s="51" t="inlineStr"/>
    </row>
    <row r="2756" customFormat="1" s="4">
      <c r="A2756" s="45" t="n"/>
      <c r="B2756" s="46" t="inlineStr">
        <is>
          <t>32008</t>
        </is>
      </c>
      <c r="C2756" s="46">
        <f>LEFT(Tableau1[[#This Row],[Formacode]],3)</f>
        <v/>
      </c>
      <c r="D2756" s="47" t="n">
        <v>36420</v>
      </c>
      <c r="E2756" s="48">
        <f>"RNCP"&amp;D2756</f>
        <v/>
      </c>
      <c r="F2756" s="48" t="inlineStr">
        <is>
          <t>DIPLOVIS - Programme supérieur de gestion et de commerce</t>
        </is>
      </c>
      <c r="G2756" s="49">
        <f>E2756&amp;" - "&amp;F2756</f>
        <v/>
      </c>
      <c r="H2756" s="36" t="inlineStr">
        <is>
          <t>RAS</t>
        </is>
      </c>
      <c r="I2756" s="45" t="inlineStr"/>
      <c r="J2756" s="45" t="inlineStr">
        <is>
          <t>RNCP36420</t>
        </is>
      </c>
      <c r="K2756" s="45" t="inlineStr">
        <is>
          <t>Programme supérieur de gestion et de commerce</t>
        </is>
      </c>
      <c r="L2756" s="45" t="inlineStr">
        <is>
          <t>31/08/2027</t>
        </is>
      </c>
      <c r="M2756" s="45" t="inlineStr">
        <is>
          <t>32110 (Management opérationnel) ; 32135 (Conduite projet) ; 32054 (Gestion des organisations)</t>
        </is>
      </c>
      <c r="N2756" s="50" t="inlineStr">
        <is>
          <t>NON</t>
        </is>
      </c>
      <c r="O2756" s="45" t="inlineStr"/>
    </row>
    <row r="2757" customFormat="1" s="4">
      <c r="A2757" s="45" t="n"/>
      <c r="B2757" s="46" t="inlineStr">
        <is>
          <t>32008</t>
        </is>
      </c>
      <c r="C2757" s="46">
        <f>LEFT(Tableau1[[#This Row],[Formacode]],3)</f>
        <v/>
      </c>
      <c r="D2757" s="47" t="n">
        <v>36461</v>
      </c>
      <c r="E2757" s="48">
        <f>"RNCP"&amp;D2757</f>
        <v/>
      </c>
      <c r="F2757" s="48" t="inlineStr">
        <is>
          <t>Directeur d'unité opérationnelle</t>
        </is>
      </c>
      <c r="G2757" s="49">
        <f>E2757&amp;" - "&amp;F2757</f>
        <v/>
      </c>
      <c r="H2757" s="36" t="inlineStr">
        <is>
          <t>RAS</t>
        </is>
      </c>
      <c r="I2757" s="45" t="inlineStr"/>
      <c r="J2757" s="45" t="inlineStr">
        <is>
          <t>RNCP36461</t>
        </is>
      </c>
      <c r="K2757" s="45" t="inlineStr">
        <is>
          <t>Directeur d'unité opérationnelle</t>
        </is>
      </c>
      <c r="L2757" s="45" t="inlineStr">
        <is>
          <t>02/06/2027</t>
        </is>
      </c>
      <c r="M2757" s="45" t="inlineStr">
        <is>
          <t>32054 (Gestion des organisations) ; 32154 (Encadrement management)</t>
        </is>
      </c>
      <c r="N2757" s="50" t="inlineStr">
        <is>
          <t>NON</t>
        </is>
      </c>
      <c r="O2757" s="45" t="inlineStr"/>
    </row>
    <row r="2758" customFormat="1" s="4">
      <c r="A2758" s="45" t="n"/>
      <c r="B2758" s="46" t="inlineStr">
        <is>
          <t>32008</t>
        </is>
      </c>
      <c r="C2758" s="46">
        <f>LEFT(Tableau1[[#This Row],[Formacode]],3)</f>
        <v/>
      </c>
      <c r="D2758" s="47" t="n">
        <v>36677</v>
      </c>
      <c r="E2758" s="48">
        <f>"RNCP"&amp;D2758</f>
        <v/>
      </c>
      <c r="F2758" s="48" t="inlineStr">
        <is>
          <t>DIPLOVIS - Responsable en marketing, commercialisation et gestion</t>
        </is>
      </c>
      <c r="G2758" s="49">
        <f>E2758&amp;" - "&amp;F2758</f>
        <v/>
      </c>
      <c r="H2758" s="36" t="inlineStr">
        <is>
          <t>RAS</t>
        </is>
      </c>
      <c r="I2758" s="45" t="inlineStr"/>
      <c r="J2758" s="45" t="inlineStr">
        <is>
          <t>RNCP36677</t>
        </is>
      </c>
      <c r="K2758" s="45" t="inlineStr">
        <is>
          <t>Responsable en marketing, commercialisation et gestion</t>
        </is>
      </c>
      <c r="L2758" s="45" t="inlineStr">
        <is>
          <t>31/08/2027</t>
        </is>
      </c>
      <c r="M2758" s="45" t="inlineStr">
        <is>
          <t>34052 (Marketing) ; 34554 (Commerce) ; 32054 (Gestion des organisations)</t>
        </is>
      </c>
      <c r="N2758" s="50" t="inlineStr">
        <is>
          <t>NON</t>
        </is>
      </c>
      <c r="O2758" s="45" t="inlineStr"/>
    </row>
    <row r="2759" customFormat="1" s="4">
      <c r="A2759" s="63" t="n"/>
      <c r="B2759" s="64" t="inlineStr">
        <is>
          <t>32008</t>
        </is>
      </c>
      <c r="C2759" s="64">
        <f>LEFT(Tableau1[[#This Row],[Formacode]],3)</f>
        <v/>
      </c>
      <c r="D2759" s="65" t="n">
        <v>37523</v>
      </c>
      <c r="E2759" s="66">
        <f>"RNCP"&amp;D2759</f>
        <v/>
      </c>
      <c r="F2759" s="66" t="inlineStr">
        <is>
          <t>Responsable de service ou d'entité dans le secteur de l'économie sociale et solidaire</t>
        </is>
      </c>
      <c r="G2759" s="67">
        <f>E2759&amp;" - "&amp;F2759</f>
        <v/>
      </c>
      <c r="H2759" s="38" t="inlineStr">
        <is>
          <t>Expiré / remplacé</t>
        </is>
      </c>
      <c r="I2759" s="63" t="inlineStr">
        <is>
          <t>Fiche inactive (échéance 24/04/2026) — aucun successeur publié</t>
        </is>
      </c>
      <c r="J2759" s="63" t="inlineStr">
        <is>
          <t>RNCP37523</t>
        </is>
      </c>
      <c r="K2759" s="63" t="inlineStr">
        <is>
          <t>Responsable de service ou d'entité dans le secteur de l'économie sociale et solidaire</t>
        </is>
      </c>
      <c r="L2759" s="63" t="inlineStr">
        <is>
          <t>24/04/2026</t>
        </is>
      </c>
      <c r="M2759" s="63" t="inlineStr">
        <is>
          <t>13175 (Économie sociale) ; 32008 (Responsabilité sociétale entreprise)</t>
        </is>
      </c>
      <c r="N2759" s="68" t="inlineStr">
        <is>
          <t>NON</t>
        </is>
      </c>
      <c r="O2759" s="63" t="inlineStr"/>
    </row>
    <row r="2760" customFormat="1" s="4">
      <c r="A2760" s="45" t="n"/>
      <c r="B2760" s="46" t="inlineStr">
        <is>
          <t>32008</t>
        </is>
      </c>
      <c r="C2760" s="46">
        <f>LEFT(Tableau1[[#This Row],[Formacode]],3)</f>
        <v/>
      </c>
      <c r="D2760" s="47" t="n">
        <v>37645</v>
      </c>
      <c r="E2760" s="48">
        <f>"RNCP"&amp;D2760</f>
        <v/>
      </c>
      <c r="F2760" s="48" t="inlineStr">
        <is>
          <t>Cadre dirigeant</t>
        </is>
      </c>
      <c r="G2760" s="49">
        <f>E2760&amp;" - "&amp;F2760</f>
        <v/>
      </c>
      <c r="H2760" s="36" t="inlineStr">
        <is>
          <t>RAS</t>
        </is>
      </c>
      <c r="I2760" s="45" t="inlineStr"/>
      <c r="J2760" s="45" t="inlineStr">
        <is>
          <t>RNCP37645</t>
        </is>
      </c>
      <c r="K2760" s="45" t="inlineStr">
        <is>
          <t>Cadre dirigeant</t>
        </is>
      </c>
      <c r="L2760" s="45" t="inlineStr">
        <is>
          <t>31/05/2028</t>
        </is>
      </c>
      <c r="M2760" s="45" t="inlineStr">
        <is>
          <t>32054 (Gestion des organisations)</t>
        </is>
      </c>
      <c r="N2760" s="50" t="inlineStr">
        <is>
          <t>NON</t>
        </is>
      </c>
      <c r="O2760" s="45" t="inlineStr"/>
    </row>
    <row r="2761" customFormat="1" s="4">
      <c r="A2761" s="51" t="n"/>
      <c r="B2761" s="52" t="inlineStr">
        <is>
          <t>32008</t>
        </is>
      </c>
      <c r="C2761" s="52">
        <f>LEFT(Tableau1[[#This Row],[Formacode]],3)</f>
        <v/>
      </c>
      <c r="D2761" s="53" t="n">
        <v>37719</v>
      </c>
      <c r="E2761" s="54">
        <f>"RNCP"&amp;D2761</f>
        <v/>
      </c>
      <c r="F2761" s="54" t="inlineStr">
        <is>
          <t>DIPLOVIS - Diplôme en management international de l'hôtellerie et de la restauration</t>
        </is>
      </c>
      <c r="G2761" s="55">
        <f>E2761&amp;" - "&amp;F2761</f>
        <v/>
      </c>
      <c r="H2761" s="37" t="inlineStr">
        <is>
          <t>À vérifier</t>
        </is>
      </c>
      <c r="I2761" s="51" t="inlineStr">
        <is>
          <t>Échéance le 31/08/2026 (dans 44 j)</t>
        </is>
      </c>
      <c r="J2761" s="51" t="inlineStr">
        <is>
          <t>RNCP37719</t>
        </is>
      </c>
      <c r="K2761" s="51" t="inlineStr">
        <is>
          <t>Diplôme en management international de l'hôtellerie et de la restauration</t>
        </is>
      </c>
      <c r="L2761" s="51" t="inlineStr">
        <is>
          <t>31/08/2026</t>
        </is>
      </c>
      <c r="M2761" s="51" t="inlineStr">
        <is>
          <t>32054 (Gestion des organisations) ; 42754 (Hôtellerie restauration) ; 42627 (Gestion entreprise touristique)</t>
        </is>
      </c>
      <c r="N2761" s="62" t="inlineStr">
        <is>
          <t>NON</t>
        </is>
      </c>
      <c r="O2761" s="51" t="inlineStr"/>
    </row>
    <row r="2762" customFormat="1" s="4">
      <c r="A2762" s="51" t="n"/>
      <c r="B2762" s="52" t="inlineStr">
        <is>
          <t>32008</t>
        </is>
      </c>
      <c r="C2762" s="52">
        <f>LEFT(Tableau1[[#This Row],[Formacode]],3)</f>
        <v/>
      </c>
      <c r="D2762" s="53" t="n">
        <v>37932</v>
      </c>
      <c r="E2762" s="54">
        <f>"RNCP"&amp;D2762</f>
        <v/>
      </c>
      <c r="F2762" s="54" t="inlineStr">
        <is>
          <t>DIPLOVIS - Diplôme en Management International des Arts Culinaires</t>
        </is>
      </c>
      <c r="G2762" s="55">
        <f>E2762&amp;" - "&amp;F2762</f>
        <v/>
      </c>
      <c r="H2762" s="37" t="inlineStr">
        <is>
          <t>À vérifier</t>
        </is>
      </c>
      <c r="I2762" s="51" t="inlineStr">
        <is>
          <t>Successeur déjà publié : RNCP42267 (DIPLOVIS - Diplôme en management international des arts culinaires) — préparer la bascule de l'offre CPF | Échéance le 31/08/2026 (dans 44 j)</t>
        </is>
      </c>
      <c r="J2762" s="51" t="inlineStr">
        <is>
          <t>RNCP42267</t>
        </is>
      </c>
      <c r="K2762" s="51" t="inlineStr">
        <is>
          <t>DIPLOVIS - Diplôme en management international des arts culinaires</t>
        </is>
      </c>
      <c r="L2762" s="51" t="inlineStr">
        <is>
          <t>31/08/2026</t>
        </is>
      </c>
      <c r="M2762" s="51" t="inlineStr">
        <is>
          <t>42782 (Gestion cuisine) ; 42760 (Gastronomie) ; 42766 (Gestion hôtel restaurant bar) ; 32054 (Gestion des organisations)</t>
        </is>
      </c>
      <c r="N2762" s="62" t="inlineStr">
        <is>
          <t>NON</t>
        </is>
      </c>
      <c r="O2762" s="51" t="inlineStr"/>
    </row>
    <row r="2763" customFormat="1" s="4">
      <c r="A2763" s="45" t="n"/>
      <c r="B2763" s="46" t="inlineStr">
        <is>
          <t>32008</t>
        </is>
      </c>
      <c r="C2763" s="46">
        <f>LEFT(Tableau1[[#This Row],[Formacode]],3)</f>
        <v/>
      </c>
      <c r="D2763" s="47" t="n">
        <v>37949</v>
      </c>
      <c r="E2763" s="48">
        <f>"RNCP"&amp;D2763</f>
        <v/>
      </c>
      <c r="F2763" s="48" t="inlineStr">
        <is>
          <t>TP - Gestionnaire comptable et  fiscal</t>
        </is>
      </c>
      <c r="G2763" s="49">
        <f>E2763&amp;" - "&amp;F2763</f>
        <v/>
      </c>
      <c r="H2763" s="36" t="inlineStr">
        <is>
          <t>RAS</t>
        </is>
      </c>
      <c r="I2763" s="45" t="inlineStr"/>
      <c r="J2763" s="45" t="inlineStr">
        <is>
          <t>RNCP37949</t>
        </is>
      </c>
      <c r="K2763" s="45" t="inlineStr">
        <is>
          <t>Gestionnaire comptable et fiscal</t>
        </is>
      </c>
      <c r="L2763" s="45" t="inlineStr">
        <is>
          <t>01/12/2028</t>
        </is>
      </c>
      <c r="M2763" s="45" t="inlineStr">
        <is>
          <t>32663 (Comptabilité) ; 32054 (Gestion des organisations)</t>
        </is>
      </c>
      <c r="N2763" s="50" t="inlineStr">
        <is>
          <t>NON</t>
        </is>
      </c>
      <c r="O2763" s="45" t="inlineStr"/>
    </row>
    <row r="2764" customFormat="1" s="4">
      <c r="A2764" s="51" t="n"/>
      <c r="B2764" s="52" t="inlineStr">
        <is>
          <t>32008</t>
        </is>
      </c>
      <c r="C2764" s="52">
        <f>LEFT(Tableau1[[#This Row],[Formacode]],3)</f>
        <v/>
      </c>
      <c r="D2764" s="53" t="n">
        <v>37988</v>
      </c>
      <c r="E2764" s="54">
        <f>"RNCP"&amp;D2764</f>
        <v/>
      </c>
      <c r="F2764" s="54" t="inlineStr">
        <is>
          <t>Diplôme visé - Diplôme supérieur en marketing, vente et gestion</t>
        </is>
      </c>
      <c r="G2764" s="55">
        <f>E2764&amp;" - "&amp;F2764</f>
        <v/>
      </c>
      <c r="H2764" s="37" t="inlineStr">
        <is>
          <t>À vérifier</t>
        </is>
      </c>
      <c r="I2764" s="51" t="inlineStr">
        <is>
          <t>Successeur déjà publié : RNCP42254 (Diplôme supérieur en marketing, vente et gestion) — préparer la bascule de l'offre CPF | Échéance le 31/08/2026 (dans 44 j)</t>
        </is>
      </c>
      <c r="J2764" s="51" t="inlineStr">
        <is>
          <t>RNCP42254</t>
        </is>
      </c>
      <c r="K2764" s="51" t="inlineStr">
        <is>
          <t>Diplôme supérieur en marketing, vente et gestion</t>
        </is>
      </c>
      <c r="L2764" s="51" t="inlineStr">
        <is>
          <t>31/08/2026</t>
        </is>
      </c>
      <c r="M2764" s="51" t="inlineStr">
        <is>
          <t>34085 (Stratégie commerciale) ; 34052 (Marketing) ; 32154 (Encadrement management) ; 32054 (Gestion des organisations)</t>
        </is>
      </c>
      <c r="N2764" s="62" t="inlineStr">
        <is>
          <t>NON</t>
        </is>
      </c>
      <c r="O2764" s="51" t="inlineStr"/>
    </row>
    <row r="2765" customFormat="1" s="4">
      <c r="A2765" s="45" t="n"/>
      <c r="B2765" s="46" t="inlineStr">
        <is>
          <t>32008</t>
        </is>
      </c>
      <c r="C2765" s="46">
        <f>LEFT(Tableau1[[#This Row],[Formacode]],3)</f>
        <v/>
      </c>
      <c r="D2765" s="47" t="n">
        <v>38575</v>
      </c>
      <c r="E2765" s="48">
        <f>"RNCP"&amp;D2765</f>
        <v/>
      </c>
      <c r="F2765" s="48" t="inlineStr">
        <is>
          <t>TP - Responsable de petite ou moyenne structure</t>
        </is>
      </c>
      <c r="G2765" s="49">
        <f>E2765&amp;" - "&amp;F2765</f>
        <v/>
      </c>
      <c r="H2765" s="36" t="inlineStr">
        <is>
          <t>RAS</t>
        </is>
      </c>
      <c r="I2765" s="45" t="inlineStr"/>
      <c r="J2765" s="45" t="inlineStr">
        <is>
          <t>RNCP38575</t>
        </is>
      </c>
      <c r="K2765" s="45" t="inlineStr">
        <is>
          <t>Responsable de petite ou moyenne structure</t>
        </is>
      </c>
      <c r="L2765" s="45" t="inlineStr">
        <is>
          <t>08/02/2029</t>
        </is>
      </c>
      <c r="M2765" s="45" t="inlineStr">
        <is>
          <t>32094 (Gestion PME PMI) ; 13175 (Économie sociale) ; 32008 (Responsabilité sociétale entreprise) ; 32047 (Création entreprise) ; 32048 (Reprise entreprise)</t>
        </is>
      </c>
      <c r="N2765" s="50" t="inlineStr">
        <is>
          <t>NON</t>
        </is>
      </c>
      <c r="O2765" s="45" t="inlineStr"/>
    </row>
    <row r="2766" customFormat="1" s="4">
      <c r="A2766" s="45" t="n"/>
      <c r="B2766" s="46" t="inlineStr">
        <is>
          <t>32008</t>
        </is>
      </c>
      <c r="C2766" s="46">
        <f>LEFT(Tableau1[[#This Row],[Formacode]],3)</f>
        <v/>
      </c>
      <c r="D2766" s="47" t="n">
        <v>38914</v>
      </c>
      <c r="E2766" s="48">
        <f>"RNCP"&amp;D2766</f>
        <v/>
      </c>
      <c r="F2766" s="48" t="inlineStr">
        <is>
          <t>Manager qualité sécurité environnement et performance durable de l'entreprise</t>
        </is>
      </c>
      <c r="G2766" s="49">
        <f>E2766&amp;" - "&amp;F2766</f>
        <v/>
      </c>
      <c r="H2766" s="36" t="inlineStr">
        <is>
          <t>RAS</t>
        </is>
      </c>
      <c r="I2766" s="45" t="inlineStr"/>
      <c r="J2766" s="45" t="inlineStr">
        <is>
          <t>RNCP38914</t>
        </is>
      </c>
      <c r="K2766" s="45" t="inlineStr">
        <is>
          <t>Manager qualité sécurité environnement et performance durable de l'entreprise</t>
        </is>
      </c>
      <c r="L2766" s="45" t="inlineStr">
        <is>
          <t>26/04/2028</t>
        </is>
      </c>
      <c r="M2766" s="45" t="inlineStr">
        <is>
          <t>31664 (Qualité gestion industrielle) ; 32008 (Responsabilité sociétale entreprise) ; 32012 (Gestion processus) ; 32043 (Conseil entreprise) ; 31407 (Qualité hygiène sécurité environnement)</t>
        </is>
      </c>
      <c r="N2766" s="50" t="inlineStr">
        <is>
          <t>NON</t>
        </is>
      </c>
      <c r="O2766" s="45" t="inlineStr"/>
    </row>
    <row r="2767" customFormat="1" s="4">
      <c r="A2767" s="51" t="n"/>
      <c r="B2767" s="52" t="inlineStr">
        <is>
          <t>32008</t>
        </is>
      </c>
      <c r="C2767" s="52">
        <f>LEFT(Tableau1[[#This Row],[Formacode]],3)</f>
        <v/>
      </c>
      <c r="D2767" s="53" t="n">
        <v>39160</v>
      </c>
      <c r="E2767" s="54">
        <f>"RNCP"&amp;D2767</f>
        <v/>
      </c>
      <c r="F2767" s="54" t="inlineStr">
        <is>
          <t>Diplôme visé grade de master - Programme Grande Ecole</t>
        </is>
      </c>
      <c r="G2767" s="55">
        <f>E2767&amp;" - "&amp;F2767</f>
        <v/>
      </c>
      <c r="H2767" s="37" t="inlineStr">
        <is>
          <t>À vérifier</t>
        </is>
      </c>
      <c r="I2767" s="51" t="inlineStr">
        <is>
          <t>Échéance le 31/08/2026 (dans 44 j)</t>
        </is>
      </c>
      <c r="J2767" s="51" t="inlineStr">
        <is>
          <t>RNCP39160</t>
        </is>
      </c>
      <c r="K2767" s="51" t="inlineStr">
        <is>
          <t>Programme Grande Ecole</t>
        </is>
      </c>
      <c r="L2767" s="51" t="inlineStr">
        <is>
          <t>31/08/2026</t>
        </is>
      </c>
      <c r="M2767" s="51" t="inlineStr">
        <is>
          <t>32025 (Stratégie entreprise) ; 32008 (Responsabilité sociétale entreprise) ; 32047 (Création entreprise) ; 32654 (Gestion financière comptabilité) ; 32154 (Encadrement management)</t>
        </is>
      </c>
      <c r="N2767" s="62" t="inlineStr">
        <is>
          <t>NON</t>
        </is>
      </c>
      <c r="O2767" s="51" t="inlineStr"/>
    </row>
    <row r="2768" customFormat="1" s="4">
      <c r="A2768" s="45" t="n"/>
      <c r="B2768" s="46" t="inlineStr">
        <is>
          <t>32008</t>
        </is>
      </c>
      <c r="C2768" s="46">
        <f>LEFT(Tableau1[[#This Row],[Formacode]],3)</f>
        <v/>
      </c>
      <c r="D2768" s="47" t="n">
        <v>39268</v>
      </c>
      <c r="E2768" s="48">
        <f>"RNCP"&amp;D2768</f>
        <v/>
      </c>
      <c r="F2768" s="48" t="inlineStr">
        <is>
          <t>DIPLOVIS - Diplôme d’Etudes Spécialisées en Management International</t>
        </is>
      </c>
      <c r="G2768" s="49">
        <f>E2768&amp;" - "&amp;F2768</f>
        <v/>
      </c>
      <c r="H2768" s="36" t="inlineStr">
        <is>
          <t>RAS</t>
        </is>
      </c>
      <c r="I2768" s="45" t="inlineStr"/>
      <c r="J2768" s="45" t="inlineStr">
        <is>
          <t>RNCP39268</t>
        </is>
      </c>
      <c r="K2768" s="45" t="inlineStr">
        <is>
          <t>Diplôme d’Etudes Spécialisées en Management International</t>
        </is>
      </c>
      <c r="L2768" s="45" t="inlineStr">
        <is>
          <t>31/08/2029</t>
        </is>
      </c>
      <c r="M2768" s="45" t="inlineStr">
        <is>
          <t>32005 (Stratégie internationale) ; 32006 (Gestion entreprise internationale) ; 32008 (Responsabilité sociétale entreprise) ; 34254 (Commerce international)</t>
        </is>
      </c>
      <c r="N2768" s="50" t="inlineStr">
        <is>
          <t>NON</t>
        </is>
      </c>
      <c r="O2768" s="45" t="inlineStr"/>
    </row>
    <row r="2769" customFormat="1" s="4">
      <c r="A2769" s="45" t="n"/>
      <c r="B2769" s="46" t="inlineStr">
        <is>
          <t>32008</t>
        </is>
      </c>
      <c r="C2769" s="46">
        <f>LEFT(Tableau1[[#This Row],[Formacode]],3)</f>
        <v/>
      </c>
      <c r="D2769" s="47" t="n">
        <v>39626</v>
      </c>
      <c r="E2769" s="48">
        <f>"RNCP"&amp;D2769</f>
        <v/>
      </c>
      <c r="F2769" s="48" t="inlineStr">
        <is>
          <t>Assistant de gestion des petites entreprises</t>
        </is>
      </c>
      <c r="G2769" s="49">
        <f>E2769&amp;" - "&amp;F2769</f>
        <v/>
      </c>
      <c r="H2769" s="36" t="inlineStr">
        <is>
          <t>RAS</t>
        </is>
      </c>
      <c r="I2769" s="45" t="inlineStr"/>
      <c r="J2769" s="45" t="inlineStr">
        <is>
          <t>RNCP39626</t>
        </is>
      </c>
      <c r="K2769" s="45" t="inlineStr">
        <is>
          <t>Assistant de gestion des petites entreprises</t>
        </is>
      </c>
      <c r="L2769" s="45" t="inlineStr">
        <is>
          <t>01/10/2029</t>
        </is>
      </c>
      <c r="M2769" s="45" t="inlineStr">
        <is>
          <t>35049 (Secrétariat assistanat comptabilité) ; 32054 (Gestion des organisations) ; 35007 (Secrétariat assistanat gestion PME PMI)</t>
        </is>
      </c>
      <c r="N2769" s="50" t="inlineStr">
        <is>
          <t>NON</t>
        </is>
      </c>
      <c r="O2769" s="45" t="inlineStr"/>
    </row>
    <row r="2770" customFormat="1" s="4">
      <c r="A2770" s="45" t="n"/>
      <c r="B2770" s="46" t="inlineStr">
        <is>
          <t>32008</t>
        </is>
      </c>
      <c r="C2770" s="46">
        <f>LEFT(Tableau1[[#This Row],[Formacode]],3)</f>
        <v/>
      </c>
      <c r="D2770" s="47" t="n">
        <v>39944</v>
      </c>
      <c r="E2770" s="48">
        <f>"RNCP"&amp;D2770</f>
        <v/>
      </c>
      <c r="F2770" s="48" t="inlineStr">
        <is>
          <t>BTS - Métiers des services à l'environnement</t>
        </is>
      </c>
      <c r="G2770" s="49">
        <f>E2770&amp;" - "&amp;F2770</f>
        <v/>
      </c>
      <c r="H2770" s="36" t="inlineStr">
        <is>
          <t>RAS</t>
        </is>
      </c>
      <c r="I2770" s="45" t="inlineStr"/>
      <c r="J2770" s="45" t="inlineStr">
        <is>
          <t>RNCP39944</t>
        </is>
      </c>
      <c r="K2770" s="45" t="inlineStr">
        <is>
          <t>Métiers des services à l'environnement</t>
        </is>
      </c>
      <c r="L2770" s="45" t="inlineStr">
        <is>
          <t>31/12/2029</t>
        </is>
      </c>
      <c r="M2770" s="45" t="inlineStr">
        <is>
          <t>12582 (Gestion déchet) ; 12570 (Pollution atmosphérique) ; 42093 (Nettoyage locaux) ; 32008 (Responsabilité sociétale entreprise) ; 31407 (Qualité hygiène sécurité environnement)</t>
        </is>
      </c>
      <c r="N2770" s="50" t="inlineStr">
        <is>
          <t>NON</t>
        </is>
      </c>
      <c r="O2770" s="45" t="inlineStr"/>
    </row>
    <row r="2771" customFormat="1" s="4">
      <c r="A2771" s="45" t="n"/>
      <c r="B2771" s="46" t="inlineStr">
        <is>
          <t>32008</t>
        </is>
      </c>
      <c r="C2771" s="46">
        <f>LEFT(Tableau1[[#This Row],[Formacode]],3)</f>
        <v/>
      </c>
      <c r="D2771" s="47" t="n">
        <v>40155</v>
      </c>
      <c r="E2771" s="48">
        <f>"RNCP"&amp;D2771</f>
        <v/>
      </c>
      <c r="F2771" s="48" t="inlineStr">
        <is>
          <t>Manager en ingénierie et droit de l'environnement</t>
        </is>
      </c>
      <c r="G2771" s="49">
        <f>E2771&amp;" - "&amp;F2771</f>
        <v/>
      </c>
      <c r="H2771" s="36" t="inlineStr">
        <is>
          <t>RAS</t>
        </is>
      </c>
      <c r="I2771" s="45" t="inlineStr"/>
      <c r="J2771" s="45" t="inlineStr">
        <is>
          <t>RNCP40155</t>
        </is>
      </c>
      <c r="K2771" s="45" t="inlineStr">
        <is>
          <t>Manager en ingénierie et droit de l'environnement</t>
        </is>
      </c>
      <c r="L2771" s="45" t="inlineStr">
        <is>
          <t>31/01/2028</t>
        </is>
      </c>
      <c r="M2771" s="45" t="inlineStr">
        <is>
          <t>12585 (Conseil environnement) ; 12522 (Développement durable) ; 12587 (Management environnemental) ; 31407 (Qualité hygiène sécurité environnement) ; 32008 (Responsabilité sociétale entreprise)</t>
        </is>
      </c>
      <c r="N2771" s="50" t="inlineStr">
        <is>
          <t>NON</t>
        </is>
      </c>
      <c r="O2771" s="45" t="inlineStr"/>
    </row>
    <row r="2772" customFormat="1" s="4">
      <c r="A2772" s="45" t="n"/>
      <c r="B2772" s="46" t="inlineStr">
        <is>
          <t>32008</t>
        </is>
      </c>
      <c r="C2772" s="46">
        <f>LEFT(Tableau1[[#This Row],[Formacode]],3)</f>
        <v/>
      </c>
      <c r="D2772" s="47" t="n">
        <v>40659</v>
      </c>
      <c r="E2772" s="48">
        <f>"RNCP"&amp;D2772</f>
        <v/>
      </c>
      <c r="F2772" s="48" t="inlineStr">
        <is>
          <t>Manager green IT</t>
        </is>
      </c>
      <c r="G2772" s="49">
        <f>E2772&amp;" - "&amp;F2772</f>
        <v/>
      </c>
      <c r="H2772" s="36" t="inlineStr">
        <is>
          <t>RAS</t>
        </is>
      </c>
      <c r="I2772" s="45" t="inlineStr"/>
      <c r="J2772" s="45" t="inlineStr">
        <is>
          <t>RNCP40659</t>
        </is>
      </c>
      <c r="K2772" s="45" t="inlineStr">
        <is>
          <t>Manager green IT</t>
        </is>
      </c>
      <c r="L2772" s="45" t="inlineStr">
        <is>
          <t>23/05/2028</t>
        </is>
      </c>
      <c r="M2772" s="45" t="inlineStr">
        <is>
          <t>12545 (Bilan carbone) ; 12522 (Développement durable) ; 31002 (Informatique verte) ; 31008 (Système information) ; 32008 (Responsabilité sociétale entreprise)</t>
        </is>
      </c>
      <c r="N2772" s="50" t="inlineStr">
        <is>
          <t>NON</t>
        </is>
      </c>
      <c r="O2772" s="45" t="inlineStr"/>
    </row>
    <row r="2773" customFormat="1" s="4">
      <c r="A2773" s="45" t="n"/>
      <c r="B2773" s="46" t="inlineStr">
        <is>
          <t>32008</t>
        </is>
      </c>
      <c r="C2773" s="46">
        <f>LEFT(Tableau1[[#This Row],[Formacode]],3)</f>
        <v/>
      </c>
      <c r="D2773" s="47" t="n">
        <v>41308</v>
      </c>
      <c r="E2773" s="48">
        <f>"RNCP"&amp;D2773</f>
        <v/>
      </c>
      <c r="F2773" s="48" t="inlineStr">
        <is>
          <t>Office manager</t>
        </is>
      </c>
      <c r="G2773" s="49">
        <f>E2773&amp;" - "&amp;F2773</f>
        <v/>
      </c>
      <c r="H2773" s="36" t="inlineStr">
        <is>
          <t>RAS</t>
        </is>
      </c>
      <c r="I2773" s="45" t="inlineStr"/>
      <c r="J2773" s="45" t="inlineStr">
        <is>
          <t>RNCP41308</t>
        </is>
      </c>
      <c r="K2773" s="45" t="inlineStr">
        <is>
          <t>Office manager</t>
        </is>
      </c>
      <c r="L2773" s="45" t="inlineStr">
        <is>
          <t>24/09/2028</t>
        </is>
      </c>
      <c r="M2773" s="45" t="inlineStr">
        <is>
          <t>35047 (Secrétariat assistanat direction) ; 32054 (Gestion des organisations)</t>
        </is>
      </c>
      <c r="N2773" s="50" t="inlineStr">
        <is>
          <t>NON</t>
        </is>
      </c>
      <c r="O2773" s="45" t="inlineStr"/>
    </row>
    <row r="2774" customFormat="1" s="4">
      <c r="A2774" s="45" t="n"/>
      <c r="B2774" s="46" t="inlineStr">
        <is>
          <t>32008</t>
        </is>
      </c>
      <c r="C2774" s="46">
        <f>LEFT(Tableau1[[#This Row],[Formacode]],3)</f>
        <v/>
      </c>
      <c r="D2774" s="47" t="n">
        <v>41433</v>
      </c>
      <c r="E2774" s="48">
        <f>"RNCP"&amp;D2774</f>
        <v/>
      </c>
      <c r="F2774" s="48" t="inlineStr">
        <is>
          <t>Manager de la qualité globale et durable</t>
        </is>
      </c>
      <c r="G2774" s="49">
        <f>E2774&amp;" - "&amp;F2774</f>
        <v/>
      </c>
      <c r="H2774" s="36" t="inlineStr">
        <is>
          <t>RAS</t>
        </is>
      </c>
      <c r="I2774" s="45" t="inlineStr"/>
      <c r="J2774" s="45" t="inlineStr">
        <is>
          <t>RNCP41433</t>
        </is>
      </c>
      <c r="K2774" s="45" t="inlineStr">
        <is>
          <t>Manager de la qualité globale et durable</t>
        </is>
      </c>
      <c r="L2774" s="45" t="inlineStr">
        <is>
          <t>27/10/2030</t>
        </is>
      </c>
      <c r="M2774" s="45" t="inlineStr">
        <is>
          <t>31454 (Gestion qualité) ; 32008 (Responsabilité sociétale entreprise) ; 12587 (Management environnemental)</t>
        </is>
      </c>
      <c r="N2774" s="50" t="inlineStr">
        <is>
          <t>NON</t>
        </is>
      </c>
      <c r="O2774" s="45" t="inlineStr"/>
    </row>
    <row r="2775" customFormat="1" s="4">
      <c r="A2775" s="45" t="n"/>
      <c r="B2775" s="46" t="inlineStr">
        <is>
          <t>32008</t>
        </is>
      </c>
      <c r="C2775" s="46">
        <f>LEFT(Tableau1[[#This Row],[Formacode]],3)</f>
        <v/>
      </c>
      <c r="D2775" s="47" t="n">
        <v>41643</v>
      </c>
      <c r="E2775" s="48">
        <f>"RNCP"&amp;D2775</f>
        <v/>
      </c>
      <c r="F2775" s="48" t="inlineStr">
        <is>
          <t>Expert en transformation digitale et technologique no code</t>
        </is>
      </c>
      <c r="G2775" s="49">
        <f>E2775&amp;" - "&amp;F2775</f>
        <v/>
      </c>
      <c r="H2775" s="36" t="inlineStr">
        <is>
          <t>RAS</t>
        </is>
      </c>
      <c r="I2775" s="45" t="inlineStr"/>
      <c r="J2775" s="45" t="inlineStr">
        <is>
          <t>RNCP41643</t>
        </is>
      </c>
      <c r="K2775" s="45" t="inlineStr">
        <is>
          <t>Expert en transformation digitale et technologique no code</t>
        </is>
      </c>
      <c r="L2775" s="45" t="inlineStr">
        <is>
          <t>27/11/2028</t>
        </is>
      </c>
      <c r="M2775" s="45" t="inlineStr">
        <is>
          <t>31086 (Développement Low Code - No Code) ; 32008 (Responsabilité sociétale entreprise) ; 32066 (Transition numérique) ; 31094 (Gestion projet informatique) ; 32025 (Stratégie entreprise)</t>
        </is>
      </c>
      <c r="N2775" s="50" t="inlineStr">
        <is>
          <t>NON</t>
        </is>
      </c>
      <c r="O2775" s="45" t="inlineStr"/>
    </row>
    <row r="2776" customFormat="1" s="4">
      <c r="A2776" s="45" t="n"/>
      <c r="B2776" s="46" t="inlineStr">
        <is>
          <t>32008</t>
        </is>
      </c>
      <c r="C2776" s="46">
        <f>LEFT(Tableau1[[#This Row],[Formacode]],3)</f>
        <v/>
      </c>
      <c r="D2776" s="47" t="n">
        <v>41697</v>
      </c>
      <c r="E2776" s="48">
        <f>"RNCP"&amp;D2776</f>
        <v/>
      </c>
      <c r="F2776" s="48" t="inlineStr">
        <is>
          <t>Dirigeant d'entreprise</t>
        </is>
      </c>
      <c r="G2776" s="49">
        <f>E2776&amp;" - "&amp;F2776</f>
        <v/>
      </c>
      <c r="H2776" s="36" t="inlineStr">
        <is>
          <t>RAS</t>
        </is>
      </c>
      <c r="I2776" s="45" t="inlineStr"/>
      <c r="J2776" s="45" t="inlineStr">
        <is>
          <t>RNCP41697</t>
        </is>
      </c>
      <c r="K2776" s="45" t="inlineStr">
        <is>
          <t>Dirigeant d'entreprise</t>
        </is>
      </c>
      <c r="L2776" s="45" t="inlineStr">
        <is>
          <t>27/11/2030</t>
        </is>
      </c>
      <c r="M2776" s="45" t="inlineStr">
        <is>
          <t>32008 (Responsabilité sociétale entreprise) ; 32025 (Stratégie entreprise) ; 32047 (Création entreprise) ; 32094 (Gestion PME PMI)</t>
        </is>
      </c>
      <c r="N2776" s="50" t="inlineStr">
        <is>
          <t>NON</t>
        </is>
      </c>
      <c r="O2776" s="45" t="inlineStr"/>
    </row>
    <row r="2777" customFormat="1" s="4">
      <c r="A2777" s="45" t="n"/>
      <c r="B2777" s="46" t="inlineStr">
        <is>
          <t>32012</t>
        </is>
      </c>
      <c r="C2777" s="46">
        <f>LEFT(Tableau1[[#This Row],[Formacode]],3)</f>
        <v/>
      </c>
      <c r="D2777" s="47" t="n">
        <v>36420</v>
      </c>
      <c r="E2777" s="48">
        <f>"RNCP"&amp;D2777</f>
        <v/>
      </c>
      <c r="F2777" s="48" t="inlineStr">
        <is>
          <t>DIPLOVIS - Programme supérieur de gestion et de commerce</t>
        </is>
      </c>
      <c r="G2777" s="49">
        <f>E2777&amp;" - "&amp;F2777</f>
        <v/>
      </c>
      <c r="H2777" s="36" t="inlineStr">
        <is>
          <t>RAS</t>
        </is>
      </c>
      <c r="I2777" s="45" t="inlineStr"/>
      <c r="J2777" s="45" t="inlineStr">
        <is>
          <t>RNCP36420</t>
        </is>
      </c>
      <c r="K2777" s="45" t="inlineStr">
        <is>
          <t>Programme supérieur de gestion et de commerce</t>
        </is>
      </c>
      <c r="L2777" s="45" t="inlineStr">
        <is>
          <t>31/08/2027</t>
        </is>
      </c>
      <c r="M2777" s="45" t="inlineStr">
        <is>
          <t>32110 (Management opérationnel) ; 32135 (Conduite projet) ; 32054 (Gestion des organisations)</t>
        </is>
      </c>
      <c r="N2777" s="50" t="inlineStr">
        <is>
          <t>NON</t>
        </is>
      </c>
      <c r="O2777" s="45" t="inlineStr"/>
    </row>
    <row r="2778" customFormat="1" s="4">
      <c r="A2778" s="45" t="n"/>
      <c r="B2778" s="46" t="inlineStr">
        <is>
          <t>32012</t>
        </is>
      </c>
      <c r="C2778" s="46">
        <f>LEFT(Tableau1[[#This Row],[Formacode]],3)</f>
        <v/>
      </c>
      <c r="D2778" s="47" t="n">
        <v>36461</v>
      </c>
      <c r="E2778" s="48">
        <f>"RNCP"&amp;D2778</f>
        <v/>
      </c>
      <c r="F2778" s="48" t="inlineStr">
        <is>
          <t>Directeur d'unité opérationnelle</t>
        </is>
      </c>
      <c r="G2778" s="49">
        <f>E2778&amp;" - "&amp;F2778</f>
        <v/>
      </c>
      <c r="H2778" s="36" t="inlineStr">
        <is>
          <t>RAS</t>
        </is>
      </c>
      <c r="I2778" s="45" t="inlineStr"/>
      <c r="J2778" s="45" t="inlineStr">
        <is>
          <t>RNCP36461</t>
        </is>
      </c>
      <c r="K2778" s="45" t="inlineStr">
        <is>
          <t>Directeur d'unité opérationnelle</t>
        </is>
      </c>
      <c r="L2778" s="45" t="inlineStr">
        <is>
          <t>02/06/2027</t>
        </is>
      </c>
      <c r="M2778" s="45" t="inlineStr">
        <is>
          <t>32054 (Gestion des organisations) ; 32154 (Encadrement management)</t>
        </is>
      </c>
      <c r="N2778" s="50" t="inlineStr">
        <is>
          <t>NON</t>
        </is>
      </c>
      <c r="O2778" s="45" t="inlineStr"/>
    </row>
    <row r="2779" customFormat="1" s="4">
      <c r="A2779" s="45" t="n"/>
      <c r="B2779" s="46" t="inlineStr">
        <is>
          <t>32012</t>
        </is>
      </c>
      <c r="C2779" s="46">
        <f>LEFT(Tableau1[[#This Row],[Formacode]],3)</f>
        <v/>
      </c>
      <c r="D2779" s="47" t="n">
        <v>36677</v>
      </c>
      <c r="E2779" s="48">
        <f>"RNCP"&amp;D2779</f>
        <v/>
      </c>
      <c r="F2779" s="48" t="inlineStr">
        <is>
          <t>DIPLOVIS - Responsable en marketing, commercialisation et gestion</t>
        </is>
      </c>
      <c r="G2779" s="49">
        <f>E2779&amp;" - "&amp;F2779</f>
        <v/>
      </c>
      <c r="H2779" s="36" t="inlineStr">
        <is>
          <t>RAS</t>
        </is>
      </c>
      <c r="I2779" s="45" t="inlineStr"/>
      <c r="J2779" s="45" t="inlineStr">
        <is>
          <t>RNCP36677</t>
        </is>
      </c>
      <c r="K2779" s="45" t="inlineStr">
        <is>
          <t>Responsable en marketing, commercialisation et gestion</t>
        </is>
      </c>
      <c r="L2779" s="45" t="inlineStr">
        <is>
          <t>31/08/2027</t>
        </is>
      </c>
      <c r="M2779" s="45" t="inlineStr">
        <is>
          <t>34052 (Marketing) ; 34554 (Commerce) ; 32054 (Gestion des organisations)</t>
        </is>
      </c>
      <c r="N2779" s="50" t="inlineStr">
        <is>
          <t>NON</t>
        </is>
      </c>
      <c r="O2779" s="45" t="inlineStr"/>
    </row>
    <row r="2780" customFormat="1" s="4">
      <c r="A2780" s="45" t="n"/>
      <c r="B2780" s="46" t="inlineStr">
        <is>
          <t>32012</t>
        </is>
      </c>
      <c r="C2780" s="46">
        <f>LEFT(Tableau1[[#This Row],[Formacode]],3)</f>
        <v/>
      </c>
      <c r="D2780" s="47" t="n">
        <v>37645</v>
      </c>
      <c r="E2780" s="48">
        <f>"RNCP"&amp;D2780</f>
        <v/>
      </c>
      <c r="F2780" s="48" t="inlineStr">
        <is>
          <t>Cadre dirigeant</t>
        </is>
      </c>
      <c r="G2780" s="49">
        <f>E2780&amp;" - "&amp;F2780</f>
        <v/>
      </c>
      <c r="H2780" s="36" t="inlineStr">
        <is>
          <t>RAS</t>
        </is>
      </c>
      <c r="I2780" s="45" t="inlineStr"/>
      <c r="J2780" s="45" t="inlineStr">
        <is>
          <t>RNCP37645</t>
        </is>
      </c>
      <c r="K2780" s="45" t="inlineStr">
        <is>
          <t>Cadre dirigeant</t>
        </is>
      </c>
      <c r="L2780" s="45" t="inlineStr">
        <is>
          <t>31/05/2028</t>
        </is>
      </c>
      <c r="M2780" s="45" t="inlineStr">
        <is>
          <t>32054 (Gestion des organisations)</t>
        </is>
      </c>
      <c r="N2780" s="50" t="inlineStr">
        <is>
          <t>NON</t>
        </is>
      </c>
      <c r="O2780" s="45" t="inlineStr"/>
    </row>
    <row r="2781" customFormat="1" s="4">
      <c r="A2781" s="51" t="n"/>
      <c r="B2781" s="52" t="inlineStr">
        <is>
          <t>32012</t>
        </is>
      </c>
      <c r="C2781" s="52">
        <f>LEFT(Tableau1[[#This Row],[Formacode]],3)</f>
        <v/>
      </c>
      <c r="D2781" s="53" t="n">
        <v>37719</v>
      </c>
      <c r="E2781" s="54">
        <f>"RNCP"&amp;D2781</f>
        <v/>
      </c>
      <c r="F2781" s="54" t="inlineStr">
        <is>
          <t>DIPLOVIS - Diplôme en management international de l'hôtellerie et de la restauration</t>
        </is>
      </c>
      <c r="G2781" s="55">
        <f>E2781&amp;" - "&amp;F2781</f>
        <v/>
      </c>
      <c r="H2781" s="37" t="inlineStr">
        <is>
          <t>À vérifier</t>
        </is>
      </c>
      <c r="I2781" s="51" t="inlineStr">
        <is>
          <t>Échéance le 31/08/2026 (dans 44 j)</t>
        </is>
      </c>
      <c r="J2781" s="51" t="inlineStr">
        <is>
          <t>RNCP37719</t>
        </is>
      </c>
      <c r="K2781" s="51" t="inlineStr">
        <is>
          <t>Diplôme en management international de l'hôtellerie et de la restauration</t>
        </is>
      </c>
      <c r="L2781" s="51" t="inlineStr">
        <is>
          <t>31/08/2026</t>
        </is>
      </c>
      <c r="M2781" s="51" t="inlineStr">
        <is>
          <t>32054 (Gestion des organisations) ; 42754 (Hôtellerie restauration) ; 42627 (Gestion entreprise touristique)</t>
        </is>
      </c>
      <c r="N2781" s="62" t="inlineStr">
        <is>
          <t>NON</t>
        </is>
      </c>
      <c r="O2781" s="51" t="inlineStr"/>
    </row>
    <row r="2782" customFormat="1" s="4">
      <c r="A2782" s="51" t="n"/>
      <c r="B2782" s="52" t="inlineStr">
        <is>
          <t>32012</t>
        </is>
      </c>
      <c r="C2782" s="52">
        <f>LEFT(Tableau1[[#This Row],[Formacode]],3)</f>
        <v/>
      </c>
      <c r="D2782" s="53" t="n">
        <v>37932</v>
      </c>
      <c r="E2782" s="54">
        <f>"RNCP"&amp;D2782</f>
        <v/>
      </c>
      <c r="F2782" s="54" t="inlineStr">
        <is>
          <t>DIPLOVIS - Diplôme en Management International des Arts Culinaires</t>
        </is>
      </c>
      <c r="G2782" s="55">
        <f>E2782&amp;" - "&amp;F2782</f>
        <v/>
      </c>
      <c r="H2782" s="37" t="inlineStr">
        <is>
          <t>À vérifier</t>
        </is>
      </c>
      <c r="I2782" s="51" t="inlineStr">
        <is>
          <t>Successeur déjà publié : RNCP42267 (DIPLOVIS - Diplôme en management international des arts culinaires) — préparer la bascule de l'offre CPF | Échéance le 31/08/2026 (dans 44 j)</t>
        </is>
      </c>
      <c r="J2782" s="51" t="inlineStr">
        <is>
          <t>RNCP42267</t>
        </is>
      </c>
      <c r="K2782" s="51" t="inlineStr">
        <is>
          <t>DIPLOVIS - Diplôme en management international des arts culinaires</t>
        </is>
      </c>
      <c r="L2782" s="51" t="inlineStr">
        <is>
          <t>31/08/2026</t>
        </is>
      </c>
      <c r="M2782" s="51" t="inlineStr">
        <is>
          <t>42782 (Gestion cuisine) ; 42760 (Gastronomie) ; 42766 (Gestion hôtel restaurant bar) ; 32054 (Gestion des organisations)</t>
        </is>
      </c>
      <c r="N2782" s="62" t="inlineStr">
        <is>
          <t>NON</t>
        </is>
      </c>
      <c r="O2782" s="51" t="inlineStr"/>
    </row>
    <row r="2783" customFormat="1" s="4">
      <c r="A2783" s="45" t="n"/>
      <c r="B2783" s="46" t="inlineStr">
        <is>
          <t>32012</t>
        </is>
      </c>
      <c r="C2783" s="46">
        <f>LEFT(Tableau1[[#This Row],[Formacode]],3)</f>
        <v/>
      </c>
      <c r="D2783" s="47" t="n">
        <v>37949</v>
      </c>
      <c r="E2783" s="48">
        <f>"RNCP"&amp;D2783</f>
        <v/>
      </c>
      <c r="F2783" s="48" t="inlineStr">
        <is>
          <t>TP - Gestionnaire comptable et  fiscal</t>
        </is>
      </c>
      <c r="G2783" s="49">
        <f>E2783&amp;" - "&amp;F2783</f>
        <v/>
      </c>
      <c r="H2783" s="36" t="inlineStr">
        <is>
          <t>RAS</t>
        </is>
      </c>
      <c r="I2783" s="45" t="inlineStr"/>
      <c r="J2783" s="45" t="inlineStr">
        <is>
          <t>RNCP37949</t>
        </is>
      </c>
      <c r="K2783" s="45" t="inlineStr">
        <is>
          <t>Gestionnaire comptable et fiscal</t>
        </is>
      </c>
      <c r="L2783" s="45" t="inlineStr">
        <is>
          <t>01/12/2028</t>
        </is>
      </c>
      <c r="M2783" s="45" t="inlineStr">
        <is>
          <t>32663 (Comptabilité) ; 32054 (Gestion des organisations)</t>
        </is>
      </c>
      <c r="N2783" s="50" t="inlineStr">
        <is>
          <t>NON</t>
        </is>
      </c>
      <c r="O2783" s="45" t="inlineStr"/>
    </row>
    <row r="2784" customFormat="1" s="4">
      <c r="A2784" s="51" t="n"/>
      <c r="B2784" s="52" t="inlineStr">
        <is>
          <t>32012</t>
        </is>
      </c>
      <c r="C2784" s="52">
        <f>LEFT(Tableau1[[#This Row],[Formacode]],3)</f>
        <v/>
      </c>
      <c r="D2784" s="53" t="n">
        <v>37988</v>
      </c>
      <c r="E2784" s="54">
        <f>"RNCP"&amp;D2784</f>
        <v/>
      </c>
      <c r="F2784" s="54" t="inlineStr">
        <is>
          <t>Diplôme visé - Diplôme supérieur en marketing, vente et gestion</t>
        </is>
      </c>
      <c r="G2784" s="55">
        <f>E2784&amp;" - "&amp;F2784</f>
        <v/>
      </c>
      <c r="H2784" s="37" t="inlineStr">
        <is>
          <t>À vérifier</t>
        </is>
      </c>
      <c r="I2784" s="51" t="inlineStr">
        <is>
          <t>Successeur déjà publié : RNCP42254 (Diplôme supérieur en marketing, vente et gestion) — préparer la bascule de l'offre CPF | Échéance le 31/08/2026 (dans 44 j)</t>
        </is>
      </c>
      <c r="J2784" s="51" t="inlineStr">
        <is>
          <t>RNCP42254</t>
        </is>
      </c>
      <c r="K2784" s="51" t="inlineStr">
        <is>
          <t>Diplôme supérieur en marketing, vente et gestion</t>
        </is>
      </c>
      <c r="L2784" s="51" t="inlineStr">
        <is>
          <t>31/08/2026</t>
        </is>
      </c>
      <c r="M2784" s="51" t="inlineStr">
        <is>
          <t>34085 (Stratégie commerciale) ; 34052 (Marketing) ; 32154 (Encadrement management) ; 32054 (Gestion des organisations)</t>
        </is>
      </c>
      <c r="N2784" s="62" t="inlineStr">
        <is>
          <t>NON</t>
        </is>
      </c>
      <c r="O2784" s="51" t="inlineStr"/>
    </row>
    <row r="2785" customFormat="1" s="4">
      <c r="A2785" s="45" t="n"/>
      <c r="B2785" s="46" t="inlineStr">
        <is>
          <t>32012</t>
        </is>
      </c>
      <c r="C2785" s="46">
        <f>LEFT(Tableau1[[#This Row],[Formacode]],3)</f>
        <v/>
      </c>
      <c r="D2785" s="47" t="n">
        <v>38914</v>
      </c>
      <c r="E2785" s="48">
        <f>"RNCP"&amp;D2785</f>
        <v/>
      </c>
      <c r="F2785" s="48" t="inlineStr">
        <is>
          <t>Manager qualité sécurité environnement et performance durable de l'entreprise</t>
        </is>
      </c>
      <c r="G2785" s="49">
        <f>E2785&amp;" - "&amp;F2785</f>
        <v/>
      </c>
      <c r="H2785" s="36" t="inlineStr">
        <is>
          <t>RAS</t>
        </is>
      </c>
      <c r="I2785" s="45" t="inlineStr"/>
      <c r="J2785" s="45" t="inlineStr">
        <is>
          <t>RNCP38914</t>
        </is>
      </c>
      <c r="K2785" s="45" t="inlineStr">
        <is>
          <t>Manager qualité sécurité environnement et performance durable de l'entreprise</t>
        </is>
      </c>
      <c r="L2785" s="45" t="inlineStr">
        <is>
          <t>26/04/2028</t>
        </is>
      </c>
      <c r="M2785" s="45" t="inlineStr">
        <is>
          <t>31664 (Qualité gestion industrielle) ; 32008 (Responsabilité sociétale entreprise) ; 32012 (Gestion processus) ; 32043 (Conseil entreprise) ; 31407 (Qualité hygiène sécurité environnement)</t>
        </is>
      </c>
      <c r="N2785" s="50" t="inlineStr">
        <is>
          <t>NON</t>
        </is>
      </c>
      <c r="O2785" s="45" t="inlineStr"/>
    </row>
    <row r="2786" customFormat="1" s="4">
      <c r="A2786" s="45" t="n"/>
      <c r="B2786" s="46" t="inlineStr">
        <is>
          <t>32012</t>
        </is>
      </c>
      <c r="C2786" s="46">
        <f>LEFT(Tableau1[[#This Row],[Formacode]],3)</f>
        <v/>
      </c>
      <c r="D2786" s="47" t="n">
        <v>39626</v>
      </c>
      <c r="E2786" s="48">
        <f>"RNCP"&amp;D2786</f>
        <v/>
      </c>
      <c r="F2786" s="48" t="inlineStr">
        <is>
          <t>Assistant de gestion des petites entreprises</t>
        </is>
      </c>
      <c r="G2786" s="49">
        <f>E2786&amp;" - "&amp;F2786</f>
        <v/>
      </c>
      <c r="H2786" s="36" t="inlineStr">
        <is>
          <t>RAS</t>
        </is>
      </c>
      <c r="I2786" s="45" t="inlineStr"/>
      <c r="J2786" s="45" t="inlineStr">
        <is>
          <t>RNCP39626</t>
        </is>
      </c>
      <c r="K2786" s="45" t="inlineStr">
        <is>
          <t>Assistant de gestion des petites entreprises</t>
        </is>
      </c>
      <c r="L2786" s="45" t="inlineStr">
        <is>
          <t>01/10/2029</t>
        </is>
      </c>
      <c r="M2786" s="45" t="inlineStr">
        <is>
          <t>35049 (Secrétariat assistanat comptabilité) ; 32054 (Gestion des organisations) ; 35007 (Secrétariat assistanat gestion PME PMI)</t>
        </is>
      </c>
      <c r="N2786" s="50" t="inlineStr">
        <is>
          <t>NON</t>
        </is>
      </c>
      <c r="O2786" s="45" t="inlineStr"/>
    </row>
    <row r="2787" customFormat="1" s="4">
      <c r="A2787" s="45" t="n"/>
      <c r="B2787" s="46" t="inlineStr">
        <is>
          <t>32012</t>
        </is>
      </c>
      <c r="C2787" s="46">
        <f>LEFT(Tableau1[[#This Row],[Formacode]],3)</f>
        <v/>
      </c>
      <c r="D2787" s="47" t="n">
        <v>40557</v>
      </c>
      <c r="E2787" s="48">
        <f>"RNCP"&amp;D2787</f>
        <v/>
      </c>
      <c r="F2787" s="48" t="inlineStr">
        <is>
          <t>CQP Technicien en industrialisation et en amélioration de procédés</t>
        </is>
      </c>
      <c r="G2787" s="49">
        <f>E2787&amp;" - "&amp;F2787</f>
        <v/>
      </c>
      <c r="H2787" s="36" t="inlineStr">
        <is>
          <t>RAS</t>
        </is>
      </c>
      <c r="I2787" s="45" t="inlineStr"/>
      <c r="J2787" s="45" t="inlineStr">
        <is>
          <t>RNCP40557</t>
        </is>
      </c>
      <c r="K2787" s="45" t="inlineStr">
        <is>
          <t>CQP Technicien en industrialisation et en amélioration de procédés</t>
        </is>
      </c>
      <c r="L2787" s="45" t="inlineStr">
        <is>
          <t>30/04/2030</t>
        </is>
      </c>
      <c r="M2787" s="45" t="inlineStr">
        <is>
          <t>32012 (Gestion processus)</t>
        </is>
      </c>
      <c r="N2787" s="50" t="inlineStr">
        <is>
          <t>NON</t>
        </is>
      </c>
      <c r="O2787" s="45" t="inlineStr"/>
    </row>
    <row r="2788" customFormat="1" s="4">
      <c r="A2788" s="45" t="n"/>
      <c r="B2788" s="46" t="inlineStr">
        <is>
          <t>32012</t>
        </is>
      </c>
      <c r="C2788" s="46">
        <f>LEFT(Tableau1[[#This Row],[Formacode]],3)</f>
        <v/>
      </c>
      <c r="D2788" s="47" t="n">
        <v>40593</v>
      </c>
      <c r="E2788" s="48">
        <f>"RNCP"&amp;D2788</f>
        <v/>
      </c>
      <c r="F2788" s="48" t="inlineStr">
        <is>
          <t>Product builder no code</t>
        </is>
      </c>
      <c r="G2788" s="49">
        <f>E2788&amp;" - "&amp;F2788</f>
        <v/>
      </c>
      <c r="H2788" s="36" t="inlineStr">
        <is>
          <t>RAS</t>
        </is>
      </c>
      <c r="I2788" s="45" t="inlineStr"/>
      <c r="J2788" s="45" t="inlineStr">
        <is>
          <t>RNCP40593</t>
        </is>
      </c>
      <c r="K2788" s="45" t="inlineStr">
        <is>
          <t>Product builder no code</t>
        </is>
      </c>
      <c r="L2788" s="45" t="inlineStr">
        <is>
          <t>30/04/2028</t>
        </is>
      </c>
      <c r="M2788" s="45" t="inlineStr">
        <is>
          <t>31086 (Développement Low Code - No Code) ; 46334 (Maquettage site web) ; 31094 (Gestion projet informatique) ; 72454 (Application) ; 32012 (Gestion processus)</t>
        </is>
      </c>
      <c r="N2788" s="50" t="inlineStr">
        <is>
          <t>NON</t>
        </is>
      </c>
      <c r="O2788" s="45" t="inlineStr"/>
    </row>
    <row r="2789" customFormat="1" s="4">
      <c r="A2789" s="45" t="n"/>
      <c r="B2789" s="46" t="inlineStr">
        <is>
          <t>32012</t>
        </is>
      </c>
      <c r="C2789" s="46">
        <f>LEFT(Tableau1[[#This Row],[Formacode]],3)</f>
        <v/>
      </c>
      <c r="D2789" s="47" t="n">
        <v>41308</v>
      </c>
      <c r="E2789" s="48">
        <f>"RNCP"&amp;D2789</f>
        <v/>
      </c>
      <c r="F2789" s="48" t="inlineStr">
        <is>
          <t>Office manager</t>
        </is>
      </c>
      <c r="G2789" s="49">
        <f>E2789&amp;" - "&amp;F2789</f>
        <v/>
      </c>
      <c r="H2789" s="36" t="inlineStr">
        <is>
          <t>RAS</t>
        </is>
      </c>
      <c r="I2789" s="45" t="inlineStr"/>
      <c r="J2789" s="45" t="inlineStr">
        <is>
          <t>RNCP41308</t>
        </is>
      </c>
      <c r="K2789" s="45" t="inlineStr">
        <is>
          <t>Office manager</t>
        </is>
      </c>
      <c r="L2789" s="45" t="inlineStr">
        <is>
          <t>24/09/2028</t>
        </is>
      </c>
      <c r="M2789" s="45" t="inlineStr">
        <is>
          <t>35047 (Secrétariat assistanat direction) ; 32054 (Gestion des organisations)</t>
        </is>
      </c>
      <c r="N2789" s="50" t="inlineStr">
        <is>
          <t>NON</t>
        </is>
      </c>
      <c r="O2789" s="45" t="inlineStr"/>
    </row>
    <row r="2790" customFormat="1" s="4">
      <c r="A2790" s="45" t="n"/>
      <c r="B2790" s="46" t="inlineStr">
        <is>
          <t>32012</t>
        </is>
      </c>
      <c r="C2790" s="46">
        <f>LEFT(Tableau1[[#This Row],[Formacode]],3)</f>
        <v/>
      </c>
      <c r="D2790" s="47" t="n">
        <v>41349</v>
      </c>
      <c r="E2790" s="48">
        <f>"RNCP"&amp;D2790</f>
        <v/>
      </c>
      <c r="F2790" s="48" t="inlineStr">
        <is>
          <t>CQP Conducteur de process du secteur alimentaire</t>
        </is>
      </c>
      <c r="G2790" s="49">
        <f>E2790&amp;" - "&amp;F2790</f>
        <v/>
      </c>
      <c r="H2790" s="36" t="inlineStr">
        <is>
          <t>RAS</t>
        </is>
      </c>
      <c r="I2790" s="45" t="inlineStr"/>
      <c r="J2790" s="45" t="inlineStr">
        <is>
          <t>RNCP41349</t>
        </is>
      </c>
      <c r="K2790" s="45" t="inlineStr">
        <is>
          <t>CQP Conducteur de process du secteur alimentaire</t>
        </is>
      </c>
      <c r="L2790" s="45" t="inlineStr">
        <is>
          <t>24/09/2030</t>
        </is>
      </c>
      <c r="M2790" s="45" t="inlineStr">
        <is>
          <t>32012 (Gestion processus) ; 21554 (Agroalimentaire)</t>
        </is>
      </c>
      <c r="N2790" s="50" t="inlineStr">
        <is>
          <t>NON</t>
        </is>
      </c>
      <c r="O2790" s="45" t="inlineStr"/>
    </row>
    <row r="2791" customFormat="1" s="4">
      <c r="A2791" s="45" t="n"/>
      <c r="B2791" s="46" t="inlineStr">
        <is>
          <t>32012</t>
        </is>
      </c>
      <c r="C2791" s="46">
        <f>LEFT(Tableau1[[#This Row],[Formacode]],3)</f>
        <v/>
      </c>
      <c r="D2791" s="47" t="n">
        <v>41478</v>
      </c>
      <c r="E2791" s="48">
        <f>"RNCP"&amp;D2791</f>
        <v/>
      </c>
      <c r="F2791" s="48" t="inlineStr">
        <is>
          <t>Consultant en business analyse</t>
        </is>
      </c>
      <c r="G2791" s="49">
        <f>E2791&amp;" - "&amp;F2791</f>
        <v/>
      </c>
      <c r="H2791" s="36" t="inlineStr">
        <is>
          <t>RAS</t>
        </is>
      </c>
      <c r="I2791" s="45" t="inlineStr"/>
      <c r="J2791" s="45" t="inlineStr">
        <is>
          <t>RNCP41478</t>
        </is>
      </c>
      <c r="K2791" s="45" t="inlineStr">
        <is>
          <t>Consultant en business analyse</t>
        </is>
      </c>
      <c r="L2791" s="45" t="inlineStr">
        <is>
          <t>27/10/2030</t>
        </is>
      </c>
      <c r="M2791" s="45" t="inlineStr">
        <is>
          <t>32012 (Gestion processus) ; 31470 (Analyse valeur) ; 32079 (Gestion performance)</t>
        </is>
      </c>
      <c r="N2791" s="50" t="inlineStr">
        <is>
          <t>NON</t>
        </is>
      </c>
      <c r="O2791" s="45" t="inlineStr"/>
    </row>
    <row r="2792" customFormat="1" s="4">
      <c r="A2792" s="45" t="n"/>
      <c r="B2792" s="46" t="inlineStr">
        <is>
          <t>32014</t>
        </is>
      </c>
      <c r="C2792" s="46">
        <f>LEFT(Tableau1[[#This Row],[Formacode]],3)</f>
        <v/>
      </c>
      <c r="D2792" s="47" t="n">
        <v>36420</v>
      </c>
      <c r="E2792" s="48">
        <f>"RNCP"&amp;D2792</f>
        <v/>
      </c>
      <c r="F2792" s="48" t="inlineStr">
        <is>
          <t>DIPLOVIS - Programme supérieur de gestion et de commerce</t>
        </is>
      </c>
      <c r="G2792" s="49">
        <f>E2792&amp;" - "&amp;F2792</f>
        <v/>
      </c>
      <c r="H2792" s="36" t="inlineStr">
        <is>
          <t>RAS</t>
        </is>
      </c>
      <c r="I2792" s="45" t="inlineStr"/>
      <c r="J2792" s="45" t="inlineStr">
        <is>
          <t>RNCP36420</t>
        </is>
      </c>
      <c r="K2792" s="45" t="inlineStr">
        <is>
          <t>Programme supérieur de gestion et de commerce</t>
        </is>
      </c>
      <c r="L2792" s="45" t="inlineStr">
        <is>
          <t>31/08/2027</t>
        </is>
      </c>
      <c r="M2792" s="45" t="inlineStr">
        <is>
          <t>32110 (Management opérationnel) ; 32135 (Conduite projet) ; 32054 (Gestion des organisations)</t>
        </is>
      </c>
      <c r="N2792" s="50" t="inlineStr">
        <is>
          <t>NON</t>
        </is>
      </c>
      <c r="O2792" s="45" t="inlineStr"/>
    </row>
    <row r="2793" customFormat="1" s="4">
      <c r="A2793" s="45" t="n"/>
      <c r="B2793" s="46" t="inlineStr">
        <is>
          <t>32014</t>
        </is>
      </c>
      <c r="C2793" s="46">
        <f>LEFT(Tableau1[[#This Row],[Formacode]],3)</f>
        <v/>
      </c>
      <c r="D2793" s="47" t="n">
        <v>36461</v>
      </c>
      <c r="E2793" s="48">
        <f>"RNCP"&amp;D2793</f>
        <v/>
      </c>
      <c r="F2793" s="48" t="inlineStr">
        <is>
          <t>Directeur d'unité opérationnelle</t>
        </is>
      </c>
      <c r="G2793" s="49">
        <f>E2793&amp;" - "&amp;F2793</f>
        <v/>
      </c>
      <c r="H2793" s="36" t="inlineStr">
        <is>
          <t>RAS</t>
        </is>
      </c>
      <c r="I2793" s="45" t="inlineStr"/>
      <c r="J2793" s="45" t="inlineStr">
        <is>
          <t>RNCP36461</t>
        </is>
      </c>
      <c r="K2793" s="45" t="inlineStr">
        <is>
          <t>Directeur d'unité opérationnelle</t>
        </is>
      </c>
      <c r="L2793" s="45" t="inlineStr">
        <is>
          <t>02/06/2027</t>
        </is>
      </c>
      <c r="M2793" s="45" t="inlineStr">
        <is>
          <t>32054 (Gestion des organisations) ; 32154 (Encadrement management)</t>
        </is>
      </c>
      <c r="N2793" s="50" t="inlineStr">
        <is>
          <t>NON</t>
        </is>
      </c>
      <c r="O2793" s="45" t="inlineStr"/>
    </row>
    <row r="2794" customFormat="1" s="4">
      <c r="A2794" s="45" t="n"/>
      <c r="B2794" s="46" t="inlineStr">
        <is>
          <t>32014</t>
        </is>
      </c>
      <c r="C2794" s="46">
        <f>LEFT(Tableau1[[#This Row],[Formacode]],3)</f>
        <v/>
      </c>
      <c r="D2794" s="47" t="n">
        <v>36677</v>
      </c>
      <c r="E2794" s="48">
        <f>"RNCP"&amp;D2794</f>
        <v/>
      </c>
      <c r="F2794" s="48" t="inlineStr">
        <is>
          <t>DIPLOVIS - Responsable en marketing, commercialisation et gestion</t>
        </is>
      </c>
      <c r="G2794" s="49">
        <f>E2794&amp;" - "&amp;F2794</f>
        <v/>
      </c>
      <c r="H2794" s="36" t="inlineStr">
        <is>
          <t>RAS</t>
        </is>
      </c>
      <c r="I2794" s="45" t="inlineStr"/>
      <c r="J2794" s="45" t="inlineStr">
        <is>
          <t>RNCP36677</t>
        </is>
      </c>
      <c r="K2794" s="45" t="inlineStr">
        <is>
          <t>Responsable en marketing, commercialisation et gestion</t>
        </is>
      </c>
      <c r="L2794" s="45" t="inlineStr">
        <is>
          <t>31/08/2027</t>
        </is>
      </c>
      <c r="M2794" s="45" t="inlineStr">
        <is>
          <t>34052 (Marketing) ; 34554 (Commerce) ; 32054 (Gestion des organisations)</t>
        </is>
      </c>
      <c r="N2794" s="50" t="inlineStr">
        <is>
          <t>NON</t>
        </is>
      </c>
      <c r="O2794" s="45" t="inlineStr"/>
    </row>
    <row r="2795" customFormat="1" s="4">
      <c r="A2795" s="45" t="n"/>
      <c r="B2795" s="46" t="inlineStr">
        <is>
          <t>32014</t>
        </is>
      </c>
      <c r="C2795" s="46">
        <f>LEFT(Tableau1[[#This Row],[Formacode]],3)</f>
        <v/>
      </c>
      <c r="D2795" s="47" t="n">
        <v>37645</v>
      </c>
      <c r="E2795" s="48">
        <f>"RNCP"&amp;D2795</f>
        <v/>
      </c>
      <c r="F2795" s="48" t="inlineStr">
        <is>
          <t>Cadre dirigeant</t>
        </is>
      </c>
      <c r="G2795" s="49">
        <f>E2795&amp;" - "&amp;F2795</f>
        <v/>
      </c>
      <c r="H2795" s="36" t="inlineStr">
        <is>
          <t>RAS</t>
        </is>
      </c>
      <c r="I2795" s="45" t="inlineStr"/>
      <c r="J2795" s="45" t="inlineStr">
        <is>
          <t>RNCP37645</t>
        </is>
      </c>
      <c r="K2795" s="45" t="inlineStr">
        <is>
          <t>Cadre dirigeant</t>
        </is>
      </c>
      <c r="L2795" s="45" t="inlineStr">
        <is>
          <t>31/05/2028</t>
        </is>
      </c>
      <c r="M2795" s="45" t="inlineStr">
        <is>
          <t>32054 (Gestion des organisations)</t>
        </is>
      </c>
      <c r="N2795" s="50" t="inlineStr">
        <is>
          <t>NON</t>
        </is>
      </c>
      <c r="O2795" s="45" t="inlineStr"/>
    </row>
    <row r="2796" customFormat="1" s="4">
      <c r="A2796" s="51" t="n"/>
      <c r="B2796" s="52" t="inlineStr">
        <is>
          <t>32014</t>
        </is>
      </c>
      <c r="C2796" s="52">
        <f>LEFT(Tableau1[[#This Row],[Formacode]],3)</f>
        <v/>
      </c>
      <c r="D2796" s="53" t="n">
        <v>37719</v>
      </c>
      <c r="E2796" s="54">
        <f>"RNCP"&amp;D2796</f>
        <v/>
      </c>
      <c r="F2796" s="54" t="inlineStr">
        <is>
          <t>DIPLOVIS - Diplôme en management international de l'hôtellerie et de la restauration</t>
        </is>
      </c>
      <c r="G2796" s="55">
        <f>E2796&amp;" - "&amp;F2796</f>
        <v/>
      </c>
      <c r="H2796" s="37" t="inlineStr">
        <is>
          <t>À vérifier</t>
        </is>
      </c>
      <c r="I2796" s="51" t="inlineStr">
        <is>
          <t>Échéance le 31/08/2026 (dans 44 j)</t>
        </is>
      </c>
      <c r="J2796" s="51" t="inlineStr">
        <is>
          <t>RNCP37719</t>
        </is>
      </c>
      <c r="K2796" s="51" t="inlineStr">
        <is>
          <t>Diplôme en management international de l'hôtellerie et de la restauration</t>
        </is>
      </c>
      <c r="L2796" s="51" t="inlineStr">
        <is>
          <t>31/08/2026</t>
        </is>
      </c>
      <c r="M2796" s="51" t="inlineStr">
        <is>
          <t>32054 (Gestion des organisations) ; 42754 (Hôtellerie restauration) ; 42627 (Gestion entreprise touristique)</t>
        </is>
      </c>
      <c r="N2796" s="62" t="inlineStr">
        <is>
          <t>NON</t>
        </is>
      </c>
      <c r="O2796" s="51" t="inlineStr"/>
    </row>
    <row r="2797" customFormat="1" s="4">
      <c r="A2797" s="51" t="n"/>
      <c r="B2797" s="52" t="inlineStr">
        <is>
          <t>32014</t>
        </is>
      </c>
      <c r="C2797" s="52">
        <f>LEFT(Tableau1[[#This Row],[Formacode]],3)</f>
        <v/>
      </c>
      <c r="D2797" s="53" t="n">
        <v>37932</v>
      </c>
      <c r="E2797" s="54">
        <f>"RNCP"&amp;D2797</f>
        <v/>
      </c>
      <c r="F2797" s="54" t="inlineStr">
        <is>
          <t>DIPLOVIS - Diplôme en Management International des Arts Culinaires</t>
        </is>
      </c>
      <c r="G2797" s="55">
        <f>E2797&amp;" - "&amp;F2797</f>
        <v/>
      </c>
      <c r="H2797" s="37" t="inlineStr">
        <is>
          <t>À vérifier</t>
        </is>
      </c>
      <c r="I2797" s="51" t="inlineStr">
        <is>
          <t>Successeur déjà publié : RNCP42267 (DIPLOVIS - Diplôme en management international des arts culinaires) — préparer la bascule de l'offre CPF | Échéance le 31/08/2026 (dans 44 j)</t>
        </is>
      </c>
      <c r="J2797" s="51" t="inlineStr">
        <is>
          <t>RNCP42267</t>
        </is>
      </c>
      <c r="K2797" s="51" t="inlineStr">
        <is>
          <t>DIPLOVIS - Diplôme en management international des arts culinaires</t>
        </is>
      </c>
      <c r="L2797" s="51" t="inlineStr">
        <is>
          <t>31/08/2026</t>
        </is>
      </c>
      <c r="M2797" s="51" t="inlineStr">
        <is>
          <t>42782 (Gestion cuisine) ; 42760 (Gastronomie) ; 42766 (Gestion hôtel restaurant bar) ; 32054 (Gestion des organisations)</t>
        </is>
      </c>
      <c r="N2797" s="62" t="inlineStr">
        <is>
          <t>NON</t>
        </is>
      </c>
      <c r="O2797" s="51" t="inlineStr"/>
    </row>
    <row r="2798" customFormat="1" s="4">
      <c r="A2798" s="45" t="n"/>
      <c r="B2798" s="46" t="inlineStr">
        <is>
          <t>32014</t>
        </is>
      </c>
      <c r="C2798" s="46">
        <f>LEFT(Tableau1[[#This Row],[Formacode]],3)</f>
        <v/>
      </c>
      <c r="D2798" s="47" t="n">
        <v>37949</v>
      </c>
      <c r="E2798" s="48">
        <f>"RNCP"&amp;D2798</f>
        <v/>
      </c>
      <c r="F2798" s="48" t="inlineStr">
        <is>
          <t>TP - Gestionnaire comptable et  fiscal</t>
        </is>
      </c>
      <c r="G2798" s="49">
        <f>E2798&amp;" - "&amp;F2798</f>
        <v/>
      </c>
      <c r="H2798" s="36" t="inlineStr">
        <is>
          <t>RAS</t>
        </is>
      </c>
      <c r="I2798" s="45" t="inlineStr"/>
      <c r="J2798" s="45" t="inlineStr">
        <is>
          <t>RNCP37949</t>
        </is>
      </c>
      <c r="K2798" s="45" t="inlineStr">
        <is>
          <t>Gestionnaire comptable et fiscal</t>
        </is>
      </c>
      <c r="L2798" s="45" t="inlineStr">
        <is>
          <t>01/12/2028</t>
        </is>
      </c>
      <c r="M2798" s="45" t="inlineStr">
        <is>
          <t>32663 (Comptabilité) ; 32054 (Gestion des organisations)</t>
        </is>
      </c>
      <c r="N2798" s="50" t="inlineStr">
        <is>
          <t>NON</t>
        </is>
      </c>
      <c r="O2798" s="45" t="inlineStr"/>
    </row>
    <row r="2799" customFormat="1" s="4">
      <c r="A2799" s="51" t="n"/>
      <c r="B2799" s="52" t="inlineStr">
        <is>
          <t>32014</t>
        </is>
      </c>
      <c r="C2799" s="52">
        <f>LEFT(Tableau1[[#This Row],[Formacode]],3)</f>
        <v/>
      </c>
      <c r="D2799" s="53" t="n">
        <v>37988</v>
      </c>
      <c r="E2799" s="54">
        <f>"RNCP"&amp;D2799</f>
        <v/>
      </c>
      <c r="F2799" s="54" t="inlineStr">
        <is>
          <t>Diplôme visé - Diplôme supérieur en marketing, vente et gestion</t>
        </is>
      </c>
      <c r="G2799" s="55">
        <f>E2799&amp;" - "&amp;F2799</f>
        <v/>
      </c>
      <c r="H2799" s="37" t="inlineStr">
        <is>
          <t>À vérifier</t>
        </is>
      </c>
      <c r="I2799" s="51" t="inlineStr">
        <is>
          <t>Successeur déjà publié : RNCP42254 (Diplôme supérieur en marketing, vente et gestion) — préparer la bascule de l'offre CPF | Échéance le 31/08/2026 (dans 44 j)</t>
        </is>
      </c>
      <c r="J2799" s="51" t="inlineStr">
        <is>
          <t>RNCP42254</t>
        </is>
      </c>
      <c r="K2799" s="51" t="inlineStr">
        <is>
          <t>Diplôme supérieur en marketing, vente et gestion</t>
        </is>
      </c>
      <c r="L2799" s="51" t="inlineStr">
        <is>
          <t>31/08/2026</t>
        </is>
      </c>
      <c r="M2799" s="51" t="inlineStr">
        <is>
          <t>34085 (Stratégie commerciale) ; 34052 (Marketing) ; 32154 (Encadrement management) ; 32054 (Gestion des organisations)</t>
        </is>
      </c>
      <c r="N2799" s="62" t="inlineStr">
        <is>
          <t>NON</t>
        </is>
      </c>
      <c r="O2799" s="51" t="inlineStr"/>
    </row>
    <row r="2800" customFormat="1" s="4">
      <c r="A2800" s="45" t="n"/>
      <c r="B2800" s="46" t="inlineStr">
        <is>
          <t>32014</t>
        </is>
      </c>
      <c r="C2800" s="46">
        <f>LEFT(Tableau1[[#This Row],[Formacode]],3)</f>
        <v/>
      </c>
      <c r="D2800" s="47" t="n">
        <v>38825</v>
      </c>
      <c r="E2800" s="48">
        <f>"RNCP"&amp;D2800</f>
        <v/>
      </c>
      <c r="F2800" s="48" t="inlineStr">
        <is>
          <t>Manager des organisations</t>
        </is>
      </c>
      <c r="G2800" s="49">
        <f>E2800&amp;" - "&amp;F2800</f>
        <v/>
      </c>
      <c r="H2800" s="36" t="inlineStr">
        <is>
          <t>RAS</t>
        </is>
      </c>
      <c r="I2800" s="45" t="inlineStr"/>
      <c r="J2800" s="45" t="inlineStr">
        <is>
          <t>RNCP38825</t>
        </is>
      </c>
      <c r="K2800" s="45" t="inlineStr">
        <is>
          <t>Manager des organisations</t>
        </is>
      </c>
      <c r="L2800" s="45" t="inlineStr">
        <is>
          <t>27/03/2029</t>
        </is>
      </c>
      <c r="M2800" s="45" t="inlineStr">
        <is>
          <t>32047 (Création entreprise) ; 32024 (Gestion centre profit) ; 32014 (Conseil administration) ; 13263 (Responsabilité dirigeant)</t>
        </is>
      </c>
      <c r="N2800" s="50" t="inlineStr">
        <is>
          <t>NON</t>
        </is>
      </c>
      <c r="O2800" s="45" t="inlineStr"/>
    </row>
    <row r="2801" customFormat="1" s="4">
      <c r="A2801" s="45" t="n"/>
      <c r="B2801" s="46" t="inlineStr">
        <is>
          <t>32014</t>
        </is>
      </c>
      <c r="C2801" s="46">
        <f>LEFT(Tableau1[[#This Row],[Formacode]],3)</f>
        <v/>
      </c>
      <c r="D2801" s="47" t="n">
        <v>39626</v>
      </c>
      <c r="E2801" s="48">
        <f>"RNCP"&amp;D2801</f>
        <v/>
      </c>
      <c r="F2801" s="48" t="inlineStr">
        <is>
          <t>Assistant de gestion des petites entreprises</t>
        </is>
      </c>
      <c r="G2801" s="49">
        <f>E2801&amp;" - "&amp;F2801</f>
        <v/>
      </c>
      <c r="H2801" s="36" t="inlineStr">
        <is>
          <t>RAS</t>
        </is>
      </c>
      <c r="I2801" s="45" t="inlineStr"/>
      <c r="J2801" s="45" t="inlineStr">
        <is>
          <t>RNCP39626</t>
        </is>
      </c>
      <c r="K2801" s="45" t="inlineStr">
        <is>
          <t>Assistant de gestion des petites entreprises</t>
        </is>
      </c>
      <c r="L2801" s="45" t="inlineStr">
        <is>
          <t>01/10/2029</t>
        </is>
      </c>
      <c r="M2801" s="45" t="inlineStr">
        <is>
          <t>35049 (Secrétariat assistanat comptabilité) ; 32054 (Gestion des organisations) ; 35007 (Secrétariat assistanat gestion PME PMI)</t>
        </is>
      </c>
      <c r="N2801" s="50" t="inlineStr">
        <is>
          <t>NON</t>
        </is>
      </c>
      <c r="O2801" s="45" t="inlineStr"/>
    </row>
    <row r="2802" customFormat="1" s="4">
      <c r="A2802" s="45" t="n"/>
      <c r="B2802" s="46" t="inlineStr">
        <is>
          <t>32014</t>
        </is>
      </c>
      <c r="C2802" s="46">
        <f>LEFT(Tableau1[[#This Row],[Formacode]],3)</f>
        <v/>
      </c>
      <c r="D2802" s="47" t="n">
        <v>41308</v>
      </c>
      <c r="E2802" s="48">
        <f>"RNCP"&amp;D2802</f>
        <v/>
      </c>
      <c r="F2802" s="48" t="inlineStr">
        <is>
          <t>Office manager</t>
        </is>
      </c>
      <c r="G2802" s="49">
        <f>E2802&amp;" - "&amp;F2802</f>
        <v/>
      </c>
      <c r="H2802" s="36" t="inlineStr">
        <is>
          <t>RAS</t>
        </is>
      </c>
      <c r="I2802" s="45" t="inlineStr"/>
      <c r="J2802" s="45" t="inlineStr">
        <is>
          <t>RNCP41308</t>
        </is>
      </c>
      <c r="K2802" s="45" t="inlineStr">
        <is>
          <t>Office manager</t>
        </is>
      </c>
      <c r="L2802" s="45" t="inlineStr">
        <is>
          <t>24/09/2028</t>
        </is>
      </c>
      <c r="M2802" s="45" t="inlineStr">
        <is>
          <t>35047 (Secrétariat assistanat direction) ; 32054 (Gestion des organisations)</t>
        </is>
      </c>
      <c r="N2802" s="50" t="inlineStr">
        <is>
          <t>NON</t>
        </is>
      </c>
      <c r="O2802" s="45" t="inlineStr"/>
    </row>
    <row r="2803" customFormat="1" s="4">
      <c r="A2803" s="45" t="n"/>
      <c r="B2803" s="46" t="inlineStr">
        <is>
          <t>32024</t>
        </is>
      </c>
      <c r="C2803" s="46">
        <f>LEFT(Tableau1[[#This Row],[Formacode]],3)</f>
        <v/>
      </c>
      <c r="D2803" s="47" t="n">
        <v>36419</v>
      </c>
      <c r="E2803" s="48">
        <f>"RNCP"&amp;D2803</f>
        <v/>
      </c>
      <c r="F2803" s="48" t="inlineStr">
        <is>
          <t>DipViGrM - Programme Grande Ecole</t>
        </is>
      </c>
      <c r="G2803" s="49">
        <f>E2803&amp;" - "&amp;F2803</f>
        <v/>
      </c>
      <c r="H2803" s="36" t="inlineStr">
        <is>
          <t>RAS</t>
        </is>
      </c>
      <c r="I2803" s="45" t="inlineStr"/>
      <c r="J2803" s="45" t="inlineStr">
        <is>
          <t>RNCP36419</t>
        </is>
      </c>
      <c r="K2803" s="45" t="inlineStr">
        <is>
          <t>Programme Grande Ecole</t>
        </is>
      </c>
      <c r="L2803" s="45" t="inlineStr">
        <is>
          <t>31/08/2027</t>
        </is>
      </c>
      <c r="M2803" s="45" t="inlineStr">
        <is>
          <t>32094 (Gestion PME PMI) ; 32145 (Management transversal) ; 32025 (Stratégie entreprise) ; 32024 (Gestion centre profit)</t>
        </is>
      </c>
      <c r="N2803" s="50" t="inlineStr">
        <is>
          <t>NON</t>
        </is>
      </c>
      <c r="O2803" s="45" t="inlineStr"/>
    </row>
    <row r="2804" customFormat="1" s="4">
      <c r="A2804" s="45" t="n"/>
      <c r="B2804" s="46" t="inlineStr">
        <is>
          <t>32024</t>
        </is>
      </c>
      <c r="C2804" s="46">
        <f>LEFT(Tableau1[[#This Row],[Formacode]],3)</f>
        <v/>
      </c>
      <c r="D2804" s="47" t="n">
        <v>36420</v>
      </c>
      <c r="E2804" s="48">
        <f>"RNCP"&amp;D2804</f>
        <v/>
      </c>
      <c r="F2804" s="48" t="inlineStr">
        <is>
          <t>DIPLOVIS - Programme supérieur de gestion et de commerce</t>
        </is>
      </c>
      <c r="G2804" s="49">
        <f>E2804&amp;" - "&amp;F2804</f>
        <v/>
      </c>
      <c r="H2804" s="36" t="inlineStr">
        <is>
          <t>RAS</t>
        </is>
      </c>
      <c r="I2804" s="45" t="inlineStr"/>
      <c r="J2804" s="45" t="inlineStr">
        <is>
          <t>RNCP36420</t>
        </is>
      </c>
      <c r="K2804" s="45" t="inlineStr">
        <is>
          <t>Programme supérieur de gestion et de commerce</t>
        </is>
      </c>
      <c r="L2804" s="45" t="inlineStr">
        <is>
          <t>31/08/2027</t>
        </is>
      </c>
      <c r="M2804" s="45" t="inlineStr">
        <is>
          <t>32110 (Management opérationnel) ; 32135 (Conduite projet) ; 32054 (Gestion des organisations)</t>
        </is>
      </c>
      <c r="N2804" s="50" t="inlineStr">
        <is>
          <t>NON</t>
        </is>
      </c>
      <c r="O2804" s="45" t="inlineStr"/>
    </row>
    <row r="2805" customFormat="1" s="4">
      <c r="A2805" s="45" t="n"/>
      <c r="B2805" s="46" t="inlineStr">
        <is>
          <t>32024</t>
        </is>
      </c>
      <c r="C2805" s="46">
        <f>LEFT(Tableau1[[#This Row],[Formacode]],3)</f>
        <v/>
      </c>
      <c r="D2805" s="47" t="n">
        <v>36461</v>
      </c>
      <c r="E2805" s="48">
        <f>"RNCP"&amp;D2805</f>
        <v/>
      </c>
      <c r="F2805" s="48" t="inlineStr">
        <is>
          <t>Directeur d'unité opérationnelle</t>
        </is>
      </c>
      <c r="G2805" s="49">
        <f>E2805&amp;" - "&amp;F2805</f>
        <v/>
      </c>
      <c r="H2805" s="36" t="inlineStr">
        <is>
          <t>RAS</t>
        </is>
      </c>
      <c r="I2805" s="45" t="inlineStr"/>
      <c r="J2805" s="45" t="inlineStr">
        <is>
          <t>RNCP36461</t>
        </is>
      </c>
      <c r="K2805" s="45" t="inlineStr">
        <is>
          <t>Directeur d'unité opérationnelle</t>
        </is>
      </c>
      <c r="L2805" s="45" t="inlineStr">
        <is>
          <t>02/06/2027</t>
        </is>
      </c>
      <c r="M2805" s="45" t="inlineStr">
        <is>
          <t>32054 (Gestion des organisations) ; 32154 (Encadrement management)</t>
        </is>
      </c>
      <c r="N2805" s="50" t="inlineStr">
        <is>
          <t>NON</t>
        </is>
      </c>
      <c r="O2805" s="45" t="inlineStr"/>
    </row>
    <row r="2806" customFormat="1" s="4">
      <c r="A2806" s="45" t="n"/>
      <c r="B2806" s="46" t="inlineStr">
        <is>
          <t>32024</t>
        </is>
      </c>
      <c r="C2806" s="46">
        <f>LEFT(Tableau1[[#This Row],[Formacode]],3)</f>
        <v/>
      </c>
      <c r="D2806" s="47" t="n">
        <v>36677</v>
      </c>
      <c r="E2806" s="48">
        <f>"RNCP"&amp;D2806</f>
        <v/>
      </c>
      <c r="F2806" s="48" t="inlineStr">
        <is>
          <t>DIPLOVIS - Responsable en marketing, commercialisation et gestion</t>
        </is>
      </c>
      <c r="G2806" s="49">
        <f>E2806&amp;" - "&amp;F2806</f>
        <v/>
      </c>
      <c r="H2806" s="36" t="inlineStr">
        <is>
          <t>RAS</t>
        </is>
      </c>
      <c r="I2806" s="45" t="inlineStr"/>
      <c r="J2806" s="45" t="inlineStr">
        <is>
          <t>RNCP36677</t>
        </is>
      </c>
      <c r="K2806" s="45" t="inlineStr">
        <is>
          <t>Responsable en marketing, commercialisation et gestion</t>
        </is>
      </c>
      <c r="L2806" s="45" t="inlineStr">
        <is>
          <t>31/08/2027</t>
        </is>
      </c>
      <c r="M2806" s="45" t="inlineStr">
        <is>
          <t>34052 (Marketing) ; 34554 (Commerce) ; 32054 (Gestion des organisations)</t>
        </is>
      </c>
      <c r="N2806" s="50" t="inlineStr">
        <is>
          <t>NON</t>
        </is>
      </c>
      <c r="O2806" s="45" t="inlineStr"/>
    </row>
    <row r="2807" customFormat="1" s="4">
      <c r="A2807" s="63" t="n"/>
      <c r="B2807" s="64" t="inlineStr">
        <is>
          <t>32024</t>
        </is>
      </c>
      <c r="C2807" s="64">
        <f>LEFT(Tableau1[[#This Row],[Formacode]],3)</f>
        <v/>
      </c>
      <c r="D2807" s="65" t="n">
        <v>37635</v>
      </c>
      <c r="E2807" s="66">
        <f>"RNCP"&amp;D2807</f>
        <v/>
      </c>
      <c r="F2807" s="66" t="inlineStr">
        <is>
          <t>Manager de commerce et de centre de profit</t>
        </is>
      </c>
      <c r="G2807" s="67">
        <f>E2807&amp;" - "&amp;F2807</f>
        <v/>
      </c>
      <c r="H2807" s="38" t="inlineStr">
        <is>
          <t>Expiré / remplacé</t>
        </is>
      </c>
      <c r="I2807" s="63" t="inlineStr">
        <is>
          <t>Fiche inactive — remplacée par RNCP42321 (Manager de commerce et de centre de profit)</t>
        </is>
      </c>
      <c r="J2807" s="63" t="inlineStr">
        <is>
          <t>RNCP42321</t>
        </is>
      </c>
      <c r="K2807" s="63" t="inlineStr">
        <is>
          <t>Manager de commerce et de centre de profit</t>
        </is>
      </c>
      <c r="L2807" s="63" t="inlineStr">
        <is>
          <t>31/05/2026</t>
        </is>
      </c>
      <c r="M2807" s="63" t="inlineStr">
        <is>
          <t>32024 (Gestion centre profit) ; 32145 (Management transversal) ; 32079 (Gestion performance) ; 32025 (Stratégie entreprise) ; 34554 (Commerce)</t>
        </is>
      </c>
      <c r="N2807" s="68" t="inlineStr">
        <is>
          <t>NON</t>
        </is>
      </c>
      <c r="O2807" s="63" t="inlineStr"/>
    </row>
    <row r="2808" customFormat="1" s="4">
      <c r="A2808" s="45" t="n"/>
      <c r="B2808" s="46" t="inlineStr">
        <is>
          <t>32024</t>
        </is>
      </c>
      <c r="C2808" s="46">
        <f>LEFT(Tableau1[[#This Row],[Formacode]],3)</f>
        <v/>
      </c>
      <c r="D2808" s="47" t="n">
        <v>37645</v>
      </c>
      <c r="E2808" s="48">
        <f>"RNCP"&amp;D2808</f>
        <v/>
      </c>
      <c r="F2808" s="48" t="inlineStr">
        <is>
          <t>Cadre dirigeant</t>
        </is>
      </c>
      <c r="G2808" s="49">
        <f>E2808&amp;" - "&amp;F2808</f>
        <v/>
      </c>
      <c r="H2808" s="36" t="inlineStr">
        <is>
          <t>RAS</t>
        </is>
      </c>
      <c r="I2808" s="45" t="inlineStr"/>
      <c r="J2808" s="45" t="inlineStr">
        <is>
          <t>RNCP37645</t>
        </is>
      </c>
      <c r="K2808" s="45" t="inlineStr">
        <is>
          <t>Cadre dirigeant</t>
        </is>
      </c>
      <c r="L2808" s="45" t="inlineStr">
        <is>
          <t>31/05/2028</t>
        </is>
      </c>
      <c r="M2808" s="45" t="inlineStr">
        <is>
          <t>32054 (Gestion des organisations)</t>
        </is>
      </c>
      <c r="N2808" s="50" t="inlineStr">
        <is>
          <t>NON</t>
        </is>
      </c>
      <c r="O2808" s="45" t="inlineStr"/>
    </row>
    <row r="2809" customFormat="1" s="4">
      <c r="A2809" s="51" t="n"/>
      <c r="B2809" s="52" t="inlineStr">
        <is>
          <t>32024</t>
        </is>
      </c>
      <c r="C2809" s="52">
        <f>LEFT(Tableau1[[#This Row],[Formacode]],3)</f>
        <v/>
      </c>
      <c r="D2809" s="53" t="n">
        <v>37719</v>
      </c>
      <c r="E2809" s="54">
        <f>"RNCP"&amp;D2809</f>
        <v/>
      </c>
      <c r="F2809" s="54" t="inlineStr">
        <is>
          <t>DIPLOVIS - Diplôme en management international de l'hôtellerie et de la restauration</t>
        </is>
      </c>
      <c r="G2809" s="55">
        <f>E2809&amp;" - "&amp;F2809</f>
        <v/>
      </c>
      <c r="H2809" s="37" t="inlineStr">
        <is>
          <t>À vérifier</t>
        </is>
      </c>
      <c r="I2809" s="51" t="inlineStr">
        <is>
          <t>Échéance le 31/08/2026 (dans 44 j)</t>
        </is>
      </c>
      <c r="J2809" s="51" t="inlineStr">
        <is>
          <t>RNCP37719</t>
        </is>
      </c>
      <c r="K2809" s="51" t="inlineStr">
        <is>
          <t>Diplôme en management international de l'hôtellerie et de la restauration</t>
        </is>
      </c>
      <c r="L2809" s="51" t="inlineStr">
        <is>
          <t>31/08/2026</t>
        </is>
      </c>
      <c r="M2809" s="51" t="inlineStr">
        <is>
          <t>32054 (Gestion des organisations) ; 42754 (Hôtellerie restauration) ; 42627 (Gestion entreprise touristique)</t>
        </is>
      </c>
      <c r="N2809" s="62" t="inlineStr">
        <is>
          <t>NON</t>
        </is>
      </c>
      <c r="O2809" s="51" t="inlineStr"/>
    </row>
    <row r="2810" customFormat="1" s="4">
      <c r="A2810" s="51" t="n"/>
      <c r="B2810" s="52" t="inlineStr">
        <is>
          <t>32024</t>
        </is>
      </c>
      <c r="C2810" s="52">
        <f>LEFT(Tableau1[[#This Row],[Formacode]],3)</f>
        <v/>
      </c>
      <c r="D2810" s="53" t="n">
        <v>37865</v>
      </c>
      <c r="E2810" s="54">
        <f>"RNCP"&amp;D2810</f>
        <v/>
      </c>
      <c r="F2810" s="54" t="inlineStr">
        <is>
          <t>Responsable en gestion d'activité opérationnelle</t>
        </is>
      </c>
      <c r="G2810" s="55">
        <f>E2810&amp;" - "&amp;F2810</f>
        <v/>
      </c>
      <c r="H2810" s="37" t="inlineStr">
        <is>
          <t>À vérifier</t>
        </is>
      </c>
      <c r="I2810" s="51" t="inlineStr">
        <is>
          <t>Successeur déjà publié : RNCP42510 (Responsable en gestion d'activité) — préparer la bascule de l'offre CPF | Échéance le 19/07/2026 (dans 1 j)</t>
        </is>
      </c>
      <c r="J2810" s="51" t="inlineStr">
        <is>
          <t>RNCP42510</t>
        </is>
      </c>
      <c r="K2810" s="51" t="inlineStr">
        <is>
          <t>Responsable en gestion d'activité</t>
        </is>
      </c>
      <c r="L2810" s="51" t="inlineStr">
        <is>
          <t>19/07/2026</t>
        </is>
      </c>
      <c r="M2810" s="51" t="inlineStr">
        <is>
          <t>32054 (Gestion des organisations) ; 32654 (Gestion financière comptabilité)</t>
        </is>
      </c>
      <c r="N2810" s="62" t="inlineStr">
        <is>
          <t>NON</t>
        </is>
      </c>
      <c r="O2810" s="51" t="inlineStr"/>
    </row>
    <row r="2811" customFormat="1" s="4">
      <c r="A2811" s="51" t="n"/>
      <c r="B2811" s="52" t="inlineStr">
        <is>
          <t>32024</t>
        </is>
      </c>
      <c r="C2811" s="52">
        <f>LEFT(Tableau1[[#This Row],[Formacode]],3)</f>
        <v/>
      </c>
      <c r="D2811" s="53" t="n">
        <v>37932</v>
      </c>
      <c r="E2811" s="54">
        <f>"RNCP"&amp;D2811</f>
        <v/>
      </c>
      <c r="F2811" s="54" t="inlineStr">
        <is>
          <t>DIPLOVIS - Diplôme en Management International des Arts Culinaires</t>
        </is>
      </c>
      <c r="G2811" s="55">
        <f>E2811&amp;" - "&amp;F2811</f>
        <v/>
      </c>
      <c r="H2811" s="37" t="inlineStr">
        <is>
          <t>À vérifier</t>
        </is>
      </c>
      <c r="I2811" s="51" t="inlineStr">
        <is>
          <t>Successeur déjà publié : RNCP42267 (DIPLOVIS - Diplôme en management international des arts culinaires) — préparer la bascule de l'offre CPF | Échéance le 31/08/2026 (dans 44 j)</t>
        </is>
      </c>
      <c r="J2811" s="51" t="inlineStr">
        <is>
          <t>RNCP42267</t>
        </is>
      </c>
      <c r="K2811" s="51" t="inlineStr">
        <is>
          <t>DIPLOVIS - Diplôme en management international des arts culinaires</t>
        </is>
      </c>
      <c r="L2811" s="51" t="inlineStr">
        <is>
          <t>31/08/2026</t>
        </is>
      </c>
      <c r="M2811" s="51" t="inlineStr">
        <is>
          <t>42782 (Gestion cuisine) ; 42760 (Gastronomie) ; 42766 (Gestion hôtel restaurant bar) ; 32054 (Gestion des organisations)</t>
        </is>
      </c>
      <c r="N2811" s="62" t="inlineStr">
        <is>
          <t>NON</t>
        </is>
      </c>
      <c r="O2811" s="51" t="inlineStr"/>
    </row>
    <row r="2812" customFormat="1" s="4">
      <c r="A2812" s="45" t="n"/>
      <c r="B2812" s="46" t="inlineStr">
        <is>
          <t>32024</t>
        </is>
      </c>
      <c r="C2812" s="46">
        <f>LEFT(Tableau1[[#This Row],[Formacode]],3)</f>
        <v/>
      </c>
      <c r="D2812" s="47" t="n">
        <v>37949</v>
      </c>
      <c r="E2812" s="48">
        <f>"RNCP"&amp;D2812</f>
        <v/>
      </c>
      <c r="F2812" s="48" t="inlineStr">
        <is>
          <t>TP - Gestionnaire comptable et  fiscal</t>
        </is>
      </c>
      <c r="G2812" s="49">
        <f>E2812&amp;" - "&amp;F2812</f>
        <v/>
      </c>
      <c r="H2812" s="36" t="inlineStr">
        <is>
          <t>RAS</t>
        </is>
      </c>
      <c r="I2812" s="45" t="inlineStr"/>
      <c r="J2812" s="45" t="inlineStr">
        <is>
          <t>RNCP37949</t>
        </is>
      </c>
      <c r="K2812" s="45" t="inlineStr">
        <is>
          <t>Gestionnaire comptable et fiscal</t>
        </is>
      </c>
      <c r="L2812" s="45" t="inlineStr">
        <is>
          <t>01/12/2028</t>
        </is>
      </c>
      <c r="M2812" s="45" t="inlineStr">
        <is>
          <t>32663 (Comptabilité) ; 32054 (Gestion des organisations)</t>
        </is>
      </c>
      <c r="N2812" s="50" t="inlineStr">
        <is>
          <t>NON</t>
        </is>
      </c>
      <c r="O2812" s="45" t="inlineStr"/>
    </row>
    <row r="2813" customFormat="1" s="4">
      <c r="A2813" s="51" t="n"/>
      <c r="B2813" s="52" t="inlineStr">
        <is>
          <t>32024</t>
        </is>
      </c>
      <c r="C2813" s="52">
        <f>LEFT(Tableau1[[#This Row],[Formacode]],3)</f>
        <v/>
      </c>
      <c r="D2813" s="53" t="n">
        <v>37988</v>
      </c>
      <c r="E2813" s="54">
        <f>"RNCP"&amp;D2813</f>
        <v/>
      </c>
      <c r="F2813" s="54" t="inlineStr">
        <is>
          <t>Diplôme visé - Diplôme supérieur en marketing, vente et gestion</t>
        </is>
      </c>
      <c r="G2813" s="55">
        <f>E2813&amp;" - "&amp;F2813</f>
        <v/>
      </c>
      <c r="H2813" s="37" t="inlineStr">
        <is>
          <t>À vérifier</t>
        </is>
      </c>
      <c r="I2813" s="51" t="inlineStr">
        <is>
          <t>Successeur déjà publié : RNCP42254 (Diplôme supérieur en marketing, vente et gestion) — préparer la bascule de l'offre CPF | Échéance le 31/08/2026 (dans 44 j)</t>
        </is>
      </c>
      <c r="J2813" s="51" t="inlineStr">
        <is>
          <t>RNCP42254</t>
        </is>
      </c>
      <c r="K2813" s="51" t="inlineStr">
        <is>
          <t>Diplôme supérieur en marketing, vente et gestion</t>
        </is>
      </c>
      <c r="L2813" s="51" t="inlineStr">
        <is>
          <t>31/08/2026</t>
        </is>
      </c>
      <c r="M2813" s="51" t="inlineStr">
        <is>
          <t>34085 (Stratégie commerciale) ; 34052 (Marketing) ; 32154 (Encadrement management) ; 32054 (Gestion des organisations)</t>
        </is>
      </c>
      <c r="N2813" s="62" t="inlineStr">
        <is>
          <t>NON</t>
        </is>
      </c>
      <c r="O2813" s="51" t="inlineStr"/>
    </row>
    <row r="2814" customFormat="1" s="4">
      <c r="A2814" s="45" t="n"/>
      <c r="B2814" s="46" t="inlineStr">
        <is>
          <t>32024</t>
        </is>
      </c>
      <c r="C2814" s="46">
        <f>LEFT(Tableau1[[#This Row],[Formacode]],3)</f>
        <v/>
      </c>
      <c r="D2814" s="47" t="n">
        <v>38435</v>
      </c>
      <c r="E2814" s="48">
        <f>"RNCP"&amp;D2814</f>
        <v/>
      </c>
      <c r="F2814" s="48" t="inlineStr">
        <is>
          <t>Directeur d'unité stratégique</t>
        </is>
      </c>
      <c r="G2814" s="49">
        <f>E2814&amp;" - "&amp;F2814</f>
        <v/>
      </c>
      <c r="H2814" s="36" t="inlineStr">
        <is>
          <t>RAS</t>
        </is>
      </c>
      <c r="I2814" s="45" t="inlineStr"/>
      <c r="J2814" s="45" t="inlineStr">
        <is>
          <t>RNCP38435</t>
        </is>
      </c>
      <c r="K2814" s="45" t="inlineStr">
        <is>
          <t>Directeur d'unité stratégique</t>
        </is>
      </c>
      <c r="L2814" s="45" t="inlineStr">
        <is>
          <t>21/12/2028</t>
        </is>
      </c>
      <c r="M2814" s="45" t="inlineStr">
        <is>
          <t>32015 (Conduite changement) ; 32024 (Gestion centre profit) ; 32079 (Gestion performance)</t>
        </is>
      </c>
      <c r="N2814" s="50" t="inlineStr">
        <is>
          <t>NON</t>
        </is>
      </c>
      <c r="O2814" s="45" t="inlineStr"/>
    </row>
    <row r="2815" customFormat="1" s="4">
      <c r="A2815" s="45" t="n"/>
      <c r="B2815" s="46" t="inlineStr">
        <is>
          <t>32024</t>
        </is>
      </c>
      <c r="C2815" s="46">
        <f>LEFT(Tableau1[[#This Row],[Formacode]],3)</f>
        <v/>
      </c>
      <c r="D2815" s="47" t="n">
        <v>38439</v>
      </c>
      <c r="E2815" s="48">
        <f>"RNCP"&amp;D2815</f>
        <v/>
      </c>
      <c r="F2815" s="48" t="inlineStr">
        <is>
          <t>Responsable d'un centre de profit</t>
        </is>
      </c>
      <c r="G2815" s="49">
        <f>E2815&amp;" - "&amp;F2815</f>
        <v/>
      </c>
      <c r="H2815" s="36" t="inlineStr">
        <is>
          <t>RAS</t>
        </is>
      </c>
      <c r="I2815" s="45" t="inlineStr"/>
      <c r="J2815" s="45" t="inlineStr">
        <is>
          <t>RNCP38439</t>
        </is>
      </c>
      <c r="K2815" s="45" t="inlineStr">
        <is>
          <t>Responsable d'un centre de profit</t>
        </is>
      </c>
      <c r="L2815" s="45" t="inlineStr">
        <is>
          <t>21/12/2028</t>
        </is>
      </c>
      <c r="M2815" s="45" t="inlineStr">
        <is>
          <t>32024 (Gestion centre profit) ; 32154 (Encadrement management)</t>
        </is>
      </c>
      <c r="N2815" s="50" t="inlineStr">
        <is>
          <t>NON</t>
        </is>
      </c>
      <c r="O2815" s="45" t="inlineStr"/>
    </row>
    <row r="2816" customFormat="1" s="4">
      <c r="A2816" s="45" t="n"/>
      <c r="B2816" s="46" t="inlineStr">
        <is>
          <t>32024</t>
        </is>
      </c>
      <c r="C2816" s="46">
        <f>LEFT(Tableau1[[#This Row],[Formacode]],3)</f>
        <v/>
      </c>
      <c r="D2816" s="47" t="n">
        <v>38825</v>
      </c>
      <c r="E2816" s="48">
        <f>"RNCP"&amp;D2816</f>
        <v/>
      </c>
      <c r="F2816" s="48" t="inlineStr">
        <is>
          <t>Manager des organisations</t>
        </is>
      </c>
      <c r="G2816" s="49">
        <f>E2816&amp;" - "&amp;F2816</f>
        <v/>
      </c>
      <c r="H2816" s="36" t="inlineStr">
        <is>
          <t>RAS</t>
        </is>
      </c>
      <c r="I2816" s="45" t="inlineStr"/>
      <c r="J2816" s="45" t="inlineStr">
        <is>
          <t>RNCP38825</t>
        </is>
      </c>
      <c r="K2816" s="45" t="inlineStr">
        <is>
          <t>Manager des organisations</t>
        </is>
      </c>
      <c r="L2816" s="45" t="inlineStr">
        <is>
          <t>27/03/2029</t>
        </is>
      </c>
      <c r="M2816" s="45" t="inlineStr">
        <is>
          <t>32047 (Création entreprise) ; 32024 (Gestion centre profit) ; 32014 (Conseil administration) ; 13263 (Responsabilité dirigeant)</t>
        </is>
      </c>
      <c r="N2816" s="50" t="inlineStr">
        <is>
          <t>NON</t>
        </is>
      </c>
      <c r="O2816" s="45" t="inlineStr"/>
    </row>
    <row r="2817" customFormat="1" s="4">
      <c r="A2817" s="45" t="n"/>
      <c r="B2817" s="46" t="inlineStr">
        <is>
          <t>32024</t>
        </is>
      </c>
      <c r="C2817" s="46">
        <f>LEFT(Tableau1[[#This Row],[Formacode]],3)</f>
        <v/>
      </c>
      <c r="D2817" s="47" t="n">
        <v>39354</v>
      </c>
      <c r="E2817" s="48">
        <f>"RNCP"&amp;D2817</f>
        <v/>
      </c>
      <c r="F2817" s="48" t="inlineStr">
        <is>
          <t>Manager du développement d'entreprise et commercial</t>
        </is>
      </c>
      <c r="G2817" s="49">
        <f>E2817&amp;" - "&amp;F2817</f>
        <v/>
      </c>
      <c r="H2817" s="36" t="inlineStr">
        <is>
          <t>RAS</t>
        </is>
      </c>
      <c r="I2817" s="45" t="inlineStr"/>
      <c r="J2817" s="45" t="inlineStr">
        <is>
          <t>RNCP39354</t>
        </is>
      </c>
      <c r="K2817" s="45" t="inlineStr">
        <is>
          <t>Manager du développement d'entreprise et commercial</t>
        </is>
      </c>
      <c r="L2817" s="45" t="inlineStr">
        <is>
          <t>19/07/2027</t>
        </is>
      </c>
      <c r="M2817" s="45" t="inlineStr">
        <is>
          <t>34085 (Stratégie commerciale) ; 32025 (Stratégie entreprise) ; 32024 (Gestion centre profit) ; 32154 (Encadrement management)</t>
        </is>
      </c>
      <c r="N2817" s="50" t="inlineStr">
        <is>
          <t>NON</t>
        </is>
      </c>
      <c r="O2817" s="45" t="inlineStr"/>
    </row>
    <row r="2818" customFormat="1" s="4">
      <c r="A2818" s="45" t="n"/>
      <c r="B2818" s="46" t="inlineStr">
        <is>
          <t>32024</t>
        </is>
      </c>
      <c r="C2818" s="46">
        <f>LEFT(Tableau1[[#This Row],[Formacode]],3)</f>
        <v/>
      </c>
      <c r="D2818" s="47" t="n">
        <v>39626</v>
      </c>
      <c r="E2818" s="48">
        <f>"RNCP"&amp;D2818</f>
        <v/>
      </c>
      <c r="F2818" s="48" t="inlineStr">
        <is>
          <t>Assistant de gestion des petites entreprises</t>
        </is>
      </c>
      <c r="G2818" s="49">
        <f>E2818&amp;" - "&amp;F2818</f>
        <v/>
      </c>
      <c r="H2818" s="36" t="inlineStr">
        <is>
          <t>RAS</t>
        </is>
      </c>
      <c r="I2818" s="45" t="inlineStr"/>
      <c r="J2818" s="45" t="inlineStr">
        <is>
          <t>RNCP39626</t>
        </is>
      </c>
      <c r="K2818" s="45" t="inlineStr">
        <is>
          <t>Assistant de gestion des petites entreprises</t>
        </is>
      </c>
      <c r="L2818" s="45" t="inlineStr">
        <is>
          <t>01/10/2029</t>
        </is>
      </c>
      <c r="M2818" s="45" t="inlineStr">
        <is>
          <t>35049 (Secrétariat assistanat comptabilité) ; 32054 (Gestion des organisations) ; 35007 (Secrétariat assistanat gestion PME PMI)</t>
        </is>
      </c>
      <c r="N2818" s="50" t="inlineStr">
        <is>
          <t>NON</t>
        </is>
      </c>
      <c r="O2818" s="45" t="inlineStr"/>
    </row>
    <row r="2819" customFormat="1" s="4">
      <c r="A2819" s="45" t="n"/>
      <c r="B2819" s="46" t="inlineStr">
        <is>
          <t>32024</t>
        </is>
      </c>
      <c r="C2819" s="46">
        <f>LEFT(Tableau1[[#This Row],[Formacode]],3)</f>
        <v/>
      </c>
      <c r="D2819" s="47" t="n">
        <v>41101</v>
      </c>
      <c r="E2819" s="48">
        <f>"RNCP"&amp;D2819</f>
        <v/>
      </c>
      <c r="F2819" s="48" t="inlineStr">
        <is>
          <t>Responsable de business unit</t>
        </is>
      </c>
      <c r="G2819" s="49">
        <f>E2819&amp;" - "&amp;F2819</f>
        <v/>
      </c>
      <c r="H2819" s="36" t="inlineStr">
        <is>
          <t>RAS</t>
        </is>
      </c>
      <c r="I2819" s="45" t="inlineStr"/>
      <c r="J2819" s="45" t="inlineStr">
        <is>
          <t>RNCP41101</t>
        </is>
      </c>
      <c r="K2819" s="45" t="inlineStr">
        <is>
          <t>Responsable de business unit</t>
        </is>
      </c>
      <c r="L2819" s="45" t="inlineStr">
        <is>
          <t>18/07/2028</t>
        </is>
      </c>
      <c r="M2819" s="45" t="inlineStr">
        <is>
          <t>32024 (Gestion centre profit)</t>
        </is>
      </c>
      <c r="N2819" s="50" t="inlineStr">
        <is>
          <t>NON</t>
        </is>
      </c>
      <c r="O2819" s="45" t="inlineStr"/>
    </row>
    <row r="2820" customFormat="1" s="4">
      <c r="A2820" s="45" t="n"/>
      <c r="B2820" s="46" t="inlineStr">
        <is>
          <t>32024</t>
        </is>
      </c>
      <c r="C2820" s="46">
        <f>LEFT(Tableau1[[#This Row],[Formacode]],3)</f>
        <v/>
      </c>
      <c r="D2820" s="47" t="n">
        <v>41308</v>
      </c>
      <c r="E2820" s="48">
        <f>"RNCP"&amp;D2820</f>
        <v/>
      </c>
      <c r="F2820" s="48" t="inlineStr">
        <is>
          <t>Office manager</t>
        </is>
      </c>
      <c r="G2820" s="49">
        <f>E2820&amp;" - "&amp;F2820</f>
        <v/>
      </c>
      <c r="H2820" s="36" t="inlineStr">
        <is>
          <t>RAS</t>
        </is>
      </c>
      <c r="I2820" s="45" t="inlineStr"/>
      <c r="J2820" s="45" t="inlineStr">
        <is>
          <t>RNCP41308</t>
        </is>
      </c>
      <c r="K2820" s="45" t="inlineStr">
        <is>
          <t>Office manager</t>
        </is>
      </c>
      <c r="L2820" s="45" t="inlineStr">
        <is>
          <t>24/09/2028</t>
        </is>
      </c>
      <c r="M2820" s="45" t="inlineStr">
        <is>
          <t>35047 (Secrétariat assistanat direction) ; 32054 (Gestion des organisations)</t>
        </is>
      </c>
      <c r="N2820" s="50" t="inlineStr">
        <is>
          <t>NON</t>
        </is>
      </c>
      <c r="O2820" s="45" t="inlineStr"/>
    </row>
    <row r="2821" customFormat="1" s="4">
      <c r="A2821" s="45" t="n"/>
      <c r="B2821" s="46" t="inlineStr">
        <is>
          <t>32025</t>
        </is>
      </c>
      <c r="C2821" s="46">
        <f>LEFT(Tableau1[[#This Row],[Formacode]],3)</f>
        <v/>
      </c>
      <c r="D2821" s="47" t="n">
        <v>36419</v>
      </c>
      <c r="E2821" s="48">
        <f>"RNCP"&amp;D2821</f>
        <v/>
      </c>
      <c r="F2821" s="48" t="inlineStr">
        <is>
          <t>DipViGrM - Programme Grande Ecole</t>
        </is>
      </c>
      <c r="G2821" s="49">
        <f>E2821&amp;" - "&amp;F2821</f>
        <v/>
      </c>
      <c r="H2821" s="36" t="inlineStr">
        <is>
          <t>RAS</t>
        </is>
      </c>
      <c r="I2821" s="45" t="inlineStr"/>
      <c r="J2821" s="45" t="inlineStr">
        <is>
          <t>RNCP36419</t>
        </is>
      </c>
      <c r="K2821" s="45" t="inlineStr">
        <is>
          <t>Programme Grande Ecole</t>
        </is>
      </c>
      <c r="L2821" s="45" t="inlineStr">
        <is>
          <t>31/08/2027</t>
        </is>
      </c>
      <c r="M2821" s="45" t="inlineStr">
        <is>
          <t>32094 (Gestion PME PMI) ; 32145 (Management transversal) ; 32025 (Stratégie entreprise) ; 32024 (Gestion centre profit)</t>
        </is>
      </c>
      <c r="N2821" s="50" t="inlineStr">
        <is>
          <t>NON</t>
        </is>
      </c>
      <c r="O2821" s="45" t="inlineStr"/>
    </row>
    <row r="2822" customFormat="1" s="4">
      <c r="A2822" s="45" t="n"/>
      <c r="B2822" s="46" t="inlineStr">
        <is>
          <t>32025</t>
        </is>
      </c>
      <c r="C2822" s="46">
        <f>LEFT(Tableau1[[#This Row],[Formacode]],3)</f>
        <v/>
      </c>
      <c r="D2822" s="47" t="n">
        <v>36420</v>
      </c>
      <c r="E2822" s="48">
        <f>"RNCP"&amp;D2822</f>
        <v/>
      </c>
      <c r="F2822" s="48" t="inlineStr">
        <is>
          <t>DIPLOVIS - Programme supérieur de gestion et de commerce</t>
        </is>
      </c>
      <c r="G2822" s="49">
        <f>E2822&amp;" - "&amp;F2822</f>
        <v/>
      </c>
      <c r="H2822" s="36" t="inlineStr">
        <is>
          <t>RAS</t>
        </is>
      </c>
      <c r="I2822" s="45" t="inlineStr"/>
      <c r="J2822" s="45" t="inlineStr">
        <is>
          <t>RNCP36420</t>
        </is>
      </c>
      <c r="K2822" s="45" t="inlineStr">
        <is>
          <t>Programme supérieur de gestion et de commerce</t>
        </is>
      </c>
      <c r="L2822" s="45" t="inlineStr">
        <is>
          <t>31/08/2027</t>
        </is>
      </c>
      <c r="M2822" s="45" t="inlineStr">
        <is>
          <t>32110 (Management opérationnel) ; 32135 (Conduite projet) ; 32054 (Gestion des organisations)</t>
        </is>
      </c>
      <c r="N2822" s="50" t="inlineStr">
        <is>
          <t>NON</t>
        </is>
      </c>
      <c r="O2822" s="45" t="inlineStr"/>
    </row>
    <row r="2823" customFormat="1" s="4">
      <c r="A2823" s="45" t="n"/>
      <c r="B2823" s="46" t="inlineStr">
        <is>
          <t>32025</t>
        </is>
      </c>
      <c r="C2823" s="46">
        <f>LEFT(Tableau1[[#This Row],[Formacode]],3)</f>
        <v/>
      </c>
      <c r="D2823" s="47" t="n">
        <v>36461</v>
      </c>
      <c r="E2823" s="48">
        <f>"RNCP"&amp;D2823</f>
        <v/>
      </c>
      <c r="F2823" s="48" t="inlineStr">
        <is>
          <t>Directeur d'unité opérationnelle</t>
        </is>
      </c>
      <c r="G2823" s="49">
        <f>E2823&amp;" - "&amp;F2823</f>
        <v/>
      </c>
      <c r="H2823" s="36" t="inlineStr">
        <is>
          <t>RAS</t>
        </is>
      </c>
      <c r="I2823" s="45" t="inlineStr"/>
      <c r="J2823" s="45" t="inlineStr">
        <is>
          <t>RNCP36461</t>
        </is>
      </c>
      <c r="K2823" s="45" t="inlineStr">
        <is>
          <t>Directeur d'unité opérationnelle</t>
        </is>
      </c>
      <c r="L2823" s="45" t="inlineStr">
        <is>
          <t>02/06/2027</t>
        </is>
      </c>
      <c r="M2823" s="45" t="inlineStr">
        <is>
          <t>32054 (Gestion des organisations) ; 32154 (Encadrement management)</t>
        </is>
      </c>
      <c r="N2823" s="50" t="inlineStr">
        <is>
          <t>NON</t>
        </is>
      </c>
      <c r="O2823" s="45" t="inlineStr"/>
    </row>
    <row r="2824" customFormat="1" s="4">
      <c r="A2824" s="45" t="n"/>
      <c r="B2824" s="46" t="inlineStr">
        <is>
          <t>32025</t>
        </is>
      </c>
      <c r="C2824" s="46">
        <f>LEFT(Tableau1[[#This Row],[Formacode]],3)</f>
        <v/>
      </c>
      <c r="D2824" s="47" t="n">
        <v>36677</v>
      </c>
      <c r="E2824" s="48">
        <f>"RNCP"&amp;D2824</f>
        <v/>
      </c>
      <c r="F2824" s="48" t="inlineStr">
        <is>
          <t>DIPLOVIS - Responsable en marketing, commercialisation et gestion</t>
        </is>
      </c>
      <c r="G2824" s="49">
        <f>E2824&amp;" - "&amp;F2824</f>
        <v/>
      </c>
      <c r="H2824" s="36" t="inlineStr">
        <is>
          <t>RAS</t>
        </is>
      </c>
      <c r="I2824" s="45" t="inlineStr"/>
      <c r="J2824" s="45" t="inlineStr">
        <is>
          <t>RNCP36677</t>
        </is>
      </c>
      <c r="K2824" s="45" t="inlineStr">
        <is>
          <t>Responsable en marketing, commercialisation et gestion</t>
        </is>
      </c>
      <c r="L2824" s="45" t="inlineStr">
        <is>
          <t>31/08/2027</t>
        </is>
      </c>
      <c r="M2824" s="45" t="inlineStr">
        <is>
          <t>34052 (Marketing) ; 34554 (Commerce) ; 32054 (Gestion des organisations)</t>
        </is>
      </c>
      <c r="N2824" s="50" t="inlineStr">
        <is>
          <t>NON</t>
        </is>
      </c>
      <c r="O2824" s="45" t="inlineStr"/>
    </row>
    <row r="2825" customFormat="1" s="4">
      <c r="A2825" s="45" t="n"/>
      <c r="B2825" s="46" t="inlineStr">
        <is>
          <t>32025</t>
        </is>
      </c>
      <c r="C2825" s="46">
        <f>LEFT(Tableau1[[#This Row],[Formacode]],3)</f>
        <v/>
      </c>
      <c r="D2825" s="47" t="n">
        <v>36890</v>
      </c>
      <c r="E2825" s="48">
        <f>"RNCP"&amp;D2825</f>
        <v/>
      </c>
      <c r="F2825" s="48" t="inlineStr">
        <is>
          <t>Manager d'unité opérationnelle</t>
        </is>
      </c>
      <c r="G2825" s="49">
        <f>E2825&amp;" - "&amp;F2825</f>
        <v/>
      </c>
      <c r="H2825" s="36" t="inlineStr">
        <is>
          <t>RAS</t>
        </is>
      </c>
      <c r="I2825" s="45" t="inlineStr"/>
      <c r="J2825" s="45" t="inlineStr">
        <is>
          <t>RNCP36890</t>
        </is>
      </c>
      <c r="K2825" s="45" t="inlineStr">
        <is>
          <t>Manager d'unité opérationnelle</t>
        </is>
      </c>
      <c r="L2825" s="45" t="inlineStr">
        <is>
          <t>29/09/2027</t>
        </is>
      </c>
      <c r="M2825" s="45" t="inlineStr">
        <is>
          <t>32079 (Gestion performance) ; 32025 (Stratégie entreprise) ; 32154 (Encadrement management)</t>
        </is>
      </c>
      <c r="N2825" s="50" t="inlineStr">
        <is>
          <t>NON</t>
        </is>
      </c>
      <c r="O2825" s="45" t="inlineStr"/>
    </row>
    <row r="2826" customFormat="1" s="4">
      <c r="A2826" s="45" t="n"/>
      <c r="B2826" s="46" t="inlineStr">
        <is>
          <t>32025</t>
        </is>
      </c>
      <c r="C2826" s="46">
        <f>LEFT(Tableau1[[#This Row],[Formacode]],3)</f>
        <v/>
      </c>
      <c r="D2826" s="47" t="n">
        <v>36898</v>
      </c>
      <c r="E2826" s="48">
        <f>"RNCP"&amp;D2826</f>
        <v/>
      </c>
      <c r="F2826" s="48" t="inlineStr">
        <is>
          <t>Manager de la stratégie et de la performance achats (MS)</t>
        </is>
      </c>
      <c r="G2826" s="49">
        <f>E2826&amp;" - "&amp;F2826</f>
        <v/>
      </c>
      <c r="H2826" s="36" t="inlineStr">
        <is>
          <t>RAS</t>
        </is>
      </c>
      <c r="I2826" s="45" t="inlineStr"/>
      <c r="J2826" s="45" t="inlineStr">
        <is>
          <t>RNCP36898</t>
        </is>
      </c>
      <c r="K2826" s="45" t="inlineStr">
        <is>
          <t>Manager de la stratégie et de la performance achats (MS)</t>
        </is>
      </c>
      <c r="L2826" s="45" t="inlineStr">
        <is>
          <t>29/09/2027</t>
        </is>
      </c>
      <c r="M2826" s="45" t="inlineStr">
        <is>
          <t>34022 (Gestion fournisseur) ; 32025 (Stratégie entreprise)</t>
        </is>
      </c>
      <c r="N2826" s="50" t="inlineStr">
        <is>
          <t>NON</t>
        </is>
      </c>
      <c r="O2826" s="45" t="inlineStr"/>
    </row>
    <row r="2827" customFormat="1" s="4">
      <c r="A2827" s="45" t="n"/>
      <c r="B2827" s="46" t="inlineStr">
        <is>
          <t>32025</t>
        </is>
      </c>
      <c r="C2827" s="46">
        <f>LEFT(Tableau1[[#This Row],[Formacode]],3)</f>
        <v/>
      </c>
      <c r="D2827" s="47" t="n">
        <v>36991</v>
      </c>
      <c r="E2827" s="48">
        <f>"RNCP"&amp;D2827</f>
        <v/>
      </c>
      <c r="F2827" s="48" t="inlineStr">
        <is>
          <t>Manager de la communication</t>
        </is>
      </c>
      <c r="G2827" s="49">
        <f>E2827&amp;" - "&amp;F2827</f>
        <v/>
      </c>
      <c r="H2827" s="36" t="inlineStr">
        <is>
          <t>RAS</t>
        </is>
      </c>
      <c r="I2827" s="45" t="inlineStr"/>
      <c r="J2827" s="45" t="inlineStr">
        <is>
          <t>RNCP36991</t>
        </is>
      </c>
      <c r="K2827" s="45" t="inlineStr">
        <is>
          <t>Manager de la communication</t>
        </is>
      </c>
      <c r="L2827" s="45" t="inlineStr">
        <is>
          <t>24/10/2027</t>
        </is>
      </c>
      <c r="M2827" s="45" t="inlineStr">
        <is>
          <t>46330 (E-réputation) ; 34260 (Marketing international) ; 34074 (Publicité) ; 32025 (Stratégie entreprise) ; 46341 (Communication externe)</t>
        </is>
      </c>
      <c r="N2827" s="50" t="inlineStr">
        <is>
          <t>NON</t>
        </is>
      </c>
      <c r="O2827" s="45" t="inlineStr"/>
    </row>
    <row r="2828" customFormat="1" s="4">
      <c r="A2828" s="45" t="n"/>
      <c r="B2828" s="46" t="inlineStr">
        <is>
          <t>32025</t>
        </is>
      </c>
      <c r="C2828" s="46">
        <f>LEFT(Tableau1[[#This Row],[Formacode]],3)</f>
        <v/>
      </c>
      <c r="D2828" s="47" t="n">
        <v>37270</v>
      </c>
      <c r="E2828" s="48">
        <f>"RNCP"&amp;D2828</f>
        <v/>
      </c>
      <c r="F2828" s="48" t="inlineStr">
        <is>
          <t>Manager de programmes internationaux - humanitaire et développement</t>
        </is>
      </c>
      <c r="G2828" s="49">
        <f>E2828&amp;" - "&amp;F2828</f>
        <v/>
      </c>
      <c r="H2828" s="36" t="inlineStr">
        <is>
          <t>RAS</t>
        </is>
      </c>
      <c r="I2828" s="45" t="inlineStr"/>
      <c r="J2828" s="45" t="inlineStr">
        <is>
          <t>RNCP37270</t>
        </is>
      </c>
      <c r="K2828" s="45" t="inlineStr">
        <is>
          <t>Manager de programmes internationaux - humanitaire et développement</t>
        </is>
      </c>
      <c r="L2828" s="45" t="inlineStr">
        <is>
          <t>25/01/2028</t>
        </is>
      </c>
      <c r="M2828" s="45" t="inlineStr">
        <is>
          <t>13017 (Action humanitaire) ; 32154 (Encadrement management) ; 32005 (Stratégie internationale)</t>
        </is>
      </c>
      <c r="N2828" s="50" t="inlineStr">
        <is>
          <t>NON</t>
        </is>
      </c>
      <c r="O2828" s="45" t="inlineStr"/>
    </row>
    <row r="2829" customFormat="1" s="4">
      <c r="A2829" s="63" t="n"/>
      <c r="B2829" s="64" t="inlineStr">
        <is>
          <t>32025</t>
        </is>
      </c>
      <c r="C2829" s="64">
        <f>LEFT(Tableau1[[#This Row],[Formacode]],3)</f>
        <v/>
      </c>
      <c r="D2829" s="65" t="n">
        <v>37635</v>
      </c>
      <c r="E2829" s="66">
        <f>"RNCP"&amp;D2829</f>
        <v/>
      </c>
      <c r="F2829" s="66" t="inlineStr">
        <is>
          <t>Manager de commerce et de centre de profit</t>
        </is>
      </c>
      <c r="G2829" s="67">
        <f>E2829&amp;" - "&amp;F2829</f>
        <v/>
      </c>
      <c r="H2829" s="38" t="inlineStr">
        <is>
          <t>Expiré / remplacé</t>
        </is>
      </c>
      <c r="I2829" s="63" t="inlineStr">
        <is>
          <t>Fiche inactive — remplacée par RNCP42321 (Manager de commerce et de centre de profit)</t>
        </is>
      </c>
      <c r="J2829" s="63" t="inlineStr">
        <is>
          <t>RNCP42321</t>
        </is>
      </c>
      <c r="K2829" s="63" t="inlineStr">
        <is>
          <t>Manager de commerce et de centre de profit</t>
        </is>
      </c>
      <c r="L2829" s="63" t="inlineStr">
        <is>
          <t>31/05/2026</t>
        </is>
      </c>
      <c r="M2829" s="63" t="inlineStr">
        <is>
          <t>32024 (Gestion centre profit) ; 32145 (Management transversal) ; 32079 (Gestion performance) ; 32025 (Stratégie entreprise) ; 34554 (Commerce)</t>
        </is>
      </c>
      <c r="N2829" s="68" t="inlineStr">
        <is>
          <t>NON</t>
        </is>
      </c>
      <c r="O2829" s="63" t="inlineStr"/>
    </row>
    <row r="2830" customFormat="1" s="4">
      <c r="A2830" s="45" t="n"/>
      <c r="B2830" s="46" t="inlineStr">
        <is>
          <t>32025</t>
        </is>
      </c>
      <c r="C2830" s="46">
        <f>LEFT(Tableau1[[#This Row],[Formacode]],3)</f>
        <v/>
      </c>
      <c r="D2830" s="47" t="n">
        <v>37645</v>
      </c>
      <c r="E2830" s="48">
        <f>"RNCP"&amp;D2830</f>
        <v/>
      </c>
      <c r="F2830" s="48" t="inlineStr">
        <is>
          <t>Cadre dirigeant</t>
        </is>
      </c>
      <c r="G2830" s="49">
        <f>E2830&amp;" - "&amp;F2830</f>
        <v/>
      </c>
      <c r="H2830" s="36" t="inlineStr">
        <is>
          <t>RAS</t>
        </is>
      </c>
      <c r="I2830" s="45" t="inlineStr"/>
      <c r="J2830" s="45" t="inlineStr">
        <is>
          <t>RNCP37645</t>
        </is>
      </c>
      <c r="K2830" s="45" t="inlineStr">
        <is>
          <t>Cadre dirigeant</t>
        </is>
      </c>
      <c r="L2830" s="45" t="inlineStr">
        <is>
          <t>31/05/2028</t>
        </is>
      </c>
      <c r="M2830" s="45" t="inlineStr">
        <is>
          <t>32054 (Gestion des organisations)</t>
        </is>
      </c>
      <c r="N2830" s="50" t="inlineStr">
        <is>
          <t>NON</t>
        </is>
      </c>
      <c r="O2830" s="45" t="inlineStr"/>
    </row>
    <row r="2831" customFormat="1" s="4">
      <c r="A2831" s="45" t="n"/>
      <c r="B2831" s="46" t="inlineStr">
        <is>
          <t>32025</t>
        </is>
      </c>
      <c r="C2831" s="46">
        <f>LEFT(Tableau1[[#This Row],[Formacode]],3)</f>
        <v/>
      </c>
      <c r="D2831" s="47" t="n">
        <v>37655</v>
      </c>
      <c r="E2831" s="48">
        <f>"RNCP"&amp;D2831</f>
        <v/>
      </c>
      <c r="F2831" s="48" t="inlineStr">
        <is>
          <t>Responsable en gestion et développement d’une business unit</t>
        </is>
      </c>
      <c r="G2831" s="49">
        <f>E2831&amp;" - "&amp;F2831</f>
        <v/>
      </c>
      <c r="H2831" s="36" t="inlineStr">
        <is>
          <t>RAS</t>
        </is>
      </c>
      <c r="I2831" s="45" t="inlineStr"/>
      <c r="J2831" s="45" t="inlineStr">
        <is>
          <t>RNCP37655</t>
        </is>
      </c>
      <c r="K2831" s="45" t="inlineStr">
        <is>
          <t>Responsable en gestion et développement d’une business unit</t>
        </is>
      </c>
      <c r="L2831" s="45" t="inlineStr">
        <is>
          <t>31/05/2028</t>
        </is>
      </c>
      <c r="M2831" s="45" t="inlineStr">
        <is>
          <t>32025 (Stratégie entreprise) ; 32154 (Encadrement management) ; 34054 (Gestion commerciale achats)</t>
        </is>
      </c>
      <c r="N2831" s="50" t="inlineStr">
        <is>
          <t>NON</t>
        </is>
      </c>
      <c r="O2831" s="45" t="inlineStr"/>
    </row>
    <row r="2832" customFormat="1" s="4">
      <c r="A2832" s="45" t="n"/>
      <c r="B2832" s="46" t="inlineStr">
        <is>
          <t>32025</t>
        </is>
      </c>
      <c r="C2832" s="46">
        <f>LEFT(Tableau1[[#This Row],[Formacode]],3)</f>
        <v/>
      </c>
      <c r="D2832" s="47" t="n">
        <v>37684</v>
      </c>
      <c r="E2832" s="48">
        <f>"RNCP"&amp;D2832</f>
        <v/>
      </c>
      <c r="F2832" s="48" t="inlineStr">
        <is>
          <t>DipViGrM - Diplôme d’études supérieures spécialisées en management international</t>
        </is>
      </c>
      <c r="G2832" s="49">
        <f>E2832&amp;" - "&amp;F2832</f>
        <v/>
      </c>
      <c r="H2832" s="36" t="inlineStr">
        <is>
          <t>RAS</t>
        </is>
      </c>
      <c r="I2832" s="45" t="inlineStr"/>
      <c r="J2832" s="45" t="inlineStr">
        <is>
          <t>RNCP37684</t>
        </is>
      </c>
      <c r="K2832" s="45" t="inlineStr">
        <is>
          <t>Diplôme d’études supérieures spécialisées en management international</t>
        </is>
      </c>
      <c r="L2832" s="45" t="inlineStr">
        <is>
          <t>31/08/2027</t>
        </is>
      </c>
      <c r="M2832" s="45" t="inlineStr">
        <is>
          <t>32015 (Conduite changement) ; 32005 (Stratégie internationale) ; 32654 (Gestion financière comptabilité) ; 32023 (Prise décision)</t>
        </is>
      </c>
      <c r="N2832" s="50" t="inlineStr">
        <is>
          <t>NON</t>
        </is>
      </c>
      <c r="O2832" s="45" t="inlineStr"/>
    </row>
    <row r="2833" customFormat="1" s="4">
      <c r="A2833" s="51" t="n"/>
      <c r="B2833" s="52" t="inlineStr">
        <is>
          <t>32025</t>
        </is>
      </c>
      <c r="C2833" s="52">
        <f>LEFT(Tableau1[[#This Row],[Formacode]],3)</f>
        <v/>
      </c>
      <c r="D2833" s="53" t="n">
        <v>37719</v>
      </c>
      <c r="E2833" s="54">
        <f>"RNCP"&amp;D2833</f>
        <v/>
      </c>
      <c r="F2833" s="54" t="inlineStr">
        <is>
          <t>DIPLOVIS - Diplôme en management international de l'hôtellerie et de la restauration</t>
        </is>
      </c>
      <c r="G2833" s="55">
        <f>E2833&amp;" - "&amp;F2833</f>
        <v/>
      </c>
      <c r="H2833" s="37" t="inlineStr">
        <is>
          <t>À vérifier</t>
        </is>
      </c>
      <c r="I2833" s="51" t="inlineStr">
        <is>
          <t>Échéance le 31/08/2026 (dans 44 j)</t>
        </is>
      </c>
      <c r="J2833" s="51" t="inlineStr">
        <is>
          <t>RNCP37719</t>
        </is>
      </c>
      <c r="K2833" s="51" t="inlineStr">
        <is>
          <t>Diplôme en management international de l'hôtellerie et de la restauration</t>
        </is>
      </c>
      <c r="L2833" s="51" t="inlineStr">
        <is>
          <t>31/08/2026</t>
        </is>
      </c>
      <c r="M2833" s="51" t="inlineStr">
        <is>
          <t>32054 (Gestion des organisations) ; 42754 (Hôtellerie restauration) ; 42627 (Gestion entreprise touristique)</t>
        </is>
      </c>
      <c r="N2833" s="62" t="inlineStr">
        <is>
          <t>NON</t>
        </is>
      </c>
      <c r="O2833" s="51" t="inlineStr"/>
    </row>
    <row r="2834" customFormat="1" s="4">
      <c r="A2834" s="51" t="n"/>
      <c r="B2834" s="52" t="inlineStr">
        <is>
          <t>32025</t>
        </is>
      </c>
      <c r="C2834" s="52">
        <f>LEFT(Tableau1[[#This Row],[Formacode]],3)</f>
        <v/>
      </c>
      <c r="D2834" s="53" t="n">
        <v>37824</v>
      </c>
      <c r="E2834" s="54">
        <f>"RNCP"&amp;D2834</f>
        <v/>
      </c>
      <c r="F2834" s="54" t="inlineStr">
        <is>
          <t>Expert-conseil en stratégie des filières agricoles et agroalimentaires</t>
        </is>
      </c>
      <c r="G2834" s="55">
        <f>E2834&amp;" - "&amp;F2834</f>
        <v/>
      </c>
      <c r="H2834" s="37" t="inlineStr">
        <is>
          <t>À vérifier</t>
        </is>
      </c>
      <c r="I2834" s="51" t="inlineStr">
        <is>
          <t>Successeur déjà publié : RNCP42476 (Expert-conseil en stratégie des filières agricoles et agroalimentaires) — préparer la bascule de l'offre CPF | Échéance le 19/07/2026 (dans 1 j)</t>
        </is>
      </c>
      <c r="J2834" s="51" t="inlineStr">
        <is>
          <t>RNCP42476</t>
        </is>
      </c>
      <c r="K2834" s="51" t="inlineStr">
        <is>
          <t>Expert-conseil en stratégie des filières agricoles et agroalimentaires</t>
        </is>
      </c>
      <c r="L2834" s="51" t="inlineStr">
        <is>
          <t>19/07/2026</t>
        </is>
      </c>
      <c r="M2834" s="51" t="inlineStr">
        <is>
          <t>13158 (Économie agricole) ; 21052 (Gestion exploitation agricole) ; 21084 (Commercialisation agricole) ; 21554 (Agroalimentaire)</t>
        </is>
      </c>
      <c r="N2834" s="62" t="inlineStr">
        <is>
          <t>NON</t>
        </is>
      </c>
      <c r="O2834" s="51" t="inlineStr"/>
    </row>
    <row r="2835" customFormat="1" s="4">
      <c r="A2835" s="51" t="n"/>
      <c r="B2835" s="52" t="inlineStr">
        <is>
          <t>32025</t>
        </is>
      </c>
      <c r="C2835" s="52">
        <f>LEFT(Tableau1[[#This Row],[Formacode]],3)</f>
        <v/>
      </c>
      <c r="D2835" s="53" t="n">
        <v>37932</v>
      </c>
      <c r="E2835" s="54">
        <f>"RNCP"&amp;D2835</f>
        <v/>
      </c>
      <c r="F2835" s="54" t="inlineStr">
        <is>
          <t>DIPLOVIS - Diplôme en Management International des Arts Culinaires</t>
        </is>
      </c>
      <c r="G2835" s="55">
        <f>E2835&amp;" - "&amp;F2835</f>
        <v/>
      </c>
      <c r="H2835" s="37" t="inlineStr">
        <is>
          <t>À vérifier</t>
        </is>
      </c>
      <c r="I2835" s="51" t="inlineStr">
        <is>
          <t>Successeur déjà publié : RNCP42267 (DIPLOVIS - Diplôme en management international des arts culinaires) — préparer la bascule de l'offre CPF | Échéance le 31/08/2026 (dans 44 j)</t>
        </is>
      </c>
      <c r="J2835" s="51" t="inlineStr">
        <is>
          <t>RNCP42267</t>
        </is>
      </c>
      <c r="K2835" s="51" t="inlineStr">
        <is>
          <t>DIPLOVIS - Diplôme en management international des arts culinaires</t>
        </is>
      </c>
      <c r="L2835" s="51" t="inlineStr">
        <is>
          <t>31/08/2026</t>
        </is>
      </c>
      <c r="M2835" s="51" t="inlineStr">
        <is>
          <t>42782 (Gestion cuisine) ; 42760 (Gastronomie) ; 42766 (Gestion hôtel restaurant bar) ; 32054 (Gestion des organisations)</t>
        </is>
      </c>
      <c r="N2835" s="62" t="inlineStr">
        <is>
          <t>NON</t>
        </is>
      </c>
      <c r="O2835" s="51" t="inlineStr"/>
    </row>
    <row r="2836" customFormat="1" s="4">
      <c r="A2836" s="45" t="n"/>
      <c r="B2836" s="46" t="inlineStr">
        <is>
          <t>32025</t>
        </is>
      </c>
      <c r="C2836" s="46">
        <f>LEFT(Tableau1[[#This Row],[Formacode]],3)</f>
        <v/>
      </c>
      <c r="D2836" s="47" t="n">
        <v>37949</v>
      </c>
      <c r="E2836" s="48">
        <f>"RNCP"&amp;D2836</f>
        <v/>
      </c>
      <c r="F2836" s="48" t="inlineStr">
        <is>
          <t>TP - Gestionnaire comptable et  fiscal</t>
        </is>
      </c>
      <c r="G2836" s="49">
        <f>E2836&amp;" - "&amp;F2836</f>
        <v/>
      </c>
      <c r="H2836" s="36" t="inlineStr">
        <is>
          <t>RAS</t>
        </is>
      </c>
      <c r="I2836" s="45" t="inlineStr"/>
      <c r="J2836" s="45" t="inlineStr">
        <is>
          <t>RNCP37949</t>
        </is>
      </c>
      <c r="K2836" s="45" t="inlineStr">
        <is>
          <t>Gestionnaire comptable et fiscal</t>
        </is>
      </c>
      <c r="L2836" s="45" t="inlineStr">
        <is>
          <t>01/12/2028</t>
        </is>
      </c>
      <c r="M2836" s="45" t="inlineStr">
        <is>
          <t>32663 (Comptabilité) ; 32054 (Gestion des organisations)</t>
        </is>
      </c>
      <c r="N2836" s="50" t="inlineStr">
        <is>
          <t>NON</t>
        </is>
      </c>
      <c r="O2836" s="45" t="inlineStr"/>
    </row>
    <row r="2837" customFormat="1" s="4">
      <c r="A2837" s="51" t="n"/>
      <c r="B2837" s="52" t="inlineStr">
        <is>
          <t>32025</t>
        </is>
      </c>
      <c r="C2837" s="52">
        <f>LEFT(Tableau1[[#This Row],[Formacode]],3)</f>
        <v/>
      </c>
      <c r="D2837" s="53" t="n">
        <v>37988</v>
      </c>
      <c r="E2837" s="54">
        <f>"RNCP"&amp;D2837</f>
        <v/>
      </c>
      <c r="F2837" s="54" t="inlineStr">
        <is>
          <t>Diplôme visé - Diplôme supérieur en marketing, vente et gestion</t>
        </is>
      </c>
      <c r="G2837" s="55">
        <f>E2837&amp;" - "&amp;F2837</f>
        <v/>
      </c>
      <c r="H2837" s="37" t="inlineStr">
        <is>
          <t>À vérifier</t>
        </is>
      </c>
      <c r="I2837" s="51" t="inlineStr">
        <is>
          <t>Successeur déjà publié : RNCP42254 (Diplôme supérieur en marketing, vente et gestion) — préparer la bascule de l'offre CPF | Échéance le 31/08/2026 (dans 44 j)</t>
        </is>
      </c>
      <c r="J2837" s="51" t="inlineStr">
        <is>
          <t>RNCP42254</t>
        </is>
      </c>
      <c r="K2837" s="51" t="inlineStr">
        <is>
          <t>Diplôme supérieur en marketing, vente et gestion</t>
        </is>
      </c>
      <c r="L2837" s="51" t="inlineStr">
        <is>
          <t>31/08/2026</t>
        </is>
      </c>
      <c r="M2837" s="51" t="inlineStr">
        <is>
          <t>34085 (Stratégie commerciale) ; 34052 (Marketing) ; 32154 (Encadrement management) ; 32054 (Gestion des organisations)</t>
        </is>
      </c>
      <c r="N2837" s="62" t="inlineStr">
        <is>
          <t>NON</t>
        </is>
      </c>
      <c r="O2837" s="51" t="inlineStr"/>
    </row>
    <row r="2838" customFormat="1" s="4">
      <c r="A2838" s="45" t="n"/>
      <c r="B2838" s="46" t="inlineStr">
        <is>
          <t>32025</t>
        </is>
      </c>
      <c r="C2838" s="46">
        <f>LEFT(Tableau1[[#This Row],[Formacode]],3)</f>
        <v/>
      </c>
      <c r="D2838" s="47" t="n">
        <v>38435</v>
      </c>
      <c r="E2838" s="48">
        <f>"RNCP"&amp;D2838</f>
        <v/>
      </c>
      <c r="F2838" s="48" t="inlineStr">
        <is>
          <t>Directeur d'unité stratégique</t>
        </is>
      </c>
      <c r="G2838" s="49">
        <f>E2838&amp;" - "&amp;F2838</f>
        <v/>
      </c>
      <c r="H2838" s="36" t="inlineStr">
        <is>
          <t>RAS</t>
        </is>
      </c>
      <c r="I2838" s="45" t="inlineStr"/>
      <c r="J2838" s="45" t="inlineStr">
        <is>
          <t>RNCP38435</t>
        </is>
      </c>
      <c r="K2838" s="45" t="inlineStr">
        <is>
          <t>Directeur d'unité stratégique</t>
        </is>
      </c>
      <c r="L2838" s="45" t="inlineStr">
        <is>
          <t>21/12/2028</t>
        </is>
      </c>
      <c r="M2838" s="45" t="inlineStr">
        <is>
          <t>32015 (Conduite changement) ; 32024 (Gestion centre profit) ; 32079 (Gestion performance)</t>
        </is>
      </c>
      <c r="N2838" s="50" t="inlineStr">
        <is>
          <t>NON</t>
        </is>
      </c>
      <c r="O2838" s="45" t="inlineStr"/>
    </row>
    <row r="2839" customFormat="1" s="4">
      <c r="A2839" s="45" t="n"/>
      <c r="B2839" s="46" t="inlineStr">
        <is>
          <t>32025</t>
        </is>
      </c>
      <c r="C2839" s="46">
        <f>LEFT(Tableau1[[#This Row],[Formacode]],3)</f>
        <v/>
      </c>
      <c r="D2839" s="47" t="n">
        <v>38824</v>
      </c>
      <c r="E2839" s="48">
        <f>"RNCP"&amp;D2839</f>
        <v/>
      </c>
      <c r="F2839" s="48" t="inlineStr">
        <is>
          <t>Manager en ressources humaines</t>
        </is>
      </c>
      <c r="G2839" s="49">
        <f>E2839&amp;" - "&amp;F2839</f>
        <v/>
      </c>
      <c r="H2839" s="36" t="inlineStr">
        <is>
          <t>RAS</t>
        </is>
      </c>
      <c r="I2839" s="45" t="inlineStr"/>
      <c r="J2839" s="45" t="inlineStr">
        <is>
          <t>RNCP38824</t>
        </is>
      </c>
      <c r="K2839" s="45" t="inlineStr">
        <is>
          <t>Manager en ressources humaines</t>
        </is>
      </c>
      <c r="L2839" s="45" t="inlineStr">
        <is>
          <t>27/03/2028</t>
        </is>
      </c>
      <c r="M2839" s="45" t="inlineStr">
        <is>
          <t>44508 (Plan développement compétences) ; 33060 (Recrutement) ; 33047 (Relations sociales) ; 32015 (Conduite changement) ; 33091 (GEPP)</t>
        </is>
      </c>
      <c r="N2839" s="50" t="inlineStr">
        <is>
          <t>NON</t>
        </is>
      </c>
      <c r="O2839" s="45" t="inlineStr"/>
    </row>
    <row r="2840" customFormat="1" s="4">
      <c r="A2840" s="45" t="n"/>
      <c r="B2840" s="46" t="inlineStr">
        <is>
          <t>32025</t>
        </is>
      </c>
      <c r="C2840" s="46">
        <f>LEFT(Tableau1[[#This Row],[Formacode]],3)</f>
        <v/>
      </c>
      <c r="D2840" s="47" t="n">
        <v>39094</v>
      </c>
      <c r="E2840" s="48">
        <f>"RNCP"&amp;D2840</f>
        <v/>
      </c>
      <c r="F2840" s="48" t="inlineStr">
        <is>
          <t>Manager de l’innovation et du développement entrepreneurial (MS)</t>
        </is>
      </c>
      <c r="G2840" s="49">
        <f>E2840&amp;" - "&amp;F2840</f>
        <v/>
      </c>
      <c r="H2840" s="36" t="inlineStr">
        <is>
          <t>RAS</t>
        </is>
      </c>
      <c r="I2840" s="45" t="inlineStr"/>
      <c r="J2840" s="45" t="inlineStr">
        <is>
          <t>RNCP39094</t>
        </is>
      </c>
      <c r="K2840" s="45" t="inlineStr">
        <is>
          <t>Manager de l’innovation et du développement entrepreneurial (MS)</t>
        </is>
      </c>
      <c r="L2840" s="45" t="inlineStr">
        <is>
          <t>31/05/2029</t>
        </is>
      </c>
      <c r="M2840" s="45" t="inlineStr">
        <is>
          <t>32135 (Conduite projet) ; 32070 (Innovation entreprise) ; 32025 (Stratégie entreprise)</t>
        </is>
      </c>
      <c r="N2840" s="50" t="inlineStr">
        <is>
          <t>NON</t>
        </is>
      </c>
      <c r="O2840" s="45" t="inlineStr"/>
    </row>
    <row r="2841" customFormat="1" s="4">
      <c r="A2841" s="51" t="n"/>
      <c r="B2841" s="52" t="inlineStr">
        <is>
          <t>32025</t>
        </is>
      </c>
      <c r="C2841" s="52">
        <f>LEFT(Tableau1[[#This Row],[Formacode]],3)</f>
        <v/>
      </c>
      <c r="D2841" s="53" t="n">
        <v>39160</v>
      </c>
      <c r="E2841" s="54">
        <f>"RNCP"&amp;D2841</f>
        <v/>
      </c>
      <c r="F2841" s="54" t="inlineStr">
        <is>
          <t>Diplôme visé grade de master - Programme Grande Ecole</t>
        </is>
      </c>
      <c r="G2841" s="55">
        <f>E2841&amp;" - "&amp;F2841</f>
        <v/>
      </c>
      <c r="H2841" s="37" t="inlineStr">
        <is>
          <t>À vérifier</t>
        </is>
      </c>
      <c r="I2841" s="51" t="inlineStr">
        <is>
          <t>Échéance le 31/08/2026 (dans 44 j)</t>
        </is>
      </c>
      <c r="J2841" s="51" t="inlineStr">
        <is>
          <t>RNCP39160</t>
        </is>
      </c>
      <c r="K2841" s="51" t="inlineStr">
        <is>
          <t>Programme Grande Ecole</t>
        </is>
      </c>
      <c r="L2841" s="51" t="inlineStr">
        <is>
          <t>31/08/2026</t>
        </is>
      </c>
      <c r="M2841" s="51" t="inlineStr">
        <is>
          <t>32025 (Stratégie entreprise) ; 32008 (Responsabilité sociétale entreprise) ; 32047 (Création entreprise) ; 32654 (Gestion financière comptabilité) ; 32154 (Encadrement management)</t>
        </is>
      </c>
      <c r="N2841" s="62" t="inlineStr">
        <is>
          <t>NON</t>
        </is>
      </c>
      <c r="O2841" s="51" t="inlineStr"/>
    </row>
    <row r="2842" customFormat="1" s="4">
      <c r="A2842" s="45" t="n"/>
      <c r="B2842" s="46" t="inlineStr">
        <is>
          <t>32025</t>
        </is>
      </c>
      <c r="C2842" s="46">
        <f>LEFT(Tableau1[[#This Row],[Formacode]],3)</f>
        <v/>
      </c>
      <c r="D2842" s="47" t="n">
        <v>39268</v>
      </c>
      <c r="E2842" s="48">
        <f>"RNCP"&amp;D2842</f>
        <v/>
      </c>
      <c r="F2842" s="48" t="inlineStr">
        <is>
          <t>DIPLOVIS - Diplôme d’Etudes Spécialisées en Management International</t>
        </is>
      </c>
      <c r="G2842" s="49">
        <f>E2842&amp;" - "&amp;F2842</f>
        <v/>
      </c>
      <c r="H2842" s="36" t="inlineStr">
        <is>
          <t>RAS</t>
        </is>
      </c>
      <c r="I2842" s="45" t="inlineStr"/>
      <c r="J2842" s="45" t="inlineStr">
        <is>
          <t>RNCP39268</t>
        </is>
      </c>
      <c r="K2842" s="45" t="inlineStr">
        <is>
          <t>Diplôme d’Etudes Spécialisées en Management International</t>
        </is>
      </c>
      <c r="L2842" s="45" t="inlineStr">
        <is>
          <t>31/08/2029</t>
        </is>
      </c>
      <c r="M2842" s="45" t="inlineStr">
        <is>
          <t>32005 (Stratégie internationale) ; 32006 (Gestion entreprise internationale) ; 32008 (Responsabilité sociétale entreprise) ; 34254 (Commerce international)</t>
        </is>
      </c>
      <c r="N2842" s="50" t="inlineStr">
        <is>
          <t>NON</t>
        </is>
      </c>
      <c r="O2842" s="45" t="inlineStr"/>
    </row>
    <row r="2843" customFormat="1" s="4">
      <c r="A2843" s="45" t="n"/>
      <c r="B2843" s="46" t="inlineStr">
        <is>
          <t>32025</t>
        </is>
      </c>
      <c r="C2843" s="46">
        <f>LEFT(Tableau1[[#This Row],[Formacode]],3)</f>
        <v/>
      </c>
      <c r="D2843" s="47" t="n">
        <v>39354</v>
      </c>
      <c r="E2843" s="48">
        <f>"RNCP"&amp;D2843</f>
        <v/>
      </c>
      <c r="F2843" s="48" t="inlineStr">
        <is>
          <t>Manager du développement d'entreprise et commercial</t>
        </is>
      </c>
      <c r="G2843" s="49">
        <f>E2843&amp;" - "&amp;F2843</f>
        <v/>
      </c>
      <c r="H2843" s="36" t="inlineStr">
        <is>
          <t>RAS</t>
        </is>
      </c>
      <c r="I2843" s="45" t="inlineStr"/>
      <c r="J2843" s="45" t="inlineStr">
        <is>
          <t>RNCP39354</t>
        </is>
      </c>
      <c r="K2843" s="45" t="inlineStr">
        <is>
          <t>Manager du développement d'entreprise et commercial</t>
        </is>
      </c>
      <c r="L2843" s="45" t="inlineStr">
        <is>
          <t>19/07/2027</t>
        </is>
      </c>
      <c r="M2843" s="45" t="inlineStr">
        <is>
          <t>34085 (Stratégie commerciale) ; 32025 (Stratégie entreprise) ; 32024 (Gestion centre profit) ; 32154 (Encadrement management)</t>
        </is>
      </c>
      <c r="N2843" s="50" t="inlineStr">
        <is>
          <t>NON</t>
        </is>
      </c>
      <c r="O2843" s="45" t="inlineStr"/>
    </row>
    <row r="2844" customFormat="1" s="4">
      <c r="A2844" s="45" t="n"/>
      <c r="B2844" s="46" t="inlineStr">
        <is>
          <t>32025</t>
        </is>
      </c>
      <c r="C2844" s="46">
        <f>LEFT(Tableau1[[#This Row],[Formacode]],3)</f>
        <v/>
      </c>
      <c r="D2844" s="47" t="n">
        <v>39364</v>
      </c>
      <c r="E2844" s="48">
        <f>"RNCP"&amp;D2844</f>
        <v/>
      </c>
      <c r="F2844" s="48" t="inlineStr">
        <is>
          <t>Manager en stratégie et développement des ressources humaines</t>
        </is>
      </c>
      <c r="G2844" s="49">
        <f>E2844&amp;" - "&amp;F2844</f>
        <v/>
      </c>
      <c r="H2844" s="36" t="inlineStr">
        <is>
          <t>RAS</t>
        </is>
      </c>
      <c r="I2844" s="45" t="inlineStr"/>
      <c r="J2844" s="45" t="inlineStr">
        <is>
          <t>RNCP39364</t>
        </is>
      </c>
      <c r="K2844" s="45" t="inlineStr">
        <is>
          <t>Manager en stratégie et développement des ressources humaines</t>
        </is>
      </c>
      <c r="L2844" s="45" t="inlineStr">
        <is>
          <t>19/07/2028</t>
        </is>
      </c>
      <c r="M2844" s="45" t="inlineStr">
        <is>
          <t>33054 (Gestion ressources humaines) ; 32025 (Stratégie entreprise)</t>
        </is>
      </c>
      <c r="N2844" s="50" t="inlineStr">
        <is>
          <t>NON</t>
        </is>
      </c>
      <c r="O2844" s="45" t="inlineStr"/>
    </row>
    <row r="2845" customFormat="1" s="4">
      <c r="A2845" s="45" t="n"/>
      <c r="B2845" s="46" t="inlineStr">
        <is>
          <t>32025</t>
        </is>
      </c>
      <c r="C2845" s="46">
        <f>LEFT(Tableau1[[#This Row],[Formacode]],3)</f>
        <v/>
      </c>
      <c r="D2845" s="47" t="n">
        <v>39626</v>
      </c>
      <c r="E2845" s="48">
        <f>"RNCP"&amp;D2845</f>
        <v/>
      </c>
      <c r="F2845" s="48" t="inlineStr">
        <is>
          <t>Assistant de gestion des petites entreprises</t>
        </is>
      </c>
      <c r="G2845" s="49">
        <f>E2845&amp;" - "&amp;F2845</f>
        <v/>
      </c>
      <c r="H2845" s="36" t="inlineStr">
        <is>
          <t>RAS</t>
        </is>
      </c>
      <c r="I2845" s="45" t="inlineStr"/>
      <c r="J2845" s="45" t="inlineStr">
        <is>
          <t>RNCP39626</t>
        </is>
      </c>
      <c r="K2845" s="45" t="inlineStr">
        <is>
          <t>Assistant de gestion des petites entreprises</t>
        </is>
      </c>
      <c r="L2845" s="45" t="inlineStr">
        <is>
          <t>01/10/2029</t>
        </is>
      </c>
      <c r="M2845" s="45" t="inlineStr">
        <is>
          <t>35049 (Secrétariat assistanat comptabilité) ; 32054 (Gestion des organisations) ; 35007 (Secrétariat assistanat gestion PME PMI)</t>
        </is>
      </c>
      <c r="N2845" s="50" t="inlineStr">
        <is>
          <t>NON</t>
        </is>
      </c>
      <c r="O2845" s="45" t="inlineStr"/>
    </row>
    <row r="2846" customFormat="1" s="4">
      <c r="A2846" s="45" t="n"/>
      <c r="B2846" s="46" t="inlineStr">
        <is>
          <t>32025</t>
        </is>
      </c>
      <c r="C2846" s="46">
        <f>LEFT(Tableau1[[#This Row],[Formacode]],3)</f>
        <v/>
      </c>
      <c r="D2846" s="47" t="n">
        <v>39762</v>
      </c>
      <c r="E2846" s="48">
        <f>"RNCP"&amp;D2846</f>
        <v/>
      </c>
      <c r="F2846" s="48" t="inlineStr">
        <is>
          <t>Expert en transformation digitale et technologique no-code</t>
        </is>
      </c>
      <c r="G2846" s="49">
        <f>E2846&amp;" - "&amp;F2846</f>
        <v/>
      </c>
      <c r="H2846" s="36" t="inlineStr">
        <is>
          <t>RAS</t>
        </is>
      </c>
      <c r="I2846" s="45" t="inlineStr"/>
      <c r="J2846" s="45" t="inlineStr">
        <is>
          <t>RNCP39762</t>
        </is>
      </c>
      <c r="K2846" s="45" t="inlineStr">
        <is>
          <t>Expert en transformation digitale et technologique no-code</t>
        </is>
      </c>
      <c r="L2846" s="45" t="inlineStr">
        <is>
          <t>31/10/2027</t>
        </is>
      </c>
      <c r="M2846" s="45" t="inlineStr">
        <is>
          <t>31094 (Gestion projet informatique) ; 32016 (Conduite changement technologique) ; 46347 (Stratégie communication numérique)</t>
        </is>
      </c>
      <c r="N2846" s="50" t="inlineStr">
        <is>
          <t>NON</t>
        </is>
      </c>
      <c r="O2846" s="45" t="inlineStr"/>
    </row>
    <row r="2847" customFormat="1" s="4">
      <c r="A2847" s="45" t="n"/>
      <c r="B2847" s="46" t="inlineStr">
        <is>
          <t>32025</t>
        </is>
      </c>
      <c r="C2847" s="46">
        <f>LEFT(Tableau1[[#This Row],[Formacode]],3)</f>
        <v/>
      </c>
      <c r="D2847" s="47" t="n">
        <v>39994</v>
      </c>
      <c r="E2847" s="48">
        <f>"RNCP"&amp;D2847</f>
        <v/>
      </c>
      <c r="F2847" s="48" t="inlineStr">
        <is>
          <t>Manager des transformations des organisations</t>
        </is>
      </c>
      <c r="G2847" s="49">
        <f>E2847&amp;" - "&amp;F2847</f>
        <v/>
      </c>
      <c r="H2847" s="36" t="inlineStr">
        <is>
          <t>RAS</t>
        </is>
      </c>
      <c r="I2847" s="45" t="inlineStr"/>
      <c r="J2847" s="45" t="inlineStr">
        <is>
          <t>RNCP39994</t>
        </is>
      </c>
      <c r="K2847" s="45" t="inlineStr">
        <is>
          <t>Manager des transformations des organisations</t>
        </is>
      </c>
      <c r="L2847" s="45" t="inlineStr">
        <is>
          <t>18/12/2027</t>
        </is>
      </c>
      <c r="M2847" s="45" t="inlineStr">
        <is>
          <t>32025 (Stratégie entreprise) ; 32079 (Gestion performance) ; 32154 (Encadrement management)</t>
        </is>
      </c>
      <c r="N2847" s="50" t="inlineStr">
        <is>
          <t>NON</t>
        </is>
      </c>
      <c r="O2847" s="45" t="inlineStr"/>
    </row>
    <row r="2848" customFormat="1" s="4">
      <c r="A2848" s="45" t="n"/>
      <c r="B2848" s="46" t="inlineStr">
        <is>
          <t>32025</t>
        </is>
      </c>
      <c r="C2848" s="46">
        <f>LEFT(Tableau1[[#This Row],[Formacode]],3)</f>
        <v/>
      </c>
      <c r="D2848" s="47" t="n">
        <v>40175</v>
      </c>
      <c r="E2848" s="48">
        <f>"RNCP"&amp;D2848</f>
        <v/>
      </c>
      <c r="F2848" s="48" t="inlineStr">
        <is>
          <t>Analyste en stratégie internationale</t>
        </is>
      </c>
      <c r="G2848" s="49">
        <f>E2848&amp;" - "&amp;F2848</f>
        <v/>
      </c>
      <c r="H2848" s="36" t="inlineStr">
        <is>
          <t>RAS</t>
        </is>
      </c>
      <c r="I2848" s="45" t="inlineStr"/>
      <c r="J2848" s="45" t="inlineStr">
        <is>
          <t>RNCP40175</t>
        </is>
      </c>
      <c r="K2848" s="45" t="inlineStr">
        <is>
          <t>Analyste en stratégie internationale</t>
        </is>
      </c>
      <c r="L2848" s="45" t="inlineStr">
        <is>
          <t>31/01/2030</t>
        </is>
      </c>
      <c r="M2848" s="45" t="inlineStr">
        <is>
          <t>32005 (Stratégie internationale) ; 33036 (Stratégie sociale entreprise) ; 32136 (Conduite projet international)</t>
        </is>
      </c>
      <c r="N2848" s="50" t="inlineStr">
        <is>
          <t>NON</t>
        </is>
      </c>
      <c r="O2848" s="45" t="inlineStr"/>
    </row>
    <row r="2849" customFormat="1" s="4">
      <c r="A2849" s="45" t="n"/>
      <c r="B2849" s="46" t="inlineStr">
        <is>
          <t>32025</t>
        </is>
      </c>
      <c r="C2849" s="46">
        <f>LEFT(Tableau1[[#This Row],[Formacode]],3)</f>
        <v/>
      </c>
      <c r="D2849" s="47" t="n">
        <v>40352</v>
      </c>
      <c r="E2849" s="48">
        <f>"RNCP"&amp;D2849</f>
        <v/>
      </c>
      <c r="F2849" s="48" t="inlineStr">
        <is>
          <t>Manager du développement international</t>
        </is>
      </c>
      <c r="G2849" s="49">
        <f>E2849&amp;" - "&amp;F2849</f>
        <v/>
      </c>
      <c r="H2849" s="36" t="inlineStr">
        <is>
          <t>RAS</t>
        </is>
      </c>
      <c r="I2849" s="45" t="inlineStr"/>
      <c r="J2849" s="45" t="inlineStr">
        <is>
          <t>RNCP40352</t>
        </is>
      </c>
      <c r="K2849" s="45" t="inlineStr">
        <is>
          <t>Manager du développement international</t>
        </is>
      </c>
      <c r="L2849" s="45" t="inlineStr">
        <is>
          <t>28/03/2030</t>
        </is>
      </c>
      <c r="M2849" s="45" t="inlineStr">
        <is>
          <t>32005 (Stratégie internationale) ; 32006 (Gestion entreprise internationale) ; 34254 (Commerce international) ; 32136 (Conduite projet international)</t>
        </is>
      </c>
      <c r="N2849" s="50" t="inlineStr">
        <is>
          <t>NON</t>
        </is>
      </c>
      <c r="O2849" s="45" t="inlineStr"/>
    </row>
    <row r="2850" customFormat="1" s="4">
      <c r="A2850" s="45" t="n"/>
      <c r="B2850" s="46" t="inlineStr">
        <is>
          <t>32025</t>
        </is>
      </c>
      <c r="C2850" s="46">
        <f>LEFT(Tableau1[[#This Row],[Formacode]],3)</f>
        <v/>
      </c>
      <c r="D2850" s="47" t="n">
        <v>40353</v>
      </c>
      <c r="E2850" s="48">
        <f>"RNCP"&amp;D2850</f>
        <v/>
      </c>
      <c r="F2850" s="48" t="inlineStr">
        <is>
          <t>Manager des entreprises et des organisations</t>
        </is>
      </c>
      <c r="G2850" s="49">
        <f>E2850&amp;" - "&amp;F2850</f>
        <v/>
      </c>
      <c r="H2850" s="36" t="inlineStr">
        <is>
          <t>RAS</t>
        </is>
      </c>
      <c r="I2850" s="45" t="inlineStr"/>
      <c r="J2850" s="45" t="inlineStr">
        <is>
          <t>RNCP40353</t>
        </is>
      </c>
      <c r="K2850" s="45" t="inlineStr">
        <is>
          <t>Manager des entreprises et des organisations</t>
        </is>
      </c>
      <c r="L2850" s="45" t="inlineStr">
        <is>
          <t>28/03/2030</t>
        </is>
      </c>
      <c r="M2850" s="45" t="inlineStr">
        <is>
          <t>32043 (Conseil entreprise) ; 32047 (Création entreprise) ; 32025 (Stratégie entreprise)</t>
        </is>
      </c>
      <c r="N2850" s="50" t="inlineStr">
        <is>
          <t>NON</t>
        </is>
      </c>
      <c r="O2850" s="45" t="inlineStr"/>
    </row>
    <row r="2851" customFormat="1" s="4">
      <c r="A2851" s="45" t="n"/>
      <c r="B2851" s="46" t="inlineStr">
        <is>
          <t>32025</t>
        </is>
      </c>
      <c r="C2851" s="46">
        <f>LEFT(Tableau1[[#This Row],[Formacode]],3)</f>
        <v/>
      </c>
      <c r="D2851" s="47" t="n">
        <v>40362</v>
      </c>
      <c r="E2851" s="48">
        <f>"RNCP"&amp;D2851</f>
        <v/>
      </c>
      <c r="F2851" s="48" t="inlineStr">
        <is>
          <t>Consultant en management de projets</t>
        </is>
      </c>
      <c r="G2851" s="49">
        <f>E2851&amp;" - "&amp;F2851</f>
        <v/>
      </c>
      <c r="H2851" s="36" t="inlineStr">
        <is>
          <t>RAS</t>
        </is>
      </c>
      <c r="I2851" s="45" t="inlineStr"/>
      <c r="J2851" s="45" t="inlineStr">
        <is>
          <t>RNCP40362</t>
        </is>
      </c>
      <c r="K2851" s="45" t="inlineStr">
        <is>
          <t>Consultant en management de projets</t>
        </is>
      </c>
      <c r="L2851" s="45" t="inlineStr">
        <is>
          <t>28/03/2028</t>
        </is>
      </c>
      <c r="M2851" s="45" t="inlineStr">
        <is>
          <t>32135 (Conduite projet) ; 32145 (Management transversal) ; 32025 (Stratégie entreprise)</t>
        </is>
      </c>
      <c r="N2851" s="50" t="inlineStr">
        <is>
          <t>NON</t>
        </is>
      </c>
      <c r="O2851" s="45" t="inlineStr"/>
    </row>
    <row r="2852" customFormat="1" s="4">
      <c r="A2852" s="45" t="n"/>
      <c r="B2852" s="46" t="inlineStr">
        <is>
          <t>32025</t>
        </is>
      </c>
      <c r="C2852" s="46">
        <f>LEFT(Tableau1[[#This Row],[Formacode]],3)</f>
        <v/>
      </c>
      <c r="D2852" s="47" t="n">
        <v>40372</v>
      </c>
      <c r="E2852" s="48">
        <f>"RNCP"&amp;D2852</f>
        <v/>
      </c>
      <c r="F2852" s="48" t="inlineStr">
        <is>
          <t>Manager des achats et de la logistique</t>
        </is>
      </c>
      <c r="G2852" s="49">
        <f>E2852&amp;" - "&amp;F2852</f>
        <v/>
      </c>
      <c r="H2852" s="36" t="inlineStr">
        <is>
          <t>RAS</t>
        </is>
      </c>
      <c r="I2852" s="45" t="inlineStr"/>
      <c r="J2852" s="45" t="inlineStr">
        <is>
          <t>RNCP40372</t>
        </is>
      </c>
      <c r="K2852" s="45" t="inlineStr">
        <is>
          <t>Manager des achats et de la logistique</t>
        </is>
      </c>
      <c r="L2852" s="45" t="inlineStr">
        <is>
          <t>28/03/2028</t>
        </is>
      </c>
      <c r="M2852" s="45" t="inlineStr">
        <is>
          <t>34025 (Achat responsable) ; 34022 (Gestion fournisseur) ; 32025 (Stratégie entreprise) ; 31660 (Approvisionnement) ; 31845 (Logistique)</t>
        </is>
      </c>
      <c r="N2852" s="50" t="inlineStr">
        <is>
          <t>NON</t>
        </is>
      </c>
      <c r="O2852" s="45" t="inlineStr"/>
    </row>
    <row r="2853" customFormat="1" s="4">
      <c r="A2853" s="45" t="n"/>
      <c r="B2853" s="46" t="inlineStr">
        <is>
          <t>32025</t>
        </is>
      </c>
      <c r="C2853" s="46">
        <f>LEFT(Tableau1[[#This Row],[Formacode]],3)</f>
        <v/>
      </c>
      <c r="D2853" s="47" t="n">
        <v>40589</v>
      </c>
      <c r="E2853" s="48">
        <f>"RNCP"&amp;D2853</f>
        <v/>
      </c>
      <c r="F2853" s="48" t="inlineStr">
        <is>
          <t>Manager expert en transformation numérique</t>
        </is>
      </c>
      <c r="G2853" s="49">
        <f>E2853&amp;" - "&amp;F2853</f>
        <v/>
      </c>
      <c r="H2853" s="36" t="inlineStr">
        <is>
          <t>RAS</t>
        </is>
      </c>
      <c r="I2853" s="45" t="inlineStr"/>
      <c r="J2853" s="45" t="inlineStr">
        <is>
          <t>RNCP40589</t>
        </is>
      </c>
      <c r="K2853" s="45" t="inlineStr">
        <is>
          <t>Manager expert en transformation numérique</t>
        </is>
      </c>
      <c r="L2853" s="45" t="inlineStr">
        <is>
          <t>30/04/2030</t>
        </is>
      </c>
      <c r="M2853" s="45" t="inlineStr">
        <is>
          <t>32016 (Conduite changement technologique) ; 34093 (Marketing digital) ; 31025 (Analyse de données) ; 46347 (Stratégie communication numérique)</t>
        </is>
      </c>
      <c r="N2853" s="50" t="inlineStr">
        <is>
          <t>NON</t>
        </is>
      </c>
      <c r="O2853" s="45" t="inlineStr"/>
    </row>
    <row r="2854" customFormat="1" s="4">
      <c r="A2854" s="45" t="n"/>
      <c r="B2854" s="46" t="inlineStr">
        <is>
          <t>32025</t>
        </is>
      </c>
      <c r="C2854" s="46">
        <f>LEFT(Tableau1[[#This Row],[Formacode]],3)</f>
        <v/>
      </c>
      <c r="D2854" s="47" t="n">
        <v>40602</v>
      </c>
      <c r="E2854" s="48">
        <f>"RNCP"&amp;D2854</f>
        <v/>
      </c>
      <c r="F2854" s="48" t="inlineStr">
        <is>
          <t>Manager de la création et du design de marque</t>
        </is>
      </c>
      <c r="G2854" s="49">
        <f>E2854&amp;" - "&amp;F2854</f>
        <v/>
      </c>
      <c r="H2854" s="36" t="inlineStr">
        <is>
          <t>RAS</t>
        </is>
      </c>
      <c r="I2854" s="45" t="inlineStr"/>
      <c r="J2854" s="45" t="inlineStr">
        <is>
          <t>RNCP40602</t>
        </is>
      </c>
      <c r="K2854" s="45" t="inlineStr">
        <is>
          <t>Manager de la création et du design de marque</t>
        </is>
      </c>
      <c r="L2854" s="45" t="inlineStr">
        <is>
          <t>30/04/2028</t>
        </is>
      </c>
      <c r="M2854" s="45" t="inlineStr">
        <is>
          <t>46090 (Graphisme publicité) ; 46003 (Infographie) ; 32025 (Stratégie entreprise) ; 34074 (Publicité)</t>
        </is>
      </c>
      <c r="N2854" s="50" t="inlineStr">
        <is>
          <t>NON</t>
        </is>
      </c>
      <c r="O2854" s="45" t="inlineStr"/>
    </row>
    <row r="2855" customFormat="1" s="4">
      <c r="A2855" s="45" t="n"/>
      <c r="B2855" s="46" t="inlineStr">
        <is>
          <t>32025</t>
        </is>
      </c>
      <c r="C2855" s="46">
        <f>LEFT(Tableau1[[#This Row],[Formacode]],3)</f>
        <v/>
      </c>
      <c r="D2855" s="47" t="n">
        <v>41053</v>
      </c>
      <c r="E2855" s="48">
        <f>"RNCP"&amp;D2855</f>
        <v/>
      </c>
      <c r="F2855" s="48" t="inlineStr">
        <is>
          <t>DipViGrM - EM Normandie - Programme Grande Ecole</t>
        </is>
      </c>
      <c r="G2855" s="49">
        <f>E2855&amp;" - "&amp;F2855</f>
        <v/>
      </c>
      <c r="H2855" s="36" t="inlineStr">
        <is>
          <t>RAS</t>
        </is>
      </c>
      <c r="I2855" s="45" t="inlineStr"/>
      <c r="J2855" s="45" t="inlineStr">
        <is>
          <t>RNCP41053</t>
        </is>
      </c>
      <c r="K2855" s="45" t="inlineStr">
        <is>
          <t>EM Normandie - Programme Grande Ecole</t>
        </is>
      </c>
      <c r="L2855" s="45" t="inlineStr">
        <is>
          <t>31/08/2030</t>
        </is>
      </c>
      <c r="M2855" s="45" t="inlineStr">
        <is>
          <t>32025 (Stratégie entreprise) ; 32654 (Gestion financière comptabilité) ; 34052 (Marketing)</t>
        </is>
      </c>
      <c r="N2855" s="50" t="inlineStr">
        <is>
          <t>NON</t>
        </is>
      </c>
      <c r="O2855" s="45" t="inlineStr"/>
    </row>
    <row r="2856" customFormat="1" s="4">
      <c r="A2856" s="45" t="n"/>
      <c r="B2856" s="46" t="inlineStr">
        <is>
          <t>32025</t>
        </is>
      </c>
      <c r="C2856" s="46">
        <f>LEFT(Tableau1[[#This Row],[Formacode]],3)</f>
        <v/>
      </c>
      <c r="D2856" s="47" t="n">
        <v>41102</v>
      </c>
      <c r="E2856" s="48">
        <f>"RNCP"&amp;D2856</f>
        <v/>
      </c>
      <c r="F2856" s="48" t="inlineStr">
        <is>
          <t>Expert en stratégie d'innovation durable par le design (MS)</t>
        </is>
      </c>
      <c r="G2856" s="49">
        <f>E2856&amp;" - "&amp;F2856</f>
        <v/>
      </c>
      <c r="H2856" s="36" t="inlineStr">
        <is>
          <t>RAS</t>
        </is>
      </c>
      <c r="I2856" s="45" t="inlineStr"/>
      <c r="J2856" s="45" t="inlineStr">
        <is>
          <t>RNCP41102</t>
        </is>
      </c>
      <c r="K2856" s="45" t="inlineStr">
        <is>
          <t>Expert en stratégie d'innovation durable par le design (MS)</t>
        </is>
      </c>
      <c r="L2856" s="45" t="inlineStr">
        <is>
          <t>18/07/2030</t>
        </is>
      </c>
      <c r="M2856" s="45" t="inlineStr">
        <is>
          <t>32135 (Conduite projet) ; 32070 (Innovation entreprise) ; 32025 (Stratégie entreprise) ; 12522 (Développement durable)</t>
        </is>
      </c>
      <c r="N2856" s="50" t="inlineStr">
        <is>
          <t>NON</t>
        </is>
      </c>
      <c r="O2856" s="45" t="inlineStr"/>
    </row>
    <row r="2857" customFormat="1" s="4">
      <c r="A2857" s="45" t="n"/>
      <c r="B2857" s="46" t="inlineStr">
        <is>
          <t>32025</t>
        </is>
      </c>
      <c r="C2857" s="46">
        <f>LEFT(Tableau1[[#This Row],[Formacode]],3)</f>
        <v/>
      </c>
      <c r="D2857" s="47" t="n">
        <v>41123</v>
      </c>
      <c r="E2857" s="48">
        <f>"RNCP"&amp;D2857</f>
        <v/>
      </c>
      <c r="F2857" s="48" t="inlineStr">
        <is>
          <t>Expert en transformation digitale et technologique no code</t>
        </is>
      </c>
      <c r="G2857" s="49">
        <f>E2857&amp;" - "&amp;F2857</f>
        <v/>
      </c>
      <c r="H2857" s="36" t="inlineStr">
        <is>
          <t>RAS</t>
        </is>
      </c>
      <c r="I2857" s="45" t="inlineStr"/>
      <c r="J2857" s="45" t="inlineStr">
        <is>
          <t>RNCP41123</t>
        </is>
      </c>
      <c r="K2857" s="45" t="inlineStr">
        <is>
          <t>Expert en transformation digitale et technologique no code</t>
        </is>
      </c>
      <c r="L2857" s="45" t="inlineStr">
        <is>
          <t>18/07/2028</t>
        </is>
      </c>
      <c r="M2857" s="45" t="inlineStr">
        <is>
          <t>31094 (Gestion projet informatique) ; 32016 (Conduite changement technologique) ; 46347 (Stratégie communication numérique)</t>
        </is>
      </c>
      <c r="N2857" s="50" t="inlineStr">
        <is>
          <t>NON</t>
        </is>
      </c>
      <c r="O2857" s="45" t="inlineStr"/>
    </row>
    <row r="2858" customFormat="1" s="4">
      <c r="A2858" s="45" t="n"/>
      <c r="B2858" s="46" t="inlineStr">
        <is>
          <t>32025</t>
        </is>
      </c>
      <c r="C2858" s="46">
        <f>LEFT(Tableau1[[#This Row],[Formacode]],3)</f>
        <v/>
      </c>
      <c r="D2858" s="47" t="n">
        <v>41308</v>
      </c>
      <c r="E2858" s="48">
        <f>"RNCP"&amp;D2858</f>
        <v/>
      </c>
      <c r="F2858" s="48" t="inlineStr">
        <is>
          <t>Office manager</t>
        </is>
      </c>
      <c r="G2858" s="49">
        <f>E2858&amp;" - "&amp;F2858</f>
        <v/>
      </c>
      <c r="H2858" s="36" t="inlineStr">
        <is>
          <t>RAS</t>
        </is>
      </c>
      <c r="I2858" s="45" t="inlineStr"/>
      <c r="J2858" s="45" t="inlineStr">
        <is>
          <t>RNCP41308</t>
        </is>
      </c>
      <c r="K2858" s="45" t="inlineStr">
        <is>
          <t>Office manager</t>
        </is>
      </c>
      <c r="L2858" s="45" t="inlineStr">
        <is>
          <t>24/09/2028</t>
        </is>
      </c>
      <c r="M2858" s="45" t="inlineStr">
        <is>
          <t>35047 (Secrétariat assistanat direction) ; 32054 (Gestion des organisations)</t>
        </is>
      </c>
      <c r="N2858" s="50" t="inlineStr">
        <is>
          <t>NON</t>
        </is>
      </c>
      <c r="O2858" s="45" t="inlineStr"/>
    </row>
    <row r="2859" customFormat="1" s="4">
      <c r="A2859" s="45" t="n"/>
      <c r="B2859" s="46" t="inlineStr">
        <is>
          <t>32025</t>
        </is>
      </c>
      <c r="C2859" s="46">
        <f>LEFT(Tableau1[[#This Row],[Formacode]],3)</f>
        <v/>
      </c>
      <c r="D2859" s="47" t="n">
        <v>41643</v>
      </c>
      <c r="E2859" s="48">
        <f>"RNCP"&amp;D2859</f>
        <v/>
      </c>
      <c r="F2859" s="48" t="inlineStr">
        <is>
          <t>Expert en transformation digitale et technologique no code</t>
        </is>
      </c>
      <c r="G2859" s="49">
        <f>E2859&amp;" - "&amp;F2859</f>
        <v/>
      </c>
      <c r="H2859" s="36" t="inlineStr">
        <is>
          <t>RAS</t>
        </is>
      </c>
      <c r="I2859" s="45" t="inlineStr"/>
      <c r="J2859" s="45" t="inlineStr">
        <is>
          <t>RNCP41643</t>
        </is>
      </c>
      <c r="K2859" s="45" t="inlineStr">
        <is>
          <t>Expert en transformation digitale et technologique no code</t>
        </is>
      </c>
      <c r="L2859" s="45" t="inlineStr">
        <is>
          <t>27/11/2028</t>
        </is>
      </c>
      <c r="M2859" s="45" t="inlineStr">
        <is>
          <t>31086 (Développement Low Code - No Code) ; 32008 (Responsabilité sociétale entreprise) ; 32066 (Transition numérique) ; 31094 (Gestion projet informatique) ; 32025 (Stratégie entreprise)</t>
        </is>
      </c>
      <c r="N2859" s="50" t="inlineStr">
        <is>
          <t>NON</t>
        </is>
      </c>
      <c r="O2859" s="45" t="inlineStr"/>
    </row>
    <row r="2860" customFormat="1" s="4">
      <c r="A2860" s="45" t="n"/>
      <c r="B2860" s="46" t="inlineStr">
        <is>
          <t>32025</t>
        </is>
      </c>
      <c r="C2860" s="46">
        <f>LEFT(Tableau1[[#This Row],[Formacode]],3)</f>
        <v/>
      </c>
      <c r="D2860" s="47" t="n">
        <v>41697</v>
      </c>
      <c r="E2860" s="48">
        <f>"RNCP"&amp;D2860</f>
        <v/>
      </c>
      <c r="F2860" s="48" t="inlineStr">
        <is>
          <t>Dirigeant d'entreprise</t>
        </is>
      </c>
      <c r="G2860" s="49">
        <f>E2860&amp;" - "&amp;F2860</f>
        <v/>
      </c>
      <c r="H2860" s="36" t="inlineStr">
        <is>
          <t>RAS</t>
        </is>
      </c>
      <c r="I2860" s="45" t="inlineStr"/>
      <c r="J2860" s="45" t="inlineStr">
        <is>
          <t>RNCP41697</t>
        </is>
      </c>
      <c r="K2860" s="45" t="inlineStr">
        <is>
          <t>Dirigeant d'entreprise</t>
        </is>
      </c>
      <c r="L2860" s="45" t="inlineStr">
        <is>
          <t>27/11/2030</t>
        </is>
      </c>
      <c r="M2860" s="45" t="inlineStr">
        <is>
          <t>32008 (Responsabilité sociétale entreprise) ; 32025 (Stratégie entreprise) ; 32047 (Création entreprise) ; 32094 (Gestion PME PMI)</t>
        </is>
      </c>
      <c r="N2860" s="50" t="inlineStr">
        <is>
          <t>NON</t>
        </is>
      </c>
      <c r="O2860" s="45" t="inlineStr"/>
    </row>
    <row r="2861" customFormat="1" s="4">
      <c r="A2861" s="45" t="n"/>
      <c r="B2861" s="46" t="inlineStr">
        <is>
          <t>32037</t>
        </is>
      </c>
      <c r="C2861" s="46">
        <f>LEFT(Tableau1[[#This Row],[Formacode]],3)</f>
        <v/>
      </c>
      <c r="D2861" s="47" t="n">
        <v>36420</v>
      </c>
      <c r="E2861" s="48">
        <f>"RNCP"&amp;D2861</f>
        <v/>
      </c>
      <c r="F2861" s="48" t="inlineStr">
        <is>
          <t>DIPLOVIS - Programme supérieur de gestion et de commerce</t>
        </is>
      </c>
      <c r="G2861" s="49">
        <f>E2861&amp;" - "&amp;F2861</f>
        <v/>
      </c>
      <c r="H2861" s="36" t="inlineStr">
        <is>
          <t>RAS</t>
        </is>
      </c>
      <c r="I2861" s="45" t="inlineStr"/>
      <c r="J2861" s="45" t="inlineStr">
        <is>
          <t>RNCP36420</t>
        </is>
      </c>
      <c r="K2861" s="45" t="inlineStr">
        <is>
          <t>Programme supérieur de gestion et de commerce</t>
        </is>
      </c>
      <c r="L2861" s="45" t="inlineStr">
        <is>
          <t>31/08/2027</t>
        </is>
      </c>
      <c r="M2861" s="45" t="inlineStr">
        <is>
          <t>32110 (Management opérationnel) ; 32135 (Conduite projet) ; 32054 (Gestion des organisations)</t>
        </is>
      </c>
      <c r="N2861" s="50" t="inlineStr">
        <is>
          <t>NON</t>
        </is>
      </c>
      <c r="O2861" s="45" t="inlineStr"/>
    </row>
    <row r="2862" customFormat="1" s="4">
      <c r="A2862" s="45" t="n"/>
      <c r="B2862" s="46" t="inlineStr">
        <is>
          <t>32037</t>
        </is>
      </c>
      <c r="C2862" s="46">
        <f>LEFT(Tableau1[[#This Row],[Formacode]],3)</f>
        <v/>
      </c>
      <c r="D2862" s="47" t="n">
        <v>36461</v>
      </c>
      <c r="E2862" s="48">
        <f>"RNCP"&amp;D2862</f>
        <v/>
      </c>
      <c r="F2862" s="48" t="inlineStr">
        <is>
          <t>Directeur d'unité opérationnelle</t>
        </is>
      </c>
      <c r="G2862" s="49">
        <f>E2862&amp;" - "&amp;F2862</f>
        <v/>
      </c>
      <c r="H2862" s="36" t="inlineStr">
        <is>
          <t>RAS</t>
        </is>
      </c>
      <c r="I2862" s="45" t="inlineStr"/>
      <c r="J2862" s="45" t="inlineStr">
        <is>
          <t>RNCP36461</t>
        </is>
      </c>
      <c r="K2862" s="45" t="inlineStr">
        <is>
          <t>Directeur d'unité opérationnelle</t>
        </is>
      </c>
      <c r="L2862" s="45" t="inlineStr">
        <is>
          <t>02/06/2027</t>
        </is>
      </c>
      <c r="M2862" s="45" t="inlineStr">
        <is>
          <t>32054 (Gestion des organisations) ; 32154 (Encadrement management)</t>
        </is>
      </c>
      <c r="N2862" s="50" t="inlineStr">
        <is>
          <t>NON</t>
        </is>
      </c>
      <c r="O2862" s="45" t="inlineStr"/>
    </row>
    <row r="2863" customFormat="1" s="4">
      <c r="A2863" s="45" t="n"/>
      <c r="B2863" s="46" t="inlineStr">
        <is>
          <t>32037</t>
        </is>
      </c>
      <c r="C2863" s="46">
        <f>LEFT(Tableau1[[#This Row],[Formacode]],3)</f>
        <v/>
      </c>
      <c r="D2863" s="47" t="n">
        <v>36677</v>
      </c>
      <c r="E2863" s="48">
        <f>"RNCP"&amp;D2863</f>
        <v/>
      </c>
      <c r="F2863" s="48" t="inlineStr">
        <is>
          <t>DIPLOVIS - Responsable en marketing, commercialisation et gestion</t>
        </is>
      </c>
      <c r="G2863" s="49">
        <f>E2863&amp;" - "&amp;F2863</f>
        <v/>
      </c>
      <c r="H2863" s="36" t="inlineStr">
        <is>
          <t>RAS</t>
        </is>
      </c>
      <c r="I2863" s="45" t="inlineStr"/>
      <c r="J2863" s="45" t="inlineStr">
        <is>
          <t>RNCP36677</t>
        </is>
      </c>
      <c r="K2863" s="45" t="inlineStr">
        <is>
          <t>Responsable en marketing, commercialisation et gestion</t>
        </is>
      </c>
      <c r="L2863" s="45" t="inlineStr">
        <is>
          <t>31/08/2027</t>
        </is>
      </c>
      <c r="M2863" s="45" t="inlineStr">
        <is>
          <t>34052 (Marketing) ; 34554 (Commerce) ; 32054 (Gestion des organisations)</t>
        </is>
      </c>
      <c r="N2863" s="50" t="inlineStr">
        <is>
          <t>NON</t>
        </is>
      </c>
      <c r="O2863" s="45" t="inlineStr"/>
    </row>
    <row r="2864" customFormat="1" s="4">
      <c r="A2864" s="45" t="n"/>
      <c r="B2864" s="46" t="inlineStr">
        <is>
          <t>32037</t>
        </is>
      </c>
      <c r="C2864" s="46">
        <f>LEFT(Tableau1[[#This Row],[Formacode]],3)</f>
        <v/>
      </c>
      <c r="D2864" s="47" t="n">
        <v>37645</v>
      </c>
      <c r="E2864" s="48">
        <f>"RNCP"&amp;D2864</f>
        <v/>
      </c>
      <c r="F2864" s="48" t="inlineStr">
        <is>
          <t>Cadre dirigeant</t>
        </is>
      </c>
      <c r="G2864" s="49">
        <f>E2864&amp;" - "&amp;F2864</f>
        <v/>
      </c>
      <c r="H2864" s="36" t="inlineStr">
        <is>
          <t>RAS</t>
        </is>
      </c>
      <c r="I2864" s="45" t="inlineStr"/>
      <c r="J2864" s="45" t="inlineStr">
        <is>
          <t>RNCP37645</t>
        </is>
      </c>
      <c r="K2864" s="45" t="inlineStr">
        <is>
          <t>Cadre dirigeant</t>
        </is>
      </c>
      <c r="L2864" s="45" t="inlineStr">
        <is>
          <t>31/05/2028</t>
        </is>
      </c>
      <c r="M2864" s="45" t="inlineStr">
        <is>
          <t>32054 (Gestion des organisations)</t>
        </is>
      </c>
      <c r="N2864" s="50" t="inlineStr">
        <is>
          <t>NON</t>
        </is>
      </c>
      <c r="O2864" s="45" t="inlineStr"/>
    </row>
    <row r="2865" customFormat="1" s="4">
      <c r="A2865" s="51" t="n"/>
      <c r="B2865" s="52" t="inlineStr">
        <is>
          <t>32037</t>
        </is>
      </c>
      <c r="C2865" s="52">
        <f>LEFT(Tableau1[[#This Row],[Formacode]],3)</f>
        <v/>
      </c>
      <c r="D2865" s="53" t="n">
        <v>37719</v>
      </c>
      <c r="E2865" s="54">
        <f>"RNCP"&amp;D2865</f>
        <v/>
      </c>
      <c r="F2865" s="54" t="inlineStr">
        <is>
          <t>DIPLOVIS - Diplôme en management international de l'hôtellerie et de la restauration</t>
        </is>
      </c>
      <c r="G2865" s="55">
        <f>E2865&amp;" - "&amp;F2865</f>
        <v/>
      </c>
      <c r="H2865" s="37" t="inlineStr">
        <is>
          <t>À vérifier</t>
        </is>
      </c>
      <c r="I2865" s="51" t="inlineStr">
        <is>
          <t>Échéance le 31/08/2026 (dans 44 j)</t>
        </is>
      </c>
      <c r="J2865" s="51" t="inlineStr">
        <is>
          <t>RNCP37719</t>
        </is>
      </c>
      <c r="K2865" s="51" t="inlineStr">
        <is>
          <t>Diplôme en management international de l'hôtellerie et de la restauration</t>
        </is>
      </c>
      <c r="L2865" s="51" t="inlineStr">
        <is>
          <t>31/08/2026</t>
        </is>
      </c>
      <c r="M2865" s="51" t="inlineStr">
        <is>
          <t>32054 (Gestion des organisations) ; 42754 (Hôtellerie restauration) ; 42627 (Gestion entreprise touristique)</t>
        </is>
      </c>
      <c r="N2865" s="62" t="inlineStr">
        <is>
          <t>NON</t>
        </is>
      </c>
      <c r="O2865" s="51" t="inlineStr"/>
    </row>
    <row r="2866" customFormat="1" s="4">
      <c r="A2866" s="51" t="n"/>
      <c r="B2866" s="52" t="inlineStr">
        <is>
          <t>32037</t>
        </is>
      </c>
      <c r="C2866" s="52">
        <f>LEFT(Tableau1[[#This Row],[Formacode]],3)</f>
        <v/>
      </c>
      <c r="D2866" s="53" t="n">
        <v>37932</v>
      </c>
      <c r="E2866" s="54">
        <f>"RNCP"&amp;D2866</f>
        <v/>
      </c>
      <c r="F2866" s="54" t="inlineStr">
        <is>
          <t>DIPLOVIS - Diplôme en Management International des Arts Culinaires</t>
        </is>
      </c>
      <c r="G2866" s="55">
        <f>E2866&amp;" - "&amp;F2866</f>
        <v/>
      </c>
      <c r="H2866" s="37" t="inlineStr">
        <is>
          <t>À vérifier</t>
        </is>
      </c>
      <c r="I2866" s="51" t="inlineStr">
        <is>
          <t>Successeur déjà publié : RNCP42267 (DIPLOVIS - Diplôme en management international des arts culinaires) — préparer la bascule de l'offre CPF | Échéance le 31/08/2026 (dans 44 j)</t>
        </is>
      </c>
      <c r="J2866" s="51" t="inlineStr">
        <is>
          <t>RNCP42267</t>
        </is>
      </c>
      <c r="K2866" s="51" t="inlineStr">
        <is>
          <t>DIPLOVIS - Diplôme en management international des arts culinaires</t>
        </is>
      </c>
      <c r="L2866" s="51" t="inlineStr">
        <is>
          <t>31/08/2026</t>
        </is>
      </c>
      <c r="M2866" s="51" t="inlineStr">
        <is>
          <t>42782 (Gestion cuisine) ; 42760 (Gastronomie) ; 42766 (Gestion hôtel restaurant bar) ; 32054 (Gestion des organisations)</t>
        </is>
      </c>
      <c r="N2866" s="62" t="inlineStr">
        <is>
          <t>NON</t>
        </is>
      </c>
      <c r="O2866" s="51" t="inlineStr"/>
    </row>
    <row r="2867" customFormat="1" s="4">
      <c r="A2867" s="45" t="n"/>
      <c r="B2867" s="46" t="inlineStr">
        <is>
          <t>32037</t>
        </is>
      </c>
      <c r="C2867" s="46">
        <f>LEFT(Tableau1[[#This Row],[Formacode]],3)</f>
        <v/>
      </c>
      <c r="D2867" s="47" t="n">
        <v>37949</v>
      </c>
      <c r="E2867" s="48">
        <f>"RNCP"&amp;D2867</f>
        <v/>
      </c>
      <c r="F2867" s="48" t="inlineStr">
        <is>
          <t>TP - Gestionnaire comptable et  fiscal</t>
        </is>
      </c>
      <c r="G2867" s="49">
        <f>E2867&amp;" - "&amp;F2867</f>
        <v/>
      </c>
      <c r="H2867" s="36" t="inlineStr">
        <is>
          <t>RAS</t>
        </is>
      </c>
      <c r="I2867" s="45" t="inlineStr"/>
      <c r="J2867" s="45" t="inlineStr">
        <is>
          <t>RNCP37949</t>
        </is>
      </c>
      <c r="K2867" s="45" t="inlineStr">
        <is>
          <t>Gestionnaire comptable et fiscal</t>
        </is>
      </c>
      <c r="L2867" s="45" t="inlineStr">
        <is>
          <t>01/12/2028</t>
        </is>
      </c>
      <c r="M2867" s="45" t="inlineStr">
        <is>
          <t>32663 (Comptabilité) ; 32054 (Gestion des organisations)</t>
        </is>
      </c>
      <c r="N2867" s="50" t="inlineStr">
        <is>
          <t>NON</t>
        </is>
      </c>
      <c r="O2867" s="45" t="inlineStr"/>
    </row>
    <row r="2868" customFormat="1" s="4">
      <c r="A2868" s="51" t="n"/>
      <c r="B2868" s="52" t="inlineStr">
        <is>
          <t>32037</t>
        </is>
      </c>
      <c r="C2868" s="52">
        <f>LEFT(Tableau1[[#This Row],[Formacode]],3)</f>
        <v/>
      </c>
      <c r="D2868" s="53" t="n">
        <v>37988</v>
      </c>
      <c r="E2868" s="54">
        <f>"RNCP"&amp;D2868</f>
        <v/>
      </c>
      <c r="F2868" s="54" t="inlineStr">
        <is>
          <t>Diplôme visé - Diplôme supérieur en marketing, vente et gestion</t>
        </is>
      </c>
      <c r="G2868" s="55">
        <f>E2868&amp;" - "&amp;F2868</f>
        <v/>
      </c>
      <c r="H2868" s="37" t="inlineStr">
        <is>
          <t>À vérifier</t>
        </is>
      </c>
      <c r="I2868" s="51" t="inlineStr">
        <is>
          <t>Successeur déjà publié : RNCP42254 (Diplôme supérieur en marketing, vente et gestion) — préparer la bascule de l'offre CPF | Échéance le 31/08/2026 (dans 44 j)</t>
        </is>
      </c>
      <c r="J2868" s="51" t="inlineStr">
        <is>
          <t>RNCP42254</t>
        </is>
      </c>
      <c r="K2868" s="51" t="inlineStr">
        <is>
          <t>Diplôme supérieur en marketing, vente et gestion</t>
        </is>
      </c>
      <c r="L2868" s="51" t="inlineStr">
        <is>
          <t>31/08/2026</t>
        </is>
      </c>
      <c r="M2868" s="51" t="inlineStr">
        <is>
          <t>34085 (Stratégie commerciale) ; 34052 (Marketing) ; 32154 (Encadrement management) ; 32054 (Gestion des organisations)</t>
        </is>
      </c>
      <c r="N2868" s="62" t="inlineStr">
        <is>
          <t>NON</t>
        </is>
      </c>
      <c r="O2868" s="51" t="inlineStr"/>
    </row>
    <row r="2869" customFormat="1" s="4">
      <c r="A2869" s="45" t="n"/>
      <c r="B2869" s="46" t="inlineStr">
        <is>
          <t>32037</t>
        </is>
      </c>
      <c r="C2869" s="46">
        <f>LEFT(Tableau1[[#This Row],[Formacode]],3)</f>
        <v/>
      </c>
      <c r="D2869" s="47" t="n">
        <v>39626</v>
      </c>
      <c r="E2869" s="48">
        <f>"RNCP"&amp;D2869</f>
        <v/>
      </c>
      <c r="F2869" s="48" t="inlineStr">
        <is>
          <t>Assistant de gestion des petites entreprises</t>
        </is>
      </c>
      <c r="G2869" s="49">
        <f>E2869&amp;" - "&amp;F2869</f>
        <v/>
      </c>
      <c r="H2869" s="36" t="inlineStr">
        <is>
          <t>RAS</t>
        </is>
      </c>
      <c r="I2869" s="45" t="inlineStr"/>
      <c r="J2869" s="45" t="inlineStr">
        <is>
          <t>RNCP39626</t>
        </is>
      </c>
      <c r="K2869" s="45" t="inlineStr">
        <is>
          <t>Assistant de gestion des petites entreprises</t>
        </is>
      </c>
      <c r="L2869" s="45" t="inlineStr">
        <is>
          <t>01/10/2029</t>
        </is>
      </c>
      <c r="M2869" s="45" t="inlineStr">
        <is>
          <t>35049 (Secrétariat assistanat comptabilité) ; 32054 (Gestion des organisations) ; 35007 (Secrétariat assistanat gestion PME PMI)</t>
        </is>
      </c>
      <c r="N2869" s="50" t="inlineStr">
        <is>
          <t>NON</t>
        </is>
      </c>
      <c r="O2869" s="45" t="inlineStr"/>
    </row>
    <row r="2870" customFormat="1" s="4">
      <c r="A2870" s="45" t="n"/>
      <c r="B2870" s="46" t="inlineStr">
        <is>
          <t>32037</t>
        </is>
      </c>
      <c r="C2870" s="46">
        <f>LEFT(Tableau1[[#This Row],[Formacode]],3)</f>
        <v/>
      </c>
      <c r="D2870" s="47" t="n">
        <v>41308</v>
      </c>
      <c r="E2870" s="48">
        <f>"RNCP"&amp;D2870</f>
        <v/>
      </c>
      <c r="F2870" s="48" t="inlineStr">
        <is>
          <t>Office manager</t>
        </is>
      </c>
      <c r="G2870" s="49">
        <f>E2870&amp;" - "&amp;F2870</f>
        <v/>
      </c>
      <c r="H2870" s="36" t="inlineStr">
        <is>
          <t>RAS</t>
        </is>
      </c>
      <c r="I2870" s="45" t="inlineStr"/>
      <c r="J2870" s="45" t="inlineStr">
        <is>
          <t>RNCP41308</t>
        </is>
      </c>
      <c r="K2870" s="45" t="inlineStr">
        <is>
          <t>Office manager</t>
        </is>
      </c>
      <c r="L2870" s="45" t="inlineStr">
        <is>
          <t>24/09/2028</t>
        </is>
      </c>
      <c r="M2870" s="45" t="inlineStr">
        <is>
          <t>35047 (Secrétariat assistanat direction) ; 32054 (Gestion des organisations)</t>
        </is>
      </c>
      <c r="N2870" s="50" t="inlineStr">
        <is>
          <t>NON</t>
        </is>
      </c>
      <c r="O2870" s="45" t="inlineStr"/>
    </row>
    <row r="2871" customFormat="1" s="4">
      <c r="A2871" s="45" t="n"/>
      <c r="B2871" s="46" t="inlineStr">
        <is>
          <t>32043</t>
        </is>
      </c>
      <c r="C2871" s="46">
        <f>LEFT(Tableau1[[#This Row],[Formacode]],3)</f>
        <v/>
      </c>
      <c r="D2871" s="47" t="n">
        <v>36420</v>
      </c>
      <c r="E2871" s="48">
        <f>"RNCP"&amp;D2871</f>
        <v/>
      </c>
      <c r="F2871" s="48" t="inlineStr">
        <is>
          <t>DIPLOVIS - Programme supérieur de gestion et de commerce</t>
        </is>
      </c>
      <c r="G2871" s="49">
        <f>E2871&amp;" - "&amp;F2871</f>
        <v/>
      </c>
      <c r="H2871" s="36" t="inlineStr">
        <is>
          <t>RAS</t>
        </is>
      </c>
      <c r="I2871" s="45" t="inlineStr"/>
      <c r="J2871" s="45" t="inlineStr">
        <is>
          <t>RNCP36420</t>
        </is>
      </c>
      <c r="K2871" s="45" t="inlineStr">
        <is>
          <t>Programme supérieur de gestion et de commerce</t>
        </is>
      </c>
      <c r="L2871" s="45" t="inlineStr">
        <is>
          <t>31/08/2027</t>
        </is>
      </c>
      <c r="M2871" s="45" t="inlineStr">
        <is>
          <t>32110 (Management opérationnel) ; 32135 (Conduite projet) ; 32054 (Gestion des organisations)</t>
        </is>
      </c>
      <c r="N2871" s="50" t="inlineStr">
        <is>
          <t>NON</t>
        </is>
      </c>
      <c r="O2871" s="45" t="inlineStr"/>
    </row>
    <row r="2872" customFormat="1" s="4">
      <c r="A2872" s="45" t="n"/>
      <c r="B2872" s="46" t="inlineStr">
        <is>
          <t>32043</t>
        </is>
      </c>
      <c r="C2872" s="46">
        <f>LEFT(Tableau1[[#This Row],[Formacode]],3)</f>
        <v/>
      </c>
      <c r="D2872" s="47" t="n">
        <v>36461</v>
      </c>
      <c r="E2872" s="48">
        <f>"RNCP"&amp;D2872</f>
        <v/>
      </c>
      <c r="F2872" s="48" t="inlineStr">
        <is>
          <t>Directeur d'unité opérationnelle</t>
        </is>
      </c>
      <c r="G2872" s="49">
        <f>E2872&amp;" - "&amp;F2872</f>
        <v/>
      </c>
      <c r="H2872" s="36" t="inlineStr">
        <is>
          <t>RAS</t>
        </is>
      </c>
      <c r="I2872" s="45" t="inlineStr"/>
      <c r="J2872" s="45" t="inlineStr">
        <is>
          <t>RNCP36461</t>
        </is>
      </c>
      <c r="K2872" s="45" t="inlineStr">
        <is>
          <t>Directeur d'unité opérationnelle</t>
        </is>
      </c>
      <c r="L2872" s="45" t="inlineStr">
        <is>
          <t>02/06/2027</t>
        </is>
      </c>
      <c r="M2872" s="45" t="inlineStr">
        <is>
          <t>32054 (Gestion des organisations) ; 32154 (Encadrement management)</t>
        </is>
      </c>
      <c r="N2872" s="50" t="inlineStr">
        <is>
          <t>NON</t>
        </is>
      </c>
      <c r="O2872" s="45" t="inlineStr"/>
    </row>
    <row r="2873" customFormat="1" s="4">
      <c r="A2873" s="45" t="n"/>
      <c r="B2873" s="46" t="inlineStr">
        <is>
          <t>32043</t>
        </is>
      </c>
      <c r="C2873" s="46">
        <f>LEFT(Tableau1[[#This Row],[Formacode]],3)</f>
        <v/>
      </c>
      <c r="D2873" s="47" t="n">
        <v>36677</v>
      </c>
      <c r="E2873" s="48">
        <f>"RNCP"&amp;D2873</f>
        <v/>
      </c>
      <c r="F2873" s="48" t="inlineStr">
        <is>
          <t>DIPLOVIS - Responsable en marketing, commercialisation et gestion</t>
        </is>
      </c>
      <c r="G2873" s="49">
        <f>E2873&amp;" - "&amp;F2873</f>
        <v/>
      </c>
      <c r="H2873" s="36" t="inlineStr">
        <is>
          <t>RAS</t>
        </is>
      </c>
      <c r="I2873" s="45" t="inlineStr"/>
      <c r="J2873" s="45" t="inlineStr">
        <is>
          <t>RNCP36677</t>
        </is>
      </c>
      <c r="K2873" s="45" t="inlineStr">
        <is>
          <t>Responsable en marketing, commercialisation et gestion</t>
        </is>
      </c>
      <c r="L2873" s="45" t="inlineStr">
        <is>
          <t>31/08/2027</t>
        </is>
      </c>
      <c r="M2873" s="45" t="inlineStr">
        <is>
          <t>34052 (Marketing) ; 34554 (Commerce) ; 32054 (Gestion des organisations)</t>
        </is>
      </c>
      <c r="N2873" s="50" t="inlineStr">
        <is>
          <t>NON</t>
        </is>
      </c>
      <c r="O2873" s="45" t="inlineStr"/>
    </row>
    <row r="2874" customFormat="1" s="4">
      <c r="A2874" s="45" t="n"/>
      <c r="B2874" s="46" t="inlineStr">
        <is>
          <t>32043</t>
        </is>
      </c>
      <c r="C2874" s="46">
        <f>LEFT(Tableau1[[#This Row],[Formacode]],3)</f>
        <v/>
      </c>
      <c r="D2874" s="47" t="n">
        <v>37645</v>
      </c>
      <c r="E2874" s="48">
        <f>"RNCP"&amp;D2874</f>
        <v/>
      </c>
      <c r="F2874" s="48" t="inlineStr">
        <is>
          <t>Cadre dirigeant</t>
        </is>
      </c>
      <c r="G2874" s="49">
        <f>E2874&amp;" - "&amp;F2874</f>
        <v/>
      </c>
      <c r="H2874" s="36" t="inlineStr">
        <is>
          <t>RAS</t>
        </is>
      </c>
      <c r="I2874" s="45" t="inlineStr"/>
      <c r="J2874" s="45" t="inlineStr">
        <is>
          <t>RNCP37645</t>
        </is>
      </c>
      <c r="K2874" s="45" t="inlineStr">
        <is>
          <t>Cadre dirigeant</t>
        </is>
      </c>
      <c r="L2874" s="45" t="inlineStr">
        <is>
          <t>31/05/2028</t>
        </is>
      </c>
      <c r="M2874" s="45" t="inlineStr">
        <is>
          <t>32054 (Gestion des organisations)</t>
        </is>
      </c>
      <c r="N2874" s="50" t="inlineStr">
        <is>
          <t>NON</t>
        </is>
      </c>
      <c r="O2874" s="45" t="inlineStr"/>
    </row>
    <row r="2875" customFormat="1" s="4">
      <c r="A2875" s="51" t="n"/>
      <c r="B2875" s="52" t="inlineStr">
        <is>
          <t>32043</t>
        </is>
      </c>
      <c r="C2875" s="52">
        <f>LEFT(Tableau1[[#This Row],[Formacode]],3)</f>
        <v/>
      </c>
      <c r="D2875" s="53" t="n">
        <v>37719</v>
      </c>
      <c r="E2875" s="54">
        <f>"RNCP"&amp;D2875</f>
        <v/>
      </c>
      <c r="F2875" s="54" t="inlineStr">
        <is>
          <t>DIPLOVIS - Diplôme en management international de l'hôtellerie et de la restauration</t>
        </is>
      </c>
      <c r="G2875" s="55">
        <f>E2875&amp;" - "&amp;F2875</f>
        <v/>
      </c>
      <c r="H2875" s="37" t="inlineStr">
        <is>
          <t>À vérifier</t>
        </is>
      </c>
      <c r="I2875" s="51" t="inlineStr">
        <is>
          <t>Échéance le 31/08/2026 (dans 44 j)</t>
        </is>
      </c>
      <c r="J2875" s="51" t="inlineStr">
        <is>
          <t>RNCP37719</t>
        </is>
      </c>
      <c r="K2875" s="51" t="inlineStr">
        <is>
          <t>Diplôme en management international de l'hôtellerie et de la restauration</t>
        </is>
      </c>
      <c r="L2875" s="51" t="inlineStr">
        <is>
          <t>31/08/2026</t>
        </is>
      </c>
      <c r="M2875" s="51" t="inlineStr">
        <is>
          <t>32054 (Gestion des organisations) ; 42754 (Hôtellerie restauration) ; 42627 (Gestion entreprise touristique)</t>
        </is>
      </c>
      <c r="N2875" s="62" t="inlineStr">
        <is>
          <t>NON</t>
        </is>
      </c>
      <c r="O2875" s="51" t="inlineStr"/>
    </row>
    <row r="2876" customFormat="1" s="4">
      <c r="A2876" s="51" t="n"/>
      <c r="B2876" s="52" t="inlineStr">
        <is>
          <t>32043</t>
        </is>
      </c>
      <c r="C2876" s="52">
        <f>LEFT(Tableau1[[#This Row],[Formacode]],3)</f>
        <v/>
      </c>
      <c r="D2876" s="53" t="n">
        <v>37824</v>
      </c>
      <c r="E2876" s="54">
        <f>"RNCP"&amp;D2876</f>
        <v/>
      </c>
      <c r="F2876" s="54" t="inlineStr">
        <is>
          <t>Expert-conseil en stratégie des filières agricoles et agroalimentaires</t>
        </is>
      </c>
      <c r="G2876" s="55">
        <f>E2876&amp;" - "&amp;F2876</f>
        <v/>
      </c>
      <c r="H2876" s="37" t="inlineStr">
        <is>
          <t>À vérifier</t>
        </is>
      </c>
      <c r="I2876" s="51" t="inlineStr">
        <is>
          <t>Successeur déjà publié : RNCP42476 (Expert-conseil en stratégie des filières agricoles et agroalimentaires) — préparer la bascule de l'offre CPF | Échéance le 19/07/2026 (dans 1 j)</t>
        </is>
      </c>
      <c r="J2876" s="51" t="inlineStr">
        <is>
          <t>RNCP42476</t>
        </is>
      </c>
      <c r="K2876" s="51" t="inlineStr">
        <is>
          <t>Expert-conseil en stratégie des filières agricoles et agroalimentaires</t>
        </is>
      </c>
      <c r="L2876" s="51" t="inlineStr">
        <is>
          <t>19/07/2026</t>
        </is>
      </c>
      <c r="M2876" s="51" t="inlineStr">
        <is>
          <t>13158 (Économie agricole) ; 21052 (Gestion exploitation agricole) ; 21084 (Commercialisation agricole) ; 21554 (Agroalimentaire)</t>
        </is>
      </c>
      <c r="N2876" s="62" t="inlineStr">
        <is>
          <t>NON</t>
        </is>
      </c>
      <c r="O2876" s="51" t="inlineStr"/>
    </row>
    <row r="2877" customFormat="1" s="4">
      <c r="A2877" s="51" t="n"/>
      <c r="B2877" s="52" t="inlineStr">
        <is>
          <t>32043</t>
        </is>
      </c>
      <c r="C2877" s="52">
        <f>LEFT(Tableau1[[#This Row],[Formacode]],3)</f>
        <v/>
      </c>
      <c r="D2877" s="53" t="n">
        <v>37932</v>
      </c>
      <c r="E2877" s="54">
        <f>"RNCP"&amp;D2877</f>
        <v/>
      </c>
      <c r="F2877" s="54" t="inlineStr">
        <is>
          <t>DIPLOVIS - Diplôme en Management International des Arts Culinaires</t>
        </is>
      </c>
      <c r="G2877" s="55">
        <f>E2877&amp;" - "&amp;F2877</f>
        <v/>
      </c>
      <c r="H2877" s="37" t="inlineStr">
        <is>
          <t>À vérifier</t>
        </is>
      </c>
      <c r="I2877" s="51" t="inlineStr">
        <is>
          <t>Successeur déjà publié : RNCP42267 (DIPLOVIS - Diplôme en management international des arts culinaires) — préparer la bascule de l'offre CPF | Échéance le 31/08/2026 (dans 44 j)</t>
        </is>
      </c>
      <c r="J2877" s="51" t="inlineStr">
        <is>
          <t>RNCP42267</t>
        </is>
      </c>
      <c r="K2877" s="51" t="inlineStr">
        <is>
          <t>DIPLOVIS - Diplôme en management international des arts culinaires</t>
        </is>
      </c>
      <c r="L2877" s="51" t="inlineStr">
        <is>
          <t>31/08/2026</t>
        </is>
      </c>
      <c r="M2877" s="51" t="inlineStr">
        <is>
          <t>42782 (Gestion cuisine) ; 42760 (Gastronomie) ; 42766 (Gestion hôtel restaurant bar) ; 32054 (Gestion des organisations)</t>
        </is>
      </c>
      <c r="N2877" s="62" t="inlineStr">
        <is>
          <t>NON</t>
        </is>
      </c>
      <c r="O2877" s="51" t="inlineStr"/>
    </row>
    <row r="2878" customFormat="1" s="4">
      <c r="A2878" s="45" t="n"/>
      <c r="B2878" s="46" t="inlineStr">
        <is>
          <t>32043</t>
        </is>
      </c>
      <c r="C2878" s="46">
        <f>LEFT(Tableau1[[#This Row],[Formacode]],3)</f>
        <v/>
      </c>
      <c r="D2878" s="47" t="n">
        <v>37949</v>
      </c>
      <c r="E2878" s="48">
        <f>"RNCP"&amp;D2878</f>
        <v/>
      </c>
      <c r="F2878" s="48" t="inlineStr">
        <is>
          <t>TP - Gestionnaire comptable et  fiscal</t>
        </is>
      </c>
      <c r="G2878" s="49">
        <f>E2878&amp;" - "&amp;F2878</f>
        <v/>
      </c>
      <c r="H2878" s="36" t="inlineStr">
        <is>
          <t>RAS</t>
        </is>
      </c>
      <c r="I2878" s="45" t="inlineStr"/>
      <c r="J2878" s="45" t="inlineStr">
        <is>
          <t>RNCP37949</t>
        </is>
      </c>
      <c r="K2878" s="45" t="inlineStr">
        <is>
          <t>Gestionnaire comptable et fiscal</t>
        </is>
      </c>
      <c r="L2878" s="45" t="inlineStr">
        <is>
          <t>01/12/2028</t>
        </is>
      </c>
      <c r="M2878" s="45" t="inlineStr">
        <is>
          <t>32663 (Comptabilité) ; 32054 (Gestion des organisations)</t>
        </is>
      </c>
      <c r="N2878" s="50" t="inlineStr">
        <is>
          <t>NON</t>
        </is>
      </c>
      <c r="O2878" s="45" t="inlineStr"/>
    </row>
    <row r="2879" customFormat="1" s="4">
      <c r="A2879" s="51" t="n"/>
      <c r="B2879" s="52" t="inlineStr">
        <is>
          <t>32043</t>
        </is>
      </c>
      <c r="C2879" s="52">
        <f>LEFT(Tableau1[[#This Row],[Formacode]],3)</f>
        <v/>
      </c>
      <c r="D2879" s="53" t="n">
        <v>37988</v>
      </c>
      <c r="E2879" s="54">
        <f>"RNCP"&amp;D2879</f>
        <v/>
      </c>
      <c r="F2879" s="54" t="inlineStr">
        <is>
          <t>Diplôme visé - Diplôme supérieur en marketing, vente et gestion</t>
        </is>
      </c>
      <c r="G2879" s="55">
        <f>E2879&amp;" - "&amp;F2879</f>
        <v/>
      </c>
      <c r="H2879" s="37" t="inlineStr">
        <is>
          <t>À vérifier</t>
        </is>
      </c>
      <c r="I2879" s="51" t="inlineStr">
        <is>
          <t>Successeur déjà publié : RNCP42254 (Diplôme supérieur en marketing, vente et gestion) — préparer la bascule de l'offre CPF | Échéance le 31/08/2026 (dans 44 j)</t>
        </is>
      </c>
      <c r="J2879" s="51" t="inlineStr">
        <is>
          <t>RNCP42254</t>
        </is>
      </c>
      <c r="K2879" s="51" t="inlineStr">
        <is>
          <t>Diplôme supérieur en marketing, vente et gestion</t>
        </is>
      </c>
      <c r="L2879" s="51" t="inlineStr">
        <is>
          <t>31/08/2026</t>
        </is>
      </c>
      <c r="M2879" s="51" t="inlineStr">
        <is>
          <t>34085 (Stratégie commerciale) ; 34052 (Marketing) ; 32154 (Encadrement management) ; 32054 (Gestion des organisations)</t>
        </is>
      </c>
      <c r="N2879" s="62" t="inlineStr">
        <is>
          <t>NON</t>
        </is>
      </c>
      <c r="O2879" s="51" t="inlineStr"/>
    </row>
    <row r="2880" customFormat="1" s="4">
      <c r="A2880" s="45" t="n"/>
      <c r="B2880" s="46" t="inlineStr">
        <is>
          <t>32043</t>
        </is>
      </c>
      <c r="C2880" s="46">
        <f>LEFT(Tableau1[[#This Row],[Formacode]],3)</f>
        <v/>
      </c>
      <c r="D2880" s="47" t="n">
        <v>38609</v>
      </c>
      <c r="E2880" s="48">
        <f>"RNCP"&amp;D2880</f>
        <v/>
      </c>
      <c r="F2880" s="48" t="inlineStr">
        <is>
          <t>Conseiller en droit rural et économie agricole</t>
        </is>
      </c>
      <c r="G2880" s="49">
        <f>E2880&amp;" - "&amp;F2880</f>
        <v/>
      </c>
      <c r="H2880" s="36" t="inlineStr">
        <is>
          <t>RAS</t>
        </is>
      </c>
      <c r="I2880" s="45" t="inlineStr"/>
      <c r="J2880" s="45" t="inlineStr">
        <is>
          <t>RNCP38609</t>
        </is>
      </c>
      <c r="K2880" s="45" t="inlineStr">
        <is>
          <t>Conseiller en droit rural et économie agricole</t>
        </is>
      </c>
      <c r="L2880" s="45" t="inlineStr">
        <is>
          <t>09/02/2027</t>
        </is>
      </c>
      <c r="M2880" s="45" t="inlineStr">
        <is>
          <t>13158 (Économie agricole) ; 21081 (Droit rural) ; 21060 (Installation agriculteur) ; 32043 (Conseil entreprise)</t>
        </is>
      </c>
      <c r="N2880" s="50" t="inlineStr">
        <is>
          <t>NON</t>
        </is>
      </c>
      <c r="O2880" s="45" t="inlineStr"/>
    </row>
    <row r="2881" customFormat="1" s="4">
      <c r="A2881" s="45" t="n"/>
      <c r="B2881" s="46" t="inlineStr">
        <is>
          <t>32043</t>
        </is>
      </c>
      <c r="C2881" s="46">
        <f>LEFT(Tableau1[[#This Row],[Formacode]],3)</f>
        <v/>
      </c>
      <c r="D2881" s="47" t="n">
        <v>38914</v>
      </c>
      <c r="E2881" s="48">
        <f>"RNCP"&amp;D2881</f>
        <v/>
      </c>
      <c r="F2881" s="48" t="inlineStr">
        <is>
          <t>Manager qualité sécurité environnement et performance durable de l'entreprise</t>
        </is>
      </c>
      <c r="G2881" s="49">
        <f>E2881&amp;" - "&amp;F2881</f>
        <v/>
      </c>
      <c r="H2881" s="36" t="inlineStr">
        <is>
          <t>RAS</t>
        </is>
      </c>
      <c r="I2881" s="45" t="inlineStr"/>
      <c r="J2881" s="45" t="inlineStr">
        <is>
          <t>RNCP38914</t>
        </is>
      </c>
      <c r="K2881" s="45" t="inlineStr">
        <is>
          <t>Manager qualité sécurité environnement et performance durable de l'entreprise</t>
        </is>
      </c>
      <c r="L2881" s="45" t="inlineStr">
        <is>
          <t>26/04/2028</t>
        </is>
      </c>
      <c r="M2881" s="45" t="inlineStr">
        <is>
          <t>31664 (Qualité gestion industrielle) ; 32008 (Responsabilité sociétale entreprise) ; 32012 (Gestion processus) ; 32043 (Conseil entreprise) ; 31407 (Qualité hygiène sécurité environnement)</t>
        </is>
      </c>
      <c r="N2881" s="50" t="inlineStr">
        <is>
          <t>NON</t>
        </is>
      </c>
      <c r="O2881" s="45" t="inlineStr"/>
    </row>
    <row r="2882" customFormat="1" s="4">
      <c r="A2882" s="45" t="n"/>
      <c r="B2882" s="46" t="inlineStr">
        <is>
          <t>32043</t>
        </is>
      </c>
      <c r="C2882" s="46">
        <f>LEFT(Tableau1[[#This Row],[Formacode]],3)</f>
        <v/>
      </c>
      <c r="D2882" s="47" t="n">
        <v>39626</v>
      </c>
      <c r="E2882" s="48">
        <f>"RNCP"&amp;D2882</f>
        <v/>
      </c>
      <c r="F2882" s="48" t="inlineStr">
        <is>
          <t>Assistant de gestion des petites entreprises</t>
        </is>
      </c>
      <c r="G2882" s="49">
        <f>E2882&amp;" - "&amp;F2882</f>
        <v/>
      </c>
      <c r="H2882" s="36" t="inlineStr">
        <is>
          <t>RAS</t>
        </is>
      </c>
      <c r="I2882" s="45" t="inlineStr"/>
      <c r="J2882" s="45" t="inlineStr">
        <is>
          <t>RNCP39626</t>
        </is>
      </c>
      <c r="K2882" s="45" t="inlineStr">
        <is>
          <t>Assistant de gestion des petites entreprises</t>
        </is>
      </c>
      <c r="L2882" s="45" t="inlineStr">
        <is>
          <t>01/10/2029</t>
        </is>
      </c>
      <c r="M2882" s="45" t="inlineStr">
        <is>
          <t>35049 (Secrétariat assistanat comptabilité) ; 32054 (Gestion des organisations) ; 35007 (Secrétariat assistanat gestion PME PMI)</t>
        </is>
      </c>
      <c r="N2882" s="50" t="inlineStr">
        <is>
          <t>NON</t>
        </is>
      </c>
      <c r="O2882" s="45" t="inlineStr"/>
    </row>
    <row r="2883" customFormat="1" s="4">
      <c r="A2883" s="51" t="n"/>
      <c r="B2883" s="52" t="inlineStr">
        <is>
          <t>32043</t>
        </is>
      </c>
      <c r="C2883" s="52">
        <f>LEFT(Tableau1[[#This Row],[Formacode]],3)</f>
        <v/>
      </c>
      <c r="D2883" s="53" t="n">
        <v>39786</v>
      </c>
      <c r="E2883" s="54">
        <f>"RNCP"&amp;D2883</f>
        <v/>
      </c>
      <c r="F2883" s="54" t="inlineStr">
        <is>
          <t>Coach professionnel</t>
        </is>
      </c>
      <c r="G2883" s="55">
        <f>E2883&amp;" - "&amp;F2883</f>
        <v/>
      </c>
      <c r="H2883" s="37" t="inlineStr">
        <is>
          <t>À vérifier</t>
        </is>
      </c>
      <c r="I2883" s="51" t="inlineStr">
        <is>
          <t>Successeur déjà publié : RNCP42473 (Coach professionnel) — préparer la bascule de l'offre CPF | Échéance le 31/10/2026 (dans 105 j)</t>
        </is>
      </c>
      <c r="J2883" s="51" t="inlineStr">
        <is>
          <t>RNCP42473</t>
        </is>
      </c>
      <c r="K2883" s="51" t="inlineStr">
        <is>
          <t>Coach professionnel</t>
        </is>
      </c>
      <c r="L2883" s="51" t="inlineStr">
        <is>
          <t>31/10/2026</t>
        </is>
      </c>
      <c r="M2883" s="51" t="inlineStr">
        <is>
          <t>32150 (Coaching entreprise) ; 32043 (Conseil entreprise)</t>
        </is>
      </c>
      <c r="N2883" s="62" t="inlineStr">
        <is>
          <t>NON</t>
        </is>
      </c>
      <c r="O2883" s="51" t="inlineStr"/>
    </row>
    <row r="2884" customFormat="1" s="4">
      <c r="A2884" s="45" t="n"/>
      <c r="B2884" s="46" t="inlineStr">
        <is>
          <t>32043</t>
        </is>
      </c>
      <c r="C2884" s="46">
        <f>LEFT(Tableau1[[#This Row],[Formacode]],3)</f>
        <v/>
      </c>
      <c r="D2884" s="47" t="n">
        <v>40353</v>
      </c>
      <c r="E2884" s="48">
        <f>"RNCP"&amp;D2884</f>
        <v/>
      </c>
      <c r="F2884" s="48" t="inlineStr">
        <is>
          <t>Manager des entreprises et des organisations</t>
        </is>
      </c>
      <c r="G2884" s="49">
        <f>E2884&amp;" - "&amp;F2884</f>
        <v/>
      </c>
      <c r="H2884" s="36" t="inlineStr">
        <is>
          <t>RAS</t>
        </is>
      </c>
      <c r="I2884" s="45" t="inlineStr"/>
      <c r="J2884" s="45" t="inlineStr">
        <is>
          <t>RNCP40353</t>
        </is>
      </c>
      <c r="K2884" s="45" t="inlineStr">
        <is>
          <t>Manager des entreprises et des organisations</t>
        </is>
      </c>
      <c r="L2884" s="45" t="inlineStr">
        <is>
          <t>28/03/2030</t>
        </is>
      </c>
      <c r="M2884" s="45" t="inlineStr">
        <is>
          <t>32043 (Conseil entreprise) ; 32047 (Création entreprise) ; 32025 (Stratégie entreprise)</t>
        </is>
      </c>
      <c r="N2884" s="50" t="inlineStr">
        <is>
          <t>NON</t>
        </is>
      </c>
      <c r="O2884" s="45" t="inlineStr"/>
    </row>
    <row r="2885" customFormat="1" s="4">
      <c r="A2885" s="45" t="n"/>
      <c r="B2885" s="46" t="inlineStr">
        <is>
          <t>32043</t>
        </is>
      </c>
      <c r="C2885" s="46">
        <f>LEFT(Tableau1[[#This Row],[Formacode]],3)</f>
        <v/>
      </c>
      <c r="D2885" s="47" t="n">
        <v>41308</v>
      </c>
      <c r="E2885" s="48">
        <f>"RNCP"&amp;D2885</f>
        <v/>
      </c>
      <c r="F2885" s="48" t="inlineStr">
        <is>
          <t>Office manager</t>
        </is>
      </c>
      <c r="G2885" s="49">
        <f>E2885&amp;" - "&amp;F2885</f>
        <v/>
      </c>
      <c r="H2885" s="36" t="inlineStr">
        <is>
          <t>RAS</t>
        </is>
      </c>
      <c r="I2885" s="45" t="inlineStr"/>
      <c r="J2885" s="45" t="inlineStr">
        <is>
          <t>RNCP41308</t>
        </is>
      </c>
      <c r="K2885" s="45" t="inlineStr">
        <is>
          <t>Office manager</t>
        </is>
      </c>
      <c r="L2885" s="45" t="inlineStr">
        <is>
          <t>24/09/2028</t>
        </is>
      </c>
      <c r="M2885" s="45" t="inlineStr">
        <is>
          <t>35047 (Secrétariat assistanat direction) ; 32054 (Gestion des organisations)</t>
        </is>
      </c>
      <c r="N2885" s="50" t="inlineStr">
        <is>
          <t>NON</t>
        </is>
      </c>
      <c r="O2885" s="45" t="inlineStr"/>
    </row>
    <row r="2886" customFormat="1" s="4">
      <c r="A2886" s="45" t="n"/>
      <c r="B2886" s="46" t="inlineStr">
        <is>
          <t>32047</t>
        </is>
      </c>
      <c r="C2886" s="46">
        <f>LEFT(Tableau1[[#This Row],[Formacode]],3)</f>
        <v/>
      </c>
      <c r="D2886" s="47" t="n">
        <v>36420</v>
      </c>
      <c r="E2886" s="48">
        <f>"RNCP"&amp;D2886</f>
        <v/>
      </c>
      <c r="F2886" s="48" t="inlineStr">
        <is>
          <t>DIPLOVIS - Programme supérieur de gestion et de commerce</t>
        </is>
      </c>
      <c r="G2886" s="49">
        <f>E2886&amp;" - "&amp;F2886</f>
        <v/>
      </c>
      <c r="H2886" s="36" t="inlineStr">
        <is>
          <t>RAS</t>
        </is>
      </c>
      <c r="I2886" s="45" t="inlineStr"/>
      <c r="J2886" s="45" t="inlineStr">
        <is>
          <t>RNCP36420</t>
        </is>
      </c>
      <c r="K2886" s="45" t="inlineStr">
        <is>
          <t>Programme supérieur de gestion et de commerce</t>
        </is>
      </c>
      <c r="L2886" s="45" t="inlineStr">
        <is>
          <t>31/08/2027</t>
        </is>
      </c>
      <c r="M2886" s="45" t="inlineStr">
        <is>
          <t>32110 (Management opérationnel) ; 32135 (Conduite projet) ; 32054 (Gestion des organisations)</t>
        </is>
      </c>
      <c r="N2886" s="50" t="inlineStr">
        <is>
          <t>NON</t>
        </is>
      </c>
      <c r="O2886" s="45" t="inlineStr"/>
    </row>
    <row r="2887" customFormat="1" s="4">
      <c r="A2887" s="45" t="n"/>
      <c r="B2887" s="46" t="inlineStr">
        <is>
          <t>32047</t>
        </is>
      </c>
      <c r="C2887" s="46">
        <f>LEFT(Tableau1[[#This Row],[Formacode]],3)</f>
        <v/>
      </c>
      <c r="D2887" s="47" t="n">
        <v>36461</v>
      </c>
      <c r="E2887" s="48">
        <f>"RNCP"&amp;D2887</f>
        <v/>
      </c>
      <c r="F2887" s="48" t="inlineStr">
        <is>
          <t>Directeur d'unité opérationnelle</t>
        </is>
      </c>
      <c r="G2887" s="49">
        <f>E2887&amp;" - "&amp;F2887</f>
        <v/>
      </c>
      <c r="H2887" s="36" t="inlineStr">
        <is>
          <t>RAS</t>
        </is>
      </c>
      <c r="I2887" s="45" t="inlineStr"/>
      <c r="J2887" s="45" t="inlineStr">
        <is>
          <t>RNCP36461</t>
        </is>
      </c>
      <c r="K2887" s="45" t="inlineStr">
        <is>
          <t>Directeur d'unité opérationnelle</t>
        </is>
      </c>
      <c r="L2887" s="45" t="inlineStr">
        <is>
          <t>02/06/2027</t>
        </is>
      </c>
      <c r="M2887" s="45" t="inlineStr">
        <is>
          <t>32054 (Gestion des organisations) ; 32154 (Encadrement management)</t>
        </is>
      </c>
      <c r="N2887" s="50" t="inlineStr">
        <is>
          <t>NON</t>
        </is>
      </c>
      <c r="O2887" s="45" t="inlineStr"/>
    </row>
    <row r="2888" customFormat="1" s="4">
      <c r="A2888" s="45" t="n"/>
      <c r="B2888" s="46" t="inlineStr">
        <is>
          <t>32047</t>
        </is>
      </c>
      <c r="C2888" s="46">
        <f>LEFT(Tableau1[[#This Row],[Formacode]],3)</f>
        <v/>
      </c>
      <c r="D2888" s="47" t="n">
        <v>36677</v>
      </c>
      <c r="E2888" s="48">
        <f>"RNCP"&amp;D2888</f>
        <v/>
      </c>
      <c r="F2888" s="48" t="inlineStr">
        <is>
          <t>DIPLOVIS - Responsable en marketing, commercialisation et gestion</t>
        </is>
      </c>
      <c r="G2888" s="49">
        <f>E2888&amp;" - "&amp;F2888</f>
        <v/>
      </c>
      <c r="H2888" s="36" t="inlineStr">
        <is>
          <t>RAS</t>
        </is>
      </c>
      <c r="I2888" s="45" t="inlineStr"/>
      <c r="J2888" s="45" t="inlineStr">
        <is>
          <t>RNCP36677</t>
        </is>
      </c>
      <c r="K2888" s="45" t="inlineStr">
        <is>
          <t>Responsable en marketing, commercialisation et gestion</t>
        </is>
      </c>
      <c r="L2888" s="45" t="inlineStr">
        <is>
          <t>31/08/2027</t>
        </is>
      </c>
      <c r="M2888" s="45" t="inlineStr">
        <is>
          <t>34052 (Marketing) ; 34554 (Commerce) ; 32054 (Gestion des organisations)</t>
        </is>
      </c>
      <c r="N2888" s="50" t="inlineStr">
        <is>
          <t>NON</t>
        </is>
      </c>
      <c r="O2888" s="45" t="inlineStr"/>
    </row>
    <row r="2889" customFormat="1" s="4">
      <c r="A2889" s="45" t="n"/>
      <c r="B2889" s="46" t="inlineStr">
        <is>
          <t>32047</t>
        </is>
      </c>
      <c r="C2889" s="46">
        <f>LEFT(Tableau1[[#This Row],[Formacode]],3)</f>
        <v/>
      </c>
      <c r="D2889" s="47" t="n">
        <v>37645</v>
      </c>
      <c r="E2889" s="48">
        <f>"RNCP"&amp;D2889</f>
        <v/>
      </c>
      <c r="F2889" s="48" t="inlineStr">
        <is>
          <t>Cadre dirigeant</t>
        </is>
      </c>
      <c r="G2889" s="49">
        <f>E2889&amp;" - "&amp;F2889</f>
        <v/>
      </c>
      <c r="H2889" s="36" t="inlineStr">
        <is>
          <t>RAS</t>
        </is>
      </c>
      <c r="I2889" s="45" t="inlineStr"/>
      <c r="J2889" s="45" t="inlineStr">
        <is>
          <t>RNCP37645</t>
        </is>
      </c>
      <c r="K2889" s="45" t="inlineStr">
        <is>
          <t>Cadre dirigeant</t>
        </is>
      </c>
      <c r="L2889" s="45" t="inlineStr">
        <is>
          <t>31/05/2028</t>
        </is>
      </c>
      <c r="M2889" s="45" t="inlineStr">
        <is>
          <t>32054 (Gestion des organisations)</t>
        </is>
      </c>
      <c r="N2889" s="50" t="inlineStr">
        <is>
          <t>NON</t>
        </is>
      </c>
      <c r="O2889" s="45" t="inlineStr"/>
    </row>
    <row r="2890" customFormat="1" s="4">
      <c r="A2890" s="51" t="n"/>
      <c r="B2890" s="52" t="inlineStr">
        <is>
          <t>32047</t>
        </is>
      </c>
      <c r="C2890" s="52">
        <f>LEFT(Tableau1[[#This Row],[Formacode]],3)</f>
        <v/>
      </c>
      <c r="D2890" s="53" t="n">
        <v>37719</v>
      </c>
      <c r="E2890" s="54">
        <f>"RNCP"&amp;D2890</f>
        <v/>
      </c>
      <c r="F2890" s="54" t="inlineStr">
        <is>
          <t>DIPLOVIS - Diplôme en management international de l'hôtellerie et de la restauration</t>
        </is>
      </c>
      <c r="G2890" s="55">
        <f>E2890&amp;" - "&amp;F2890</f>
        <v/>
      </c>
      <c r="H2890" s="37" t="inlineStr">
        <is>
          <t>À vérifier</t>
        </is>
      </c>
      <c r="I2890" s="51" t="inlineStr">
        <is>
          <t>Échéance le 31/08/2026 (dans 44 j)</t>
        </is>
      </c>
      <c r="J2890" s="51" t="inlineStr">
        <is>
          <t>RNCP37719</t>
        </is>
      </c>
      <c r="K2890" s="51" t="inlineStr">
        <is>
          <t>Diplôme en management international de l'hôtellerie et de la restauration</t>
        </is>
      </c>
      <c r="L2890" s="51" t="inlineStr">
        <is>
          <t>31/08/2026</t>
        </is>
      </c>
      <c r="M2890" s="51" t="inlineStr">
        <is>
          <t>32054 (Gestion des organisations) ; 42754 (Hôtellerie restauration) ; 42627 (Gestion entreprise touristique)</t>
        </is>
      </c>
      <c r="N2890" s="62" t="inlineStr">
        <is>
          <t>NON</t>
        </is>
      </c>
      <c r="O2890" s="51" t="inlineStr"/>
    </row>
    <row r="2891" customFormat="1" s="4">
      <c r="A2891" s="51" t="n"/>
      <c r="B2891" s="52" t="inlineStr">
        <is>
          <t>32047</t>
        </is>
      </c>
      <c r="C2891" s="52">
        <f>LEFT(Tableau1[[#This Row],[Formacode]],3)</f>
        <v/>
      </c>
      <c r="D2891" s="53" t="n">
        <v>37932</v>
      </c>
      <c r="E2891" s="54">
        <f>"RNCP"&amp;D2891</f>
        <v/>
      </c>
      <c r="F2891" s="54" t="inlineStr">
        <is>
          <t>DIPLOVIS - Diplôme en Management International des Arts Culinaires</t>
        </is>
      </c>
      <c r="G2891" s="55">
        <f>E2891&amp;" - "&amp;F2891</f>
        <v/>
      </c>
      <c r="H2891" s="37" t="inlineStr">
        <is>
          <t>À vérifier</t>
        </is>
      </c>
      <c r="I2891" s="51" t="inlineStr">
        <is>
          <t>Successeur déjà publié : RNCP42267 (DIPLOVIS - Diplôme en management international des arts culinaires) — préparer la bascule de l'offre CPF | Échéance le 31/08/2026 (dans 44 j)</t>
        </is>
      </c>
      <c r="J2891" s="51" t="inlineStr">
        <is>
          <t>RNCP42267</t>
        </is>
      </c>
      <c r="K2891" s="51" t="inlineStr">
        <is>
          <t>DIPLOVIS - Diplôme en management international des arts culinaires</t>
        </is>
      </c>
      <c r="L2891" s="51" t="inlineStr">
        <is>
          <t>31/08/2026</t>
        </is>
      </c>
      <c r="M2891" s="51" t="inlineStr">
        <is>
          <t>42782 (Gestion cuisine) ; 42760 (Gastronomie) ; 42766 (Gestion hôtel restaurant bar) ; 32054 (Gestion des organisations)</t>
        </is>
      </c>
      <c r="N2891" s="62" t="inlineStr">
        <is>
          <t>NON</t>
        </is>
      </c>
      <c r="O2891" s="51" t="inlineStr"/>
    </row>
    <row r="2892" customFormat="1" s="4">
      <c r="A2892" s="45" t="n"/>
      <c r="B2892" s="46" t="inlineStr">
        <is>
          <t>32047</t>
        </is>
      </c>
      <c r="C2892" s="46">
        <f>LEFT(Tableau1[[#This Row],[Formacode]],3)</f>
        <v/>
      </c>
      <c r="D2892" s="47" t="n">
        <v>37949</v>
      </c>
      <c r="E2892" s="48">
        <f>"RNCP"&amp;D2892</f>
        <v/>
      </c>
      <c r="F2892" s="48" t="inlineStr">
        <is>
          <t>TP - Gestionnaire comptable et  fiscal</t>
        </is>
      </c>
      <c r="G2892" s="49">
        <f>E2892&amp;" - "&amp;F2892</f>
        <v/>
      </c>
      <c r="H2892" s="36" t="inlineStr">
        <is>
          <t>RAS</t>
        </is>
      </c>
      <c r="I2892" s="45" t="inlineStr"/>
      <c r="J2892" s="45" t="inlineStr">
        <is>
          <t>RNCP37949</t>
        </is>
      </c>
      <c r="K2892" s="45" t="inlineStr">
        <is>
          <t>Gestionnaire comptable et fiscal</t>
        </is>
      </c>
      <c r="L2892" s="45" t="inlineStr">
        <is>
          <t>01/12/2028</t>
        </is>
      </c>
      <c r="M2892" s="45" t="inlineStr">
        <is>
          <t>32663 (Comptabilité) ; 32054 (Gestion des organisations)</t>
        </is>
      </c>
      <c r="N2892" s="50" t="inlineStr">
        <is>
          <t>NON</t>
        </is>
      </c>
      <c r="O2892" s="45" t="inlineStr"/>
    </row>
    <row r="2893" customFormat="1" s="4">
      <c r="A2893" s="51" t="n"/>
      <c r="B2893" s="52" t="inlineStr">
        <is>
          <t>32047</t>
        </is>
      </c>
      <c r="C2893" s="52">
        <f>LEFT(Tableau1[[#This Row],[Formacode]],3)</f>
        <v/>
      </c>
      <c r="D2893" s="53" t="n">
        <v>37988</v>
      </c>
      <c r="E2893" s="54">
        <f>"RNCP"&amp;D2893</f>
        <v/>
      </c>
      <c r="F2893" s="54" t="inlineStr">
        <is>
          <t>Diplôme visé - Diplôme supérieur en marketing, vente et gestion</t>
        </is>
      </c>
      <c r="G2893" s="55">
        <f>E2893&amp;" - "&amp;F2893</f>
        <v/>
      </c>
      <c r="H2893" s="37" t="inlineStr">
        <is>
          <t>À vérifier</t>
        </is>
      </c>
      <c r="I2893" s="51" t="inlineStr">
        <is>
          <t>Successeur déjà publié : RNCP42254 (Diplôme supérieur en marketing, vente et gestion) — préparer la bascule de l'offre CPF | Échéance le 31/08/2026 (dans 44 j)</t>
        </is>
      </c>
      <c r="J2893" s="51" t="inlineStr">
        <is>
          <t>RNCP42254</t>
        </is>
      </c>
      <c r="K2893" s="51" t="inlineStr">
        <is>
          <t>Diplôme supérieur en marketing, vente et gestion</t>
        </is>
      </c>
      <c r="L2893" s="51" t="inlineStr">
        <is>
          <t>31/08/2026</t>
        </is>
      </c>
      <c r="M2893" s="51" t="inlineStr">
        <is>
          <t>34085 (Stratégie commerciale) ; 34052 (Marketing) ; 32154 (Encadrement management) ; 32054 (Gestion des organisations)</t>
        </is>
      </c>
      <c r="N2893" s="62" t="inlineStr">
        <is>
          <t>NON</t>
        </is>
      </c>
      <c r="O2893" s="51" t="inlineStr"/>
    </row>
    <row r="2894" customFormat="1" s="4">
      <c r="A2894" s="45" t="n"/>
      <c r="B2894" s="46" t="inlineStr">
        <is>
          <t>32047</t>
        </is>
      </c>
      <c r="C2894" s="46">
        <f>LEFT(Tableau1[[#This Row],[Formacode]],3)</f>
        <v/>
      </c>
      <c r="D2894" s="47" t="n">
        <v>38825</v>
      </c>
      <c r="E2894" s="48">
        <f>"RNCP"&amp;D2894</f>
        <v/>
      </c>
      <c r="F2894" s="48" t="inlineStr">
        <is>
          <t>Manager des organisations</t>
        </is>
      </c>
      <c r="G2894" s="49">
        <f>E2894&amp;" - "&amp;F2894</f>
        <v/>
      </c>
      <c r="H2894" s="36" t="inlineStr">
        <is>
          <t>RAS</t>
        </is>
      </c>
      <c r="I2894" s="45" t="inlineStr"/>
      <c r="J2894" s="45" t="inlineStr">
        <is>
          <t>RNCP38825</t>
        </is>
      </c>
      <c r="K2894" s="45" t="inlineStr">
        <is>
          <t>Manager des organisations</t>
        </is>
      </c>
      <c r="L2894" s="45" t="inlineStr">
        <is>
          <t>27/03/2029</t>
        </is>
      </c>
      <c r="M2894" s="45" t="inlineStr">
        <is>
          <t>32047 (Création entreprise) ; 32024 (Gestion centre profit) ; 32014 (Conseil administration) ; 13263 (Responsabilité dirigeant)</t>
        </is>
      </c>
      <c r="N2894" s="50" t="inlineStr">
        <is>
          <t>NON</t>
        </is>
      </c>
      <c r="O2894" s="45" t="inlineStr"/>
    </row>
    <row r="2895" customFormat="1" s="4">
      <c r="A2895" s="51" t="n"/>
      <c r="B2895" s="52" t="inlineStr">
        <is>
          <t>32047</t>
        </is>
      </c>
      <c r="C2895" s="52">
        <f>LEFT(Tableau1[[#This Row],[Formacode]],3)</f>
        <v/>
      </c>
      <c r="D2895" s="53" t="n">
        <v>39160</v>
      </c>
      <c r="E2895" s="54">
        <f>"RNCP"&amp;D2895</f>
        <v/>
      </c>
      <c r="F2895" s="54" t="inlineStr">
        <is>
          <t>Diplôme visé grade de master - Programme Grande Ecole</t>
        </is>
      </c>
      <c r="G2895" s="55">
        <f>E2895&amp;" - "&amp;F2895</f>
        <v/>
      </c>
      <c r="H2895" s="37" t="inlineStr">
        <is>
          <t>À vérifier</t>
        </is>
      </c>
      <c r="I2895" s="51" t="inlineStr">
        <is>
          <t>Échéance le 31/08/2026 (dans 44 j)</t>
        </is>
      </c>
      <c r="J2895" s="51" t="inlineStr">
        <is>
          <t>RNCP39160</t>
        </is>
      </c>
      <c r="K2895" s="51" t="inlineStr">
        <is>
          <t>Programme Grande Ecole</t>
        </is>
      </c>
      <c r="L2895" s="51" t="inlineStr">
        <is>
          <t>31/08/2026</t>
        </is>
      </c>
      <c r="M2895" s="51" t="inlineStr">
        <is>
          <t>32025 (Stratégie entreprise) ; 32008 (Responsabilité sociétale entreprise) ; 32047 (Création entreprise) ; 32654 (Gestion financière comptabilité) ; 32154 (Encadrement management)</t>
        </is>
      </c>
      <c r="N2895" s="62" t="inlineStr">
        <is>
          <t>NON</t>
        </is>
      </c>
      <c r="O2895" s="51" t="inlineStr"/>
    </row>
    <row r="2896" customFormat="1" s="4">
      <c r="A2896" s="45" t="n"/>
      <c r="B2896" s="46" t="inlineStr">
        <is>
          <t>32047</t>
        </is>
      </c>
      <c r="C2896" s="46">
        <f>LEFT(Tableau1[[#This Row],[Formacode]],3)</f>
        <v/>
      </c>
      <c r="D2896" s="47" t="n">
        <v>39626</v>
      </c>
      <c r="E2896" s="48">
        <f>"RNCP"&amp;D2896</f>
        <v/>
      </c>
      <c r="F2896" s="48" t="inlineStr">
        <is>
          <t>Assistant de gestion des petites entreprises</t>
        </is>
      </c>
      <c r="G2896" s="49">
        <f>E2896&amp;" - "&amp;F2896</f>
        <v/>
      </c>
      <c r="H2896" s="36" t="inlineStr">
        <is>
          <t>RAS</t>
        </is>
      </c>
      <c r="I2896" s="45" t="inlineStr"/>
      <c r="J2896" s="45" t="inlineStr">
        <is>
          <t>RNCP39626</t>
        </is>
      </c>
      <c r="K2896" s="45" t="inlineStr">
        <is>
          <t>Assistant de gestion des petites entreprises</t>
        </is>
      </c>
      <c r="L2896" s="45" t="inlineStr">
        <is>
          <t>01/10/2029</t>
        </is>
      </c>
      <c r="M2896" s="45" t="inlineStr">
        <is>
          <t>35049 (Secrétariat assistanat comptabilité) ; 32054 (Gestion des organisations) ; 35007 (Secrétariat assistanat gestion PME PMI)</t>
        </is>
      </c>
      <c r="N2896" s="50" t="inlineStr">
        <is>
          <t>NON</t>
        </is>
      </c>
      <c r="O2896" s="45" t="inlineStr"/>
    </row>
    <row r="2897" customFormat="1" s="4">
      <c r="A2897" s="45" t="n"/>
      <c r="B2897" s="46" t="inlineStr">
        <is>
          <t>32047</t>
        </is>
      </c>
      <c r="C2897" s="46">
        <f>LEFT(Tableau1[[#This Row],[Formacode]],3)</f>
        <v/>
      </c>
      <c r="D2897" s="47" t="n">
        <v>39836</v>
      </c>
      <c r="E2897" s="48">
        <f>"RNCP"&amp;D2897</f>
        <v/>
      </c>
      <c r="F2897" s="48" t="inlineStr">
        <is>
          <t>BTSA - ACS'AGRI : Analyse, Conduite et Stratégie de l'entreprise Agricole</t>
        </is>
      </c>
      <c r="G2897" s="49">
        <f>E2897&amp;" - "&amp;F2897</f>
        <v/>
      </c>
      <c r="H2897" s="36" t="inlineStr">
        <is>
          <t>RAS</t>
        </is>
      </c>
      <c r="I2897" s="45" t="inlineStr"/>
      <c r="J2897" s="45" t="inlineStr">
        <is>
          <t>RNCP39836</t>
        </is>
      </c>
      <c r="K2897" s="45" t="inlineStr">
        <is>
          <t>ACS'AGRI : Analyse, Conduite et Stratégie de l'entreprise Agricole</t>
        </is>
      </c>
      <c r="L2897" s="45" t="inlineStr">
        <is>
          <t>01/08/2030</t>
        </is>
      </c>
      <c r="M2897" s="45" t="inlineStr">
        <is>
          <t>21052 (Gestion exploitation agricole) ; 32047 (Création entreprise) ; 12598 (Environnement agriculture) ; 21056 (Élevage)</t>
        </is>
      </c>
      <c r="N2897" s="50" t="inlineStr">
        <is>
          <t>NON</t>
        </is>
      </c>
      <c r="O2897" s="45" t="inlineStr"/>
    </row>
    <row r="2898" customFormat="1" s="4">
      <c r="A2898" s="45" t="n"/>
      <c r="B2898" s="46" t="inlineStr">
        <is>
          <t>32047</t>
        </is>
      </c>
      <c r="C2898" s="46">
        <f>LEFT(Tableau1[[#This Row],[Formacode]],3)</f>
        <v/>
      </c>
      <c r="D2898" s="47" t="n">
        <v>40353</v>
      </c>
      <c r="E2898" s="48">
        <f>"RNCP"&amp;D2898</f>
        <v/>
      </c>
      <c r="F2898" s="48" t="inlineStr">
        <is>
          <t>Manager des entreprises et des organisations</t>
        </is>
      </c>
      <c r="G2898" s="49">
        <f>E2898&amp;" - "&amp;F2898</f>
        <v/>
      </c>
      <c r="H2898" s="36" t="inlineStr">
        <is>
          <t>RAS</t>
        </is>
      </c>
      <c r="I2898" s="45" t="inlineStr"/>
      <c r="J2898" s="45" t="inlineStr">
        <is>
          <t>RNCP40353</t>
        </is>
      </c>
      <c r="K2898" s="45" t="inlineStr">
        <is>
          <t>Manager des entreprises et des organisations</t>
        </is>
      </c>
      <c r="L2898" s="45" t="inlineStr">
        <is>
          <t>28/03/2030</t>
        </is>
      </c>
      <c r="M2898" s="45" t="inlineStr">
        <is>
          <t>32043 (Conseil entreprise) ; 32047 (Création entreprise) ; 32025 (Stratégie entreprise)</t>
        </is>
      </c>
      <c r="N2898" s="50" t="inlineStr">
        <is>
          <t>NON</t>
        </is>
      </c>
      <c r="O2898" s="45" t="inlineStr"/>
    </row>
    <row r="2899" customFormat="1" s="4">
      <c r="A2899" s="45" t="n"/>
      <c r="B2899" s="46" t="inlineStr">
        <is>
          <t>32047</t>
        </is>
      </c>
      <c r="C2899" s="46">
        <f>LEFT(Tableau1[[#This Row],[Formacode]],3)</f>
        <v/>
      </c>
      <c r="D2899" s="47" t="n">
        <v>41308</v>
      </c>
      <c r="E2899" s="48">
        <f>"RNCP"&amp;D2899</f>
        <v/>
      </c>
      <c r="F2899" s="48" t="inlineStr">
        <is>
          <t>Office manager</t>
        </is>
      </c>
      <c r="G2899" s="49">
        <f>E2899&amp;" - "&amp;F2899</f>
        <v/>
      </c>
      <c r="H2899" s="36" t="inlineStr">
        <is>
          <t>RAS</t>
        </is>
      </c>
      <c r="I2899" s="45" t="inlineStr"/>
      <c r="J2899" s="45" t="inlineStr">
        <is>
          <t>RNCP41308</t>
        </is>
      </c>
      <c r="K2899" s="45" t="inlineStr">
        <is>
          <t>Office manager</t>
        </is>
      </c>
      <c r="L2899" s="45" t="inlineStr">
        <is>
          <t>24/09/2028</t>
        </is>
      </c>
      <c r="M2899" s="45" t="inlineStr">
        <is>
          <t>35047 (Secrétariat assistanat direction) ; 32054 (Gestion des organisations)</t>
        </is>
      </c>
      <c r="N2899" s="50" t="inlineStr">
        <is>
          <t>NON</t>
        </is>
      </c>
      <c r="O2899" s="45" t="inlineStr"/>
    </row>
    <row r="2900" customFormat="1" s="4">
      <c r="A2900" s="45" t="n"/>
      <c r="B2900" s="46" t="inlineStr">
        <is>
          <t>32047</t>
        </is>
      </c>
      <c r="C2900" s="46">
        <f>LEFT(Tableau1[[#This Row],[Formacode]],3)</f>
        <v/>
      </c>
      <c r="D2900" s="47" t="n">
        <v>41697</v>
      </c>
      <c r="E2900" s="48">
        <f>"RNCP"&amp;D2900</f>
        <v/>
      </c>
      <c r="F2900" s="48" t="inlineStr">
        <is>
          <t>Dirigeant d'entreprise</t>
        </is>
      </c>
      <c r="G2900" s="49">
        <f>E2900&amp;" - "&amp;F2900</f>
        <v/>
      </c>
      <c r="H2900" s="36" t="inlineStr">
        <is>
          <t>RAS</t>
        </is>
      </c>
      <c r="I2900" s="45" t="inlineStr"/>
      <c r="J2900" s="45" t="inlineStr">
        <is>
          <t>RNCP41697</t>
        </is>
      </c>
      <c r="K2900" s="45" t="inlineStr">
        <is>
          <t>Dirigeant d'entreprise</t>
        </is>
      </c>
      <c r="L2900" s="45" t="inlineStr">
        <is>
          <t>27/11/2030</t>
        </is>
      </c>
      <c r="M2900" s="45" t="inlineStr">
        <is>
          <t>32008 (Responsabilité sociétale entreprise) ; 32025 (Stratégie entreprise) ; 32047 (Création entreprise) ; 32094 (Gestion PME PMI)</t>
        </is>
      </c>
      <c r="N2900" s="50" t="inlineStr">
        <is>
          <t>NON</t>
        </is>
      </c>
      <c r="O2900" s="45" t="inlineStr"/>
    </row>
    <row r="2901" customFormat="1" s="4">
      <c r="A2901" s="45" t="n"/>
      <c r="B2901" s="46" t="inlineStr">
        <is>
          <t>32048</t>
        </is>
      </c>
      <c r="C2901" s="46">
        <f>LEFT(Tableau1[[#This Row],[Formacode]],3)</f>
        <v/>
      </c>
      <c r="D2901" s="47" t="n">
        <v>36420</v>
      </c>
      <c r="E2901" s="48">
        <f>"RNCP"&amp;D2901</f>
        <v/>
      </c>
      <c r="F2901" s="48" t="inlineStr">
        <is>
          <t>DIPLOVIS - Programme supérieur de gestion et de commerce</t>
        </is>
      </c>
      <c r="G2901" s="49">
        <f>E2901&amp;" - "&amp;F2901</f>
        <v/>
      </c>
      <c r="H2901" s="36" t="inlineStr">
        <is>
          <t>RAS</t>
        </is>
      </c>
      <c r="I2901" s="45" t="inlineStr"/>
      <c r="J2901" s="45" t="inlineStr">
        <is>
          <t>RNCP36420</t>
        </is>
      </c>
      <c r="K2901" s="45" t="inlineStr">
        <is>
          <t>Programme supérieur de gestion et de commerce</t>
        </is>
      </c>
      <c r="L2901" s="45" t="inlineStr">
        <is>
          <t>31/08/2027</t>
        </is>
      </c>
      <c r="M2901" s="45" t="inlineStr">
        <is>
          <t>32110 (Management opérationnel) ; 32135 (Conduite projet) ; 32054 (Gestion des organisations)</t>
        </is>
      </c>
      <c r="N2901" s="50" t="inlineStr">
        <is>
          <t>NON</t>
        </is>
      </c>
      <c r="O2901" s="45" t="inlineStr"/>
    </row>
    <row r="2902" customFormat="1" s="4">
      <c r="A2902" s="45" t="n"/>
      <c r="B2902" s="46" t="inlineStr">
        <is>
          <t>32048</t>
        </is>
      </c>
      <c r="C2902" s="46">
        <f>LEFT(Tableau1[[#This Row],[Formacode]],3)</f>
        <v/>
      </c>
      <c r="D2902" s="47" t="n">
        <v>36461</v>
      </c>
      <c r="E2902" s="48">
        <f>"RNCP"&amp;D2902</f>
        <v/>
      </c>
      <c r="F2902" s="48" t="inlineStr">
        <is>
          <t>Directeur d'unité opérationnelle</t>
        </is>
      </c>
      <c r="G2902" s="49">
        <f>E2902&amp;" - "&amp;F2902</f>
        <v/>
      </c>
      <c r="H2902" s="36" t="inlineStr">
        <is>
          <t>RAS</t>
        </is>
      </c>
      <c r="I2902" s="45" t="inlineStr"/>
      <c r="J2902" s="45" t="inlineStr">
        <is>
          <t>RNCP36461</t>
        </is>
      </c>
      <c r="K2902" s="45" t="inlineStr">
        <is>
          <t>Directeur d'unité opérationnelle</t>
        </is>
      </c>
      <c r="L2902" s="45" t="inlineStr">
        <is>
          <t>02/06/2027</t>
        </is>
      </c>
      <c r="M2902" s="45" t="inlineStr">
        <is>
          <t>32054 (Gestion des organisations) ; 32154 (Encadrement management)</t>
        </is>
      </c>
      <c r="N2902" s="50" t="inlineStr">
        <is>
          <t>NON</t>
        </is>
      </c>
      <c r="O2902" s="45" t="inlineStr"/>
    </row>
    <row r="2903" customFormat="1" s="4">
      <c r="A2903" s="45" t="n"/>
      <c r="B2903" s="46" t="inlineStr">
        <is>
          <t>32048</t>
        </is>
      </c>
      <c r="C2903" s="46">
        <f>LEFT(Tableau1[[#This Row],[Formacode]],3)</f>
        <v/>
      </c>
      <c r="D2903" s="47" t="n">
        <v>36677</v>
      </c>
      <c r="E2903" s="48">
        <f>"RNCP"&amp;D2903</f>
        <v/>
      </c>
      <c r="F2903" s="48" t="inlineStr">
        <is>
          <t>DIPLOVIS - Responsable en marketing, commercialisation et gestion</t>
        </is>
      </c>
      <c r="G2903" s="49">
        <f>E2903&amp;" - "&amp;F2903</f>
        <v/>
      </c>
      <c r="H2903" s="36" t="inlineStr">
        <is>
          <t>RAS</t>
        </is>
      </c>
      <c r="I2903" s="45" t="inlineStr"/>
      <c r="J2903" s="45" t="inlineStr">
        <is>
          <t>RNCP36677</t>
        </is>
      </c>
      <c r="K2903" s="45" t="inlineStr">
        <is>
          <t>Responsable en marketing, commercialisation et gestion</t>
        </is>
      </c>
      <c r="L2903" s="45" t="inlineStr">
        <is>
          <t>31/08/2027</t>
        </is>
      </c>
      <c r="M2903" s="45" t="inlineStr">
        <is>
          <t>34052 (Marketing) ; 34554 (Commerce) ; 32054 (Gestion des organisations)</t>
        </is>
      </c>
      <c r="N2903" s="50" t="inlineStr">
        <is>
          <t>NON</t>
        </is>
      </c>
      <c r="O2903" s="45" t="inlineStr"/>
    </row>
    <row r="2904" customFormat="1" s="4">
      <c r="A2904" s="45" t="n"/>
      <c r="B2904" s="46" t="inlineStr">
        <is>
          <t>32048</t>
        </is>
      </c>
      <c r="C2904" s="46">
        <f>LEFT(Tableau1[[#This Row],[Formacode]],3)</f>
        <v/>
      </c>
      <c r="D2904" s="47" t="n">
        <v>37645</v>
      </c>
      <c r="E2904" s="48">
        <f>"RNCP"&amp;D2904</f>
        <v/>
      </c>
      <c r="F2904" s="48" t="inlineStr">
        <is>
          <t>Cadre dirigeant</t>
        </is>
      </c>
      <c r="G2904" s="49">
        <f>E2904&amp;" - "&amp;F2904</f>
        <v/>
      </c>
      <c r="H2904" s="36" t="inlineStr">
        <is>
          <t>RAS</t>
        </is>
      </c>
      <c r="I2904" s="45" t="inlineStr"/>
      <c r="J2904" s="45" t="inlineStr">
        <is>
          <t>RNCP37645</t>
        </is>
      </c>
      <c r="K2904" s="45" t="inlineStr">
        <is>
          <t>Cadre dirigeant</t>
        </is>
      </c>
      <c r="L2904" s="45" t="inlineStr">
        <is>
          <t>31/05/2028</t>
        </is>
      </c>
      <c r="M2904" s="45" t="inlineStr">
        <is>
          <t>32054 (Gestion des organisations)</t>
        </is>
      </c>
      <c r="N2904" s="50" t="inlineStr">
        <is>
          <t>NON</t>
        </is>
      </c>
      <c r="O2904" s="45" t="inlineStr"/>
    </row>
    <row r="2905" customFormat="1" s="4">
      <c r="A2905" s="51" t="n"/>
      <c r="B2905" s="52" t="inlineStr">
        <is>
          <t>32048</t>
        </is>
      </c>
      <c r="C2905" s="52">
        <f>LEFT(Tableau1[[#This Row],[Formacode]],3)</f>
        <v/>
      </c>
      <c r="D2905" s="53" t="n">
        <v>37719</v>
      </c>
      <c r="E2905" s="54">
        <f>"RNCP"&amp;D2905</f>
        <v/>
      </c>
      <c r="F2905" s="54" t="inlineStr">
        <is>
          <t>DIPLOVIS - Diplôme en management international de l'hôtellerie et de la restauration</t>
        </is>
      </c>
      <c r="G2905" s="55">
        <f>E2905&amp;" - "&amp;F2905</f>
        <v/>
      </c>
      <c r="H2905" s="37" t="inlineStr">
        <is>
          <t>À vérifier</t>
        </is>
      </c>
      <c r="I2905" s="51" t="inlineStr">
        <is>
          <t>Échéance le 31/08/2026 (dans 44 j)</t>
        </is>
      </c>
      <c r="J2905" s="51" t="inlineStr">
        <is>
          <t>RNCP37719</t>
        </is>
      </c>
      <c r="K2905" s="51" t="inlineStr">
        <is>
          <t>Diplôme en management international de l'hôtellerie et de la restauration</t>
        </is>
      </c>
      <c r="L2905" s="51" t="inlineStr">
        <is>
          <t>31/08/2026</t>
        </is>
      </c>
      <c r="M2905" s="51" t="inlineStr">
        <is>
          <t>32054 (Gestion des organisations) ; 42754 (Hôtellerie restauration) ; 42627 (Gestion entreprise touristique)</t>
        </is>
      </c>
      <c r="N2905" s="62" t="inlineStr">
        <is>
          <t>NON</t>
        </is>
      </c>
      <c r="O2905" s="51" t="inlineStr"/>
    </row>
    <row r="2906" customFormat="1" s="4">
      <c r="A2906" s="51" t="n"/>
      <c r="B2906" s="52" t="inlineStr">
        <is>
          <t>32048</t>
        </is>
      </c>
      <c r="C2906" s="52">
        <f>LEFT(Tableau1[[#This Row],[Formacode]],3)</f>
        <v/>
      </c>
      <c r="D2906" s="53" t="n">
        <v>37932</v>
      </c>
      <c r="E2906" s="54">
        <f>"RNCP"&amp;D2906</f>
        <v/>
      </c>
      <c r="F2906" s="54" t="inlineStr">
        <is>
          <t>DIPLOVIS - Diplôme en Management International des Arts Culinaires</t>
        </is>
      </c>
      <c r="G2906" s="55">
        <f>E2906&amp;" - "&amp;F2906</f>
        <v/>
      </c>
      <c r="H2906" s="37" t="inlineStr">
        <is>
          <t>À vérifier</t>
        </is>
      </c>
      <c r="I2906" s="51" t="inlineStr">
        <is>
          <t>Successeur déjà publié : RNCP42267 (DIPLOVIS - Diplôme en management international des arts culinaires) — préparer la bascule de l'offre CPF | Échéance le 31/08/2026 (dans 44 j)</t>
        </is>
      </c>
      <c r="J2906" s="51" t="inlineStr">
        <is>
          <t>RNCP42267</t>
        </is>
      </c>
      <c r="K2906" s="51" t="inlineStr">
        <is>
          <t>DIPLOVIS - Diplôme en management international des arts culinaires</t>
        </is>
      </c>
      <c r="L2906" s="51" t="inlineStr">
        <is>
          <t>31/08/2026</t>
        </is>
      </c>
      <c r="M2906" s="51" t="inlineStr">
        <is>
          <t>42782 (Gestion cuisine) ; 42760 (Gastronomie) ; 42766 (Gestion hôtel restaurant bar) ; 32054 (Gestion des organisations)</t>
        </is>
      </c>
      <c r="N2906" s="62" t="inlineStr">
        <is>
          <t>NON</t>
        </is>
      </c>
      <c r="O2906" s="51" t="inlineStr"/>
    </row>
    <row r="2907" customFormat="1" s="4">
      <c r="A2907" s="45" t="n"/>
      <c r="B2907" s="46" t="inlineStr">
        <is>
          <t>32048</t>
        </is>
      </c>
      <c r="C2907" s="46">
        <f>LEFT(Tableau1[[#This Row],[Formacode]],3)</f>
        <v/>
      </c>
      <c r="D2907" s="47" t="n">
        <v>37949</v>
      </c>
      <c r="E2907" s="48">
        <f>"RNCP"&amp;D2907</f>
        <v/>
      </c>
      <c r="F2907" s="48" t="inlineStr">
        <is>
          <t>TP - Gestionnaire comptable et  fiscal</t>
        </is>
      </c>
      <c r="G2907" s="49">
        <f>E2907&amp;" - "&amp;F2907</f>
        <v/>
      </c>
      <c r="H2907" s="36" t="inlineStr">
        <is>
          <t>RAS</t>
        </is>
      </c>
      <c r="I2907" s="45" t="inlineStr"/>
      <c r="J2907" s="45" t="inlineStr">
        <is>
          <t>RNCP37949</t>
        </is>
      </c>
      <c r="K2907" s="45" t="inlineStr">
        <is>
          <t>Gestionnaire comptable et fiscal</t>
        </is>
      </c>
      <c r="L2907" s="45" t="inlineStr">
        <is>
          <t>01/12/2028</t>
        </is>
      </c>
      <c r="M2907" s="45" t="inlineStr">
        <is>
          <t>32663 (Comptabilité) ; 32054 (Gestion des organisations)</t>
        </is>
      </c>
      <c r="N2907" s="50" t="inlineStr">
        <is>
          <t>NON</t>
        </is>
      </c>
      <c r="O2907" s="45" t="inlineStr"/>
    </row>
    <row r="2908" customFormat="1" s="4">
      <c r="A2908" s="51" t="n"/>
      <c r="B2908" s="52" t="inlineStr">
        <is>
          <t>32048</t>
        </is>
      </c>
      <c r="C2908" s="52">
        <f>LEFT(Tableau1[[#This Row],[Formacode]],3)</f>
        <v/>
      </c>
      <c r="D2908" s="53" t="n">
        <v>37988</v>
      </c>
      <c r="E2908" s="54">
        <f>"RNCP"&amp;D2908</f>
        <v/>
      </c>
      <c r="F2908" s="54" t="inlineStr">
        <is>
          <t>Diplôme visé - Diplôme supérieur en marketing, vente et gestion</t>
        </is>
      </c>
      <c r="G2908" s="55">
        <f>E2908&amp;" - "&amp;F2908</f>
        <v/>
      </c>
      <c r="H2908" s="37" t="inlineStr">
        <is>
          <t>À vérifier</t>
        </is>
      </c>
      <c r="I2908" s="51" t="inlineStr">
        <is>
          <t>Successeur déjà publié : RNCP42254 (Diplôme supérieur en marketing, vente et gestion) — préparer la bascule de l'offre CPF | Échéance le 31/08/2026 (dans 44 j)</t>
        </is>
      </c>
      <c r="J2908" s="51" t="inlineStr">
        <is>
          <t>RNCP42254</t>
        </is>
      </c>
      <c r="K2908" s="51" t="inlineStr">
        <is>
          <t>Diplôme supérieur en marketing, vente et gestion</t>
        </is>
      </c>
      <c r="L2908" s="51" t="inlineStr">
        <is>
          <t>31/08/2026</t>
        </is>
      </c>
      <c r="M2908" s="51" t="inlineStr">
        <is>
          <t>34085 (Stratégie commerciale) ; 34052 (Marketing) ; 32154 (Encadrement management) ; 32054 (Gestion des organisations)</t>
        </is>
      </c>
      <c r="N2908" s="62" t="inlineStr">
        <is>
          <t>NON</t>
        </is>
      </c>
      <c r="O2908" s="51" t="inlineStr"/>
    </row>
    <row r="2909" customFormat="1" s="4">
      <c r="A2909" s="45" t="n"/>
      <c r="B2909" s="46" t="inlineStr">
        <is>
          <t>32048</t>
        </is>
      </c>
      <c r="C2909" s="46">
        <f>LEFT(Tableau1[[#This Row],[Formacode]],3)</f>
        <v/>
      </c>
      <c r="D2909" s="47" t="n">
        <v>39626</v>
      </c>
      <c r="E2909" s="48">
        <f>"RNCP"&amp;D2909</f>
        <v/>
      </c>
      <c r="F2909" s="48" t="inlineStr">
        <is>
          <t>Assistant de gestion des petites entreprises</t>
        </is>
      </c>
      <c r="G2909" s="49">
        <f>E2909&amp;" - "&amp;F2909</f>
        <v/>
      </c>
      <c r="H2909" s="36" t="inlineStr">
        <is>
          <t>RAS</t>
        </is>
      </c>
      <c r="I2909" s="45" t="inlineStr"/>
      <c r="J2909" s="45" t="inlineStr">
        <is>
          <t>RNCP39626</t>
        </is>
      </c>
      <c r="K2909" s="45" t="inlineStr">
        <is>
          <t>Assistant de gestion des petites entreprises</t>
        </is>
      </c>
      <c r="L2909" s="45" t="inlineStr">
        <is>
          <t>01/10/2029</t>
        </is>
      </c>
      <c r="M2909" s="45" t="inlineStr">
        <is>
          <t>35049 (Secrétariat assistanat comptabilité) ; 32054 (Gestion des organisations) ; 35007 (Secrétariat assistanat gestion PME PMI)</t>
        </is>
      </c>
      <c r="N2909" s="50" t="inlineStr">
        <is>
          <t>NON</t>
        </is>
      </c>
      <c r="O2909" s="45" t="inlineStr"/>
    </row>
    <row r="2910" customFormat="1" s="4">
      <c r="A2910" s="45" t="n"/>
      <c r="B2910" s="46" t="inlineStr">
        <is>
          <t>32048</t>
        </is>
      </c>
      <c r="C2910" s="46">
        <f>LEFT(Tableau1[[#This Row],[Formacode]],3)</f>
        <v/>
      </c>
      <c r="D2910" s="47" t="n">
        <v>41308</v>
      </c>
      <c r="E2910" s="48">
        <f>"RNCP"&amp;D2910</f>
        <v/>
      </c>
      <c r="F2910" s="48" t="inlineStr">
        <is>
          <t>Office manager</t>
        </is>
      </c>
      <c r="G2910" s="49">
        <f>E2910&amp;" - "&amp;F2910</f>
        <v/>
      </c>
      <c r="H2910" s="36" t="inlineStr">
        <is>
          <t>RAS</t>
        </is>
      </c>
      <c r="I2910" s="45" t="inlineStr"/>
      <c r="J2910" s="45" t="inlineStr">
        <is>
          <t>RNCP41308</t>
        </is>
      </c>
      <c r="K2910" s="45" t="inlineStr">
        <is>
          <t>Office manager</t>
        </is>
      </c>
      <c r="L2910" s="45" t="inlineStr">
        <is>
          <t>24/09/2028</t>
        </is>
      </c>
      <c r="M2910" s="45" t="inlineStr">
        <is>
          <t>35047 (Secrétariat assistanat direction) ; 32054 (Gestion des organisations)</t>
        </is>
      </c>
      <c r="N2910" s="50" t="inlineStr">
        <is>
          <t>NON</t>
        </is>
      </c>
      <c r="O2910" s="45" t="inlineStr"/>
    </row>
    <row r="2911" customFormat="1" s="4">
      <c r="A2911" s="45" t="n"/>
      <c r="B2911" s="46" t="inlineStr">
        <is>
          <t>32062</t>
        </is>
      </c>
      <c r="C2911" s="46">
        <f>LEFT(Tableau1[[#This Row],[Formacode]],3)</f>
        <v/>
      </c>
      <c r="D2911" s="47" t="n">
        <v>36420</v>
      </c>
      <c r="E2911" s="48">
        <f>"RNCP"&amp;D2911</f>
        <v/>
      </c>
      <c r="F2911" s="48" t="inlineStr">
        <is>
          <t>DIPLOVIS - Programme supérieur de gestion et de commerce</t>
        </is>
      </c>
      <c r="G2911" s="49">
        <f>E2911&amp;" - "&amp;F2911</f>
        <v/>
      </c>
      <c r="H2911" s="36" t="inlineStr">
        <is>
          <t>RAS</t>
        </is>
      </c>
      <c r="I2911" s="45" t="inlineStr"/>
      <c r="J2911" s="45" t="inlineStr">
        <is>
          <t>RNCP36420</t>
        </is>
      </c>
      <c r="K2911" s="45" t="inlineStr">
        <is>
          <t>Programme supérieur de gestion et de commerce</t>
        </is>
      </c>
      <c r="L2911" s="45" t="inlineStr">
        <is>
          <t>31/08/2027</t>
        </is>
      </c>
      <c r="M2911" s="45" t="inlineStr">
        <is>
          <t>32110 (Management opérationnel) ; 32135 (Conduite projet) ; 32054 (Gestion des organisations)</t>
        </is>
      </c>
      <c r="N2911" s="50" t="inlineStr">
        <is>
          <t>NON</t>
        </is>
      </c>
      <c r="O2911" s="45" t="inlineStr"/>
    </row>
    <row r="2912" customFormat="1" s="4">
      <c r="A2912" s="45" t="n"/>
      <c r="B2912" s="46" t="inlineStr">
        <is>
          <t>32062</t>
        </is>
      </c>
      <c r="C2912" s="46">
        <f>LEFT(Tableau1[[#This Row],[Formacode]],3)</f>
        <v/>
      </c>
      <c r="D2912" s="47" t="n">
        <v>36461</v>
      </c>
      <c r="E2912" s="48">
        <f>"RNCP"&amp;D2912</f>
        <v/>
      </c>
      <c r="F2912" s="48" t="inlineStr">
        <is>
          <t>Directeur d'unité opérationnelle</t>
        </is>
      </c>
      <c r="G2912" s="49">
        <f>E2912&amp;" - "&amp;F2912</f>
        <v/>
      </c>
      <c r="H2912" s="36" t="inlineStr">
        <is>
          <t>RAS</t>
        </is>
      </c>
      <c r="I2912" s="45" t="inlineStr"/>
      <c r="J2912" s="45" t="inlineStr">
        <is>
          <t>RNCP36461</t>
        </is>
      </c>
      <c r="K2912" s="45" t="inlineStr">
        <is>
          <t>Directeur d'unité opérationnelle</t>
        </is>
      </c>
      <c r="L2912" s="45" t="inlineStr">
        <is>
          <t>02/06/2027</t>
        </is>
      </c>
      <c r="M2912" s="45" t="inlineStr">
        <is>
          <t>32054 (Gestion des organisations) ; 32154 (Encadrement management)</t>
        </is>
      </c>
      <c r="N2912" s="50" t="inlineStr">
        <is>
          <t>NON</t>
        </is>
      </c>
      <c r="O2912" s="45" t="inlineStr"/>
    </row>
    <row r="2913" customFormat="1" s="4">
      <c r="A2913" s="45" t="n"/>
      <c r="B2913" s="46" t="inlineStr">
        <is>
          <t>32062</t>
        </is>
      </c>
      <c r="C2913" s="46">
        <f>LEFT(Tableau1[[#This Row],[Formacode]],3)</f>
        <v/>
      </c>
      <c r="D2913" s="47" t="n">
        <v>36677</v>
      </c>
      <c r="E2913" s="48">
        <f>"RNCP"&amp;D2913</f>
        <v/>
      </c>
      <c r="F2913" s="48" t="inlineStr">
        <is>
          <t>DIPLOVIS - Responsable en marketing, commercialisation et gestion</t>
        </is>
      </c>
      <c r="G2913" s="49">
        <f>E2913&amp;" - "&amp;F2913</f>
        <v/>
      </c>
      <c r="H2913" s="36" t="inlineStr">
        <is>
          <t>RAS</t>
        </is>
      </c>
      <c r="I2913" s="45" t="inlineStr"/>
      <c r="J2913" s="45" t="inlineStr">
        <is>
          <t>RNCP36677</t>
        </is>
      </c>
      <c r="K2913" s="45" t="inlineStr">
        <is>
          <t>Responsable en marketing, commercialisation et gestion</t>
        </is>
      </c>
      <c r="L2913" s="45" t="inlineStr">
        <is>
          <t>31/08/2027</t>
        </is>
      </c>
      <c r="M2913" s="45" t="inlineStr">
        <is>
          <t>34052 (Marketing) ; 34554 (Commerce) ; 32054 (Gestion des organisations)</t>
        </is>
      </c>
      <c r="N2913" s="50" t="inlineStr">
        <is>
          <t>NON</t>
        </is>
      </c>
      <c r="O2913" s="45" t="inlineStr"/>
    </row>
    <row r="2914" customFormat="1" s="4">
      <c r="A2914" s="45" t="n"/>
      <c r="B2914" s="46" t="inlineStr">
        <is>
          <t>32062</t>
        </is>
      </c>
      <c r="C2914" s="46">
        <f>LEFT(Tableau1[[#This Row],[Formacode]],3)</f>
        <v/>
      </c>
      <c r="D2914" s="47" t="n">
        <v>37630</v>
      </c>
      <c r="E2914" s="48">
        <f>"RNCP"&amp;D2914</f>
        <v/>
      </c>
      <c r="F2914" s="48" t="inlineStr">
        <is>
          <t>Manager de l’innovation et de la transformation (MS)</t>
        </is>
      </c>
      <c r="G2914" s="49">
        <f>E2914&amp;" - "&amp;F2914</f>
        <v/>
      </c>
      <c r="H2914" s="36" t="inlineStr">
        <is>
          <t>RAS</t>
        </is>
      </c>
      <c r="I2914" s="45" t="inlineStr"/>
      <c r="J2914" s="45" t="inlineStr">
        <is>
          <t>RNCP37630</t>
        </is>
      </c>
      <c r="K2914" s="45" t="inlineStr">
        <is>
          <t>Manager de l’innovation et de la transformation (MS)</t>
        </is>
      </c>
      <c r="L2914" s="45" t="inlineStr">
        <is>
          <t>31/05/2028</t>
        </is>
      </c>
      <c r="M2914" s="45" t="inlineStr">
        <is>
          <t>32070 (Innovation entreprise)</t>
        </is>
      </c>
      <c r="N2914" s="50" t="inlineStr">
        <is>
          <t>NON</t>
        </is>
      </c>
      <c r="O2914" s="45" t="inlineStr"/>
    </row>
    <row r="2915" customFormat="1" s="4">
      <c r="A2915" s="45" t="n"/>
      <c r="B2915" s="46" t="inlineStr">
        <is>
          <t>32062</t>
        </is>
      </c>
      <c r="C2915" s="46">
        <f>LEFT(Tableau1[[#This Row],[Formacode]],3)</f>
        <v/>
      </c>
      <c r="D2915" s="47" t="n">
        <v>37645</v>
      </c>
      <c r="E2915" s="48">
        <f>"RNCP"&amp;D2915</f>
        <v/>
      </c>
      <c r="F2915" s="48" t="inlineStr">
        <is>
          <t>Cadre dirigeant</t>
        </is>
      </c>
      <c r="G2915" s="49">
        <f>E2915&amp;" - "&amp;F2915</f>
        <v/>
      </c>
      <c r="H2915" s="36" t="inlineStr">
        <is>
          <t>RAS</t>
        </is>
      </c>
      <c r="I2915" s="45" t="inlineStr"/>
      <c r="J2915" s="45" t="inlineStr">
        <is>
          <t>RNCP37645</t>
        </is>
      </c>
      <c r="K2915" s="45" t="inlineStr">
        <is>
          <t>Cadre dirigeant</t>
        </is>
      </c>
      <c r="L2915" s="45" t="inlineStr">
        <is>
          <t>31/05/2028</t>
        </is>
      </c>
      <c r="M2915" s="45" t="inlineStr">
        <is>
          <t>32054 (Gestion des organisations)</t>
        </is>
      </c>
      <c r="N2915" s="50" t="inlineStr">
        <is>
          <t>NON</t>
        </is>
      </c>
      <c r="O2915" s="45" t="inlineStr"/>
    </row>
    <row r="2916" customFormat="1" s="4">
      <c r="A2916" s="51" t="n"/>
      <c r="B2916" s="52" t="inlineStr">
        <is>
          <t>32062</t>
        </is>
      </c>
      <c r="C2916" s="52">
        <f>LEFT(Tableau1[[#This Row],[Formacode]],3)</f>
        <v/>
      </c>
      <c r="D2916" s="53" t="n">
        <v>37719</v>
      </c>
      <c r="E2916" s="54">
        <f>"RNCP"&amp;D2916</f>
        <v/>
      </c>
      <c r="F2916" s="54" t="inlineStr">
        <is>
          <t>DIPLOVIS - Diplôme en management international de l'hôtellerie et de la restauration</t>
        </is>
      </c>
      <c r="G2916" s="55">
        <f>E2916&amp;" - "&amp;F2916</f>
        <v/>
      </c>
      <c r="H2916" s="37" t="inlineStr">
        <is>
          <t>À vérifier</t>
        </is>
      </c>
      <c r="I2916" s="51" t="inlineStr">
        <is>
          <t>Échéance le 31/08/2026 (dans 44 j)</t>
        </is>
      </c>
      <c r="J2916" s="51" t="inlineStr">
        <is>
          <t>RNCP37719</t>
        </is>
      </c>
      <c r="K2916" s="51" t="inlineStr">
        <is>
          <t>Diplôme en management international de l'hôtellerie et de la restauration</t>
        </is>
      </c>
      <c r="L2916" s="51" t="inlineStr">
        <is>
          <t>31/08/2026</t>
        </is>
      </c>
      <c r="M2916" s="51" t="inlineStr">
        <is>
          <t>32054 (Gestion des organisations) ; 42754 (Hôtellerie restauration) ; 42627 (Gestion entreprise touristique)</t>
        </is>
      </c>
      <c r="N2916" s="62" t="inlineStr">
        <is>
          <t>NON</t>
        </is>
      </c>
      <c r="O2916" s="51" t="inlineStr"/>
    </row>
    <row r="2917" customFormat="1" s="4">
      <c r="A2917" s="51" t="n"/>
      <c r="B2917" s="52" t="inlineStr">
        <is>
          <t>32062</t>
        </is>
      </c>
      <c r="C2917" s="52">
        <f>LEFT(Tableau1[[#This Row],[Formacode]],3)</f>
        <v/>
      </c>
      <c r="D2917" s="53" t="n">
        <v>37932</v>
      </c>
      <c r="E2917" s="54">
        <f>"RNCP"&amp;D2917</f>
        <v/>
      </c>
      <c r="F2917" s="54" t="inlineStr">
        <is>
          <t>DIPLOVIS - Diplôme en Management International des Arts Culinaires</t>
        </is>
      </c>
      <c r="G2917" s="55">
        <f>E2917&amp;" - "&amp;F2917</f>
        <v/>
      </c>
      <c r="H2917" s="37" t="inlineStr">
        <is>
          <t>À vérifier</t>
        </is>
      </c>
      <c r="I2917" s="51" t="inlineStr">
        <is>
          <t>Successeur déjà publié : RNCP42267 (DIPLOVIS - Diplôme en management international des arts culinaires) — préparer la bascule de l'offre CPF | Échéance le 31/08/2026 (dans 44 j)</t>
        </is>
      </c>
      <c r="J2917" s="51" t="inlineStr">
        <is>
          <t>RNCP42267</t>
        </is>
      </c>
      <c r="K2917" s="51" t="inlineStr">
        <is>
          <t>DIPLOVIS - Diplôme en management international des arts culinaires</t>
        </is>
      </c>
      <c r="L2917" s="51" t="inlineStr">
        <is>
          <t>31/08/2026</t>
        </is>
      </c>
      <c r="M2917" s="51" t="inlineStr">
        <is>
          <t>42782 (Gestion cuisine) ; 42760 (Gastronomie) ; 42766 (Gestion hôtel restaurant bar) ; 32054 (Gestion des organisations)</t>
        </is>
      </c>
      <c r="N2917" s="62" t="inlineStr">
        <is>
          <t>NON</t>
        </is>
      </c>
      <c r="O2917" s="51" t="inlineStr"/>
    </row>
    <row r="2918" customFormat="1" s="4">
      <c r="A2918" s="45" t="n"/>
      <c r="B2918" s="46" t="inlineStr">
        <is>
          <t>32062</t>
        </is>
      </c>
      <c r="C2918" s="46">
        <f>LEFT(Tableau1[[#This Row],[Formacode]],3)</f>
        <v/>
      </c>
      <c r="D2918" s="47" t="n">
        <v>37949</v>
      </c>
      <c r="E2918" s="48">
        <f>"RNCP"&amp;D2918</f>
        <v/>
      </c>
      <c r="F2918" s="48" t="inlineStr">
        <is>
          <t>TP - Gestionnaire comptable et  fiscal</t>
        </is>
      </c>
      <c r="G2918" s="49">
        <f>E2918&amp;" - "&amp;F2918</f>
        <v/>
      </c>
      <c r="H2918" s="36" t="inlineStr">
        <is>
          <t>RAS</t>
        </is>
      </c>
      <c r="I2918" s="45" t="inlineStr"/>
      <c r="J2918" s="45" t="inlineStr">
        <is>
          <t>RNCP37949</t>
        </is>
      </c>
      <c r="K2918" s="45" t="inlineStr">
        <is>
          <t>Gestionnaire comptable et fiscal</t>
        </is>
      </c>
      <c r="L2918" s="45" t="inlineStr">
        <is>
          <t>01/12/2028</t>
        </is>
      </c>
      <c r="M2918" s="45" t="inlineStr">
        <is>
          <t>32663 (Comptabilité) ; 32054 (Gestion des organisations)</t>
        </is>
      </c>
      <c r="N2918" s="50" t="inlineStr">
        <is>
          <t>NON</t>
        </is>
      </c>
      <c r="O2918" s="45" t="inlineStr"/>
    </row>
    <row r="2919" customFormat="1" s="4">
      <c r="A2919" s="51" t="n"/>
      <c r="B2919" s="52" t="inlineStr">
        <is>
          <t>32062</t>
        </is>
      </c>
      <c r="C2919" s="52">
        <f>LEFT(Tableau1[[#This Row],[Formacode]],3)</f>
        <v/>
      </c>
      <c r="D2919" s="53" t="n">
        <v>37988</v>
      </c>
      <c r="E2919" s="54">
        <f>"RNCP"&amp;D2919</f>
        <v/>
      </c>
      <c r="F2919" s="54" t="inlineStr">
        <is>
          <t>Diplôme visé - Diplôme supérieur en marketing, vente et gestion</t>
        </is>
      </c>
      <c r="G2919" s="55">
        <f>E2919&amp;" - "&amp;F2919</f>
        <v/>
      </c>
      <c r="H2919" s="37" t="inlineStr">
        <is>
          <t>À vérifier</t>
        </is>
      </c>
      <c r="I2919" s="51" t="inlineStr">
        <is>
          <t>Successeur déjà publié : RNCP42254 (Diplôme supérieur en marketing, vente et gestion) — préparer la bascule de l'offre CPF | Échéance le 31/08/2026 (dans 44 j)</t>
        </is>
      </c>
      <c r="J2919" s="51" t="inlineStr">
        <is>
          <t>RNCP42254</t>
        </is>
      </c>
      <c r="K2919" s="51" t="inlineStr">
        <is>
          <t>Diplôme supérieur en marketing, vente et gestion</t>
        </is>
      </c>
      <c r="L2919" s="51" t="inlineStr">
        <is>
          <t>31/08/2026</t>
        </is>
      </c>
      <c r="M2919" s="51" t="inlineStr">
        <is>
          <t>34085 (Stratégie commerciale) ; 34052 (Marketing) ; 32154 (Encadrement management) ; 32054 (Gestion des organisations)</t>
        </is>
      </c>
      <c r="N2919" s="62" t="inlineStr">
        <is>
          <t>NON</t>
        </is>
      </c>
      <c r="O2919" s="51" t="inlineStr"/>
    </row>
    <row r="2920" customFormat="1" s="4">
      <c r="A2920" s="45" t="n"/>
      <c r="B2920" s="46" t="inlineStr">
        <is>
          <t>32062</t>
        </is>
      </c>
      <c r="C2920" s="46">
        <f>LEFT(Tableau1[[#This Row],[Formacode]],3)</f>
        <v/>
      </c>
      <c r="D2920" s="47" t="n">
        <v>38374</v>
      </c>
      <c r="E2920" s="48">
        <f>"RNCP"&amp;D2920</f>
        <v/>
      </c>
      <c r="F2920" s="48" t="inlineStr">
        <is>
          <t>TP - Conducteur d'équipements agroalimentaires</t>
        </is>
      </c>
      <c r="G2920" s="49">
        <f>E2920&amp;" - "&amp;F2920</f>
        <v/>
      </c>
      <c r="H2920" s="36" t="inlineStr">
        <is>
          <t>RAS</t>
        </is>
      </c>
      <c r="I2920" s="45" t="inlineStr"/>
      <c r="J2920" s="45" t="inlineStr">
        <is>
          <t>RNCP38374</t>
        </is>
      </c>
      <c r="K2920" s="45" t="inlineStr">
        <is>
          <t>Conducteur d'équipements agroalimentaires</t>
        </is>
      </c>
      <c r="L2920" s="45" t="inlineStr">
        <is>
          <t>22/12/2028</t>
        </is>
      </c>
      <c r="M2920" s="45" t="inlineStr">
        <is>
          <t>21546 (Méthode haccp) ; 21547 (Bonnes pratiques hygiène agroalimentaire) ; 21575 (Conditionnement agroalimentaire) ; 32154 (Encadrement management) ; 32062 (Recherche développement)</t>
        </is>
      </c>
      <c r="N2920" s="50" t="inlineStr">
        <is>
          <t>NON</t>
        </is>
      </c>
      <c r="O2920" s="45" t="inlineStr"/>
    </row>
    <row r="2921" customFormat="1" s="4">
      <c r="A2921" s="45" t="n"/>
      <c r="B2921" s="46" t="inlineStr">
        <is>
          <t>32062</t>
        </is>
      </c>
      <c r="C2921" s="46">
        <f>LEFT(Tableau1[[#This Row],[Formacode]],3)</f>
        <v/>
      </c>
      <c r="D2921" s="47" t="n">
        <v>39094</v>
      </c>
      <c r="E2921" s="48">
        <f>"RNCP"&amp;D2921</f>
        <v/>
      </c>
      <c r="F2921" s="48" t="inlineStr">
        <is>
          <t>Manager de l’innovation et du développement entrepreneurial (MS)</t>
        </is>
      </c>
      <c r="G2921" s="49">
        <f>E2921&amp;" - "&amp;F2921</f>
        <v/>
      </c>
      <c r="H2921" s="36" t="inlineStr">
        <is>
          <t>RAS</t>
        </is>
      </c>
      <c r="I2921" s="45" t="inlineStr"/>
      <c r="J2921" s="45" t="inlineStr">
        <is>
          <t>RNCP39094</t>
        </is>
      </c>
      <c r="K2921" s="45" t="inlineStr">
        <is>
          <t>Manager de l’innovation et du développement entrepreneurial (MS)</t>
        </is>
      </c>
      <c r="L2921" s="45" t="inlineStr">
        <is>
          <t>31/05/2029</t>
        </is>
      </c>
      <c r="M2921" s="45" t="inlineStr">
        <is>
          <t>32135 (Conduite projet) ; 32070 (Innovation entreprise) ; 32025 (Stratégie entreprise)</t>
        </is>
      </c>
      <c r="N2921" s="50" t="inlineStr">
        <is>
          <t>NON</t>
        </is>
      </c>
      <c r="O2921" s="45" t="inlineStr"/>
    </row>
    <row r="2922" customFormat="1" s="4">
      <c r="A2922" s="45" t="n"/>
      <c r="B2922" s="46" t="inlineStr">
        <is>
          <t>32062</t>
        </is>
      </c>
      <c r="C2922" s="46">
        <f>LEFT(Tableau1[[#This Row],[Formacode]],3)</f>
        <v/>
      </c>
      <c r="D2922" s="47" t="n">
        <v>39425</v>
      </c>
      <c r="E2922" s="48">
        <f>"RNCP"&amp;D2922</f>
        <v/>
      </c>
      <c r="F2922" s="48" t="inlineStr">
        <is>
          <t>Diplôme visé - Expert en Ingénierie Informatique et Innovation Numérique</t>
        </is>
      </c>
      <c r="G2922" s="49">
        <f>E2922&amp;" - "&amp;F2922</f>
        <v/>
      </c>
      <c r="H2922" s="36" t="inlineStr">
        <is>
          <t>RAS</t>
        </is>
      </c>
      <c r="I2922" s="45" t="inlineStr"/>
      <c r="J2922" s="45" t="inlineStr">
        <is>
          <t>RNCP39425</t>
        </is>
      </c>
      <c r="K2922" s="45" t="inlineStr">
        <is>
          <t>Expert en Ingénierie Informatique et Innovation Numérique</t>
        </is>
      </c>
      <c r="L2922" s="45" t="inlineStr">
        <is>
          <t>31/08/2029</t>
        </is>
      </c>
      <c r="M2922" s="45" t="inlineStr">
        <is>
          <t>31054 (Informatique - Systèmes d’information et numérique) ; 32070 (Innovation entreprise)</t>
        </is>
      </c>
      <c r="N2922" s="50" t="inlineStr">
        <is>
          <t>NON</t>
        </is>
      </c>
      <c r="O2922" s="45" t="inlineStr"/>
    </row>
    <row r="2923" customFormat="1" s="4">
      <c r="A2923" s="45" t="n"/>
      <c r="B2923" s="46" t="inlineStr">
        <is>
          <t>32062</t>
        </is>
      </c>
      <c r="C2923" s="46">
        <f>LEFT(Tableau1[[#This Row],[Formacode]],3)</f>
        <v/>
      </c>
      <c r="D2923" s="47" t="n">
        <v>39445</v>
      </c>
      <c r="E2923" s="48">
        <f>"RNCP"&amp;D2923</f>
        <v/>
      </c>
      <c r="F2923" s="48" t="inlineStr">
        <is>
          <t>Titre ingénieur - Ingénieur diplômé de l'Institut supérieur d'électronique de Paris</t>
        </is>
      </c>
      <c r="G2923" s="49">
        <f>E2923&amp;" - "&amp;F2923</f>
        <v/>
      </c>
      <c r="H2923" s="36" t="inlineStr">
        <is>
          <t>RAS</t>
        </is>
      </c>
      <c r="I2923" s="45" t="inlineStr"/>
      <c r="J2923" s="45" t="inlineStr">
        <is>
          <t>RNCP39445</t>
        </is>
      </c>
      <c r="K2923" s="45" t="inlineStr">
        <is>
          <t>Ingénieur diplômé de l'Institut supérieur d'électronique de Paris</t>
        </is>
      </c>
      <c r="L2923" s="45" t="inlineStr">
        <is>
          <t>31/08/2029</t>
        </is>
      </c>
      <c r="M2923" s="45" t="inlineStr">
        <is>
          <t>24354 (Électronique) ; 31054 (Informatique - Systèmes d’information et numérique) ; 32062 (Recherche développement) ; 15099 (Résolution problème)</t>
        </is>
      </c>
      <c r="N2923" s="50" t="inlineStr">
        <is>
          <t>NON</t>
        </is>
      </c>
      <c r="O2923" s="45" t="inlineStr"/>
    </row>
    <row r="2924" customFormat="1" s="4">
      <c r="A2924" s="45" t="n"/>
      <c r="B2924" s="46" t="inlineStr">
        <is>
          <t>32062</t>
        </is>
      </c>
      <c r="C2924" s="46">
        <f>LEFT(Tableau1[[#This Row],[Formacode]],3)</f>
        <v/>
      </c>
      <c r="D2924" s="47" t="n">
        <v>39626</v>
      </c>
      <c r="E2924" s="48">
        <f>"RNCP"&amp;D2924</f>
        <v/>
      </c>
      <c r="F2924" s="48" t="inlineStr">
        <is>
          <t>Assistant de gestion des petites entreprises</t>
        </is>
      </c>
      <c r="G2924" s="49">
        <f>E2924&amp;" - "&amp;F2924</f>
        <v/>
      </c>
      <c r="H2924" s="36" t="inlineStr">
        <is>
          <t>RAS</t>
        </is>
      </c>
      <c r="I2924" s="45" t="inlineStr"/>
      <c r="J2924" s="45" t="inlineStr">
        <is>
          <t>RNCP39626</t>
        </is>
      </c>
      <c r="K2924" s="45" t="inlineStr">
        <is>
          <t>Assistant de gestion des petites entreprises</t>
        </is>
      </c>
      <c r="L2924" s="45" t="inlineStr">
        <is>
          <t>01/10/2029</t>
        </is>
      </c>
      <c r="M2924" s="45" t="inlineStr">
        <is>
          <t>35049 (Secrétariat assistanat comptabilité) ; 32054 (Gestion des organisations) ; 35007 (Secrétariat assistanat gestion PME PMI)</t>
        </is>
      </c>
      <c r="N2924" s="50" t="inlineStr">
        <is>
          <t>NON</t>
        </is>
      </c>
      <c r="O2924" s="45" t="inlineStr"/>
    </row>
    <row r="2925" customFormat="1" s="4">
      <c r="A2925" s="45" t="n"/>
      <c r="B2925" s="46" t="inlineStr">
        <is>
          <t>32062</t>
        </is>
      </c>
      <c r="C2925" s="46">
        <f>LEFT(Tableau1[[#This Row],[Formacode]],3)</f>
        <v/>
      </c>
      <c r="D2925" s="47" t="n">
        <v>41030</v>
      </c>
      <c r="E2925" s="48">
        <f>"RNCP"&amp;D2925</f>
        <v/>
      </c>
      <c r="F2925" s="48" t="inlineStr">
        <is>
          <t>Titre ingénieur - Diplôme d'ingénieur d'Efrei Paris (Université Paris- Panthéon Assas)</t>
        </is>
      </c>
      <c r="G2925" s="49">
        <f>E2925&amp;" - "&amp;F2925</f>
        <v/>
      </c>
      <c r="H2925" s="36" t="inlineStr">
        <is>
          <t>RAS</t>
        </is>
      </c>
      <c r="I2925" s="45" t="inlineStr"/>
      <c r="J2925" s="45" t="inlineStr">
        <is>
          <t>RNCP41030</t>
        </is>
      </c>
      <c r="K2925" s="45" t="inlineStr">
        <is>
          <t>Diplôme d'ingénieur d'Efrei Paris (Université Paris- Panthéon Assas)</t>
        </is>
      </c>
      <c r="L2925" s="45" t="inlineStr">
        <is>
          <t>01/09/2030</t>
        </is>
      </c>
      <c r="M2925" s="45" t="inlineStr">
        <is>
          <t>24354 (Électronique) ; 24231 (Réseau informatique) ; 31057 (Génie logiciel) ; 11014 (Algorithme) ; 32062 (Recherche développement)</t>
        </is>
      </c>
      <c r="N2925" s="50" t="inlineStr">
        <is>
          <t>NON</t>
        </is>
      </c>
      <c r="O2925" s="45" t="inlineStr"/>
    </row>
    <row r="2926" customFormat="1" s="4">
      <c r="A2926" s="45" t="n"/>
      <c r="B2926" s="46" t="inlineStr">
        <is>
          <t>32062</t>
        </is>
      </c>
      <c r="C2926" s="46">
        <f>LEFT(Tableau1[[#This Row],[Formacode]],3)</f>
        <v/>
      </c>
      <c r="D2926" s="47" t="n">
        <v>41102</v>
      </c>
      <c r="E2926" s="48">
        <f>"RNCP"&amp;D2926</f>
        <v/>
      </c>
      <c r="F2926" s="48" t="inlineStr">
        <is>
          <t>Expert en stratégie d'innovation durable par le design (MS)</t>
        </is>
      </c>
      <c r="G2926" s="49">
        <f>E2926&amp;" - "&amp;F2926</f>
        <v/>
      </c>
      <c r="H2926" s="36" t="inlineStr">
        <is>
          <t>RAS</t>
        </is>
      </c>
      <c r="I2926" s="45" t="inlineStr"/>
      <c r="J2926" s="45" t="inlineStr">
        <is>
          <t>RNCP41102</t>
        </is>
      </c>
      <c r="K2926" s="45" t="inlineStr">
        <is>
          <t>Expert en stratégie d'innovation durable par le design (MS)</t>
        </is>
      </c>
      <c r="L2926" s="45" t="inlineStr">
        <is>
          <t>18/07/2030</t>
        </is>
      </c>
      <c r="M2926" s="45" t="inlineStr">
        <is>
          <t>32135 (Conduite projet) ; 32070 (Innovation entreprise) ; 32025 (Stratégie entreprise) ; 12522 (Développement durable)</t>
        </is>
      </c>
      <c r="N2926" s="50" t="inlineStr">
        <is>
          <t>NON</t>
        </is>
      </c>
      <c r="O2926" s="45" t="inlineStr"/>
    </row>
    <row r="2927" customFormat="1" s="4">
      <c r="A2927" s="45" t="n"/>
      <c r="B2927" s="46" t="inlineStr">
        <is>
          <t>32062</t>
        </is>
      </c>
      <c r="C2927" s="46">
        <f>LEFT(Tableau1[[#This Row],[Formacode]],3)</f>
        <v/>
      </c>
      <c r="D2927" s="47" t="n">
        <v>41308</v>
      </c>
      <c r="E2927" s="48">
        <f>"RNCP"&amp;D2927</f>
        <v/>
      </c>
      <c r="F2927" s="48" t="inlineStr">
        <is>
          <t>Office manager</t>
        </is>
      </c>
      <c r="G2927" s="49">
        <f>E2927&amp;" - "&amp;F2927</f>
        <v/>
      </c>
      <c r="H2927" s="36" t="inlineStr">
        <is>
          <t>RAS</t>
        </is>
      </c>
      <c r="I2927" s="45" t="inlineStr"/>
      <c r="J2927" s="45" t="inlineStr">
        <is>
          <t>RNCP41308</t>
        </is>
      </c>
      <c r="K2927" s="45" t="inlineStr">
        <is>
          <t>Office manager</t>
        </is>
      </c>
      <c r="L2927" s="45" t="inlineStr">
        <is>
          <t>24/09/2028</t>
        </is>
      </c>
      <c r="M2927" s="45" t="inlineStr">
        <is>
          <t>35047 (Secrétariat assistanat direction) ; 32054 (Gestion des organisations)</t>
        </is>
      </c>
      <c r="N2927" s="50" t="inlineStr">
        <is>
          <t>NON</t>
        </is>
      </c>
      <c r="O2927" s="45" t="inlineStr"/>
    </row>
    <row r="2928" customFormat="1" s="4">
      <c r="A2928" s="45" t="n"/>
      <c r="B2928" s="46" t="inlineStr">
        <is>
          <t>32062</t>
        </is>
      </c>
      <c r="C2928" s="46">
        <f>LEFT(Tableau1[[#This Row],[Formacode]],3)</f>
        <v/>
      </c>
      <c r="D2928" s="47" t="n">
        <v>41386</v>
      </c>
      <c r="E2928" s="48">
        <f>"RNCP"&amp;D2928</f>
        <v/>
      </c>
      <c r="F2928" s="48" t="inlineStr">
        <is>
          <t>Grade_Master - Créateur industriel</t>
        </is>
      </c>
      <c r="G2928" s="49">
        <f>E2928&amp;" - "&amp;F2928</f>
        <v/>
      </c>
      <c r="H2928" s="36" t="inlineStr">
        <is>
          <t>RAS</t>
        </is>
      </c>
      <c r="I2928" s="45" t="inlineStr"/>
      <c r="J2928" s="45" t="inlineStr">
        <is>
          <t>RNCP41386</t>
        </is>
      </c>
      <c r="K2928" s="45" t="inlineStr">
        <is>
          <t>Créateur industriel</t>
        </is>
      </c>
      <c r="L2928" s="45" t="inlineStr">
        <is>
          <t>28/08/2030</t>
        </is>
      </c>
      <c r="M2928" s="45" t="inlineStr">
        <is>
          <t>45006 (Esthétique industrielle) ; 32135 (Conduite projet) ; 32070 (Innovation entreprise) ; 13027 (Politique publique) ; 13175 (Économie sociale)</t>
        </is>
      </c>
      <c r="N2928" s="50" t="inlineStr">
        <is>
          <t>NON</t>
        </is>
      </c>
      <c r="O2928" s="45" t="inlineStr"/>
    </row>
    <row r="2929" customFormat="1" s="4">
      <c r="A2929" s="45" t="n"/>
      <c r="B2929" s="46" t="inlineStr">
        <is>
          <t>32062</t>
        </is>
      </c>
      <c r="C2929" s="46">
        <f>LEFT(Tableau1[[#This Row],[Formacode]],3)</f>
        <v/>
      </c>
      <c r="D2929" s="47" t="n">
        <v>41387</v>
      </c>
      <c r="E2929" s="48">
        <f>"RNCP"&amp;D2929</f>
        <v/>
      </c>
      <c r="F2929" s="48" t="inlineStr">
        <is>
          <t>Grade_Master - Designer textile</t>
        </is>
      </c>
      <c r="G2929" s="49">
        <f>E2929&amp;" - "&amp;F2929</f>
        <v/>
      </c>
      <c r="H2929" s="36" t="inlineStr">
        <is>
          <t>RAS</t>
        </is>
      </c>
      <c r="I2929" s="45" t="inlineStr"/>
      <c r="J2929" s="45" t="inlineStr">
        <is>
          <t>RNCP41387</t>
        </is>
      </c>
      <c r="K2929" s="45" t="inlineStr">
        <is>
          <t>Designer textile</t>
        </is>
      </c>
      <c r="L2929" s="45" t="inlineStr">
        <is>
          <t>28/08/2030</t>
        </is>
      </c>
      <c r="M2929" s="45" t="inlineStr">
        <is>
          <t>21627 (Création textile) ; 12536 (Eco-conception) ; 21696 (Tissu) ; 21698 (Étoffe maille) ; 32062 (Recherche développement)</t>
        </is>
      </c>
      <c r="N2929" s="50" t="inlineStr">
        <is>
          <t>NON</t>
        </is>
      </c>
      <c r="O2929" s="45" t="inlineStr"/>
    </row>
    <row r="2930" customFormat="1" s="4">
      <c r="A2930" s="45" t="n"/>
      <c r="B2930" s="46" t="inlineStr">
        <is>
          <t>32062</t>
        </is>
      </c>
      <c r="C2930" s="46">
        <f>LEFT(Tableau1[[#This Row],[Formacode]],3)</f>
        <v/>
      </c>
      <c r="D2930" s="47" t="n">
        <v>41823</v>
      </c>
      <c r="E2930" s="48">
        <f>"RNCP"&amp;D2930</f>
        <v/>
      </c>
      <c r="F2930" s="48" t="inlineStr">
        <is>
          <t>Titre ingénieur - Ingénieur diplômé de l’ESIEE IT - CCI Paris Ile-de-France Éducation</t>
        </is>
      </c>
      <c r="G2930" s="49">
        <f>E2930&amp;" - "&amp;F2930</f>
        <v/>
      </c>
      <c r="H2930" s="36" t="inlineStr">
        <is>
          <t>RAS</t>
        </is>
      </c>
      <c r="I2930" s="45" t="inlineStr"/>
      <c r="J2930" s="45" t="inlineStr">
        <is>
          <t>RNCP41823</t>
        </is>
      </c>
      <c r="K2930" s="45" t="inlineStr">
        <is>
          <t>Ingénieur diplômé de l’ESIEE IT - CCI Paris Ile-de-France Éducation</t>
        </is>
      </c>
      <c r="L2930" s="45" t="inlineStr">
        <is>
          <t>31/08/2027</t>
        </is>
      </c>
      <c r="M2930" s="45" t="inlineStr">
        <is>
          <t>31054 (Informatique - Systèmes d’information et numérique) ; 32062 (Recherche développement) ; 15099 (Résolution problème)</t>
        </is>
      </c>
      <c r="N2930" s="50" t="inlineStr">
        <is>
          <t>NON</t>
        </is>
      </c>
      <c r="O2930" s="45" t="inlineStr"/>
    </row>
    <row r="2931" customFormat="1" s="4">
      <c r="A2931" s="45" t="n"/>
      <c r="B2931" s="46" t="inlineStr">
        <is>
          <t>32066</t>
        </is>
      </c>
      <c r="C2931" s="46">
        <f>LEFT(Tableau1[[#This Row],[Formacode]],3)</f>
        <v/>
      </c>
      <c r="D2931" s="47" t="n">
        <v>36420</v>
      </c>
      <c r="E2931" s="48">
        <f>"RNCP"&amp;D2931</f>
        <v/>
      </c>
      <c r="F2931" s="48" t="inlineStr">
        <is>
          <t>DIPLOVIS - Programme supérieur de gestion et de commerce</t>
        </is>
      </c>
      <c r="G2931" s="49">
        <f>E2931&amp;" - "&amp;F2931</f>
        <v/>
      </c>
      <c r="H2931" s="36" t="inlineStr">
        <is>
          <t>RAS</t>
        </is>
      </c>
      <c r="I2931" s="45" t="inlineStr"/>
      <c r="J2931" s="45" t="inlineStr">
        <is>
          <t>RNCP36420</t>
        </is>
      </c>
      <c r="K2931" s="45" t="inlineStr">
        <is>
          <t>Programme supérieur de gestion et de commerce</t>
        </is>
      </c>
      <c r="L2931" s="45" t="inlineStr">
        <is>
          <t>31/08/2027</t>
        </is>
      </c>
      <c r="M2931" s="45" t="inlineStr">
        <is>
          <t>32110 (Management opérationnel) ; 32135 (Conduite projet) ; 32054 (Gestion des organisations)</t>
        </is>
      </c>
      <c r="N2931" s="50" t="inlineStr">
        <is>
          <t>NON</t>
        </is>
      </c>
      <c r="O2931" s="45" t="inlineStr"/>
    </row>
    <row r="2932" customFormat="1" s="4">
      <c r="A2932" s="45" t="n"/>
      <c r="B2932" s="46" t="inlineStr">
        <is>
          <t>32066</t>
        </is>
      </c>
      <c r="C2932" s="46">
        <f>LEFT(Tableau1[[#This Row],[Formacode]],3)</f>
        <v/>
      </c>
      <c r="D2932" s="47" t="n">
        <v>36461</v>
      </c>
      <c r="E2932" s="48">
        <f>"RNCP"&amp;D2932</f>
        <v/>
      </c>
      <c r="F2932" s="48" t="inlineStr">
        <is>
          <t>Directeur d'unité opérationnelle</t>
        </is>
      </c>
      <c r="G2932" s="49">
        <f>E2932&amp;" - "&amp;F2932</f>
        <v/>
      </c>
      <c r="H2932" s="36" t="inlineStr">
        <is>
          <t>RAS</t>
        </is>
      </c>
      <c r="I2932" s="45" t="inlineStr"/>
      <c r="J2932" s="45" t="inlineStr">
        <is>
          <t>RNCP36461</t>
        </is>
      </c>
      <c r="K2932" s="45" t="inlineStr">
        <is>
          <t>Directeur d'unité opérationnelle</t>
        </is>
      </c>
      <c r="L2932" s="45" t="inlineStr">
        <is>
          <t>02/06/2027</t>
        </is>
      </c>
      <c r="M2932" s="45" t="inlineStr">
        <is>
          <t>32054 (Gestion des organisations) ; 32154 (Encadrement management)</t>
        </is>
      </c>
      <c r="N2932" s="50" t="inlineStr">
        <is>
          <t>NON</t>
        </is>
      </c>
      <c r="O2932" s="45" t="inlineStr"/>
    </row>
    <row r="2933" customFormat="1" s="4">
      <c r="A2933" s="45" t="n"/>
      <c r="B2933" s="46" t="inlineStr">
        <is>
          <t>32066</t>
        </is>
      </c>
      <c r="C2933" s="46">
        <f>LEFT(Tableau1[[#This Row],[Formacode]],3)</f>
        <v/>
      </c>
      <c r="D2933" s="47" t="n">
        <v>36677</v>
      </c>
      <c r="E2933" s="48">
        <f>"RNCP"&amp;D2933</f>
        <v/>
      </c>
      <c r="F2933" s="48" t="inlineStr">
        <is>
          <t>DIPLOVIS - Responsable en marketing, commercialisation et gestion</t>
        </is>
      </c>
      <c r="G2933" s="49">
        <f>E2933&amp;" - "&amp;F2933</f>
        <v/>
      </c>
      <c r="H2933" s="36" t="inlineStr">
        <is>
          <t>RAS</t>
        </is>
      </c>
      <c r="I2933" s="45" t="inlineStr"/>
      <c r="J2933" s="45" t="inlineStr">
        <is>
          <t>RNCP36677</t>
        </is>
      </c>
      <c r="K2933" s="45" t="inlineStr">
        <is>
          <t>Responsable en marketing, commercialisation et gestion</t>
        </is>
      </c>
      <c r="L2933" s="45" t="inlineStr">
        <is>
          <t>31/08/2027</t>
        </is>
      </c>
      <c r="M2933" s="45" t="inlineStr">
        <is>
          <t>34052 (Marketing) ; 34554 (Commerce) ; 32054 (Gestion des organisations)</t>
        </is>
      </c>
      <c r="N2933" s="50" t="inlineStr">
        <is>
          <t>NON</t>
        </is>
      </c>
      <c r="O2933" s="45" t="inlineStr"/>
    </row>
    <row r="2934" customFormat="1" s="4">
      <c r="A2934" s="45" t="n"/>
      <c r="B2934" s="46" t="inlineStr">
        <is>
          <t>32066</t>
        </is>
      </c>
      <c r="C2934" s="46">
        <f>LEFT(Tableau1[[#This Row],[Formacode]],3)</f>
        <v/>
      </c>
      <c r="D2934" s="47" t="n">
        <v>36864</v>
      </c>
      <c r="E2934" s="48">
        <f>"RNCP"&amp;D2934</f>
        <v/>
      </c>
      <c r="F2934" s="48" t="inlineStr">
        <is>
          <t>Manager de la stratégie et de la transformation digitale (MS)</t>
        </is>
      </c>
      <c r="G2934" s="49">
        <f>E2934&amp;" - "&amp;F2934</f>
        <v/>
      </c>
      <c r="H2934" s="36" t="inlineStr">
        <is>
          <t>RAS</t>
        </is>
      </c>
      <c r="I2934" s="45" t="inlineStr"/>
      <c r="J2934" s="45" t="inlineStr">
        <is>
          <t>RNCP36864</t>
        </is>
      </c>
      <c r="K2934" s="45" t="inlineStr">
        <is>
          <t>Manager de la stratégie et de la transformation digitale (MS)</t>
        </is>
      </c>
      <c r="L2934" s="45" t="inlineStr">
        <is>
          <t>29/09/2027</t>
        </is>
      </c>
      <c r="M2934" s="45" t="inlineStr">
        <is>
          <t>32066 (Transition numérique) ; 46347 (Stratégie communication numérique) ; 34093 (Marketing digital)</t>
        </is>
      </c>
      <c r="N2934" s="50" t="inlineStr">
        <is>
          <t>NON</t>
        </is>
      </c>
      <c r="O2934" s="45" t="inlineStr"/>
    </row>
    <row r="2935" customFormat="1" s="4">
      <c r="A2935" s="45" t="n"/>
      <c r="B2935" s="46" t="inlineStr">
        <is>
          <t>32066</t>
        </is>
      </c>
      <c r="C2935" s="46">
        <f>LEFT(Tableau1[[#This Row],[Formacode]],3)</f>
        <v/>
      </c>
      <c r="D2935" s="47" t="n">
        <v>37645</v>
      </c>
      <c r="E2935" s="48">
        <f>"RNCP"&amp;D2935</f>
        <v/>
      </c>
      <c r="F2935" s="48" t="inlineStr">
        <is>
          <t>Cadre dirigeant</t>
        </is>
      </c>
      <c r="G2935" s="49">
        <f>E2935&amp;" - "&amp;F2935</f>
        <v/>
      </c>
      <c r="H2935" s="36" t="inlineStr">
        <is>
          <t>RAS</t>
        </is>
      </c>
      <c r="I2935" s="45" t="inlineStr"/>
      <c r="J2935" s="45" t="inlineStr">
        <is>
          <t>RNCP37645</t>
        </is>
      </c>
      <c r="K2935" s="45" t="inlineStr">
        <is>
          <t>Cadre dirigeant</t>
        </is>
      </c>
      <c r="L2935" s="45" t="inlineStr">
        <is>
          <t>31/05/2028</t>
        </is>
      </c>
      <c r="M2935" s="45" t="inlineStr">
        <is>
          <t>32054 (Gestion des organisations)</t>
        </is>
      </c>
      <c r="N2935" s="50" t="inlineStr">
        <is>
          <t>NON</t>
        </is>
      </c>
      <c r="O2935" s="45" t="inlineStr"/>
    </row>
    <row r="2936" customFormat="1" s="4">
      <c r="A2936" s="51" t="n"/>
      <c r="B2936" s="52" t="inlineStr">
        <is>
          <t>32066</t>
        </is>
      </c>
      <c r="C2936" s="52">
        <f>LEFT(Tableau1[[#This Row],[Formacode]],3)</f>
        <v/>
      </c>
      <c r="D2936" s="53" t="n">
        <v>37719</v>
      </c>
      <c r="E2936" s="54">
        <f>"RNCP"&amp;D2936</f>
        <v/>
      </c>
      <c r="F2936" s="54" t="inlineStr">
        <is>
          <t>DIPLOVIS - Diplôme en management international de l'hôtellerie et de la restauration</t>
        </is>
      </c>
      <c r="G2936" s="55">
        <f>E2936&amp;" - "&amp;F2936</f>
        <v/>
      </c>
      <c r="H2936" s="37" t="inlineStr">
        <is>
          <t>À vérifier</t>
        </is>
      </c>
      <c r="I2936" s="51" t="inlineStr">
        <is>
          <t>Échéance le 31/08/2026 (dans 44 j)</t>
        </is>
      </c>
      <c r="J2936" s="51" t="inlineStr">
        <is>
          <t>RNCP37719</t>
        </is>
      </c>
      <c r="K2936" s="51" t="inlineStr">
        <is>
          <t>Diplôme en management international de l'hôtellerie et de la restauration</t>
        </is>
      </c>
      <c r="L2936" s="51" t="inlineStr">
        <is>
          <t>31/08/2026</t>
        </is>
      </c>
      <c r="M2936" s="51" t="inlineStr">
        <is>
          <t>32054 (Gestion des organisations) ; 42754 (Hôtellerie restauration) ; 42627 (Gestion entreprise touristique)</t>
        </is>
      </c>
      <c r="N2936" s="62" t="inlineStr">
        <is>
          <t>NON</t>
        </is>
      </c>
      <c r="O2936" s="51" t="inlineStr"/>
    </row>
    <row r="2937" customFormat="1" s="4">
      <c r="A2937" s="51" t="n"/>
      <c r="B2937" s="52" t="inlineStr">
        <is>
          <t>32066</t>
        </is>
      </c>
      <c r="C2937" s="52">
        <f>LEFT(Tableau1[[#This Row],[Formacode]],3)</f>
        <v/>
      </c>
      <c r="D2937" s="53" t="n">
        <v>37932</v>
      </c>
      <c r="E2937" s="54">
        <f>"RNCP"&amp;D2937</f>
        <v/>
      </c>
      <c r="F2937" s="54" t="inlineStr">
        <is>
          <t>DIPLOVIS - Diplôme en Management International des Arts Culinaires</t>
        </is>
      </c>
      <c r="G2937" s="55">
        <f>E2937&amp;" - "&amp;F2937</f>
        <v/>
      </c>
      <c r="H2937" s="37" t="inlineStr">
        <is>
          <t>À vérifier</t>
        </is>
      </c>
      <c r="I2937" s="51" t="inlineStr">
        <is>
          <t>Successeur déjà publié : RNCP42267 (DIPLOVIS - Diplôme en management international des arts culinaires) — préparer la bascule de l'offre CPF | Échéance le 31/08/2026 (dans 44 j)</t>
        </is>
      </c>
      <c r="J2937" s="51" t="inlineStr">
        <is>
          <t>RNCP42267</t>
        </is>
      </c>
      <c r="K2937" s="51" t="inlineStr">
        <is>
          <t>DIPLOVIS - Diplôme en management international des arts culinaires</t>
        </is>
      </c>
      <c r="L2937" s="51" t="inlineStr">
        <is>
          <t>31/08/2026</t>
        </is>
      </c>
      <c r="M2937" s="51" t="inlineStr">
        <is>
          <t>42782 (Gestion cuisine) ; 42760 (Gastronomie) ; 42766 (Gestion hôtel restaurant bar) ; 32054 (Gestion des organisations)</t>
        </is>
      </c>
      <c r="N2937" s="62" t="inlineStr">
        <is>
          <t>NON</t>
        </is>
      </c>
      <c r="O2937" s="51" t="inlineStr"/>
    </row>
    <row r="2938" customFormat="1" s="4">
      <c r="A2938" s="45" t="n"/>
      <c r="B2938" s="46" t="inlineStr">
        <is>
          <t>32066</t>
        </is>
      </c>
      <c r="C2938" s="46">
        <f>LEFT(Tableau1[[#This Row],[Formacode]],3)</f>
        <v/>
      </c>
      <c r="D2938" s="47" t="n">
        <v>37949</v>
      </c>
      <c r="E2938" s="48">
        <f>"RNCP"&amp;D2938</f>
        <v/>
      </c>
      <c r="F2938" s="48" t="inlineStr">
        <is>
          <t>TP - Gestionnaire comptable et  fiscal</t>
        </is>
      </c>
      <c r="G2938" s="49">
        <f>E2938&amp;" - "&amp;F2938</f>
        <v/>
      </c>
      <c r="H2938" s="36" t="inlineStr">
        <is>
          <t>RAS</t>
        </is>
      </c>
      <c r="I2938" s="45" t="inlineStr"/>
      <c r="J2938" s="45" t="inlineStr">
        <is>
          <t>RNCP37949</t>
        </is>
      </c>
      <c r="K2938" s="45" t="inlineStr">
        <is>
          <t>Gestionnaire comptable et fiscal</t>
        </is>
      </c>
      <c r="L2938" s="45" t="inlineStr">
        <is>
          <t>01/12/2028</t>
        </is>
      </c>
      <c r="M2938" s="45" t="inlineStr">
        <is>
          <t>32663 (Comptabilité) ; 32054 (Gestion des organisations)</t>
        </is>
      </c>
      <c r="N2938" s="50" t="inlineStr">
        <is>
          <t>NON</t>
        </is>
      </c>
      <c r="O2938" s="45" t="inlineStr"/>
    </row>
    <row r="2939" customFormat="1" s="4">
      <c r="A2939" s="51" t="n"/>
      <c r="B2939" s="52" t="inlineStr">
        <is>
          <t>32066</t>
        </is>
      </c>
      <c r="C2939" s="52">
        <f>LEFT(Tableau1[[#This Row],[Formacode]],3)</f>
        <v/>
      </c>
      <c r="D2939" s="53" t="n">
        <v>37988</v>
      </c>
      <c r="E2939" s="54">
        <f>"RNCP"&amp;D2939</f>
        <v/>
      </c>
      <c r="F2939" s="54" t="inlineStr">
        <is>
          <t>Diplôme visé - Diplôme supérieur en marketing, vente et gestion</t>
        </is>
      </c>
      <c r="G2939" s="55">
        <f>E2939&amp;" - "&amp;F2939</f>
        <v/>
      </c>
      <c r="H2939" s="37" t="inlineStr">
        <is>
          <t>À vérifier</t>
        </is>
      </c>
      <c r="I2939" s="51" t="inlineStr">
        <is>
          <t>Successeur déjà publié : RNCP42254 (Diplôme supérieur en marketing, vente et gestion) — préparer la bascule de l'offre CPF | Échéance le 31/08/2026 (dans 44 j)</t>
        </is>
      </c>
      <c r="J2939" s="51" t="inlineStr">
        <is>
          <t>RNCP42254</t>
        </is>
      </c>
      <c r="K2939" s="51" t="inlineStr">
        <is>
          <t>Diplôme supérieur en marketing, vente et gestion</t>
        </is>
      </c>
      <c r="L2939" s="51" t="inlineStr">
        <is>
          <t>31/08/2026</t>
        </is>
      </c>
      <c r="M2939" s="51" t="inlineStr">
        <is>
          <t>34085 (Stratégie commerciale) ; 34052 (Marketing) ; 32154 (Encadrement management) ; 32054 (Gestion des organisations)</t>
        </is>
      </c>
      <c r="N2939" s="62" t="inlineStr">
        <is>
          <t>NON</t>
        </is>
      </c>
      <c r="O2939" s="51" t="inlineStr"/>
    </row>
    <row r="2940" customFormat="1" s="4">
      <c r="A2940" s="45" t="n"/>
      <c r="B2940" s="46" t="inlineStr">
        <is>
          <t>32066</t>
        </is>
      </c>
      <c r="C2940" s="46">
        <f>LEFT(Tableau1[[#This Row],[Formacode]],3)</f>
        <v/>
      </c>
      <c r="D2940" s="47" t="n">
        <v>39626</v>
      </c>
      <c r="E2940" s="48">
        <f>"RNCP"&amp;D2940</f>
        <v/>
      </c>
      <c r="F2940" s="48" t="inlineStr">
        <is>
          <t>Assistant de gestion des petites entreprises</t>
        </is>
      </c>
      <c r="G2940" s="49">
        <f>E2940&amp;" - "&amp;F2940</f>
        <v/>
      </c>
      <c r="H2940" s="36" t="inlineStr">
        <is>
          <t>RAS</t>
        </is>
      </c>
      <c r="I2940" s="45" t="inlineStr"/>
      <c r="J2940" s="45" t="inlineStr">
        <is>
          <t>RNCP39626</t>
        </is>
      </c>
      <c r="K2940" s="45" t="inlineStr">
        <is>
          <t>Assistant de gestion des petites entreprises</t>
        </is>
      </c>
      <c r="L2940" s="45" t="inlineStr">
        <is>
          <t>01/10/2029</t>
        </is>
      </c>
      <c r="M2940" s="45" t="inlineStr">
        <is>
          <t>35049 (Secrétariat assistanat comptabilité) ; 32054 (Gestion des organisations) ; 35007 (Secrétariat assistanat gestion PME PMI)</t>
        </is>
      </c>
      <c r="N2940" s="50" t="inlineStr">
        <is>
          <t>NON</t>
        </is>
      </c>
      <c r="O2940" s="45" t="inlineStr"/>
    </row>
    <row r="2941" customFormat="1" s="4">
      <c r="A2941" s="45" t="n"/>
      <c r="B2941" s="46" t="inlineStr">
        <is>
          <t>32066</t>
        </is>
      </c>
      <c r="C2941" s="46">
        <f>LEFT(Tableau1[[#This Row],[Formacode]],3)</f>
        <v/>
      </c>
      <c r="D2941" s="47" t="n">
        <v>41308</v>
      </c>
      <c r="E2941" s="48">
        <f>"RNCP"&amp;D2941</f>
        <v/>
      </c>
      <c r="F2941" s="48" t="inlineStr">
        <is>
          <t>Office manager</t>
        </is>
      </c>
      <c r="G2941" s="49">
        <f>E2941&amp;" - "&amp;F2941</f>
        <v/>
      </c>
      <c r="H2941" s="36" t="inlineStr">
        <is>
          <t>RAS</t>
        </is>
      </c>
      <c r="I2941" s="45" t="inlineStr"/>
      <c r="J2941" s="45" t="inlineStr">
        <is>
          <t>RNCP41308</t>
        </is>
      </c>
      <c r="K2941" s="45" t="inlineStr">
        <is>
          <t>Office manager</t>
        </is>
      </c>
      <c r="L2941" s="45" t="inlineStr">
        <is>
          <t>24/09/2028</t>
        </is>
      </c>
      <c r="M2941" s="45" t="inlineStr">
        <is>
          <t>35047 (Secrétariat assistanat direction) ; 32054 (Gestion des organisations)</t>
        </is>
      </c>
      <c r="N2941" s="50" t="inlineStr">
        <is>
          <t>NON</t>
        </is>
      </c>
      <c r="O2941" s="45" t="inlineStr"/>
    </row>
    <row r="2942" customFormat="1" s="4">
      <c r="A2942" s="45" t="n"/>
      <c r="B2942" s="46" t="inlineStr">
        <is>
          <t>32066</t>
        </is>
      </c>
      <c r="C2942" s="46">
        <f>LEFT(Tableau1[[#This Row],[Formacode]],3)</f>
        <v/>
      </c>
      <c r="D2942" s="47" t="n">
        <v>41643</v>
      </c>
      <c r="E2942" s="48">
        <f>"RNCP"&amp;D2942</f>
        <v/>
      </c>
      <c r="F2942" s="48" t="inlineStr">
        <is>
          <t>Expert en transformation digitale et technologique no code</t>
        </is>
      </c>
      <c r="G2942" s="49">
        <f>E2942&amp;" - "&amp;F2942</f>
        <v/>
      </c>
      <c r="H2942" s="36" t="inlineStr">
        <is>
          <t>RAS</t>
        </is>
      </c>
      <c r="I2942" s="45" t="inlineStr"/>
      <c r="J2942" s="45" t="inlineStr">
        <is>
          <t>RNCP41643</t>
        </is>
      </c>
      <c r="K2942" s="45" t="inlineStr">
        <is>
          <t>Expert en transformation digitale et technologique no code</t>
        </is>
      </c>
      <c r="L2942" s="45" t="inlineStr">
        <is>
          <t>27/11/2028</t>
        </is>
      </c>
      <c r="M2942" s="45" t="inlineStr">
        <is>
          <t>31086 (Développement Low Code - No Code) ; 32008 (Responsabilité sociétale entreprise) ; 32066 (Transition numérique) ; 31094 (Gestion projet informatique) ; 32025 (Stratégie entreprise)</t>
        </is>
      </c>
      <c r="N2942" s="50" t="inlineStr">
        <is>
          <t>NON</t>
        </is>
      </c>
      <c r="O2942" s="45" t="inlineStr"/>
    </row>
    <row r="2943" customFormat="1" s="4">
      <c r="A2943" s="45" t="n"/>
      <c r="B2943" s="46" t="inlineStr">
        <is>
          <t>32066</t>
        </is>
      </c>
      <c r="C2943" s="46">
        <f>LEFT(Tableau1[[#This Row],[Formacode]],3)</f>
        <v/>
      </c>
      <c r="D2943" s="47" t="n">
        <v>41791</v>
      </c>
      <c r="E2943" s="48">
        <f>"RNCP"&amp;D2943</f>
        <v/>
      </c>
      <c r="F2943" s="48" t="inlineStr">
        <is>
          <t>Product builder no code</t>
        </is>
      </c>
      <c r="G2943" s="49">
        <f>E2943&amp;" - "&amp;F2943</f>
        <v/>
      </c>
      <c r="H2943" s="36" t="inlineStr">
        <is>
          <t>RAS</t>
        </is>
      </c>
      <c r="I2943" s="45" t="inlineStr"/>
      <c r="J2943" s="45" t="inlineStr">
        <is>
          <t>RNCP41791</t>
        </is>
      </c>
      <c r="K2943" s="45" t="inlineStr">
        <is>
          <t>Product builder no code</t>
        </is>
      </c>
      <c r="L2943" s="45" t="inlineStr">
        <is>
          <t>18/12/2028</t>
        </is>
      </c>
      <c r="M2943" s="45" t="inlineStr">
        <is>
          <t>31086 (Développement Low Code - No Code) ; 46334 (Maquettage site web) ; 31094 (Gestion projet informatique) ; 72454 (Application) ; 32066 (Transition numérique)</t>
        </is>
      </c>
      <c r="N2943" s="50" t="inlineStr">
        <is>
          <t>NON</t>
        </is>
      </c>
      <c r="O2943" s="45" t="inlineStr"/>
    </row>
    <row r="2944" customFormat="1" s="4">
      <c r="A2944" s="45" t="n"/>
      <c r="B2944" s="46" t="inlineStr">
        <is>
          <t>32068</t>
        </is>
      </c>
      <c r="C2944" s="46">
        <f>LEFT(Tableau1[[#This Row],[Formacode]],3)</f>
        <v/>
      </c>
      <c r="D2944" s="47" t="n">
        <v>36420</v>
      </c>
      <c r="E2944" s="48">
        <f>"RNCP"&amp;D2944</f>
        <v/>
      </c>
      <c r="F2944" s="48" t="inlineStr">
        <is>
          <t>DIPLOVIS - Programme supérieur de gestion et de commerce</t>
        </is>
      </c>
      <c r="G2944" s="49">
        <f>E2944&amp;" - "&amp;F2944</f>
        <v/>
      </c>
      <c r="H2944" s="36" t="inlineStr">
        <is>
          <t>RAS</t>
        </is>
      </c>
      <c r="I2944" s="45" t="inlineStr"/>
      <c r="J2944" s="45" t="inlineStr">
        <is>
          <t>RNCP36420</t>
        </is>
      </c>
      <c r="K2944" s="45" t="inlineStr">
        <is>
          <t>Programme supérieur de gestion et de commerce</t>
        </is>
      </c>
      <c r="L2944" s="45" t="inlineStr">
        <is>
          <t>31/08/2027</t>
        </is>
      </c>
      <c r="M2944" s="45" t="inlineStr">
        <is>
          <t>32110 (Management opérationnel) ; 32135 (Conduite projet) ; 32054 (Gestion des organisations)</t>
        </is>
      </c>
      <c r="N2944" s="50" t="inlineStr">
        <is>
          <t>NON</t>
        </is>
      </c>
      <c r="O2944" s="45" t="inlineStr"/>
    </row>
    <row r="2945" customFormat="1" s="4">
      <c r="A2945" s="45" t="n"/>
      <c r="B2945" s="46" t="inlineStr">
        <is>
          <t>32068</t>
        </is>
      </c>
      <c r="C2945" s="46">
        <f>LEFT(Tableau1[[#This Row],[Formacode]],3)</f>
        <v/>
      </c>
      <c r="D2945" s="47" t="n">
        <v>36461</v>
      </c>
      <c r="E2945" s="48">
        <f>"RNCP"&amp;D2945</f>
        <v/>
      </c>
      <c r="F2945" s="48" t="inlineStr">
        <is>
          <t>Directeur d'unité opérationnelle</t>
        </is>
      </c>
      <c r="G2945" s="49">
        <f>E2945&amp;" - "&amp;F2945</f>
        <v/>
      </c>
      <c r="H2945" s="36" t="inlineStr">
        <is>
          <t>RAS</t>
        </is>
      </c>
      <c r="I2945" s="45" t="inlineStr"/>
      <c r="J2945" s="45" t="inlineStr">
        <is>
          <t>RNCP36461</t>
        </is>
      </c>
      <c r="K2945" s="45" t="inlineStr">
        <is>
          <t>Directeur d'unité opérationnelle</t>
        </is>
      </c>
      <c r="L2945" s="45" t="inlineStr">
        <is>
          <t>02/06/2027</t>
        </is>
      </c>
      <c r="M2945" s="45" t="inlineStr">
        <is>
          <t>32054 (Gestion des organisations) ; 32154 (Encadrement management)</t>
        </is>
      </c>
      <c r="N2945" s="50" t="inlineStr">
        <is>
          <t>NON</t>
        </is>
      </c>
      <c r="O2945" s="45" t="inlineStr"/>
    </row>
    <row r="2946" customFormat="1" s="4">
      <c r="A2946" s="45" t="n"/>
      <c r="B2946" s="46" t="inlineStr">
        <is>
          <t>32068</t>
        </is>
      </c>
      <c r="C2946" s="46">
        <f>LEFT(Tableau1[[#This Row],[Formacode]],3)</f>
        <v/>
      </c>
      <c r="D2946" s="47" t="n">
        <v>36677</v>
      </c>
      <c r="E2946" s="48">
        <f>"RNCP"&amp;D2946</f>
        <v/>
      </c>
      <c r="F2946" s="48" t="inlineStr">
        <is>
          <t>DIPLOVIS - Responsable en marketing, commercialisation et gestion</t>
        </is>
      </c>
      <c r="G2946" s="49">
        <f>E2946&amp;" - "&amp;F2946</f>
        <v/>
      </c>
      <c r="H2946" s="36" t="inlineStr">
        <is>
          <t>RAS</t>
        </is>
      </c>
      <c r="I2946" s="45" t="inlineStr"/>
      <c r="J2946" s="45" t="inlineStr">
        <is>
          <t>RNCP36677</t>
        </is>
      </c>
      <c r="K2946" s="45" t="inlineStr">
        <is>
          <t>Responsable en marketing, commercialisation et gestion</t>
        </is>
      </c>
      <c r="L2946" s="45" t="inlineStr">
        <is>
          <t>31/08/2027</t>
        </is>
      </c>
      <c r="M2946" s="45" t="inlineStr">
        <is>
          <t>34052 (Marketing) ; 34554 (Commerce) ; 32054 (Gestion des organisations)</t>
        </is>
      </c>
      <c r="N2946" s="50" t="inlineStr">
        <is>
          <t>NON</t>
        </is>
      </c>
      <c r="O2946" s="45" t="inlineStr"/>
    </row>
    <row r="2947" customFormat="1" s="4">
      <c r="A2947" s="45" t="n"/>
      <c r="B2947" s="46" t="inlineStr">
        <is>
          <t>32068</t>
        </is>
      </c>
      <c r="C2947" s="46">
        <f>LEFT(Tableau1[[#This Row],[Formacode]],3)</f>
        <v/>
      </c>
      <c r="D2947" s="47" t="n">
        <v>37645</v>
      </c>
      <c r="E2947" s="48">
        <f>"RNCP"&amp;D2947</f>
        <v/>
      </c>
      <c r="F2947" s="48" t="inlineStr">
        <is>
          <t>Cadre dirigeant</t>
        </is>
      </c>
      <c r="G2947" s="49">
        <f>E2947&amp;" - "&amp;F2947</f>
        <v/>
      </c>
      <c r="H2947" s="36" t="inlineStr">
        <is>
          <t>RAS</t>
        </is>
      </c>
      <c r="I2947" s="45" t="inlineStr"/>
      <c r="J2947" s="45" t="inlineStr">
        <is>
          <t>RNCP37645</t>
        </is>
      </c>
      <c r="K2947" s="45" t="inlineStr">
        <is>
          <t>Cadre dirigeant</t>
        </is>
      </c>
      <c r="L2947" s="45" t="inlineStr">
        <is>
          <t>31/05/2028</t>
        </is>
      </c>
      <c r="M2947" s="45" t="inlineStr">
        <is>
          <t>32054 (Gestion des organisations)</t>
        </is>
      </c>
      <c r="N2947" s="50" t="inlineStr">
        <is>
          <t>NON</t>
        </is>
      </c>
      <c r="O2947" s="45" t="inlineStr"/>
    </row>
    <row r="2948" customFormat="1" s="4">
      <c r="A2948" s="51" t="n"/>
      <c r="B2948" s="52" t="inlineStr">
        <is>
          <t>32068</t>
        </is>
      </c>
      <c r="C2948" s="52">
        <f>LEFT(Tableau1[[#This Row],[Formacode]],3)</f>
        <v/>
      </c>
      <c r="D2948" s="53" t="n">
        <v>37719</v>
      </c>
      <c r="E2948" s="54">
        <f>"RNCP"&amp;D2948</f>
        <v/>
      </c>
      <c r="F2948" s="54" t="inlineStr">
        <is>
          <t>DIPLOVIS - Diplôme en management international de l'hôtellerie et de la restauration</t>
        </is>
      </c>
      <c r="G2948" s="55">
        <f>E2948&amp;" - "&amp;F2948</f>
        <v/>
      </c>
      <c r="H2948" s="37" t="inlineStr">
        <is>
          <t>À vérifier</t>
        </is>
      </c>
      <c r="I2948" s="51" t="inlineStr">
        <is>
          <t>Échéance le 31/08/2026 (dans 44 j)</t>
        </is>
      </c>
      <c r="J2948" s="51" t="inlineStr">
        <is>
          <t>RNCP37719</t>
        </is>
      </c>
      <c r="K2948" s="51" t="inlineStr">
        <is>
          <t>Diplôme en management international de l'hôtellerie et de la restauration</t>
        </is>
      </c>
      <c r="L2948" s="51" t="inlineStr">
        <is>
          <t>31/08/2026</t>
        </is>
      </c>
      <c r="M2948" s="51" t="inlineStr">
        <is>
          <t>32054 (Gestion des organisations) ; 42754 (Hôtellerie restauration) ; 42627 (Gestion entreprise touristique)</t>
        </is>
      </c>
      <c r="N2948" s="62" t="inlineStr">
        <is>
          <t>NON</t>
        </is>
      </c>
      <c r="O2948" s="51" t="inlineStr"/>
    </row>
    <row r="2949" customFormat="1" s="4">
      <c r="A2949" s="51" t="n"/>
      <c r="B2949" s="52" t="inlineStr">
        <is>
          <t>32068</t>
        </is>
      </c>
      <c r="C2949" s="52">
        <f>LEFT(Tableau1[[#This Row],[Formacode]],3)</f>
        <v/>
      </c>
      <c r="D2949" s="53" t="n">
        <v>37932</v>
      </c>
      <c r="E2949" s="54">
        <f>"RNCP"&amp;D2949</f>
        <v/>
      </c>
      <c r="F2949" s="54" t="inlineStr">
        <is>
          <t>DIPLOVIS - Diplôme en Management International des Arts Culinaires</t>
        </is>
      </c>
      <c r="G2949" s="55">
        <f>E2949&amp;" - "&amp;F2949</f>
        <v/>
      </c>
      <c r="H2949" s="37" t="inlineStr">
        <is>
          <t>À vérifier</t>
        </is>
      </c>
      <c r="I2949" s="51" t="inlineStr">
        <is>
          <t>Successeur déjà publié : RNCP42267 (DIPLOVIS - Diplôme en management international des arts culinaires) — préparer la bascule de l'offre CPF | Échéance le 31/08/2026 (dans 44 j)</t>
        </is>
      </c>
      <c r="J2949" s="51" t="inlineStr">
        <is>
          <t>RNCP42267</t>
        </is>
      </c>
      <c r="K2949" s="51" t="inlineStr">
        <is>
          <t>DIPLOVIS - Diplôme en management international des arts culinaires</t>
        </is>
      </c>
      <c r="L2949" s="51" t="inlineStr">
        <is>
          <t>31/08/2026</t>
        </is>
      </c>
      <c r="M2949" s="51" t="inlineStr">
        <is>
          <t>42782 (Gestion cuisine) ; 42760 (Gastronomie) ; 42766 (Gestion hôtel restaurant bar) ; 32054 (Gestion des organisations)</t>
        </is>
      </c>
      <c r="N2949" s="62" t="inlineStr">
        <is>
          <t>NON</t>
        </is>
      </c>
      <c r="O2949" s="51" t="inlineStr"/>
    </row>
    <row r="2950" customFormat="1" s="4">
      <c r="A2950" s="45" t="n"/>
      <c r="B2950" s="46" t="inlineStr">
        <is>
          <t>32068</t>
        </is>
      </c>
      <c r="C2950" s="46">
        <f>LEFT(Tableau1[[#This Row],[Formacode]],3)</f>
        <v/>
      </c>
      <c r="D2950" s="47" t="n">
        <v>37949</v>
      </c>
      <c r="E2950" s="48">
        <f>"RNCP"&amp;D2950</f>
        <v/>
      </c>
      <c r="F2950" s="48" t="inlineStr">
        <is>
          <t>TP - Gestionnaire comptable et  fiscal</t>
        </is>
      </c>
      <c r="G2950" s="49">
        <f>E2950&amp;" - "&amp;F2950</f>
        <v/>
      </c>
      <c r="H2950" s="36" t="inlineStr">
        <is>
          <t>RAS</t>
        </is>
      </c>
      <c r="I2950" s="45" t="inlineStr"/>
      <c r="J2950" s="45" t="inlineStr">
        <is>
          <t>RNCP37949</t>
        </is>
      </c>
      <c r="K2950" s="45" t="inlineStr">
        <is>
          <t>Gestionnaire comptable et fiscal</t>
        </is>
      </c>
      <c r="L2950" s="45" t="inlineStr">
        <is>
          <t>01/12/2028</t>
        </is>
      </c>
      <c r="M2950" s="45" t="inlineStr">
        <is>
          <t>32663 (Comptabilité) ; 32054 (Gestion des organisations)</t>
        </is>
      </c>
      <c r="N2950" s="50" t="inlineStr">
        <is>
          <t>NON</t>
        </is>
      </c>
      <c r="O2950" s="45" t="inlineStr"/>
    </row>
    <row r="2951" customFormat="1" s="4">
      <c r="A2951" s="51" t="n"/>
      <c r="B2951" s="52" t="inlineStr">
        <is>
          <t>32068</t>
        </is>
      </c>
      <c r="C2951" s="52">
        <f>LEFT(Tableau1[[#This Row],[Formacode]],3)</f>
        <v/>
      </c>
      <c r="D2951" s="53" t="n">
        <v>37988</v>
      </c>
      <c r="E2951" s="54">
        <f>"RNCP"&amp;D2951</f>
        <v/>
      </c>
      <c r="F2951" s="54" t="inlineStr">
        <is>
          <t>Diplôme visé - Diplôme supérieur en marketing, vente et gestion</t>
        </is>
      </c>
      <c r="G2951" s="55">
        <f>E2951&amp;" - "&amp;F2951</f>
        <v/>
      </c>
      <c r="H2951" s="37" t="inlineStr">
        <is>
          <t>À vérifier</t>
        </is>
      </c>
      <c r="I2951" s="51" t="inlineStr">
        <is>
          <t>Successeur déjà publié : RNCP42254 (Diplôme supérieur en marketing, vente et gestion) — préparer la bascule de l'offre CPF | Échéance le 31/08/2026 (dans 44 j)</t>
        </is>
      </c>
      <c r="J2951" s="51" t="inlineStr">
        <is>
          <t>RNCP42254</t>
        </is>
      </c>
      <c r="K2951" s="51" t="inlineStr">
        <is>
          <t>Diplôme supérieur en marketing, vente et gestion</t>
        </is>
      </c>
      <c r="L2951" s="51" t="inlineStr">
        <is>
          <t>31/08/2026</t>
        </is>
      </c>
      <c r="M2951" s="51" t="inlineStr">
        <is>
          <t>34085 (Stratégie commerciale) ; 34052 (Marketing) ; 32154 (Encadrement management) ; 32054 (Gestion des organisations)</t>
        </is>
      </c>
      <c r="N2951" s="62" t="inlineStr">
        <is>
          <t>NON</t>
        </is>
      </c>
      <c r="O2951" s="51" t="inlineStr"/>
    </row>
    <row r="2952" customFormat="1" s="4">
      <c r="A2952" s="45" t="n"/>
      <c r="B2952" s="46" t="inlineStr">
        <is>
          <t>32068</t>
        </is>
      </c>
      <c r="C2952" s="46">
        <f>LEFT(Tableau1[[#This Row],[Formacode]],3)</f>
        <v/>
      </c>
      <c r="D2952" s="47" t="n">
        <v>38797</v>
      </c>
      <c r="E2952" s="48">
        <f>"RNCP"&amp;D2952</f>
        <v/>
      </c>
      <c r="F2952" s="48" t="inlineStr">
        <is>
          <t>CQP Coordinateur de vie scolaire</t>
        </is>
      </c>
      <c r="G2952" s="49">
        <f>E2952&amp;" - "&amp;F2952</f>
        <v/>
      </c>
      <c r="H2952" s="36" t="inlineStr">
        <is>
          <t>RAS</t>
        </is>
      </c>
      <c r="I2952" s="45" t="inlineStr"/>
      <c r="J2952" s="45" t="inlineStr">
        <is>
          <t>RNCP38797</t>
        </is>
      </c>
      <c r="K2952" s="45" t="inlineStr">
        <is>
          <t>CQP Coordinateur de vie scolaire</t>
        </is>
      </c>
      <c r="L2952" s="45" t="inlineStr">
        <is>
          <t>27/03/2029</t>
        </is>
      </c>
      <c r="M2952" s="45" t="inlineStr">
        <is>
          <t>14420 (Psychologie enfant adolescent) ; 44540 (Relation pédagogique) ; 44057 (Atelier éducatif) ; 32068 (Coordination travail)</t>
        </is>
      </c>
      <c r="N2952" s="50" t="inlineStr">
        <is>
          <t>NON</t>
        </is>
      </c>
      <c r="O2952" s="45" t="inlineStr"/>
    </row>
    <row r="2953" customFormat="1" s="4">
      <c r="A2953" s="45" t="n"/>
      <c r="B2953" s="46" t="inlineStr">
        <is>
          <t>32068</t>
        </is>
      </c>
      <c r="C2953" s="46">
        <f>LEFT(Tableau1[[#This Row],[Formacode]],3)</f>
        <v/>
      </c>
      <c r="D2953" s="47" t="n">
        <v>39626</v>
      </c>
      <c r="E2953" s="48">
        <f>"RNCP"&amp;D2953</f>
        <v/>
      </c>
      <c r="F2953" s="48" t="inlineStr">
        <is>
          <t>Assistant de gestion des petites entreprises</t>
        </is>
      </c>
      <c r="G2953" s="49">
        <f>E2953&amp;" - "&amp;F2953</f>
        <v/>
      </c>
      <c r="H2953" s="36" t="inlineStr">
        <is>
          <t>RAS</t>
        </is>
      </c>
      <c r="I2953" s="45" t="inlineStr"/>
      <c r="J2953" s="45" t="inlineStr">
        <is>
          <t>RNCP39626</t>
        </is>
      </c>
      <c r="K2953" s="45" t="inlineStr">
        <is>
          <t>Assistant de gestion des petites entreprises</t>
        </is>
      </c>
      <c r="L2953" s="45" t="inlineStr">
        <is>
          <t>01/10/2029</t>
        </is>
      </c>
      <c r="M2953" s="45" t="inlineStr">
        <is>
          <t>35049 (Secrétariat assistanat comptabilité) ; 32054 (Gestion des organisations) ; 35007 (Secrétariat assistanat gestion PME PMI)</t>
        </is>
      </c>
      <c r="N2953" s="50" t="inlineStr">
        <is>
          <t>NON</t>
        </is>
      </c>
      <c r="O2953" s="45" t="inlineStr"/>
    </row>
    <row r="2954" customFormat="1" s="4">
      <c r="A2954" s="45" t="n"/>
      <c r="B2954" s="46" t="inlineStr">
        <is>
          <t>32068</t>
        </is>
      </c>
      <c r="C2954" s="46">
        <f>LEFT(Tableau1[[#This Row],[Formacode]],3)</f>
        <v/>
      </c>
      <c r="D2954" s="47" t="n">
        <v>40169</v>
      </c>
      <c r="E2954" s="48">
        <f>"RNCP"&amp;D2954</f>
        <v/>
      </c>
      <c r="F2954" s="48" t="inlineStr">
        <is>
          <t>CQP Responsable de conseillers techniques en élevage</t>
        </is>
      </c>
      <c r="G2954" s="49">
        <f>E2954&amp;" - "&amp;F2954</f>
        <v/>
      </c>
      <c r="H2954" s="36" t="inlineStr">
        <is>
          <t>RAS</t>
        </is>
      </c>
      <c r="I2954" s="45" t="inlineStr"/>
      <c r="J2954" s="45" t="inlineStr">
        <is>
          <t>RNCP40169</t>
        </is>
      </c>
      <c r="K2954" s="45" t="inlineStr">
        <is>
          <t>CQP Responsable de conseillers techniques en élevage</t>
        </is>
      </c>
      <c r="L2954" s="45" t="inlineStr">
        <is>
          <t>31/01/2030</t>
        </is>
      </c>
      <c r="M2954" s="45" t="inlineStr">
        <is>
          <t>21056 (Élevage) ; 32068 (Coordination travail) ; 32154 (Encadrement management)</t>
        </is>
      </c>
      <c r="N2954" s="50" t="inlineStr">
        <is>
          <t>NON</t>
        </is>
      </c>
      <c r="O2954" s="45" t="inlineStr"/>
    </row>
    <row r="2955" customFormat="1" s="4">
      <c r="A2955" s="45" t="n"/>
      <c r="B2955" s="46" t="inlineStr">
        <is>
          <t>32068</t>
        </is>
      </c>
      <c r="C2955" s="46">
        <f>LEFT(Tableau1[[#This Row],[Formacode]],3)</f>
        <v/>
      </c>
      <c r="D2955" s="47" t="n">
        <v>41308</v>
      </c>
      <c r="E2955" s="48">
        <f>"RNCP"&amp;D2955</f>
        <v/>
      </c>
      <c r="F2955" s="48" t="inlineStr">
        <is>
          <t>Office manager</t>
        </is>
      </c>
      <c r="G2955" s="49">
        <f>E2955&amp;" - "&amp;F2955</f>
        <v/>
      </c>
      <c r="H2955" s="36" t="inlineStr">
        <is>
          <t>RAS</t>
        </is>
      </c>
      <c r="I2955" s="45" t="inlineStr"/>
      <c r="J2955" s="45" t="inlineStr">
        <is>
          <t>RNCP41308</t>
        </is>
      </c>
      <c r="K2955" s="45" t="inlineStr">
        <is>
          <t>Office manager</t>
        </is>
      </c>
      <c r="L2955" s="45" t="inlineStr">
        <is>
          <t>24/09/2028</t>
        </is>
      </c>
      <c r="M2955" s="45" t="inlineStr">
        <is>
          <t>35047 (Secrétariat assistanat direction) ; 32054 (Gestion des organisations)</t>
        </is>
      </c>
      <c r="N2955" s="50" t="inlineStr">
        <is>
          <t>NON</t>
        </is>
      </c>
      <c r="O2955" s="45" t="inlineStr"/>
    </row>
    <row r="2956" customFormat="1" s="4">
      <c r="A2956" s="45" t="n"/>
      <c r="B2956" s="46" t="inlineStr">
        <is>
          <t>32072</t>
        </is>
      </c>
      <c r="C2956" s="46">
        <f>LEFT(Tableau1[[#This Row],[Formacode]],3)</f>
        <v/>
      </c>
      <c r="D2956" s="47" t="n">
        <v>36420</v>
      </c>
      <c r="E2956" s="48">
        <f>"RNCP"&amp;D2956</f>
        <v/>
      </c>
      <c r="F2956" s="48" t="inlineStr">
        <is>
          <t>DIPLOVIS - Programme supérieur de gestion et de commerce</t>
        </is>
      </c>
      <c r="G2956" s="49">
        <f>E2956&amp;" - "&amp;F2956</f>
        <v/>
      </c>
      <c r="H2956" s="36" t="inlineStr">
        <is>
          <t>RAS</t>
        </is>
      </c>
      <c r="I2956" s="45" t="inlineStr"/>
      <c r="J2956" s="45" t="inlineStr">
        <is>
          <t>RNCP36420</t>
        </is>
      </c>
      <c r="K2956" s="45" t="inlineStr">
        <is>
          <t>Programme supérieur de gestion et de commerce</t>
        </is>
      </c>
      <c r="L2956" s="45" t="inlineStr">
        <is>
          <t>31/08/2027</t>
        </is>
      </c>
      <c r="M2956" s="45" t="inlineStr">
        <is>
          <t>32110 (Management opérationnel) ; 32135 (Conduite projet) ; 32054 (Gestion des organisations)</t>
        </is>
      </c>
      <c r="N2956" s="50" t="inlineStr">
        <is>
          <t>NON</t>
        </is>
      </c>
      <c r="O2956" s="45" t="inlineStr"/>
    </row>
    <row r="2957" customFormat="1" s="4">
      <c r="A2957" s="45" t="n"/>
      <c r="B2957" s="46" t="inlineStr">
        <is>
          <t>32072</t>
        </is>
      </c>
      <c r="C2957" s="46">
        <f>LEFT(Tableau1[[#This Row],[Formacode]],3)</f>
        <v/>
      </c>
      <c r="D2957" s="47" t="n">
        <v>36461</v>
      </c>
      <c r="E2957" s="48">
        <f>"RNCP"&amp;D2957</f>
        <v/>
      </c>
      <c r="F2957" s="48" t="inlineStr">
        <is>
          <t>Directeur d'unité opérationnelle</t>
        </is>
      </c>
      <c r="G2957" s="49">
        <f>E2957&amp;" - "&amp;F2957</f>
        <v/>
      </c>
      <c r="H2957" s="36" t="inlineStr">
        <is>
          <t>RAS</t>
        </is>
      </c>
      <c r="I2957" s="45" t="inlineStr"/>
      <c r="J2957" s="45" t="inlineStr">
        <is>
          <t>RNCP36461</t>
        </is>
      </c>
      <c r="K2957" s="45" t="inlineStr">
        <is>
          <t>Directeur d'unité opérationnelle</t>
        </is>
      </c>
      <c r="L2957" s="45" t="inlineStr">
        <is>
          <t>02/06/2027</t>
        </is>
      </c>
      <c r="M2957" s="45" t="inlineStr">
        <is>
          <t>32054 (Gestion des organisations) ; 32154 (Encadrement management)</t>
        </is>
      </c>
      <c r="N2957" s="50" t="inlineStr">
        <is>
          <t>NON</t>
        </is>
      </c>
      <c r="O2957" s="45" t="inlineStr"/>
    </row>
    <row r="2958" customFormat="1" s="4">
      <c r="A2958" s="45" t="n"/>
      <c r="B2958" s="46" t="inlineStr">
        <is>
          <t>32072</t>
        </is>
      </c>
      <c r="C2958" s="46">
        <f>LEFT(Tableau1[[#This Row],[Formacode]],3)</f>
        <v/>
      </c>
      <c r="D2958" s="47" t="n">
        <v>36677</v>
      </c>
      <c r="E2958" s="48">
        <f>"RNCP"&amp;D2958</f>
        <v/>
      </c>
      <c r="F2958" s="48" t="inlineStr">
        <is>
          <t>DIPLOVIS - Responsable en marketing, commercialisation et gestion</t>
        </is>
      </c>
      <c r="G2958" s="49">
        <f>E2958&amp;" - "&amp;F2958</f>
        <v/>
      </c>
      <c r="H2958" s="36" t="inlineStr">
        <is>
          <t>RAS</t>
        </is>
      </c>
      <c r="I2958" s="45" t="inlineStr"/>
      <c r="J2958" s="45" t="inlineStr">
        <is>
          <t>RNCP36677</t>
        </is>
      </c>
      <c r="K2958" s="45" t="inlineStr">
        <is>
          <t>Responsable en marketing, commercialisation et gestion</t>
        </is>
      </c>
      <c r="L2958" s="45" t="inlineStr">
        <is>
          <t>31/08/2027</t>
        </is>
      </c>
      <c r="M2958" s="45" t="inlineStr">
        <is>
          <t>34052 (Marketing) ; 34554 (Commerce) ; 32054 (Gestion des organisations)</t>
        </is>
      </c>
      <c r="N2958" s="50" t="inlineStr">
        <is>
          <t>NON</t>
        </is>
      </c>
      <c r="O2958" s="45" t="inlineStr"/>
    </row>
    <row r="2959" customFormat="1" s="4">
      <c r="A2959" s="45" t="n"/>
      <c r="B2959" s="46" t="inlineStr">
        <is>
          <t>32072</t>
        </is>
      </c>
      <c r="C2959" s="46">
        <f>LEFT(Tableau1[[#This Row],[Formacode]],3)</f>
        <v/>
      </c>
      <c r="D2959" s="47" t="n">
        <v>37645</v>
      </c>
      <c r="E2959" s="48">
        <f>"RNCP"&amp;D2959</f>
        <v/>
      </c>
      <c r="F2959" s="48" t="inlineStr">
        <is>
          <t>Cadre dirigeant</t>
        </is>
      </c>
      <c r="G2959" s="49">
        <f>E2959&amp;" - "&amp;F2959</f>
        <v/>
      </c>
      <c r="H2959" s="36" t="inlineStr">
        <is>
          <t>RAS</t>
        </is>
      </c>
      <c r="I2959" s="45" t="inlineStr"/>
      <c r="J2959" s="45" t="inlineStr">
        <is>
          <t>RNCP37645</t>
        </is>
      </c>
      <c r="K2959" s="45" t="inlineStr">
        <is>
          <t>Cadre dirigeant</t>
        </is>
      </c>
      <c r="L2959" s="45" t="inlineStr">
        <is>
          <t>31/05/2028</t>
        </is>
      </c>
      <c r="M2959" s="45" t="inlineStr">
        <is>
          <t>32054 (Gestion des organisations)</t>
        </is>
      </c>
      <c r="N2959" s="50" t="inlineStr">
        <is>
          <t>NON</t>
        </is>
      </c>
      <c r="O2959" s="45" t="inlineStr"/>
    </row>
    <row r="2960" customFormat="1" s="4">
      <c r="A2960" s="51" t="n"/>
      <c r="B2960" s="52" t="inlineStr">
        <is>
          <t>32072</t>
        </is>
      </c>
      <c r="C2960" s="52">
        <f>LEFT(Tableau1[[#This Row],[Formacode]],3)</f>
        <v/>
      </c>
      <c r="D2960" s="53" t="n">
        <v>37719</v>
      </c>
      <c r="E2960" s="54">
        <f>"RNCP"&amp;D2960</f>
        <v/>
      </c>
      <c r="F2960" s="54" t="inlineStr">
        <is>
          <t>DIPLOVIS - Diplôme en management international de l'hôtellerie et de la restauration</t>
        </is>
      </c>
      <c r="G2960" s="55">
        <f>E2960&amp;" - "&amp;F2960</f>
        <v/>
      </c>
      <c r="H2960" s="37" t="inlineStr">
        <is>
          <t>À vérifier</t>
        </is>
      </c>
      <c r="I2960" s="51" t="inlineStr">
        <is>
          <t>Échéance le 31/08/2026 (dans 44 j)</t>
        </is>
      </c>
      <c r="J2960" s="51" t="inlineStr">
        <is>
          <t>RNCP37719</t>
        </is>
      </c>
      <c r="K2960" s="51" t="inlineStr">
        <is>
          <t>Diplôme en management international de l'hôtellerie et de la restauration</t>
        </is>
      </c>
      <c r="L2960" s="51" t="inlineStr">
        <is>
          <t>31/08/2026</t>
        </is>
      </c>
      <c r="M2960" s="51" t="inlineStr">
        <is>
          <t>32054 (Gestion des organisations) ; 42754 (Hôtellerie restauration) ; 42627 (Gestion entreprise touristique)</t>
        </is>
      </c>
      <c r="N2960" s="62" t="inlineStr">
        <is>
          <t>NON</t>
        </is>
      </c>
      <c r="O2960" s="51" t="inlineStr"/>
    </row>
    <row r="2961" customFormat="1" s="4">
      <c r="A2961" s="51" t="n"/>
      <c r="B2961" s="52" t="inlineStr">
        <is>
          <t>32072</t>
        </is>
      </c>
      <c r="C2961" s="52">
        <f>LEFT(Tableau1[[#This Row],[Formacode]],3)</f>
        <v/>
      </c>
      <c r="D2961" s="53" t="n">
        <v>37932</v>
      </c>
      <c r="E2961" s="54">
        <f>"RNCP"&amp;D2961</f>
        <v/>
      </c>
      <c r="F2961" s="54" t="inlineStr">
        <is>
          <t>DIPLOVIS - Diplôme en Management International des Arts Culinaires</t>
        </is>
      </c>
      <c r="G2961" s="55">
        <f>E2961&amp;" - "&amp;F2961</f>
        <v/>
      </c>
      <c r="H2961" s="37" t="inlineStr">
        <is>
          <t>À vérifier</t>
        </is>
      </c>
      <c r="I2961" s="51" t="inlineStr">
        <is>
          <t>Successeur déjà publié : RNCP42267 (DIPLOVIS - Diplôme en management international des arts culinaires) — préparer la bascule de l'offre CPF | Échéance le 31/08/2026 (dans 44 j)</t>
        </is>
      </c>
      <c r="J2961" s="51" t="inlineStr">
        <is>
          <t>RNCP42267</t>
        </is>
      </c>
      <c r="K2961" s="51" t="inlineStr">
        <is>
          <t>DIPLOVIS - Diplôme en management international des arts culinaires</t>
        </is>
      </c>
      <c r="L2961" s="51" t="inlineStr">
        <is>
          <t>31/08/2026</t>
        </is>
      </c>
      <c r="M2961" s="51" t="inlineStr">
        <is>
          <t>42782 (Gestion cuisine) ; 42760 (Gastronomie) ; 42766 (Gestion hôtel restaurant bar) ; 32054 (Gestion des organisations)</t>
        </is>
      </c>
      <c r="N2961" s="62" t="inlineStr">
        <is>
          <t>NON</t>
        </is>
      </c>
      <c r="O2961" s="51" t="inlineStr"/>
    </row>
    <row r="2962" customFormat="1" s="4">
      <c r="A2962" s="45" t="n"/>
      <c r="B2962" s="46" t="inlineStr">
        <is>
          <t>32072</t>
        </is>
      </c>
      <c r="C2962" s="46">
        <f>LEFT(Tableau1[[#This Row],[Formacode]],3)</f>
        <v/>
      </c>
      <c r="D2962" s="47" t="n">
        <v>37949</v>
      </c>
      <c r="E2962" s="48">
        <f>"RNCP"&amp;D2962</f>
        <v/>
      </c>
      <c r="F2962" s="48" t="inlineStr">
        <is>
          <t>TP - Gestionnaire comptable et  fiscal</t>
        </is>
      </c>
      <c r="G2962" s="49">
        <f>E2962&amp;" - "&amp;F2962</f>
        <v/>
      </c>
      <c r="H2962" s="36" t="inlineStr">
        <is>
          <t>RAS</t>
        </is>
      </c>
      <c r="I2962" s="45" t="inlineStr"/>
      <c r="J2962" s="45" t="inlineStr">
        <is>
          <t>RNCP37949</t>
        </is>
      </c>
      <c r="K2962" s="45" t="inlineStr">
        <is>
          <t>Gestionnaire comptable et fiscal</t>
        </is>
      </c>
      <c r="L2962" s="45" t="inlineStr">
        <is>
          <t>01/12/2028</t>
        </is>
      </c>
      <c r="M2962" s="45" t="inlineStr">
        <is>
          <t>32663 (Comptabilité) ; 32054 (Gestion des organisations)</t>
        </is>
      </c>
      <c r="N2962" s="50" t="inlineStr">
        <is>
          <t>NON</t>
        </is>
      </c>
      <c r="O2962" s="45" t="inlineStr"/>
    </row>
    <row r="2963" customFormat="1" s="4">
      <c r="A2963" s="51" t="n"/>
      <c r="B2963" s="52" t="inlineStr">
        <is>
          <t>32072</t>
        </is>
      </c>
      <c r="C2963" s="52">
        <f>LEFT(Tableau1[[#This Row],[Formacode]],3)</f>
        <v/>
      </c>
      <c r="D2963" s="53" t="n">
        <v>37988</v>
      </c>
      <c r="E2963" s="54">
        <f>"RNCP"&amp;D2963</f>
        <v/>
      </c>
      <c r="F2963" s="54" t="inlineStr">
        <is>
          <t>Diplôme visé - Diplôme supérieur en marketing, vente et gestion</t>
        </is>
      </c>
      <c r="G2963" s="55">
        <f>E2963&amp;" - "&amp;F2963</f>
        <v/>
      </c>
      <c r="H2963" s="37" t="inlineStr">
        <is>
          <t>À vérifier</t>
        </is>
      </c>
      <c r="I2963" s="51" t="inlineStr">
        <is>
          <t>Successeur déjà publié : RNCP42254 (Diplôme supérieur en marketing, vente et gestion) — préparer la bascule de l'offre CPF | Échéance le 31/08/2026 (dans 44 j)</t>
        </is>
      </c>
      <c r="J2963" s="51" t="inlineStr">
        <is>
          <t>RNCP42254</t>
        </is>
      </c>
      <c r="K2963" s="51" t="inlineStr">
        <is>
          <t>Diplôme supérieur en marketing, vente et gestion</t>
        </is>
      </c>
      <c r="L2963" s="51" t="inlineStr">
        <is>
          <t>31/08/2026</t>
        </is>
      </c>
      <c r="M2963" s="51" t="inlineStr">
        <is>
          <t>34085 (Stratégie commerciale) ; 34052 (Marketing) ; 32154 (Encadrement management) ; 32054 (Gestion des organisations)</t>
        </is>
      </c>
      <c r="N2963" s="62" t="inlineStr">
        <is>
          <t>NON</t>
        </is>
      </c>
      <c r="O2963" s="51" t="inlineStr"/>
    </row>
    <row r="2964" customFormat="1" s="4">
      <c r="A2964" s="45" t="n"/>
      <c r="B2964" s="46" t="inlineStr">
        <is>
          <t>32072</t>
        </is>
      </c>
      <c r="C2964" s="46">
        <f>LEFT(Tableau1[[#This Row],[Formacode]],3)</f>
        <v/>
      </c>
      <c r="D2964" s="47" t="n">
        <v>39626</v>
      </c>
      <c r="E2964" s="48">
        <f>"RNCP"&amp;D2964</f>
        <v/>
      </c>
      <c r="F2964" s="48" t="inlineStr">
        <is>
          <t>Assistant de gestion des petites entreprises</t>
        </is>
      </c>
      <c r="G2964" s="49">
        <f>E2964&amp;" - "&amp;F2964</f>
        <v/>
      </c>
      <c r="H2964" s="36" t="inlineStr">
        <is>
          <t>RAS</t>
        </is>
      </c>
      <c r="I2964" s="45" t="inlineStr"/>
      <c r="J2964" s="45" t="inlineStr">
        <is>
          <t>RNCP39626</t>
        </is>
      </c>
      <c r="K2964" s="45" t="inlineStr">
        <is>
          <t>Assistant de gestion des petites entreprises</t>
        </is>
      </c>
      <c r="L2964" s="45" t="inlineStr">
        <is>
          <t>01/10/2029</t>
        </is>
      </c>
      <c r="M2964" s="45" t="inlineStr">
        <is>
          <t>35049 (Secrétariat assistanat comptabilité) ; 32054 (Gestion des organisations) ; 35007 (Secrétariat assistanat gestion PME PMI)</t>
        </is>
      </c>
      <c r="N2964" s="50" t="inlineStr">
        <is>
          <t>NON</t>
        </is>
      </c>
      <c r="O2964" s="45" t="inlineStr"/>
    </row>
    <row r="2965" customFormat="1" s="4">
      <c r="A2965" s="45" t="n"/>
      <c r="B2965" s="46" t="inlineStr">
        <is>
          <t>32072</t>
        </is>
      </c>
      <c r="C2965" s="46">
        <f>LEFT(Tableau1[[#This Row],[Formacode]],3)</f>
        <v/>
      </c>
      <c r="D2965" s="47" t="n">
        <v>41308</v>
      </c>
      <c r="E2965" s="48">
        <f>"RNCP"&amp;D2965</f>
        <v/>
      </c>
      <c r="F2965" s="48" t="inlineStr">
        <is>
          <t>Office manager</t>
        </is>
      </c>
      <c r="G2965" s="49">
        <f>E2965&amp;" - "&amp;F2965</f>
        <v/>
      </c>
      <c r="H2965" s="36" t="inlineStr">
        <is>
          <t>RAS</t>
        </is>
      </c>
      <c r="I2965" s="45" t="inlineStr"/>
      <c r="J2965" s="45" t="inlineStr">
        <is>
          <t>RNCP41308</t>
        </is>
      </c>
      <c r="K2965" s="45" t="inlineStr">
        <is>
          <t>Office manager</t>
        </is>
      </c>
      <c r="L2965" s="45" t="inlineStr">
        <is>
          <t>24/09/2028</t>
        </is>
      </c>
      <c r="M2965" s="45" t="inlineStr">
        <is>
          <t>35047 (Secrétariat assistanat direction) ; 32054 (Gestion des organisations)</t>
        </is>
      </c>
      <c r="N2965" s="50" t="inlineStr">
        <is>
          <t>NON</t>
        </is>
      </c>
      <c r="O2965" s="45" t="inlineStr"/>
    </row>
    <row r="2966" customFormat="1" s="4">
      <c r="A2966" s="45" t="n"/>
      <c r="B2966" s="46" t="inlineStr">
        <is>
          <t>32074</t>
        </is>
      </c>
      <c r="C2966" s="46">
        <f>LEFT(Tableau1[[#This Row],[Formacode]],3)</f>
        <v/>
      </c>
      <c r="D2966" s="47" t="n">
        <v>36420</v>
      </c>
      <c r="E2966" s="48">
        <f>"RNCP"&amp;D2966</f>
        <v/>
      </c>
      <c r="F2966" s="48" t="inlineStr">
        <is>
          <t>DIPLOVIS - Programme supérieur de gestion et de commerce</t>
        </is>
      </c>
      <c r="G2966" s="49">
        <f>E2966&amp;" - "&amp;F2966</f>
        <v/>
      </c>
      <c r="H2966" s="36" t="inlineStr">
        <is>
          <t>RAS</t>
        </is>
      </c>
      <c r="I2966" s="45" t="inlineStr"/>
      <c r="J2966" s="45" t="inlineStr">
        <is>
          <t>RNCP36420</t>
        </is>
      </c>
      <c r="K2966" s="45" t="inlineStr">
        <is>
          <t>Programme supérieur de gestion et de commerce</t>
        </is>
      </c>
      <c r="L2966" s="45" t="inlineStr">
        <is>
          <t>31/08/2027</t>
        </is>
      </c>
      <c r="M2966" s="45" t="inlineStr">
        <is>
          <t>32110 (Management opérationnel) ; 32135 (Conduite projet) ; 32054 (Gestion des organisations)</t>
        </is>
      </c>
      <c r="N2966" s="50" t="inlineStr">
        <is>
          <t>NON</t>
        </is>
      </c>
      <c r="O2966" s="45" t="inlineStr"/>
    </row>
    <row r="2967" customFormat="1" s="4">
      <c r="A2967" s="45" t="n"/>
      <c r="B2967" s="46" t="inlineStr">
        <is>
          <t>32074</t>
        </is>
      </c>
      <c r="C2967" s="46">
        <f>LEFT(Tableau1[[#This Row],[Formacode]],3)</f>
        <v/>
      </c>
      <c r="D2967" s="47" t="n">
        <v>36461</v>
      </c>
      <c r="E2967" s="48">
        <f>"RNCP"&amp;D2967</f>
        <v/>
      </c>
      <c r="F2967" s="48" t="inlineStr">
        <is>
          <t>Directeur d'unité opérationnelle</t>
        </is>
      </c>
      <c r="G2967" s="49">
        <f>E2967&amp;" - "&amp;F2967</f>
        <v/>
      </c>
      <c r="H2967" s="36" t="inlineStr">
        <is>
          <t>RAS</t>
        </is>
      </c>
      <c r="I2967" s="45" t="inlineStr"/>
      <c r="J2967" s="45" t="inlineStr">
        <is>
          <t>RNCP36461</t>
        </is>
      </c>
      <c r="K2967" s="45" t="inlineStr">
        <is>
          <t>Directeur d'unité opérationnelle</t>
        </is>
      </c>
      <c r="L2967" s="45" t="inlineStr">
        <is>
          <t>02/06/2027</t>
        </is>
      </c>
      <c r="M2967" s="45" t="inlineStr">
        <is>
          <t>32054 (Gestion des organisations) ; 32154 (Encadrement management)</t>
        </is>
      </c>
      <c r="N2967" s="50" t="inlineStr">
        <is>
          <t>NON</t>
        </is>
      </c>
      <c r="O2967" s="45" t="inlineStr"/>
    </row>
    <row r="2968" customFormat="1" s="4">
      <c r="A2968" s="45" t="n"/>
      <c r="B2968" s="46" t="inlineStr">
        <is>
          <t>32074</t>
        </is>
      </c>
      <c r="C2968" s="46">
        <f>LEFT(Tableau1[[#This Row],[Formacode]],3)</f>
        <v/>
      </c>
      <c r="D2968" s="47" t="n">
        <v>36677</v>
      </c>
      <c r="E2968" s="48">
        <f>"RNCP"&amp;D2968</f>
        <v/>
      </c>
      <c r="F2968" s="48" t="inlineStr">
        <is>
          <t>DIPLOVIS - Responsable en marketing, commercialisation et gestion</t>
        </is>
      </c>
      <c r="G2968" s="49">
        <f>E2968&amp;" - "&amp;F2968</f>
        <v/>
      </c>
      <c r="H2968" s="36" t="inlineStr">
        <is>
          <t>RAS</t>
        </is>
      </c>
      <c r="I2968" s="45" t="inlineStr"/>
      <c r="J2968" s="45" t="inlineStr">
        <is>
          <t>RNCP36677</t>
        </is>
      </c>
      <c r="K2968" s="45" t="inlineStr">
        <is>
          <t>Responsable en marketing, commercialisation et gestion</t>
        </is>
      </c>
      <c r="L2968" s="45" t="inlineStr">
        <is>
          <t>31/08/2027</t>
        </is>
      </c>
      <c r="M2968" s="45" t="inlineStr">
        <is>
          <t>34052 (Marketing) ; 34554 (Commerce) ; 32054 (Gestion des organisations)</t>
        </is>
      </c>
      <c r="N2968" s="50" t="inlineStr">
        <is>
          <t>NON</t>
        </is>
      </c>
      <c r="O2968" s="45" t="inlineStr"/>
    </row>
    <row r="2969" customFormat="1" s="4">
      <c r="A2969" s="45" t="n"/>
      <c r="B2969" s="46" t="inlineStr">
        <is>
          <t>32074</t>
        </is>
      </c>
      <c r="C2969" s="46">
        <f>LEFT(Tableau1[[#This Row],[Formacode]],3)</f>
        <v/>
      </c>
      <c r="D2969" s="47" t="n">
        <v>37645</v>
      </c>
      <c r="E2969" s="48">
        <f>"RNCP"&amp;D2969</f>
        <v/>
      </c>
      <c r="F2969" s="48" t="inlineStr">
        <is>
          <t>Cadre dirigeant</t>
        </is>
      </c>
      <c r="G2969" s="49">
        <f>E2969&amp;" - "&amp;F2969</f>
        <v/>
      </c>
      <c r="H2969" s="36" t="inlineStr">
        <is>
          <t>RAS</t>
        </is>
      </c>
      <c r="I2969" s="45" t="inlineStr"/>
      <c r="J2969" s="45" t="inlineStr">
        <is>
          <t>RNCP37645</t>
        </is>
      </c>
      <c r="K2969" s="45" t="inlineStr">
        <is>
          <t>Cadre dirigeant</t>
        </is>
      </c>
      <c r="L2969" s="45" t="inlineStr">
        <is>
          <t>31/05/2028</t>
        </is>
      </c>
      <c r="M2969" s="45" t="inlineStr">
        <is>
          <t>32054 (Gestion des organisations)</t>
        </is>
      </c>
      <c r="N2969" s="50" t="inlineStr">
        <is>
          <t>NON</t>
        </is>
      </c>
      <c r="O2969" s="45" t="inlineStr"/>
    </row>
    <row r="2970" customFormat="1" s="4">
      <c r="A2970" s="51" t="n"/>
      <c r="B2970" s="52" t="inlineStr">
        <is>
          <t>32074</t>
        </is>
      </c>
      <c r="C2970" s="52">
        <f>LEFT(Tableau1[[#This Row],[Formacode]],3)</f>
        <v/>
      </c>
      <c r="D2970" s="53" t="n">
        <v>37719</v>
      </c>
      <c r="E2970" s="54">
        <f>"RNCP"&amp;D2970</f>
        <v/>
      </c>
      <c r="F2970" s="54" t="inlineStr">
        <is>
          <t>DIPLOVIS - Diplôme en management international de l'hôtellerie et de la restauration</t>
        </is>
      </c>
      <c r="G2970" s="55">
        <f>E2970&amp;" - "&amp;F2970</f>
        <v/>
      </c>
      <c r="H2970" s="37" t="inlineStr">
        <is>
          <t>À vérifier</t>
        </is>
      </c>
      <c r="I2970" s="51" t="inlineStr">
        <is>
          <t>Échéance le 31/08/2026 (dans 44 j)</t>
        </is>
      </c>
      <c r="J2970" s="51" t="inlineStr">
        <is>
          <t>RNCP37719</t>
        </is>
      </c>
      <c r="K2970" s="51" t="inlineStr">
        <is>
          <t>Diplôme en management international de l'hôtellerie et de la restauration</t>
        </is>
      </c>
      <c r="L2970" s="51" t="inlineStr">
        <is>
          <t>31/08/2026</t>
        </is>
      </c>
      <c r="M2970" s="51" t="inlineStr">
        <is>
          <t>32054 (Gestion des organisations) ; 42754 (Hôtellerie restauration) ; 42627 (Gestion entreprise touristique)</t>
        </is>
      </c>
      <c r="N2970" s="62" t="inlineStr">
        <is>
          <t>NON</t>
        </is>
      </c>
      <c r="O2970" s="51" t="inlineStr"/>
    </row>
    <row r="2971" customFormat="1" s="4">
      <c r="A2971" s="51" t="n"/>
      <c r="B2971" s="52" t="inlineStr">
        <is>
          <t>32074</t>
        </is>
      </c>
      <c r="C2971" s="52">
        <f>LEFT(Tableau1[[#This Row],[Formacode]],3)</f>
        <v/>
      </c>
      <c r="D2971" s="53" t="n">
        <v>37932</v>
      </c>
      <c r="E2971" s="54">
        <f>"RNCP"&amp;D2971</f>
        <v/>
      </c>
      <c r="F2971" s="54" t="inlineStr">
        <is>
          <t>DIPLOVIS - Diplôme en Management International des Arts Culinaires</t>
        </is>
      </c>
      <c r="G2971" s="55">
        <f>E2971&amp;" - "&amp;F2971</f>
        <v/>
      </c>
      <c r="H2971" s="37" t="inlineStr">
        <is>
          <t>À vérifier</t>
        </is>
      </c>
      <c r="I2971" s="51" t="inlineStr">
        <is>
          <t>Successeur déjà publié : RNCP42267 (DIPLOVIS - Diplôme en management international des arts culinaires) — préparer la bascule de l'offre CPF | Échéance le 31/08/2026 (dans 44 j)</t>
        </is>
      </c>
      <c r="J2971" s="51" t="inlineStr">
        <is>
          <t>RNCP42267</t>
        </is>
      </c>
      <c r="K2971" s="51" t="inlineStr">
        <is>
          <t>DIPLOVIS - Diplôme en management international des arts culinaires</t>
        </is>
      </c>
      <c r="L2971" s="51" t="inlineStr">
        <is>
          <t>31/08/2026</t>
        </is>
      </c>
      <c r="M2971" s="51" t="inlineStr">
        <is>
          <t>42782 (Gestion cuisine) ; 42760 (Gastronomie) ; 42766 (Gestion hôtel restaurant bar) ; 32054 (Gestion des organisations)</t>
        </is>
      </c>
      <c r="N2971" s="62" t="inlineStr">
        <is>
          <t>NON</t>
        </is>
      </c>
      <c r="O2971" s="51" t="inlineStr"/>
    </row>
    <row r="2972" customFormat="1" s="4">
      <c r="A2972" s="45" t="n"/>
      <c r="B2972" s="46" t="inlineStr">
        <is>
          <t>32074</t>
        </is>
      </c>
      <c r="C2972" s="46">
        <f>LEFT(Tableau1[[#This Row],[Formacode]],3)</f>
        <v/>
      </c>
      <c r="D2972" s="47" t="n">
        <v>37949</v>
      </c>
      <c r="E2972" s="48">
        <f>"RNCP"&amp;D2972</f>
        <v/>
      </c>
      <c r="F2972" s="48" t="inlineStr">
        <is>
          <t>TP - Gestionnaire comptable et  fiscal</t>
        </is>
      </c>
      <c r="G2972" s="49">
        <f>E2972&amp;" - "&amp;F2972</f>
        <v/>
      </c>
      <c r="H2972" s="36" t="inlineStr">
        <is>
          <t>RAS</t>
        </is>
      </c>
      <c r="I2972" s="45" t="inlineStr"/>
      <c r="J2972" s="45" t="inlineStr">
        <is>
          <t>RNCP37949</t>
        </is>
      </c>
      <c r="K2972" s="45" t="inlineStr">
        <is>
          <t>Gestionnaire comptable et fiscal</t>
        </is>
      </c>
      <c r="L2972" s="45" t="inlineStr">
        <is>
          <t>01/12/2028</t>
        </is>
      </c>
      <c r="M2972" s="45" t="inlineStr">
        <is>
          <t>32663 (Comptabilité) ; 32054 (Gestion des organisations)</t>
        </is>
      </c>
      <c r="N2972" s="50" t="inlineStr">
        <is>
          <t>NON</t>
        </is>
      </c>
      <c r="O2972" s="45" t="inlineStr"/>
    </row>
    <row r="2973" customFormat="1" s="4">
      <c r="A2973" s="51" t="n"/>
      <c r="B2973" s="52" t="inlineStr">
        <is>
          <t>32074</t>
        </is>
      </c>
      <c r="C2973" s="52">
        <f>LEFT(Tableau1[[#This Row],[Formacode]],3)</f>
        <v/>
      </c>
      <c r="D2973" s="53" t="n">
        <v>37988</v>
      </c>
      <c r="E2973" s="54">
        <f>"RNCP"&amp;D2973</f>
        <v/>
      </c>
      <c r="F2973" s="54" t="inlineStr">
        <is>
          <t>Diplôme visé - Diplôme supérieur en marketing, vente et gestion</t>
        </is>
      </c>
      <c r="G2973" s="55">
        <f>E2973&amp;" - "&amp;F2973</f>
        <v/>
      </c>
      <c r="H2973" s="37" t="inlineStr">
        <is>
          <t>À vérifier</t>
        </is>
      </c>
      <c r="I2973" s="51" t="inlineStr">
        <is>
          <t>Successeur déjà publié : RNCP42254 (Diplôme supérieur en marketing, vente et gestion) — préparer la bascule de l'offre CPF | Échéance le 31/08/2026 (dans 44 j)</t>
        </is>
      </c>
      <c r="J2973" s="51" t="inlineStr">
        <is>
          <t>RNCP42254</t>
        </is>
      </c>
      <c r="K2973" s="51" t="inlineStr">
        <is>
          <t>Diplôme supérieur en marketing, vente et gestion</t>
        </is>
      </c>
      <c r="L2973" s="51" t="inlineStr">
        <is>
          <t>31/08/2026</t>
        </is>
      </c>
      <c r="M2973" s="51" t="inlineStr">
        <is>
          <t>34085 (Stratégie commerciale) ; 34052 (Marketing) ; 32154 (Encadrement management) ; 32054 (Gestion des organisations)</t>
        </is>
      </c>
      <c r="N2973" s="62" t="inlineStr">
        <is>
          <t>NON</t>
        </is>
      </c>
      <c r="O2973" s="51" t="inlineStr"/>
    </row>
    <row r="2974" customFormat="1" s="4">
      <c r="A2974" s="45" t="n"/>
      <c r="B2974" s="46" t="inlineStr">
        <is>
          <t>32074</t>
        </is>
      </c>
      <c r="C2974" s="46">
        <f>LEFT(Tableau1[[#This Row],[Formacode]],3)</f>
        <v/>
      </c>
      <c r="D2974" s="47" t="n">
        <v>39626</v>
      </c>
      <c r="E2974" s="48">
        <f>"RNCP"&amp;D2974</f>
        <v/>
      </c>
      <c r="F2974" s="48" t="inlineStr">
        <is>
          <t>Assistant de gestion des petites entreprises</t>
        </is>
      </c>
      <c r="G2974" s="49">
        <f>E2974&amp;" - "&amp;F2974</f>
        <v/>
      </c>
      <c r="H2974" s="36" t="inlineStr">
        <is>
          <t>RAS</t>
        </is>
      </c>
      <c r="I2974" s="45" t="inlineStr"/>
      <c r="J2974" s="45" t="inlineStr">
        <is>
          <t>RNCP39626</t>
        </is>
      </c>
      <c r="K2974" s="45" t="inlineStr">
        <is>
          <t>Assistant de gestion des petites entreprises</t>
        </is>
      </c>
      <c r="L2974" s="45" t="inlineStr">
        <is>
          <t>01/10/2029</t>
        </is>
      </c>
      <c r="M2974" s="45" t="inlineStr">
        <is>
          <t>35049 (Secrétariat assistanat comptabilité) ; 32054 (Gestion des organisations) ; 35007 (Secrétariat assistanat gestion PME PMI)</t>
        </is>
      </c>
      <c r="N2974" s="50" t="inlineStr">
        <is>
          <t>NON</t>
        </is>
      </c>
      <c r="O2974" s="45" t="inlineStr"/>
    </row>
    <row r="2975" customFormat="1" s="4">
      <c r="A2975" s="45" t="n"/>
      <c r="B2975" s="46" t="inlineStr">
        <is>
          <t>32074</t>
        </is>
      </c>
      <c r="C2975" s="46">
        <f>LEFT(Tableau1[[#This Row],[Formacode]],3)</f>
        <v/>
      </c>
      <c r="D2975" s="47" t="n">
        <v>41308</v>
      </c>
      <c r="E2975" s="48">
        <f>"RNCP"&amp;D2975</f>
        <v/>
      </c>
      <c r="F2975" s="48" t="inlineStr">
        <is>
          <t>Office manager</t>
        </is>
      </c>
      <c r="G2975" s="49">
        <f>E2975&amp;" - "&amp;F2975</f>
        <v/>
      </c>
      <c r="H2975" s="36" t="inlineStr">
        <is>
          <t>RAS</t>
        </is>
      </c>
      <c r="I2975" s="45" t="inlineStr"/>
      <c r="J2975" s="45" t="inlineStr">
        <is>
          <t>RNCP41308</t>
        </is>
      </c>
      <c r="K2975" s="45" t="inlineStr">
        <is>
          <t>Office manager</t>
        </is>
      </c>
      <c r="L2975" s="45" t="inlineStr">
        <is>
          <t>24/09/2028</t>
        </is>
      </c>
      <c r="M2975" s="45" t="inlineStr">
        <is>
          <t>35047 (Secrétariat assistanat direction) ; 32054 (Gestion des organisations)</t>
        </is>
      </c>
      <c r="N2975" s="50" t="inlineStr">
        <is>
          <t>NON</t>
        </is>
      </c>
      <c r="O2975" s="45" t="inlineStr"/>
    </row>
    <row r="2976" customFormat="1" s="4">
      <c r="A2976" s="45" t="n"/>
      <c r="B2976" s="46" t="inlineStr">
        <is>
          <t>32079</t>
        </is>
      </c>
      <c r="C2976" s="46">
        <f>LEFT(Tableau1[[#This Row],[Formacode]],3)</f>
        <v/>
      </c>
      <c r="D2976" s="47" t="n">
        <v>36420</v>
      </c>
      <c r="E2976" s="48">
        <f>"RNCP"&amp;D2976</f>
        <v/>
      </c>
      <c r="F2976" s="48" t="inlineStr">
        <is>
          <t>DIPLOVIS - Programme supérieur de gestion et de commerce</t>
        </is>
      </c>
      <c r="G2976" s="49">
        <f>E2976&amp;" - "&amp;F2976</f>
        <v/>
      </c>
      <c r="H2976" s="36" t="inlineStr">
        <is>
          <t>RAS</t>
        </is>
      </c>
      <c r="I2976" s="45" t="inlineStr"/>
      <c r="J2976" s="45" t="inlineStr">
        <is>
          <t>RNCP36420</t>
        </is>
      </c>
      <c r="K2976" s="45" t="inlineStr">
        <is>
          <t>Programme supérieur de gestion et de commerce</t>
        </is>
      </c>
      <c r="L2976" s="45" t="inlineStr">
        <is>
          <t>31/08/2027</t>
        </is>
      </c>
      <c r="M2976" s="45" t="inlineStr">
        <is>
          <t>32110 (Management opérationnel) ; 32135 (Conduite projet) ; 32054 (Gestion des organisations)</t>
        </is>
      </c>
      <c r="N2976" s="50" t="inlineStr">
        <is>
          <t>NON</t>
        </is>
      </c>
      <c r="O2976" s="45" t="inlineStr"/>
    </row>
    <row r="2977" customFormat="1" s="4">
      <c r="A2977" s="45" t="n"/>
      <c r="B2977" s="46" t="inlineStr">
        <is>
          <t>32079</t>
        </is>
      </c>
      <c r="C2977" s="46">
        <f>LEFT(Tableau1[[#This Row],[Formacode]],3)</f>
        <v/>
      </c>
      <c r="D2977" s="47" t="n">
        <v>36461</v>
      </c>
      <c r="E2977" s="48">
        <f>"RNCP"&amp;D2977</f>
        <v/>
      </c>
      <c r="F2977" s="48" t="inlineStr">
        <is>
          <t>Directeur d'unité opérationnelle</t>
        </is>
      </c>
      <c r="G2977" s="49">
        <f>E2977&amp;" - "&amp;F2977</f>
        <v/>
      </c>
      <c r="H2977" s="36" t="inlineStr">
        <is>
          <t>RAS</t>
        </is>
      </c>
      <c r="I2977" s="45" t="inlineStr"/>
      <c r="J2977" s="45" t="inlineStr">
        <is>
          <t>RNCP36461</t>
        </is>
      </c>
      <c r="K2977" s="45" t="inlineStr">
        <is>
          <t>Directeur d'unité opérationnelle</t>
        </is>
      </c>
      <c r="L2977" s="45" t="inlineStr">
        <is>
          <t>02/06/2027</t>
        </is>
      </c>
      <c r="M2977" s="45" t="inlineStr">
        <is>
          <t>32054 (Gestion des organisations) ; 32154 (Encadrement management)</t>
        </is>
      </c>
      <c r="N2977" s="50" t="inlineStr">
        <is>
          <t>NON</t>
        </is>
      </c>
      <c r="O2977" s="45" t="inlineStr"/>
    </row>
    <row r="2978" customFormat="1" s="4">
      <c r="A2978" s="45" t="n"/>
      <c r="B2978" s="46" t="inlineStr">
        <is>
          <t>32079</t>
        </is>
      </c>
      <c r="C2978" s="46">
        <f>LEFT(Tableau1[[#This Row],[Formacode]],3)</f>
        <v/>
      </c>
      <c r="D2978" s="47" t="n">
        <v>36677</v>
      </c>
      <c r="E2978" s="48">
        <f>"RNCP"&amp;D2978</f>
        <v/>
      </c>
      <c r="F2978" s="48" t="inlineStr">
        <is>
          <t>DIPLOVIS - Responsable en marketing, commercialisation et gestion</t>
        </is>
      </c>
      <c r="G2978" s="49">
        <f>E2978&amp;" - "&amp;F2978</f>
        <v/>
      </c>
      <c r="H2978" s="36" t="inlineStr">
        <is>
          <t>RAS</t>
        </is>
      </c>
      <c r="I2978" s="45" t="inlineStr"/>
      <c r="J2978" s="45" t="inlineStr">
        <is>
          <t>RNCP36677</t>
        </is>
      </c>
      <c r="K2978" s="45" t="inlineStr">
        <is>
          <t>Responsable en marketing, commercialisation et gestion</t>
        </is>
      </c>
      <c r="L2978" s="45" t="inlineStr">
        <is>
          <t>31/08/2027</t>
        </is>
      </c>
      <c r="M2978" s="45" t="inlineStr">
        <is>
          <t>34052 (Marketing) ; 34554 (Commerce) ; 32054 (Gestion des organisations)</t>
        </is>
      </c>
      <c r="N2978" s="50" t="inlineStr">
        <is>
          <t>NON</t>
        </is>
      </c>
      <c r="O2978" s="45" t="inlineStr"/>
    </row>
    <row r="2979" customFormat="1" s="4">
      <c r="A2979" s="45" t="n"/>
      <c r="B2979" s="46" t="inlineStr">
        <is>
          <t>32079</t>
        </is>
      </c>
      <c r="C2979" s="46">
        <f>LEFT(Tableau1[[#This Row],[Formacode]],3)</f>
        <v/>
      </c>
      <c r="D2979" s="47" t="n">
        <v>36890</v>
      </c>
      <c r="E2979" s="48">
        <f>"RNCP"&amp;D2979</f>
        <v/>
      </c>
      <c r="F2979" s="48" t="inlineStr">
        <is>
          <t>Manager d'unité opérationnelle</t>
        </is>
      </c>
      <c r="G2979" s="49">
        <f>E2979&amp;" - "&amp;F2979</f>
        <v/>
      </c>
      <c r="H2979" s="36" t="inlineStr">
        <is>
          <t>RAS</t>
        </is>
      </c>
      <c r="I2979" s="45" t="inlineStr"/>
      <c r="J2979" s="45" t="inlineStr">
        <is>
          <t>RNCP36890</t>
        </is>
      </c>
      <c r="K2979" s="45" t="inlineStr">
        <is>
          <t>Manager d'unité opérationnelle</t>
        </is>
      </c>
      <c r="L2979" s="45" t="inlineStr">
        <is>
          <t>29/09/2027</t>
        </is>
      </c>
      <c r="M2979" s="45" t="inlineStr">
        <is>
          <t>32079 (Gestion performance) ; 32025 (Stratégie entreprise) ; 32154 (Encadrement management)</t>
        </is>
      </c>
      <c r="N2979" s="50" t="inlineStr">
        <is>
          <t>NON</t>
        </is>
      </c>
      <c r="O2979" s="45" t="inlineStr"/>
    </row>
    <row r="2980" customFormat="1" s="4">
      <c r="A2980" s="63" t="n"/>
      <c r="B2980" s="64" t="inlineStr">
        <is>
          <t>32079</t>
        </is>
      </c>
      <c r="C2980" s="64">
        <f>LEFT(Tableau1[[#This Row],[Formacode]],3)</f>
        <v/>
      </c>
      <c r="D2980" s="65" t="n">
        <v>37635</v>
      </c>
      <c r="E2980" s="66">
        <f>"RNCP"&amp;D2980</f>
        <v/>
      </c>
      <c r="F2980" s="66" t="inlineStr">
        <is>
          <t>Manager de commerce et de centre de profit</t>
        </is>
      </c>
      <c r="G2980" s="67">
        <f>E2980&amp;" - "&amp;F2980</f>
        <v/>
      </c>
      <c r="H2980" s="38" t="inlineStr">
        <is>
          <t>Expiré / remplacé</t>
        </is>
      </c>
      <c r="I2980" s="63" t="inlineStr">
        <is>
          <t>Fiche inactive — remplacée par RNCP42321 (Manager de commerce et de centre de profit)</t>
        </is>
      </c>
      <c r="J2980" s="63" t="inlineStr">
        <is>
          <t>RNCP42321</t>
        </is>
      </c>
      <c r="K2980" s="63" t="inlineStr">
        <is>
          <t>Manager de commerce et de centre de profit</t>
        </is>
      </c>
      <c r="L2980" s="63" t="inlineStr">
        <is>
          <t>31/05/2026</t>
        </is>
      </c>
      <c r="M2980" s="63" t="inlineStr">
        <is>
          <t>32024 (Gestion centre profit) ; 32145 (Management transversal) ; 32079 (Gestion performance) ; 32025 (Stratégie entreprise) ; 34554 (Commerce)</t>
        </is>
      </c>
      <c r="N2980" s="68" t="inlineStr">
        <is>
          <t>NON</t>
        </is>
      </c>
      <c r="O2980" s="63" t="inlineStr"/>
    </row>
    <row r="2981" customFormat="1" s="4">
      <c r="A2981" s="45" t="n"/>
      <c r="B2981" s="46" t="inlineStr">
        <is>
          <t>32079</t>
        </is>
      </c>
      <c r="C2981" s="46">
        <f>LEFT(Tableau1[[#This Row],[Formacode]],3)</f>
        <v/>
      </c>
      <c r="D2981" s="47" t="n">
        <v>37645</v>
      </c>
      <c r="E2981" s="48">
        <f>"RNCP"&amp;D2981</f>
        <v/>
      </c>
      <c r="F2981" s="48" t="inlineStr">
        <is>
          <t>Cadre dirigeant</t>
        </is>
      </c>
      <c r="G2981" s="49">
        <f>E2981&amp;" - "&amp;F2981</f>
        <v/>
      </c>
      <c r="H2981" s="36" t="inlineStr">
        <is>
          <t>RAS</t>
        </is>
      </c>
      <c r="I2981" s="45" t="inlineStr"/>
      <c r="J2981" s="45" t="inlineStr">
        <is>
          <t>RNCP37645</t>
        </is>
      </c>
      <c r="K2981" s="45" t="inlineStr">
        <is>
          <t>Cadre dirigeant</t>
        </is>
      </c>
      <c r="L2981" s="45" t="inlineStr">
        <is>
          <t>31/05/2028</t>
        </is>
      </c>
      <c r="M2981" s="45" t="inlineStr">
        <is>
          <t>32054 (Gestion des organisations)</t>
        </is>
      </c>
      <c r="N2981" s="50" t="inlineStr">
        <is>
          <t>NON</t>
        </is>
      </c>
      <c r="O2981" s="45" t="inlineStr"/>
    </row>
    <row r="2982" customFormat="1" s="4">
      <c r="A2982" s="51" t="n"/>
      <c r="B2982" s="52" t="inlineStr">
        <is>
          <t>32079</t>
        </is>
      </c>
      <c r="C2982" s="52">
        <f>LEFT(Tableau1[[#This Row],[Formacode]],3)</f>
        <v/>
      </c>
      <c r="D2982" s="53" t="n">
        <v>37719</v>
      </c>
      <c r="E2982" s="54">
        <f>"RNCP"&amp;D2982</f>
        <v/>
      </c>
      <c r="F2982" s="54" t="inlineStr">
        <is>
          <t>DIPLOVIS - Diplôme en management international de l'hôtellerie et de la restauration</t>
        </is>
      </c>
      <c r="G2982" s="55">
        <f>E2982&amp;" - "&amp;F2982</f>
        <v/>
      </c>
      <c r="H2982" s="37" t="inlineStr">
        <is>
          <t>À vérifier</t>
        </is>
      </c>
      <c r="I2982" s="51" t="inlineStr">
        <is>
          <t>Échéance le 31/08/2026 (dans 44 j)</t>
        </is>
      </c>
      <c r="J2982" s="51" t="inlineStr">
        <is>
          <t>RNCP37719</t>
        </is>
      </c>
      <c r="K2982" s="51" t="inlineStr">
        <is>
          <t>Diplôme en management international de l'hôtellerie et de la restauration</t>
        </is>
      </c>
      <c r="L2982" s="51" t="inlineStr">
        <is>
          <t>31/08/2026</t>
        </is>
      </c>
      <c r="M2982" s="51" t="inlineStr">
        <is>
          <t>32054 (Gestion des organisations) ; 42754 (Hôtellerie restauration) ; 42627 (Gestion entreprise touristique)</t>
        </is>
      </c>
      <c r="N2982" s="62" t="inlineStr">
        <is>
          <t>NON</t>
        </is>
      </c>
      <c r="O2982" s="51" t="inlineStr"/>
    </row>
    <row r="2983" customFormat="1" s="4">
      <c r="A2983" s="51" t="n"/>
      <c r="B2983" s="52" t="inlineStr">
        <is>
          <t>32079</t>
        </is>
      </c>
      <c r="C2983" s="52">
        <f>LEFT(Tableau1[[#This Row],[Formacode]],3)</f>
        <v/>
      </c>
      <c r="D2983" s="53" t="n">
        <v>37932</v>
      </c>
      <c r="E2983" s="54">
        <f>"RNCP"&amp;D2983</f>
        <v/>
      </c>
      <c r="F2983" s="54" t="inlineStr">
        <is>
          <t>DIPLOVIS - Diplôme en Management International des Arts Culinaires</t>
        </is>
      </c>
      <c r="G2983" s="55">
        <f>E2983&amp;" - "&amp;F2983</f>
        <v/>
      </c>
      <c r="H2983" s="37" t="inlineStr">
        <is>
          <t>À vérifier</t>
        </is>
      </c>
      <c r="I2983" s="51" t="inlineStr">
        <is>
          <t>Successeur déjà publié : RNCP42267 (DIPLOVIS - Diplôme en management international des arts culinaires) — préparer la bascule de l'offre CPF | Échéance le 31/08/2026 (dans 44 j)</t>
        </is>
      </c>
      <c r="J2983" s="51" t="inlineStr">
        <is>
          <t>RNCP42267</t>
        </is>
      </c>
      <c r="K2983" s="51" t="inlineStr">
        <is>
          <t>DIPLOVIS - Diplôme en management international des arts culinaires</t>
        </is>
      </c>
      <c r="L2983" s="51" t="inlineStr">
        <is>
          <t>31/08/2026</t>
        </is>
      </c>
      <c r="M2983" s="51" t="inlineStr">
        <is>
          <t>42782 (Gestion cuisine) ; 42760 (Gastronomie) ; 42766 (Gestion hôtel restaurant bar) ; 32054 (Gestion des organisations)</t>
        </is>
      </c>
      <c r="N2983" s="62" t="inlineStr">
        <is>
          <t>NON</t>
        </is>
      </c>
      <c r="O2983" s="51" t="inlineStr"/>
    </row>
    <row r="2984" customFormat="1" s="4">
      <c r="A2984" s="45" t="n"/>
      <c r="B2984" s="46" t="inlineStr">
        <is>
          <t>32079</t>
        </is>
      </c>
      <c r="C2984" s="46">
        <f>LEFT(Tableau1[[#This Row],[Formacode]],3)</f>
        <v/>
      </c>
      <c r="D2984" s="47" t="n">
        <v>37949</v>
      </c>
      <c r="E2984" s="48">
        <f>"RNCP"&amp;D2984</f>
        <v/>
      </c>
      <c r="F2984" s="48" t="inlineStr">
        <is>
          <t>TP - Gestionnaire comptable et  fiscal</t>
        </is>
      </c>
      <c r="G2984" s="49">
        <f>E2984&amp;" - "&amp;F2984</f>
        <v/>
      </c>
      <c r="H2984" s="36" t="inlineStr">
        <is>
          <t>RAS</t>
        </is>
      </c>
      <c r="I2984" s="45" t="inlineStr"/>
      <c r="J2984" s="45" t="inlineStr">
        <is>
          <t>RNCP37949</t>
        </is>
      </c>
      <c r="K2984" s="45" t="inlineStr">
        <is>
          <t>Gestionnaire comptable et fiscal</t>
        </is>
      </c>
      <c r="L2984" s="45" t="inlineStr">
        <is>
          <t>01/12/2028</t>
        </is>
      </c>
      <c r="M2984" s="45" t="inlineStr">
        <is>
          <t>32663 (Comptabilité) ; 32054 (Gestion des organisations)</t>
        </is>
      </c>
      <c r="N2984" s="50" t="inlineStr">
        <is>
          <t>NON</t>
        </is>
      </c>
      <c r="O2984" s="45" t="inlineStr"/>
    </row>
    <row r="2985" customFormat="1" s="4">
      <c r="A2985" s="51" t="n"/>
      <c r="B2985" s="52" t="inlineStr">
        <is>
          <t>32079</t>
        </is>
      </c>
      <c r="C2985" s="52">
        <f>LEFT(Tableau1[[#This Row],[Formacode]],3)</f>
        <v/>
      </c>
      <c r="D2985" s="53" t="n">
        <v>37988</v>
      </c>
      <c r="E2985" s="54">
        <f>"RNCP"&amp;D2985</f>
        <v/>
      </c>
      <c r="F2985" s="54" t="inlineStr">
        <is>
          <t>Diplôme visé - Diplôme supérieur en marketing, vente et gestion</t>
        </is>
      </c>
      <c r="G2985" s="55">
        <f>E2985&amp;" - "&amp;F2985</f>
        <v/>
      </c>
      <c r="H2985" s="37" t="inlineStr">
        <is>
          <t>À vérifier</t>
        </is>
      </c>
      <c r="I2985" s="51" t="inlineStr">
        <is>
          <t>Successeur déjà publié : RNCP42254 (Diplôme supérieur en marketing, vente et gestion) — préparer la bascule de l'offre CPF | Échéance le 31/08/2026 (dans 44 j)</t>
        </is>
      </c>
      <c r="J2985" s="51" t="inlineStr">
        <is>
          <t>RNCP42254</t>
        </is>
      </c>
      <c r="K2985" s="51" t="inlineStr">
        <is>
          <t>Diplôme supérieur en marketing, vente et gestion</t>
        </is>
      </c>
      <c r="L2985" s="51" t="inlineStr">
        <is>
          <t>31/08/2026</t>
        </is>
      </c>
      <c r="M2985" s="51" t="inlineStr">
        <is>
          <t>34085 (Stratégie commerciale) ; 34052 (Marketing) ; 32154 (Encadrement management) ; 32054 (Gestion des organisations)</t>
        </is>
      </c>
      <c r="N2985" s="62" t="inlineStr">
        <is>
          <t>NON</t>
        </is>
      </c>
      <c r="O2985" s="51" t="inlineStr"/>
    </row>
    <row r="2986" customFormat="1" s="4">
      <c r="A2986" s="45" t="n"/>
      <c r="B2986" s="46" t="inlineStr">
        <is>
          <t>32079</t>
        </is>
      </c>
      <c r="C2986" s="46">
        <f>LEFT(Tableau1[[#This Row],[Formacode]],3)</f>
        <v/>
      </c>
      <c r="D2986" s="47" t="n">
        <v>38435</v>
      </c>
      <c r="E2986" s="48">
        <f>"RNCP"&amp;D2986</f>
        <v/>
      </c>
      <c r="F2986" s="48" t="inlineStr">
        <is>
          <t>Directeur d'unité stratégique</t>
        </is>
      </c>
      <c r="G2986" s="49">
        <f>E2986&amp;" - "&amp;F2986</f>
        <v/>
      </c>
      <c r="H2986" s="36" t="inlineStr">
        <is>
          <t>RAS</t>
        </is>
      </c>
      <c r="I2986" s="45" t="inlineStr"/>
      <c r="J2986" s="45" t="inlineStr">
        <is>
          <t>RNCP38435</t>
        </is>
      </c>
      <c r="K2986" s="45" t="inlineStr">
        <is>
          <t>Directeur d'unité stratégique</t>
        </is>
      </c>
      <c r="L2986" s="45" t="inlineStr">
        <is>
          <t>21/12/2028</t>
        </is>
      </c>
      <c r="M2986" s="45" t="inlineStr">
        <is>
          <t>32015 (Conduite changement) ; 32024 (Gestion centre profit) ; 32079 (Gestion performance)</t>
        </is>
      </c>
      <c r="N2986" s="50" t="inlineStr">
        <is>
          <t>NON</t>
        </is>
      </c>
      <c r="O2986" s="45" t="inlineStr"/>
    </row>
    <row r="2987" customFormat="1" s="4">
      <c r="A2987" s="45" t="n"/>
      <c r="B2987" s="46" t="inlineStr">
        <is>
          <t>32079</t>
        </is>
      </c>
      <c r="C2987" s="46">
        <f>LEFT(Tableau1[[#This Row],[Formacode]],3)</f>
        <v/>
      </c>
      <c r="D2987" s="47" t="n">
        <v>39135</v>
      </c>
      <c r="E2987" s="48">
        <f>"RNCP"&amp;D2987</f>
        <v/>
      </c>
      <c r="F2987" s="48" t="inlineStr">
        <is>
          <t>DIPLOVIS - Gestion et Développement Commercial</t>
        </is>
      </c>
      <c r="G2987" s="49">
        <f>E2987&amp;" - "&amp;F2987</f>
        <v/>
      </c>
      <c r="H2987" s="36" t="inlineStr">
        <is>
          <t>RAS</t>
        </is>
      </c>
      <c r="I2987" s="45" t="inlineStr"/>
      <c r="J2987" s="45" t="inlineStr">
        <is>
          <t>RNCP39135</t>
        </is>
      </c>
      <c r="K2987" s="45" t="inlineStr">
        <is>
          <t>Gestion et Développement Commercial</t>
        </is>
      </c>
      <c r="L2987" s="45" t="inlineStr">
        <is>
          <t>31/08/2027</t>
        </is>
      </c>
      <c r="M2987" s="45" t="inlineStr">
        <is>
          <t>32079 (Gestion performance) ; 32094 (Gestion PME PMI) ; 32145 (Management transversal) ; 34085 (Stratégie commerciale) ; 34076 (Gestion relation client)</t>
        </is>
      </c>
      <c r="N2987" s="50" t="inlineStr">
        <is>
          <t>NON</t>
        </is>
      </c>
      <c r="O2987" s="45" t="inlineStr"/>
    </row>
    <row r="2988" customFormat="1" s="4">
      <c r="A2988" s="51" t="n"/>
      <c r="B2988" s="52" t="inlineStr">
        <is>
          <t>32079</t>
        </is>
      </c>
      <c r="C2988" s="52">
        <f>LEFT(Tableau1[[#This Row],[Formacode]],3)</f>
        <v/>
      </c>
      <c r="D2988" s="53" t="n">
        <v>39395</v>
      </c>
      <c r="E2988" s="54">
        <f>"RNCP"&amp;D2988</f>
        <v/>
      </c>
      <c r="F2988" s="54" t="inlineStr">
        <is>
          <t>Responsable d'agence et de commerce</t>
        </is>
      </c>
      <c r="G2988" s="55">
        <f>E2988&amp;" - "&amp;F2988</f>
        <v/>
      </c>
      <c r="H2988" s="37" t="inlineStr">
        <is>
          <t>À vérifier</t>
        </is>
      </c>
      <c r="I2988" s="51" t="inlineStr">
        <is>
          <t>Successeur déjà publié : RNCP42475 (Responsable d'agence et de commerce) — préparer la bascule de l'offre CPF | Échéance le 19/07/2026 (dans 1 j)</t>
        </is>
      </c>
      <c r="J2988" s="51" t="inlineStr">
        <is>
          <t>RNCP42475</t>
        </is>
      </c>
      <c r="K2988" s="51" t="inlineStr">
        <is>
          <t>Responsable d'agence et de commerce</t>
        </is>
      </c>
      <c r="L2988" s="51" t="inlineStr">
        <is>
          <t>19/07/2026</t>
        </is>
      </c>
      <c r="M2988" s="51" t="inlineStr">
        <is>
          <t>34554 (Commerce) ; 32154 (Encadrement management) ; 32079 (Gestion performance)</t>
        </is>
      </c>
      <c r="N2988" s="62" t="inlineStr">
        <is>
          <t>NON</t>
        </is>
      </c>
      <c r="O2988" s="51" t="inlineStr"/>
    </row>
    <row r="2989" customFormat="1" s="4">
      <c r="A2989" s="45" t="n"/>
      <c r="B2989" s="46" t="inlineStr">
        <is>
          <t>32079</t>
        </is>
      </c>
      <c r="C2989" s="46">
        <f>LEFT(Tableau1[[#This Row],[Formacode]],3)</f>
        <v/>
      </c>
      <c r="D2989" s="47" t="n">
        <v>39626</v>
      </c>
      <c r="E2989" s="48">
        <f>"RNCP"&amp;D2989</f>
        <v/>
      </c>
      <c r="F2989" s="48" t="inlineStr">
        <is>
          <t>Assistant de gestion des petites entreprises</t>
        </is>
      </c>
      <c r="G2989" s="49">
        <f>E2989&amp;" - "&amp;F2989</f>
        <v/>
      </c>
      <c r="H2989" s="36" t="inlineStr">
        <is>
          <t>RAS</t>
        </is>
      </c>
      <c r="I2989" s="45" t="inlineStr"/>
      <c r="J2989" s="45" t="inlineStr">
        <is>
          <t>RNCP39626</t>
        </is>
      </c>
      <c r="K2989" s="45" t="inlineStr">
        <is>
          <t>Assistant de gestion des petites entreprises</t>
        </is>
      </c>
      <c r="L2989" s="45" t="inlineStr">
        <is>
          <t>01/10/2029</t>
        </is>
      </c>
      <c r="M2989" s="45" t="inlineStr">
        <is>
          <t>35049 (Secrétariat assistanat comptabilité) ; 32054 (Gestion des organisations) ; 35007 (Secrétariat assistanat gestion PME PMI)</t>
        </is>
      </c>
      <c r="N2989" s="50" t="inlineStr">
        <is>
          <t>NON</t>
        </is>
      </c>
      <c r="O2989" s="45" t="inlineStr"/>
    </row>
    <row r="2990" customFormat="1" s="4">
      <c r="A2990" s="51" t="n"/>
      <c r="B2990" s="52" t="inlineStr">
        <is>
          <t>32079</t>
        </is>
      </c>
      <c r="C2990" s="52">
        <f>LEFT(Tableau1[[#This Row],[Formacode]],3)</f>
        <v/>
      </c>
      <c r="D2990" s="53" t="n">
        <v>39763</v>
      </c>
      <c r="E2990" s="54">
        <f>"RNCP"&amp;D2990</f>
        <v/>
      </c>
      <c r="F2990" s="54" t="inlineStr">
        <is>
          <t>Manager de la performance financière</t>
        </is>
      </c>
      <c r="G2990" s="55">
        <f>E2990&amp;" - "&amp;F2990</f>
        <v/>
      </c>
      <c r="H2990" s="37" t="inlineStr">
        <is>
          <t>À vérifier</t>
        </is>
      </c>
      <c r="I2990" s="51" t="inlineStr">
        <is>
          <t>Échéance le 31/10/2026 (dans 105 j)</t>
        </is>
      </c>
      <c r="J2990" s="51" t="inlineStr">
        <is>
          <t>RNCP39763</t>
        </is>
      </c>
      <c r="K2990" s="51" t="inlineStr">
        <is>
          <t>Manager de la performance financière</t>
        </is>
      </c>
      <c r="L2990" s="51" t="inlineStr">
        <is>
          <t>31/10/2026</t>
        </is>
      </c>
      <c r="M2990" s="51" t="inlineStr">
        <is>
          <t>32154 (Encadrement management) ; 32079 (Gestion performance) ; 32652 (Contrôle gestion) ; 32098 (Audit entreprise)</t>
        </is>
      </c>
      <c r="N2990" s="62" t="inlineStr">
        <is>
          <t>NON</t>
        </is>
      </c>
      <c r="O2990" s="51" t="inlineStr"/>
    </row>
    <row r="2991" customFormat="1" s="4">
      <c r="A2991" s="45" t="n"/>
      <c r="B2991" s="46" t="inlineStr">
        <is>
          <t>32079</t>
        </is>
      </c>
      <c r="C2991" s="46">
        <f>LEFT(Tableau1[[#This Row],[Formacode]],3)</f>
        <v/>
      </c>
      <c r="D2991" s="47" t="n">
        <v>39787</v>
      </c>
      <c r="E2991" s="48">
        <f>"RNCP"&amp;D2991</f>
        <v/>
      </c>
      <c r="F2991" s="48" t="inlineStr">
        <is>
          <t>Directeur de la performance commerciale</t>
        </is>
      </c>
      <c r="G2991" s="49">
        <f>E2991&amp;" - "&amp;F2991</f>
        <v/>
      </c>
      <c r="H2991" s="36" t="inlineStr">
        <is>
          <t>RAS</t>
        </is>
      </c>
      <c r="I2991" s="45" t="inlineStr"/>
      <c r="J2991" s="45" t="inlineStr">
        <is>
          <t>RNCP39787</t>
        </is>
      </c>
      <c r="K2991" s="45" t="inlineStr">
        <is>
          <t>Directeur de la performance commerciale</t>
        </is>
      </c>
      <c r="L2991" s="45" t="inlineStr">
        <is>
          <t>31/10/2029</t>
        </is>
      </c>
      <c r="M2991" s="45" t="inlineStr">
        <is>
          <t>32079 (Gestion performance) ; 32154 (Encadrement management) ; 34085 (Stratégie commerciale)</t>
        </is>
      </c>
      <c r="N2991" s="50" t="inlineStr">
        <is>
          <t>NON</t>
        </is>
      </c>
      <c r="O2991" s="45" t="inlineStr"/>
    </row>
    <row r="2992" customFormat="1" s="4">
      <c r="A2992" s="45" t="n"/>
      <c r="B2992" s="46" t="inlineStr">
        <is>
          <t>32079</t>
        </is>
      </c>
      <c r="C2992" s="46">
        <f>LEFT(Tableau1[[#This Row],[Formacode]],3)</f>
        <v/>
      </c>
      <c r="D2992" s="47" t="n">
        <v>39994</v>
      </c>
      <c r="E2992" s="48">
        <f>"RNCP"&amp;D2992</f>
        <v/>
      </c>
      <c r="F2992" s="48" t="inlineStr">
        <is>
          <t>Manager des transformations des organisations</t>
        </is>
      </c>
      <c r="G2992" s="49">
        <f>E2992&amp;" - "&amp;F2992</f>
        <v/>
      </c>
      <c r="H2992" s="36" t="inlineStr">
        <is>
          <t>RAS</t>
        </is>
      </c>
      <c r="I2992" s="45" t="inlineStr"/>
      <c r="J2992" s="45" t="inlineStr">
        <is>
          <t>RNCP39994</t>
        </is>
      </c>
      <c r="K2992" s="45" t="inlineStr">
        <is>
          <t>Manager des transformations des organisations</t>
        </is>
      </c>
      <c r="L2992" s="45" t="inlineStr">
        <is>
          <t>18/12/2027</t>
        </is>
      </c>
      <c r="M2992" s="45" t="inlineStr">
        <is>
          <t>32025 (Stratégie entreprise) ; 32079 (Gestion performance) ; 32154 (Encadrement management)</t>
        </is>
      </c>
      <c r="N2992" s="50" t="inlineStr">
        <is>
          <t>NON</t>
        </is>
      </c>
      <c r="O2992" s="45" t="inlineStr"/>
    </row>
    <row r="2993" customFormat="1" s="4">
      <c r="A2993" s="45" t="n"/>
      <c r="B2993" s="46" t="inlineStr">
        <is>
          <t>32079</t>
        </is>
      </c>
      <c r="C2993" s="46">
        <f>LEFT(Tableau1[[#This Row],[Formacode]],3)</f>
        <v/>
      </c>
      <c r="D2993" s="47" t="n">
        <v>41308</v>
      </c>
      <c r="E2993" s="48">
        <f>"RNCP"&amp;D2993</f>
        <v/>
      </c>
      <c r="F2993" s="48" t="inlineStr">
        <is>
          <t>Office manager</t>
        </is>
      </c>
      <c r="G2993" s="49">
        <f>E2993&amp;" - "&amp;F2993</f>
        <v/>
      </c>
      <c r="H2993" s="36" t="inlineStr">
        <is>
          <t>RAS</t>
        </is>
      </c>
      <c r="I2993" s="45" t="inlineStr"/>
      <c r="J2993" s="45" t="inlineStr">
        <is>
          <t>RNCP41308</t>
        </is>
      </c>
      <c r="K2993" s="45" t="inlineStr">
        <is>
          <t>Office manager</t>
        </is>
      </c>
      <c r="L2993" s="45" t="inlineStr">
        <is>
          <t>24/09/2028</t>
        </is>
      </c>
      <c r="M2993" s="45" t="inlineStr">
        <is>
          <t>35047 (Secrétariat assistanat direction) ; 32054 (Gestion des organisations)</t>
        </is>
      </c>
      <c r="N2993" s="50" t="inlineStr">
        <is>
          <t>NON</t>
        </is>
      </c>
      <c r="O2993" s="45" t="inlineStr"/>
    </row>
    <row r="2994" customFormat="1" s="4">
      <c r="A2994" s="45" t="n"/>
      <c r="B2994" s="46" t="inlineStr">
        <is>
          <t>32079</t>
        </is>
      </c>
      <c r="C2994" s="46">
        <f>LEFT(Tableau1[[#This Row],[Formacode]],3)</f>
        <v/>
      </c>
      <c r="D2994" s="47" t="n">
        <v>41478</v>
      </c>
      <c r="E2994" s="48">
        <f>"RNCP"&amp;D2994</f>
        <v/>
      </c>
      <c r="F2994" s="48" t="inlineStr">
        <is>
          <t>Consultant en business analyse</t>
        </is>
      </c>
      <c r="G2994" s="49">
        <f>E2994&amp;" - "&amp;F2994</f>
        <v/>
      </c>
      <c r="H2994" s="36" t="inlineStr">
        <is>
          <t>RAS</t>
        </is>
      </c>
      <c r="I2994" s="45" t="inlineStr"/>
      <c r="J2994" s="45" t="inlineStr">
        <is>
          <t>RNCP41478</t>
        </is>
      </c>
      <c r="K2994" s="45" t="inlineStr">
        <is>
          <t>Consultant en business analyse</t>
        </is>
      </c>
      <c r="L2994" s="45" t="inlineStr">
        <is>
          <t>27/10/2030</t>
        </is>
      </c>
      <c r="M2994" s="45" t="inlineStr">
        <is>
          <t>32012 (Gestion processus) ; 31470 (Analyse valeur) ; 32079 (Gestion performance)</t>
        </is>
      </c>
      <c r="N2994" s="50" t="inlineStr">
        <is>
          <t>NON</t>
        </is>
      </c>
      <c r="O2994" s="45" t="inlineStr"/>
    </row>
    <row r="2995" customFormat="1" s="4">
      <c r="A2995" s="45" t="n"/>
      <c r="B2995" s="46" t="inlineStr">
        <is>
          <t>32089</t>
        </is>
      </c>
      <c r="C2995" s="46">
        <f>LEFT(Tableau1[[#This Row],[Formacode]],3)</f>
        <v/>
      </c>
      <c r="D2995" s="47" t="n">
        <v>36420</v>
      </c>
      <c r="E2995" s="48">
        <f>"RNCP"&amp;D2995</f>
        <v/>
      </c>
      <c r="F2995" s="48" t="inlineStr">
        <is>
          <t>DIPLOVIS - Programme supérieur de gestion et de commerce</t>
        </is>
      </c>
      <c r="G2995" s="49">
        <f>E2995&amp;" - "&amp;F2995</f>
        <v/>
      </c>
      <c r="H2995" s="36" t="inlineStr">
        <is>
          <t>RAS</t>
        </is>
      </c>
      <c r="I2995" s="45" t="inlineStr"/>
      <c r="J2995" s="45" t="inlineStr">
        <is>
          <t>RNCP36420</t>
        </is>
      </c>
      <c r="K2995" s="45" t="inlineStr">
        <is>
          <t>Programme supérieur de gestion et de commerce</t>
        </is>
      </c>
      <c r="L2995" s="45" t="inlineStr">
        <is>
          <t>31/08/2027</t>
        </is>
      </c>
      <c r="M2995" s="45" t="inlineStr">
        <is>
          <t>32110 (Management opérationnel) ; 32135 (Conduite projet) ; 32054 (Gestion des organisations)</t>
        </is>
      </c>
      <c r="N2995" s="50" t="inlineStr">
        <is>
          <t>NON</t>
        </is>
      </c>
      <c r="O2995" s="45" t="inlineStr"/>
    </row>
    <row r="2996" customFormat="1" s="4">
      <c r="A2996" s="45" t="n"/>
      <c r="B2996" s="46" t="inlineStr">
        <is>
          <t>32089</t>
        </is>
      </c>
      <c r="C2996" s="46">
        <f>LEFT(Tableau1[[#This Row],[Formacode]],3)</f>
        <v/>
      </c>
      <c r="D2996" s="47" t="n">
        <v>36461</v>
      </c>
      <c r="E2996" s="48">
        <f>"RNCP"&amp;D2996</f>
        <v/>
      </c>
      <c r="F2996" s="48" t="inlineStr">
        <is>
          <t>Directeur d'unité opérationnelle</t>
        </is>
      </c>
      <c r="G2996" s="49">
        <f>E2996&amp;" - "&amp;F2996</f>
        <v/>
      </c>
      <c r="H2996" s="36" t="inlineStr">
        <is>
          <t>RAS</t>
        </is>
      </c>
      <c r="I2996" s="45" t="inlineStr"/>
      <c r="J2996" s="45" t="inlineStr">
        <is>
          <t>RNCP36461</t>
        </is>
      </c>
      <c r="K2996" s="45" t="inlineStr">
        <is>
          <t>Directeur d'unité opérationnelle</t>
        </is>
      </c>
      <c r="L2996" s="45" t="inlineStr">
        <is>
          <t>02/06/2027</t>
        </is>
      </c>
      <c r="M2996" s="45" t="inlineStr">
        <is>
          <t>32054 (Gestion des organisations) ; 32154 (Encadrement management)</t>
        </is>
      </c>
      <c r="N2996" s="50" t="inlineStr">
        <is>
          <t>NON</t>
        </is>
      </c>
      <c r="O2996" s="45" t="inlineStr"/>
    </row>
    <row r="2997" customFormat="1" s="4">
      <c r="A2997" s="45" t="n"/>
      <c r="B2997" s="46" t="inlineStr">
        <is>
          <t>32089</t>
        </is>
      </c>
      <c r="C2997" s="46">
        <f>LEFT(Tableau1[[#This Row],[Formacode]],3)</f>
        <v/>
      </c>
      <c r="D2997" s="47" t="n">
        <v>36677</v>
      </c>
      <c r="E2997" s="48">
        <f>"RNCP"&amp;D2997</f>
        <v/>
      </c>
      <c r="F2997" s="48" t="inlineStr">
        <is>
          <t>DIPLOVIS - Responsable en marketing, commercialisation et gestion</t>
        </is>
      </c>
      <c r="G2997" s="49">
        <f>E2997&amp;" - "&amp;F2997</f>
        <v/>
      </c>
      <c r="H2997" s="36" t="inlineStr">
        <is>
          <t>RAS</t>
        </is>
      </c>
      <c r="I2997" s="45" t="inlineStr"/>
      <c r="J2997" s="45" t="inlineStr">
        <is>
          <t>RNCP36677</t>
        </is>
      </c>
      <c r="K2997" s="45" t="inlineStr">
        <is>
          <t>Responsable en marketing, commercialisation et gestion</t>
        </is>
      </c>
      <c r="L2997" s="45" t="inlineStr">
        <is>
          <t>31/08/2027</t>
        </is>
      </c>
      <c r="M2997" s="45" t="inlineStr">
        <is>
          <t>34052 (Marketing) ; 34554 (Commerce) ; 32054 (Gestion des organisations)</t>
        </is>
      </c>
      <c r="N2997" s="50" t="inlineStr">
        <is>
          <t>NON</t>
        </is>
      </c>
      <c r="O2997" s="45" t="inlineStr"/>
    </row>
    <row r="2998" customFormat="1" s="4">
      <c r="A2998" s="45" t="n"/>
      <c r="B2998" s="46" t="inlineStr">
        <is>
          <t>32089</t>
        </is>
      </c>
      <c r="C2998" s="46">
        <f>LEFT(Tableau1[[#This Row],[Formacode]],3)</f>
        <v/>
      </c>
      <c r="D2998" s="47" t="n">
        <v>37645</v>
      </c>
      <c r="E2998" s="48">
        <f>"RNCP"&amp;D2998</f>
        <v/>
      </c>
      <c r="F2998" s="48" t="inlineStr">
        <is>
          <t>Cadre dirigeant</t>
        </is>
      </c>
      <c r="G2998" s="49">
        <f>E2998&amp;" - "&amp;F2998</f>
        <v/>
      </c>
      <c r="H2998" s="36" t="inlineStr">
        <is>
          <t>RAS</t>
        </is>
      </c>
      <c r="I2998" s="45" t="inlineStr"/>
      <c r="J2998" s="45" t="inlineStr">
        <is>
          <t>RNCP37645</t>
        </is>
      </c>
      <c r="K2998" s="45" t="inlineStr">
        <is>
          <t>Cadre dirigeant</t>
        </is>
      </c>
      <c r="L2998" s="45" t="inlineStr">
        <is>
          <t>31/05/2028</t>
        </is>
      </c>
      <c r="M2998" s="45" t="inlineStr">
        <is>
          <t>32054 (Gestion des organisations)</t>
        </is>
      </c>
      <c r="N2998" s="50" t="inlineStr">
        <is>
          <t>NON</t>
        </is>
      </c>
      <c r="O2998" s="45" t="inlineStr"/>
    </row>
    <row r="2999" customFormat="1" s="4">
      <c r="A2999" s="51" t="n"/>
      <c r="B2999" s="52" t="inlineStr">
        <is>
          <t>32089</t>
        </is>
      </c>
      <c r="C2999" s="52">
        <f>LEFT(Tableau1[[#This Row],[Formacode]],3)</f>
        <v/>
      </c>
      <c r="D2999" s="53" t="n">
        <v>37719</v>
      </c>
      <c r="E2999" s="54">
        <f>"RNCP"&amp;D2999</f>
        <v/>
      </c>
      <c r="F2999" s="54" t="inlineStr">
        <is>
          <t>DIPLOVIS - Diplôme en management international de l'hôtellerie et de la restauration</t>
        </is>
      </c>
      <c r="G2999" s="55">
        <f>E2999&amp;" - "&amp;F2999</f>
        <v/>
      </c>
      <c r="H2999" s="37" t="inlineStr">
        <is>
          <t>À vérifier</t>
        </is>
      </c>
      <c r="I2999" s="51" t="inlineStr">
        <is>
          <t>Échéance le 31/08/2026 (dans 44 j)</t>
        </is>
      </c>
      <c r="J2999" s="51" t="inlineStr">
        <is>
          <t>RNCP37719</t>
        </is>
      </c>
      <c r="K2999" s="51" t="inlineStr">
        <is>
          <t>Diplôme en management international de l'hôtellerie et de la restauration</t>
        </is>
      </c>
      <c r="L2999" s="51" t="inlineStr">
        <is>
          <t>31/08/2026</t>
        </is>
      </c>
      <c r="M2999" s="51" t="inlineStr">
        <is>
          <t>32054 (Gestion des organisations) ; 42754 (Hôtellerie restauration) ; 42627 (Gestion entreprise touristique)</t>
        </is>
      </c>
      <c r="N2999" s="62" t="inlineStr">
        <is>
          <t>NON</t>
        </is>
      </c>
      <c r="O2999" s="51" t="inlineStr"/>
    </row>
    <row r="3000" customFormat="1" s="4">
      <c r="A3000" s="51" t="n"/>
      <c r="B3000" s="52" t="inlineStr">
        <is>
          <t>32089</t>
        </is>
      </c>
      <c r="C3000" s="52">
        <f>LEFT(Tableau1[[#This Row],[Formacode]],3)</f>
        <v/>
      </c>
      <c r="D3000" s="53" t="n">
        <v>37932</v>
      </c>
      <c r="E3000" s="54">
        <f>"RNCP"&amp;D3000</f>
        <v/>
      </c>
      <c r="F3000" s="54" t="inlineStr">
        <is>
          <t>DIPLOVIS - Diplôme en Management International des Arts Culinaires</t>
        </is>
      </c>
      <c r="G3000" s="55">
        <f>E3000&amp;" - "&amp;F3000</f>
        <v/>
      </c>
      <c r="H3000" s="37" t="inlineStr">
        <is>
          <t>À vérifier</t>
        </is>
      </c>
      <c r="I3000" s="51" t="inlineStr">
        <is>
          <t>Successeur déjà publié : RNCP42267 (DIPLOVIS - Diplôme en management international des arts culinaires) — préparer la bascule de l'offre CPF | Échéance le 31/08/2026 (dans 44 j)</t>
        </is>
      </c>
      <c r="J3000" s="51" t="inlineStr">
        <is>
          <t>RNCP42267</t>
        </is>
      </c>
      <c r="K3000" s="51" t="inlineStr">
        <is>
          <t>DIPLOVIS - Diplôme en management international des arts culinaires</t>
        </is>
      </c>
      <c r="L3000" s="51" t="inlineStr">
        <is>
          <t>31/08/2026</t>
        </is>
      </c>
      <c r="M3000" s="51" t="inlineStr">
        <is>
          <t>42782 (Gestion cuisine) ; 42760 (Gastronomie) ; 42766 (Gestion hôtel restaurant bar) ; 32054 (Gestion des organisations)</t>
        </is>
      </c>
      <c r="N3000" s="62" t="inlineStr">
        <is>
          <t>NON</t>
        </is>
      </c>
      <c r="O3000" s="51" t="inlineStr"/>
    </row>
    <row r="3001" customFormat="1" s="4">
      <c r="A3001" s="45" t="n"/>
      <c r="B3001" s="46" t="inlineStr">
        <is>
          <t>32089</t>
        </is>
      </c>
      <c r="C3001" s="46">
        <f>LEFT(Tableau1[[#This Row],[Formacode]],3)</f>
        <v/>
      </c>
      <c r="D3001" s="47" t="n">
        <v>37949</v>
      </c>
      <c r="E3001" s="48">
        <f>"RNCP"&amp;D3001</f>
        <v/>
      </c>
      <c r="F3001" s="48" t="inlineStr">
        <is>
          <t>TP - Gestionnaire comptable et  fiscal</t>
        </is>
      </c>
      <c r="G3001" s="49">
        <f>E3001&amp;" - "&amp;F3001</f>
        <v/>
      </c>
      <c r="H3001" s="36" t="inlineStr">
        <is>
          <t>RAS</t>
        </is>
      </c>
      <c r="I3001" s="45" t="inlineStr"/>
      <c r="J3001" s="45" t="inlineStr">
        <is>
          <t>RNCP37949</t>
        </is>
      </c>
      <c r="K3001" s="45" t="inlineStr">
        <is>
          <t>Gestionnaire comptable et fiscal</t>
        </is>
      </c>
      <c r="L3001" s="45" t="inlineStr">
        <is>
          <t>01/12/2028</t>
        </is>
      </c>
      <c r="M3001" s="45" t="inlineStr">
        <is>
          <t>32663 (Comptabilité) ; 32054 (Gestion des organisations)</t>
        </is>
      </c>
      <c r="N3001" s="50" t="inlineStr">
        <is>
          <t>NON</t>
        </is>
      </c>
      <c r="O3001" s="45" t="inlineStr"/>
    </row>
    <row r="3002" customFormat="1" s="4">
      <c r="A3002" s="51" t="n"/>
      <c r="B3002" s="52" t="inlineStr">
        <is>
          <t>32089</t>
        </is>
      </c>
      <c r="C3002" s="52">
        <f>LEFT(Tableau1[[#This Row],[Formacode]],3)</f>
        <v/>
      </c>
      <c r="D3002" s="53" t="n">
        <v>37988</v>
      </c>
      <c r="E3002" s="54">
        <f>"RNCP"&amp;D3002</f>
        <v/>
      </c>
      <c r="F3002" s="54" t="inlineStr">
        <is>
          <t>Diplôme visé - Diplôme supérieur en marketing, vente et gestion</t>
        </is>
      </c>
      <c r="G3002" s="55">
        <f>E3002&amp;" - "&amp;F3002</f>
        <v/>
      </c>
      <c r="H3002" s="37" t="inlineStr">
        <is>
          <t>À vérifier</t>
        </is>
      </c>
      <c r="I3002" s="51" t="inlineStr">
        <is>
          <t>Successeur déjà publié : RNCP42254 (Diplôme supérieur en marketing, vente et gestion) — préparer la bascule de l'offre CPF | Échéance le 31/08/2026 (dans 44 j)</t>
        </is>
      </c>
      <c r="J3002" s="51" t="inlineStr">
        <is>
          <t>RNCP42254</t>
        </is>
      </c>
      <c r="K3002" s="51" t="inlineStr">
        <is>
          <t>Diplôme supérieur en marketing, vente et gestion</t>
        </is>
      </c>
      <c r="L3002" s="51" t="inlineStr">
        <is>
          <t>31/08/2026</t>
        </is>
      </c>
      <c r="M3002" s="51" t="inlineStr">
        <is>
          <t>34085 (Stratégie commerciale) ; 34052 (Marketing) ; 32154 (Encadrement management) ; 32054 (Gestion des organisations)</t>
        </is>
      </c>
      <c r="N3002" s="62" t="inlineStr">
        <is>
          <t>NON</t>
        </is>
      </c>
      <c r="O3002" s="51" t="inlineStr"/>
    </row>
    <row r="3003" customFormat="1" s="4">
      <c r="A3003" s="45" t="n"/>
      <c r="B3003" s="46" t="inlineStr">
        <is>
          <t>32089</t>
        </is>
      </c>
      <c r="C3003" s="46">
        <f>LEFT(Tableau1[[#This Row],[Formacode]],3)</f>
        <v/>
      </c>
      <c r="D3003" s="47" t="n">
        <v>39626</v>
      </c>
      <c r="E3003" s="48">
        <f>"RNCP"&amp;D3003</f>
        <v/>
      </c>
      <c r="F3003" s="48" t="inlineStr">
        <is>
          <t>Assistant de gestion des petites entreprises</t>
        </is>
      </c>
      <c r="G3003" s="49">
        <f>E3003&amp;" - "&amp;F3003</f>
        <v/>
      </c>
      <c r="H3003" s="36" t="inlineStr">
        <is>
          <t>RAS</t>
        </is>
      </c>
      <c r="I3003" s="45" t="inlineStr"/>
      <c r="J3003" s="45" t="inlineStr">
        <is>
          <t>RNCP39626</t>
        </is>
      </c>
      <c r="K3003" s="45" t="inlineStr">
        <is>
          <t>Assistant de gestion des petites entreprises</t>
        </is>
      </c>
      <c r="L3003" s="45" t="inlineStr">
        <is>
          <t>01/10/2029</t>
        </is>
      </c>
      <c r="M3003" s="45" t="inlineStr">
        <is>
          <t>35049 (Secrétariat assistanat comptabilité) ; 32054 (Gestion des organisations) ; 35007 (Secrétariat assistanat gestion PME PMI)</t>
        </is>
      </c>
      <c r="N3003" s="50" t="inlineStr">
        <is>
          <t>NON</t>
        </is>
      </c>
      <c r="O3003" s="45" t="inlineStr"/>
    </row>
    <row r="3004" customFormat="1" s="4">
      <c r="A3004" s="45" t="n"/>
      <c r="B3004" s="46" t="inlineStr">
        <is>
          <t>32089</t>
        </is>
      </c>
      <c r="C3004" s="46">
        <f>LEFT(Tableau1[[#This Row],[Formacode]],3)</f>
        <v/>
      </c>
      <c r="D3004" s="47" t="n">
        <v>41308</v>
      </c>
      <c r="E3004" s="48">
        <f>"RNCP"&amp;D3004</f>
        <v/>
      </c>
      <c r="F3004" s="48" t="inlineStr">
        <is>
          <t>Office manager</t>
        </is>
      </c>
      <c r="G3004" s="49">
        <f>E3004&amp;" - "&amp;F3004</f>
        <v/>
      </c>
      <c r="H3004" s="36" t="inlineStr">
        <is>
          <t>RAS</t>
        </is>
      </c>
      <c r="I3004" s="45" t="inlineStr"/>
      <c r="J3004" s="45" t="inlineStr">
        <is>
          <t>RNCP41308</t>
        </is>
      </c>
      <c r="K3004" s="45" t="inlineStr">
        <is>
          <t>Office manager</t>
        </is>
      </c>
      <c r="L3004" s="45" t="inlineStr">
        <is>
          <t>24/09/2028</t>
        </is>
      </c>
      <c r="M3004" s="45" t="inlineStr">
        <is>
          <t>35047 (Secrétariat assistanat direction) ; 32054 (Gestion des organisations)</t>
        </is>
      </c>
      <c r="N3004" s="50" t="inlineStr">
        <is>
          <t>NON</t>
        </is>
      </c>
      <c r="O3004" s="45" t="inlineStr"/>
    </row>
    <row r="3005" customFormat="1" s="4">
      <c r="A3005" s="45" t="n"/>
      <c r="B3005" s="46" t="inlineStr">
        <is>
          <t>32090</t>
        </is>
      </c>
      <c r="C3005" s="46">
        <f>LEFT(Tableau1[[#This Row],[Formacode]],3)</f>
        <v/>
      </c>
      <c r="D3005" s="47" t="n">
        <v>36420</v>
      </c>
      <c r="E3005" s="48">
        <f>"RNCP"&amp;D3005</f>
        <v/>
      </c>
      <c r="F3005" s="48" t="inlineStr">
        <is>
          <t>DIPLOVIS - Programme supérieur de gestion et de commerce</t>
        </is>
      </c>
      <c r="G3005" s="49">
        <f>E3005&amp;" - "&amp;F3005</f>
        <v/>
      </c>
      <c r="H3005" s="36" t="inlineStr">
        <is>
          <t>RAS</t>
        </is>
      </c>
      <c r="I3005" s="45" t="inlineStr"/>
      <c r="J3005" s="45" t="inlineStr">
        <is>
          <t>RNCP36420</t>
        </is>
      </c>
      <c r="K3005" s="45" t="inlineStr">
        <is>
          <t>Programme supérieur de gestion et de commerce</t>
        </is>
      </c>
      <c r="L3005" s="45" t="inlineStr">
        <is>
          <t>31/08/2027</t>
        </is>
      </c>
      <c r="M3005" s="45" t="inlineStr">
        <is>
          <t>32110 (Management opérationnel) ; 32135 (Conduite projet) ; 32054 (Gestion des organisations)</t>
        </is>
      </c>
      <c r="N3005" s="50" t="inlineStr">
        <is>
          <t>NON</t>
        </is>
      </c>
      <c r="O3005" s="45" t="inlineStr"/>
    </row>
    <row r="3006" customFormat="1" s="4">
      <c r="A3006" s="45" t="n"/>
      <c r="B3006" s="46" t="inlineStr">
        <is>
          <t>32090</t>
        </is>
      </c>
      <c r="C3006" s="46">
        <f>LEFT(Tableau1[[#This Row],[Formacode]],3)</f>
        <v/>
      </c>
      <c r="D3006" s="47" t="n">
        <v>36461</v>
      </c>
      <c r="E3006" s="48">
        <f>"RNCP"&amp;D3006</f>
        <v/>
      </c>
      <c r="F3006" s="48" t="inlineStr">
        <is>
          <t>Directeur d'unité opérationnelle</t>
        </is>
      </c>
      <c r="G3006" s="49">
        <f>E3006&amp;" - "&amp;F3006</f>
        <v/>
      </c>
      <c r="H3006" s="36" t="inlineStr">
        <is>
          <t>RAS</t>
        </is>
      </c>
      <c r="I3006" s="45" t="inlineStr"/>
      <c r="J3006" s="45" t="inlineStr">
        <is>
          <t>RNCP36461</t>
        </is>
      </c>
      <c r="K3006" s="45" t="inlineStr">
        <is>
          <t>Directeur d'unité opérationnelle</t>
        </is>
      </c>
      <c r="L3006" s="45" t="inlineStr">
        <is>
          <t>02/06/2027</t>
        </is>
      </c>
      <c r="M3006" s="45" t="inlineStr">
        <is>
          <t>32054 (Gestion des organisations) ; 32154 (Encadrement management)</t>
        </is>
      </c>
      <c r="N3006" s="50" t="inlineStr">
        <is>
          <t>NON</t>
        </is>
      </c>
      <c r="O3006" s="45" t="inlineStr"/>
    </row>
    <row r="3007" customFormat="1" s="4">
      <c r="A3007" s="45" t="n"/>
      <c r="B3007" s="46" t="inlineStr">
        <is>
          <t>32090</t>
        </is>
      </c>
      <c r="C3007" s="46">
        <f>LEFT(Tableau1[[#This Row],[Formacode]],3)</f>
        <v/>
      </c>
      <c r="D3007" s="47" t="n">
        <v>36677</v>
      </c>
      <c r="E3007" s="48">
        <f>"RNCP"&amp;D3007</f>
        <v/>
      </c>
      <c r="F3007" s="48" t="inlineStr">
        <is>
          <t>DIPLOVIS - Responsable en marketing, commercialisation et gestion</t>
        </is>
      </c>
      <c r="G3007" s="49">
        <f>E3007&amp;" - "&amp;F3007</f>
        <v/>
      </c>
      <c r="H3007" s="36" t="inlineStr">
        <is>
          <t>RAS</t>
        </is>
      </c>
      <c r="I3007" s="45" t="inlineStr"/>
      <c r="J3007" s="45" t="inlineStr">
        <is>
          <t>RNCP36677</t>
        </is>
      </c>
      <c r="K3007" s="45" t="inlineStr">
        <is>
          <t>Responsable en marketing, commercialisation et gestion</t>
        </is>
      </c>
      <c r="L3007" s="45" t="inlineStr">
        <is>
          <t>31/08/2027</t>
        </is>
      </c>
      <c r="M3007" s="45" t="inlineStr">
        <is>
          <t>34052 (Marketing) ; 34554 (Commerce) ; 32054 (Gestion des organisations)</t>
        </is>
      </c>
      <c r="N3007" s="50" t="inlineStr">
        <is>
          <t>NON</t>
        </is>
      </c>
      <c r="O3007" s="45" t="inlineStr"/>
    </row>
    <row r="3008" customFormat="1" s="4">
      <c r="A3008" s="45" t="n"/>
      <c r="B3008" s="46" t="inlineStr">
        <is>
          <t>32090</t>
        </is>
      </c>
      <c r="C3008" s="46">
        <f>LEFT(Tableau1[[#This Row],[Formacode]],3)</f>
        <v/>
      </c>
      <c r="D3008" s="47" t="n">
        <v>37645</v>
      </c>
      <c r="E3008" s="48">
        <f>"RNCP"&amp;D3008</f>
        <v/>
      </c>
      <c r="F3008" s="48" t="inlineStr">
        <is>
          <t>Cadre dirigeant</t>
        </is>
      </c>
      <c r="G3008" s="49">
        <f>E3008&amp;" - "&amp;F3008</f>
        <v/>
      </c>
      <c r="H3008" s="36" t="inlineStr">
        <is>
          <t>RAS</t>
        </is>
      </c>
      <c r="I3008" s="45" t="inlineStr"/>
      <c r="J3008" s="45" t="inlineStr">
        <is>
          <t>RNCP37645</t>
        </is>
      </c>
      <c r="K3008" s="45" t="inlineStr">
        <is>
          <t>Cadre dirigeant</t>
        </is>
      </c>
      <c r="L3008" s="45" t="inlineStr">
        <is>
          <t>31/05/2028</t>
        </is>
      </c>
      <c r="M3008" s="45" t="inlineStr">
        <is>
          <t>32054 (Gestion des organisations)</t>
        </is>
      </c>
      <c r="N3008" s="50" t="inlineStr">
        <is>
          <t>NON</t>
        </is>
      </c>
      <c r="O3008" s="45" t="inlineStr"/>
    </row>
    <row r="3009" customFormat="1" s="4">
      <c r="A3009" s="51" t="n"/>
      <c r="B3009" s="52" t="inlineStr">
        <is>
          <t>32090</t>
        </is>
      </c>
      <c r="C3009" s="52">
        <f>LEFT(Tableau1[[#This Row],[Formacode]],3)</f>
        <v/>
      </c>
      <c r="D3009" s="53" t="n">
        <v>37719</v>
      </c>
      <c r="E3009" s="54">
        <f>"RNCP"&amp;D3009</f>
        <v/>
      </c>
      <c r="F3009" s="54" t="inlineStr">
        <is>
          <t>DIPLOVIS - Diplôme en management international de l'hôtellerie et de la restauration</t>
        </is>
      </c>
      <c r="G3009" s="55">
        <f>E3009&amp;" - "&amp;F3009</f>
        <v/>
      </c>
      <c r="H3009" s="37" t="inlineStr">
        <is>
          <t>À vérifier</t>
        </is>
      </c>
      <c r="I3009" s="51" t="inlineStr">
        <is>
          <t>Échéance le 31/08/2026 (dans 44 j)</t>
        </is>
      </c>
      <c r="J3009" s="51" t="inlineStr">
        <is>
          <t>RNCP37719</t>
        </is>
      </c>
      <c r="K3009" s="51" t="inlineStr">
        <is>
          <t>Diplôme en management international de l'hôtellerie et de la restauration</t>
        </is>
      </c>
      <c r="L3009" s="51" t="inlineStr">
        <is>
          <t>31/08/2026</t>
        </is>
      </c>
      <c r="M3009" s="51" t="inlineStr">
        <is>
          <t>32054 (Gestion des organisations) ; 42754 (Hôtellerie restauration) ; 42627 (Gestion entreprise touristique)</t>
        </is>
      </c>
      <c r="N3009" s="62" t="inlineStr">
        <is>
          <t>NON</t>
        </is>
      </c>
      <c r="O3009" s="51" t="inlineStr"/>
    </row>
    <row r="3010" customFormat="1" s="4">
      <c r="A3010" s="51" t="n"/>
      <c r="B3010" s="52" t="inlineStr">
        <is>
          <t>32090</t>
        </is>
      </c>
      <c r="C3010" s="52">
        <f>LEFT(Tableau1[[#This Row],[Formacode]],3)</f>
        <v/>
      </c>
      <c r="D3010" s="53" t="n">
        <v>37932</v>
      </c>
      <c r="E3010" s="54">
        <f>"RNCP"&amp;D3010</f>
        <v/>
      </c>
      <c r="F3010" s="54" t="inlineStr">
        <is>
          <t>DIPLOVIS - Diplôme en Management International des Arts Culinaires</t>
        </is>
      </c>
      <c r="G3010" s="55">
        <f>E3010&amp;" - "&amp;F3010</f>
        <v/>
      </c>
      <c r="H3010" s="37" t="inlineStr">
        <is>
          <t>À vérifier</t>
        </is>
      </c>
      <c r="I3010" s="51" t="inlineStr">
        <is>
          <t>Successeur déjà publié : RNCP42267 (DIPLOVIS - Diplôme en management international des arts culinaires) — préparer la bascule de l'offre CPF | Échéance le 31/08/2026 (dans 44 j)</t>
        </is>
      </c>
      <c r="J3010" s="51" t="inlineStr">
        <is>
          <t>RNCP42267</t>
        </is>
      </c>
      <c r="K3010" s="51" t="inlineStr">
        <is>
          <t>DIPLOVIS - Diplôme en management international des arts culinaires</t>
        </is>
      </c>
      <c r="L3010" s="51" t="inlineStr">
        <is>
          <t>31/08/2026</t>
        </is>
      </c>
      <c r="M3010" s="51" t="inlineStr">
        <is>
          <t>42782 (Gestion cuisine) ; 42760 (Gastronomie) ; 42766 (Gestion hôtel restaurant bar) ; 32054 (Gestion des organisations)</t>
        </is>
      </c>
      <c r="N3010" s="62" t="inlineStr">
        <is>
          <t>NON</t>
        </is>
      </c>
      <c r="O3010" s="51" t="inlineStr"/>
    </row>
    <row r="3011" customFormat="1" s="4">
      <c r="A3011" s="45" t="n"/>
      <c r="B3011" s="46" t="inlineStr">
        <is>
          <t>32090</t>
        </is>
      </c>
      <c r="C3011" s="46">
        <f>LEFT(Tableau1[[#This Row],[Formacode]],3)</f>
        <v/>
      </c>
      <c r="D3011" s="47" t="n">
        <v>37949</v>
      </c>
      <c r="E3011" s="48">
        <f>"RNCP"&amp;D3011</f>
        <v/>
      </c>
      <c r="F3011" s="48" t="inlineStr">
        <is>
          <t>TP - Gestionnaire comptable et  fiscal</t>
        </is>
      </c>
      <c r="G3011" s="49">
        <f>E3011&amp;" - "&amp;F3011</f>
        <v/>
      </c>
      <c r="H3011" s="36" t="inlineStr">
        <is>
          <t>RAS</t>
        </is>
      </c>
      <c r="I3011" s="45" t="inlineStr"/>
      <c r="J3011" s="45" t="inlineStr">
        <is>
          <t>RNCP37949</t>
        </is>
      </c>
      <c r="K3011" s="45" t="inlineStr">
        <is>
          <t>Gestionnaire comptable et fiscal</t>
        </is>
      </c>
      <c r="L3011" s="45" t="inlineStr">
        <is>
          <t>01/12/2028</t>
        </is>
      </c>
      <c r="M3011" s="45" t="inlineStr">
        <is>
          <t>32663 (Comptabilité) ; 32054 (Gestion des organisations)</t>
        </is>
      </c>
      <c r="N3011" s="50" t="inlineStr">
        <is>
          <t>NON</t>
        </is>
      </c>
      <c r="O3011" s="45" t="inlineStr"/>
    </row>
    <row r="3012" customFormat="1" s="4">
      <c r="A3012" s="51" t="n"/>
      <c r="B3012" s="52" t="inlineStr">
        <is>
          <t>32090</t>
        </is>
      </c>
      <c r="C3012" s="52">
        <f>LEFT(Tableau1[[#This Row],[Formacode]],3)</f>
        <v/>
      </c>
      <c r="D3012" s="53" t="n">
        <v>37988</v>
      </c>
      <c r="E3012" s="54">
        <f>"RNCP"&amp;D3012</f>
        <v/>
      </c>
      <c r="F3012" s="54" t="inlineStr">
        <is>
          <t>Diplôme visé - Diplôme supérieur en marketing, vente et gestion</t>
        </is>
      </c>
      <c r="G3012" s="55">
        <f>E3012&amp;" - "&amp;F3012</f>
        <v/>
      </c>
      <c r="H3012" s="37" t="inlineStr">
        <is>
          <t>À vérifier</t>
        </is>
      </c>
      <c r="I3012" s="51" t="inlineStr">
        <is>
          <t>Successeur déjà publié : RNCP42254 (Diplôme supérieur en marketing, vente et gestion) — préparer la bascule de l'offre CPF | Échéance le 31/08/2026 (dans 44 j)</t>
        </is>
      </c>
      <c r="J3012" s="51" t="inlineStr">
        <is>
          <t>RNCP42254</t>
        </is>
      </c>
      <c r="K3012" s="51" t="inlineStr">
        <is>
          <t>Diplôme supérieur en marketing, vente et gestion</t>
        </is>
      </c>
      <c r="L3012" s="51" t="inlineStr">
        <is>
          <t>31/08/2026</t>
        </is>
      </c>
      <c r="M3012" s="51" t="inlineStr">
        <is>
          <t>34085 (Stratégie commerciale) ; 34052 (Marketing) ; 32154 (Encadrement management) ; 32054 (Gestion des organisations)</t>
        </is>
      </c>
      <c r="N3012" s="62" t="inlineStr">
        <is>
          <t>NON</t>
        </is>
      </c>
      <c r="O3012" s="51" t="inlineStr"/>
    </row>
    <row r="3013" customFormat="1" s="4">
      <c r="A3013" s="45" t="n"/>
      <c r="B3013" s="46" t="inlineStr">
        <is>
          <t>32090</t>
        </is>
      </c>
      <c r="C3013" s="46">
        <f>LEFT(Tableau1[[#This Row],[Formacode]],3)</f>
        <v/>
      </c>
      <c r="D3013" s="47" t="n">
        <v>39626</v>
      </c>
      <c r="E3013" s="48">
        <f>"RNCP"&amp;D3013</f>
        <v/>
      </c>
      <c r="F3013" s="48" t="inlineStr">
        <is>
          <t>Assistant de gestion des petites entreprises</t>
        </is>
      </c>
      <c r="G3013" s="49">
        <f>E3013&amp;" - "&amp;F3013</f>
        <v/>
      </c>
      <c r="H3013" s="36" t="inlineStr">
        <is>
          <t>RAS</t>
        </is>
      </c>
      <c r="I3013" s="45" t="inlineStr"/>
      <c r="J3013" s="45" t="inlineStr">
        <is>
          <t>RNCP39626</t>
        </is>
      </c>
      <c r="K3013" s="45" t="inlineStr">
        <is>
          <t>Assistant de gestion des petites entreprises</t>
        </is>
      </c>
      <c r="L3013" s="45" t="inlineStr">
        <is>
          <t>01/10/2029</t>
        </is>
      </c>
      <c r="M3013" s="45" t="inlineStr">
        <is>
          <t>35049 (Secrétariat assistanat comptabilité) ; 32054 (Gestion des organisations) ; 35007 (Secrétariat assistanat gestion PME PMI)</t>
        </is>
      </c>
      <c r="N3013" s="50" t="inlineStr">
        <is>
          <t>NON</t>
        </is>
      </c>
      <c r="O3013" s="45" t="inlineStr"/>
    </row>
    <row r="3014" customFormat="1" s="4">
      <c r="A3014" s="45" t="n"/>
      <c r="B3014" s="46" t="inlineStr">
        <is>
          <t>32090</t>
        </is>
      </c>
      <c r="C3014" s="46">
        <f>LEFT(Tableau1[[#This Row],[Formacode]],3)</f>
        <v/>
      </c>
      <c r="D3014" s="47" t="n">
        <v>41308</v>
      </c>
      <c r="E3014" s="48">
        <f>"RNCP"&amp;D3014</f>
        <v/>
      </c>
      <c r="F3014" s="48" t="inlineStr">
        <is>
          <t>Office manager</t>
        </is>
      </c>
      <c r="G3014" s="49">
        <f>E3014&amp;" - "&amp;F3014</f>
        <v/>
      </c>
      <c r="H3014" s="36" t="inlineStr">
        <is>
          <t>RAS</t>
        </is>
      </c>
      <c r="I3014" s="45" t="inlineStr"/>
      <c r="J3014" s="45" t="inlineStr">
        <is>
          <t>RNCP41308</t>
        </is>
      </c>
      <c r="K3014" s="45" t="inlineStr">
        <is>
          <t>Office manager</t>
        </is>
      </c>
      <c r="L3014" s="45" t="inlineStr">
        <is>
          <t>24/09/2028</t>
        </is>
      </c>
      <c r="M3014" s="45" t="inlineStr">
        <is>
          <t>35047 (Secrétariat assistanat direction) ; 32054 (Gestion des organisations)</t>
        </is>
      </c>
      <c r="N3014" s="50" t="inlineStr">
        <is>
          <t>NON</t>
        </is>
      </c>
      <c r="O3014" s="45" t="inlineStr"/>
    </row>
    <row r="3015" customFormat="1" s="4">
      <c r="A3015" s="45" t="n"/>
      <c r="B3015" s="46" t="inlineStr">
        <is>
          <t>32092</t>
        </is>
      </c>
      <c r="C3015" s="46">
        <f>LEFT(Tableau1[[#This Row],[Formacode]],3)</f>
        <v/>
      </c>
      <c r="D3015" s="47" t="n">
        <v>36420</v>
      </c>
      <c r="E3015" s="48">
        <f>"RNCP"&amp;D3015</f>
        <v/>
      </c>
      <c r="F3015" s="48" t="inlineStr">
        <is>
          <t>DIPLOVIS - Programme supérieur de gestion et de commerce</t>
        </is>
      </c>
      <c r="G3015" s="49">
        <f>E3015&amp;" - "&amp;F3015</f>
        <v/>
      </c>
      <c r="H3015" s="36" t="inlineStr">
        <is>
          <t>RAS</t>
        </is>
      </c>
      <c r="I3015" s="45" t="inlineStr"/>
      <c r="J3015" s="45" t="inlineStr">
        <is>
          <t>RNCP36420</t>
        </is>
      </c>
      <c r="K3015" s="45" t="inlineStr">
        <is>
          <t>Programme supérieur de gestion et de commerce</t>
        </is>
      </c>
      <c r="L3015" s="45" t="inlineStr">
        <is>
          <t>31/08/2027</t>
        </is>
      </c>
      <c r="M3015" s="45" t="inlineStr">
        <is>
          <t>32110 (Management opérationnel) ; 32135 (Conduite projet) ; 32054 (Gestion des organisations)</t>
        </is>
      </c>
      <c r="N3015" s="50" t="inlineStr">
        <is>
          <t>NON</t>
        </is>
      </c>
      <c r="O3015" s="45" t="inlineStr"/>
    </row>
    <row r="3016" customFormat="1" s="4">
      <c r="A3016" s="45" t="n"/>
      <c r="B3016" s="46" t="inlineStr">
        <is>
          <t>32092</t>
        </is>
      </c>
      <c r="C3016" s="46">
        <f>LEFT(Tableau1[[#This Row],[Formacode]],3)</f>
        <v/>
      </c>
      <c r="D3016" s="47" t="n">
        <v>36461</v>
      </c>
      <c r="E3016" s="48">
        <f>"RNCP"&amp;D3016</f>
        <v/>
      </c>
      <c r="F3016" s="48" t="inlineStr">
        <is>
          <t>Directeur d'unité opérationnelle</t>
        </is>
      </c>
      <c r="G3016" s="49">
        <f>E3016&amp;" - "&amp;F3016</f>
        <v/>
      </c>
      <c r="H3016" s="36" t="inlineStr">
        <is>
          <t>RAS</t>
        </is>
      </c>
      <c r="I3016" s="45" t="inlineStr"/>
      <c r="J3016" s="45" t="inlineStr">
        <is>
          <t>RNCP36461</t>
        </is>
      </c>
      <c r="K3016" s="45" t="inlineStr">
        <is>
          <t>Directeur d'unité opérationnelle</t>
        </is>
      </c>
      <c r="L3016" s="45" t="inlineStr">
        <is>
          <t>02/06/2027</t>
        </is>
      </c>
      <c r="M3016" s="45" t="inlineStr">
        <is>
          <t>32054 (Gestion des organisations) ; 32154 (Encadrement management)</t>
        </is>
      </c>
      <c r="N3016" s="50" t="inlineStr">
        <is>
          <t>NON</t>
        </is>
      </c>
      <c r="O3016" s="45" t="inlineStr"/>
    </row>
    <row r="3017" customFormat="1" s="4">
      <c r="A3017" s="45" t="n"/>
      <c r="B3017" s="46" t="inlineStr">
        <is>
          <t>32092</t>
        </is>
      </c>
      <c r="C3017" s="46">
        <f>LEFT(Tableau1[[#This Row],[Formacode]],3)</f>
        <v/>
      </c>
      <c r="D3017" s="47" t="n">
        <v>36677</v>
      </c>
      <c r="E3017" s="48">
        <f>"RNCP"&amp;D3017</f>
        <v/>
      </c>
      <c r="F3017" s="48" t="inlineStr">
        <is>
          <t>DIPLOVIS - Responsable en marketing, commercialisation et gestion</t>
        </is>
      </c>
      <c r="G3017" s="49">
        <f>E3017&amp;" - "&amp;F3017</f>
        <v/>
      </c>
      <c r="H3017" s="36" t="inlineStr">
        <is>
          <t>RAS</t>
        </is>
      </c>
      <c r="I3017" s="45" t="inlineStr"/>
      <c r="J3017" s="45" t="inlineStr">
        <is>
          <t>RNCP36677</t>
        </is>
      </c>
      <c r="K3017" s="45" t="inlineStr">
        <is>
          <t>Responsable en marketing, commercialisation et gestion</t>
        </is>
      </c>
      <c r="L3017" s="45" t="inlineStr">
        <is>
          <t>31/08/2027</t>
        </is>
      </c>
      <c r="M3017" s="45" t="inlineStr">
        <is>
          <t>34052 (Marketing) ; 34554 (Commerce) ; 32054 (Gestion des organisations)</t>
        </is>
      </c>
      <c r="N3017" s="50" t="inlineStr">
        <is>
          <t>NON</t>
        </is>
      </c>
      <c r="O3017" s="45" t="inlineStr"/>
    </row>
    <row r="3018" customFormat="1" s="4">
      <c r="A3018" s="45" t="n"/>
      <c r="B3018" s="46" t="inlineStr">
        <is>
          <t>32092</t>
        </is>
      </c>
      <c r="C3018" s="46">
        <f>LEFT(Tableau1[[#This Row],[Formacode]],3)</f>
        <v/>
      </c>
      <c r="D3018" s="47" t="n">
        <v>37645</v>
      </c>
      <c r="E3018" s="48">
        <f>"RNCP"&amp;D3018</f>
        <v/>
      </c>
      <c r="F3018" s="48" t="inlineStr">
        <is>
          <t>Cadre dirigeant</t>
        </is>
      </c>
      <c r="G3018" s="49">
        <f>E3018&amp;" - "&amp;F3018</f>
        <v/>
      </c>
      <c r="H3018" s="36" t="inlineStr">
        <is>
          <t>RAS</t>
        </is>
      </c>
      <c r="I3018" s="45" t="inlineStr"/>
      <c r="J3018" s="45" t="inlineStr">
        <is>
          <t>RNCP37645</t>
        </is>
      </c>
      <c r="K3018" s="45" t="inlineStr">
        <is>
          <t>Cadre dirigeant</t>
        </is>
      </c>
      <c r="L3018" s="45" t="inlineStr">
        <is>
          <t>31/05/2028</t>
        </is>
      </c>
      <c r="M3018" s="45" t="inlineStr">
        <is>
          <t>32054 (Gestion des organisations)</t>
        </is>
      </c>
      <c r="N3018" s="50" t="inlineStr">
        <is>
          <t>NON</t>
        </is>
      </c>
      <c r="O3018" s="45" t="inlineStr"/>
    </row>
    <row r="3019" customFormat="1" s="4">
      <c r="A3019" s="51" t="n"/>
      <c r="B3019" s="52" t="inlineStr">
        <is>
          <t>32092</t>
        </is>
      </c>
      <c r="C3019" s="52">
        <f>LEFT(Tableau1[[#This Row],[Formacode]],3)</f>
        <v/>
      </c>
      <c r="D3019" s="53" t="n">
        <v>37719</v>
      </c>
      <c r="E3019" s="54">
        <f>"RNCP"&amp;D3019</f>
        <v/>
      </c>
      <c r="F3019" s="54" t="inlineStr">
        <is>
          <t>DIPLOVIS - Diplôme en management international de l'hôtellerie et de la restauration</t>
        </is>
      </c>
      <c r="G3019" s="55">
        <f>E3019&amp;" - "&amp;F3019</f>
        <v/>
      </c>
      <c r="H3019" s="37" t="inlineStr">
        <is>
          <t>À vérifier</t>
        </is>
      </c>
      <c r="I3019" s="51" t="inlineStr">
        <is>
          <t>Échéance le 31/08/2026 (dans 44 j)</t>
        </is>
      </c>
      <c r="J3019" s="51" t="inlineStr">
        <is>
          <t>RNCP37719</t>
        </is>
      </c>
      <c r="K3019" s="51" t="inlineStr">
        <is>
          <t>Diplôme en management international de l'hôtellerie et de la restauration</t>
        </is>
      </c>
      <c r="L3019" s="51" t="inlineStr">
        <is>
          <t>31/08/2026</t>
        </is>
      </c>
      <c r="M3019" s="51" t="inlineStr">
        <is>
          <t>32054 (Gestion des organisations) ; 42754 (Hôtellerie restauration) ; 42627 (Gestion entreprise touristique)</t>
        </is>
      </c>
      <c r="N3019" s="62" t="inlineStr">
        <is>
          <t>NON</t>
        </is>
      </c>
      <c r="O3019" s="51" t="inlineStr"/>
    </row>
    <row r="3020" customFormat="1" s="4">
      <c r="A3020" s="51" t="n"/>
      <c r="B3020" s="52" t="inlineStr">
        <is>
          <t>32092</t>
        </is>
      </c>
      <c r="C3020" s="52">
        <f>LEFT(Tableau1[[#This Row],[Formacode]],3)</f>
        <v/>
      </c>
      <c r="D3020" s="53" t="n">
        <v>37932</v>
      </c>
      <c r="E3020" s="54">
        <f>"RNCP"&amp;D3020</f>
        <v/>
      </c>
      <c r="F3020" s="54" t="inlineStr">
        <is>
          <t>DIPLOVIS - Diplôme en Management International des Arts Culinaires</t>
        </is>
      </c>
      <c r="G3020" s="55">
        <f>E3020&amp;" - "&amp;F3020</f>
        <v/>
      </c>
      <c r="H3020" s="37" t="inlineStr">
        <is>
          <t>À vérifier</t>
        </is>
      </c>
      <c r="I3020" s="51" t="inlineStr">
        <is>
          <t>Successeur déjà publié : RNCP42267 (DIPLOVIS - Diplôme en management international des arts culinaires) — préparer la bascule de l'offre CPF | Échéance le 31/08/2026 (dans 44 j)</t>
        </is>
      </c>
      <c r="J3020" s="51" t="inlineStr">
        <is>
          <t>RNCP42267</t>
        </is>
      </c>
      <c r="K3020" s="51" t="inlineStr">
        <is>
          <t>DIPLOVIS - Diplôme en management international des arts culinaires</t>
        </is>
      </c>
      <c r="L3020" s="51" t="inlineStr">
        <is>
          <t>31/08/2026</t>
        </is>
      </c>
      <c r="M3020" s="51" t="inlineStr">
        <is>
          <t>42782 (Gestion cuisine) ; 42760 (Gastronomie) ; 42766 (Gestion hôtel restaurant bar) ; 32054 (Gestion des organisations)</t>
        </is>
      </c>
      <c r="N3020" s="62" t="inlineStr">
        <is>
          <t>NON</t>
        </is>
      </c>
      <c r="O3020" s="51" t="inlineStr"/>
    </row>
    <row r="3021" customFormat="1" s="4">
      <c r="A3021" s="45" t="n"/>
      <c r="B3021" s="46" t="inlineStr">
        <is>
          <t>32092</t>
        </is>
      </c>
      <c r="C3021" s="46">
        <f>LEFT(Tableau1[[#This Row],[Formacode]],3)</f>
        <v/>
      </c>
      <c r="D3021" s="47" t="n">
        <v>37949</v>
      </c>
      <c r="E3021" s="48">
        <f>"RNCP"&amp;D3021</f>
        <v/>
      </c>
      <c r="F3021" s="48" t="inlineStr">
        <is>
          <t>TP - Gestionnaire comptable et  fiscal</t>
        </is>
      </c>
      <c r="G3021" s="49">
        <f>E3021&amp;" - "&amp;F3021</f>
        <v/>
      </c>
      <c r="H3021" s="36" t="inlineStr">
        <is>
          <t>RAS</t>
        </is>
      </c>
      <c r="I3021" s="45" t="inlineStr"/>
      <c r="J3021" s="45" t="inlineStr">
        <is>
          <t>RNCP37949</t>
        </is>
      </c>
      <c r="K3021" s="45" t="inlineStr">
        <is>
          <t>Gestionnaire comptable et fiscal</t>
        </is>
      </c>
      <c r="L3021" s="45" t="inlineStr">
        <is>
          <t>01/12/2028</t>
        </is>
      </c>
      <c r="M3021" s="45" t="inlineStr">
        <is>
          <t>32663 (Comptabilité) ; 32054 (Gestion des organisations)</t>
        </is>
      </c>
      <c r="N3021" s="50" t="inlineStr">
        <is>
          <t>NON</t>
        </is>
      </c>
      <c r="O3021" s="45" t="inlineStr"/>
    </row>
    <row r="3022" customFormat="1" s="4">
      <c r="A3022" s="51" t="n"/>
      <c r="B3022" s="52" t="inlineStr">
        <is>
          <t>32092</t>
        </is>
      </c>
      <c r="C3022" s="52">
        <f>LEFT(Tableau1[[#This Row],[Formacode]],3)</f>
        <v/>
      </c>
      <c r="D3022" s="53" t="n">
        <v>37988</v>
      </c>
      <c r="E3022" s="54">
        <f>"RNCP"&amp;D3022</f>
        <v/>
      </c>
      <c r="F3022" s="54" t="inlineStr">
        <is>
          <t>Diplôme visé - Diplôme supérieur en marketing, vente et gestion</t>
        </is>
      </c>
      <c r="G3022" s="55">
        <f>E3022&amp;" - "&amp;F3022</f>
        <v/>
      </c>
      <c r="H3022" s="37" t="inlineStr">
        <is>
          <t>À vérifier</t>
        </is>
      </c>
      <c r="I3022" s="51" t="inlineStr">
        <is>
          <t>Successeur déjà publié : RNCP42254 (Diplôme supérieur en marketing, vente et gestion) — préparer la bascule de l'offre CPF | Échéance le 31/08/2026 (dans 44 j)</t>
        </is>
      </c>
      <c r="J3022" s="51" t="inlineStr">
        <is>
          <t>RNCP42254</t>
        </is>
      </c>
      <c r="K3022" s="51" t="inlineStr">
        <is>
          <t>Diplôme supérieur en marketing, vente et gestion</t>
        </is>
      </c>
      <c r="L3022" s="51" t="inlineStr">
        <is>
          <t>31/08/2026</t>
        </is>
      </c>
      <c r="M3022" s="51" t="inlineStr">
        <is>
          <t>34085 (Stratégie commerciale) ; 34052 (Marketing) ; 32154 (Encadrement management) ; 32054 (Gestion des organisations)</t>
        </is>
      </c>
      <c r="N3022" s="62" t="inlineStr">
        <is>
          <t>NON</t>
        </is>
      </c>
      <c r="O3022" s="51" t="inlineStr"/>
    </row>
    <row r="3023" customFormat="1" s="4">
      <c r="A3023" s="45" t="n"/>
      <c r="B3023" s="46" t="inlineStr">
        <is>
          <t>32092</t>
        </is>
      </c>
      <c r="C3023" s="46">
        <f>LEFT(Tableau1[[#This Row],[Formacode]],3)</f>
        <v/>
      </c>
      <c r="D3023" s="47" t="n">
        <v>39626</v>
      </c>
      <c r="E3023" s="48">
        <f>"RNCP"&amp;D3023</f>
        <v/>
      </c>
      <c r="F3023" s="48" t="inlineStr">
        <is>
          <t>Assistant de gestion des petites entreprises</t>
        </is>
      </c>
      <c r="G3023" s="49">
        <f>E3023&amp;" - "&amp;F3023</f>
        <v/>
      </c>
      <c r="H3023" s="36" t="inlineStr">
        <is>
          <t>RAS</t>
        </is>
      </c>
      <c r="I3023" s="45" t="inlineStr"/>
      <c r="J3023" s="45" t="inlineStr">
        <is>
          <t>RNCP39626</t>
        </is>
      </c>
      <c r="K3023" s="45" t="inlineStr">
        <is>
          <t>Assistant de gestion des petites entreprises</t>
        </is>
      </c>
      <c r="L3023" s="45" t="inlineStr">
        <is>
          <t>01/10/2029</t>
        </is>
      </c>
      <c r="M3023" s="45" t="inlineStr">
        <is>
          <t>35049 (Secrétariat assistanat comptabilité) ; 32054 (Gestion des organisations) ; 35007 (Secrétariat assistanat gestion PME PMI)</t>
        </is>
      </c>
      <c r="N3023" s="50" t="inlineStr">
        <is>
          <t>NON</t>
        </is>
      </c>
      <c r="O3023" s="45" t="inlineStr"/>
    </row>
    <row r="3024" customFormat="1" s="4">
      <c r="A3024" s="45" t="n"/>
      <c r="B3024" s="46" t="inlineStr">
        <is>
          <t>32092</t>
        </is>
      </c>
      <c r="C3024" s="46">
        <f>LEFT(Tableau1[[#This Row],[Formacode]],3)</f>
        <v/>
      </c>
      <c r="D3024" s="47" t="n">
        <v>41308</v>
      </c>
      <c r="E3024" s="48">
        <f>"RNCP"&amp;D3024</f>
        <v/>
      </c>
      <c r="F3024" s="48" t="inlineStr">
        <is>
          <t>Office manager</t>
        </is>
      </c>
      <c r="G3024" s="49">
        <f>E3024&amp;" - "&amp;F3024</f>
        <v/>
      </c>
      <c r="H3024" s="36" t="inlineStr">
        <is>
          <t>RAS</t>
        </is>
      </c>
      <c r="I3024" s="45" t="inlineStr"/>
      <c r="J3024" s="45" t="inlineStr">
        <is>
          <t>RNCP41308</t>
        </is>
      </c>
      <c r="K3024" s="45" t="inlineStr">
        <is>
          <t>Office manager</t>
        </is>
      </c>
      <c r="L3024" s="45" t="inlineStr">
        <is>
          <t>24/09/2028</t>
        </is>
      </c>
      <c r="M3024" s="45" t="inlineStr">
        <is>
          <t>35047 (Secrétariat assistanat direction) ; 32054 (Gestion des organisations)</t>
        </is>
      </c>
      <c r="N3024" s="50" t="inlineStr">
        <is>
          <t>NON</t>
        </is>
      </c>
      <c r="O3024" s="45" t="inlineStr"/>
    </row>
    <row r="3025" customFormat="1" s="4">
      <c r="A3025" s="45" t="n"/>
      <c r="B3025" s="46" t="inlineStr">
        <is>
          <t>32093</t>
        </is>
      </c>
      <c r="C3025" s="46">
        <f>LEFT(Tableau1[[#This Row],[Formacode]],3)</f>
        <v/>
      </c>
      <c r="D3025" s="47" t="n">
        <v>36420</v>
      </c>
      <c r="E3025" s="48">
        <f>"RNCP"&amp;D3025</f>
        <v/>
      </c>
      <c r="F3025" s="48" t="inlineStr">
        <is>
          <t>DIPLOVIS - Programme supérieur de gestion et de commerce</t>
        </is>
      </c>
      <c r="G3025" s="49">
        <f>E3025&amp;" - "&amp;F3025</f>
        <v/>
      </c>
      <c r="H3025" s="36" t="inlineStr">
        <is>
          <t>RAS</t>
        </is>
      </c>
      <c r="I3025" s="45" t="inlineStr"/>
      <c r="J3025" s="45" t="inlineStr">
        <is>
          <t>RNCP36420</t>
        </is>
      </c>
      <c r="K3025" s="45" t="inlineStr">
        <is>
          <t>Programme supérieur de gestion et de commerce</t>
        </is>
      </c>
      <c r="L3025" s="45" t="inlineStr">
        <is>
          <t>31/08/2027</t>
        </is>
      </c>
      <c r="M3025" s="45" t="inlineStr">
        <is>
          <t>32110 (Management opérationnel) ; 32135 (Conduite projet) ; 32054 (Gestion des organisations)</t>
        </is>
      </c>
      <c r="N3025" s="50" t="inlineStr">
        <is>
          <t>NON</t>
        </is>
      </c>
      <c r="O3025" s="45" t="inlineStr"/>
    </row>
    <row r="3026" customFormat="1" s="4">
      <c r="A3026" s="45" t="n"/>
      <c r="B3026" s="46" t="inlineStr">
        <is>
          <t>32093</t>
        </is>
      </c>
      <c r="C3026" s="46">
        <f>LEFT(Tableau1[[#This Row],[Formacode]],3)</f>
        <v/>
      </c>
      <c r="D3026" s="47" t="n">
        <v>36461</v>
      </c>
      <c r="E3026" s="48">
        <f>"RNCP"&amp;D3026</f>
        <v/>
      </c>
      <c r="F3026" s="48" t="inlineStr">
        <is>
          <t>Directeur d'unité opérationnelle</t>
        </is>
      </c>
      <c r="G3026" s="49">
        <f>E3026&amp;" - "&amp;F3026</f>
        <v/>
      </c>
      <c r="H3026" s="36" t="inlineStr">
        <is>
          <t>RAS</t>
        </is>
      </c>
      <c r="I3026" s="45" t="inlineStr"/>
      <c r="J3026" s="45" t="inlineStr">
        <is>
          <t>RNCP36461</t>
        </is>
      </c>
      <c r="K3026" s="45" t="inlineStr">
        <is>
          <t>Directeur d'unité opérationnelle</t>
        </is>
      </c>
      <c r="L3026" s="45" t="inlineStr">
        <is>
          <t>02/06/2027</t>
        </is>
      </c>
      <c r="M3026" s="45" t="inlineStr">
        <is>
          <t>32054 (Gestion des organisations) ; 32154 (Encadrement management)</t>
        </is>
      </c>
      <c r="N3026" s="50" t="inlineStr">
        <is>
          <t>NON</t>
        </is>
      </c>
      <c r="O3026" s="45" t="inlineStr"/>
    </row>
    <row r="3027" customFormat="1" s="4">
      <c r="A3027" s="45" t="n"/>
      <c r="B3027" s="46" t="inlineStr">
        <is>
          <t>32093</t>
        </is>
      </c>
      <c r="C3027" s="46">
        <f>LEFT(Tableau1[[#This Row],[Formacode]],3)</f>
        <v/>
      </c>
      <c r="D3027" s="47" t="n">
        <v>36677</v>
      </c>
      <c r="E3027" s="48">
        <f>"RNCP"&amp;D3027</f>
        <v/>
      </c>
      <c r="F3027" s="48" t="inlineStr">
        <is>
          <t>DIPLOVIS - Responsable en marketing, commercialisation et gestion</t>
        </is>
      </c>
      <c r="G3027" s="49">
        <f>E3027&amp;" - "&amp;F3027</f>
        <v/>
      </c>
      <c r="H3027" s="36" t="inlineStr">
        <is>
          <t>RAS</t>
        </is>
      </c>
      <c r="I3027" s="45" t="inlineStr"/>
      <c r="J3027" s="45" t="inlineStr">
        <is>
          <t>RNCP36677</t>
        </is>
      </c>
      <c r="K3027" s="45" t="inlineStr">
        <is>
          <t>Responsable en marketing, commercialisation et gestion</t>
        </is>
      </c>
      <c r="L3027" s="45" t="inlineStr">
        <is>
          <t>31/08/2027</t>
        </is>
      </c>
      <c r="M3027" s="45" t="inlineStr">
        <is>
          <t>34052 (Marketing) ; 34554 (Commerce) ; 32054 (Gestion des organisations)</t>
        </is>
      </c>
      <c r="N3027" s="50" t="inlineStr">
        <is>
          <t>NON</t>
        </is>
      </c>
      <c r="O3027" s="45" t="inlineStr"/>
    </row>
    <row r="3028" customFormat="1" s="4">
      <c r="A3028" s="45" t="n"/>
      <c r="B3028" s="46" t="inlineStr">
        <is>
          <t>32093</t>
        </is>
      </c>
      <c r="C3028" s="46">
        <f>LEFT(Tableau1[[#This Row],[Formacode]],3)</f>
        <v/>
      </c>
      <c r="D3028" s="47" t="n">
        <v>37645</v>
      </c>
      <c r="E3028" s="48">
        <f>"RNCP"&amp;D3028</f>
        <v/>
      </c>
      <c r="F3028" s="48" t="inlineStr">
        <is>
          <t>Cadre dirigeant</t>
        </is>
      </c>
      <c r="G3028" s="49">
        <f>E3028&amp;" - "&amp;F3028</f>
        <v/>
      </c>
      <c r="H3028" s="36" t="inlineStr">
        <is>
          <t>RAS</t>
        </is>
      </c>
      <c r="I3028" s="45" t="inlineStr"/>
      <c r="J3028" s="45" t="inlineStr">
        <is>
          <t>RNCP37645</t>
        </is>
      </c>
      <c r="K3028" s="45" t="inlineStr">
        <is>
          <t>Cadre dirigeant</t>
        </is>
      </c>
      <c r="L3028" s="45" t="inlineStr">
        <is>
          <t>31/05/2028</t>
        </is>
      </c>
      <c r="M3028" s="45" t="inlineStr">
        <is>
          <t>32054 (Gestion des organisations)</t>
        </is>
      </c>
      <c r="N3028" s="50" t="inlineStr">
        <is>
          <t>NON</t>
        </is>
      </c>
      <c r="O3028" s="45" t="inlineStr"/>
    </row>
    <row r="3029" customFormat="1" s="4">
      <c r="A3029" s="51" t="n"/>
      <c r="B3029" s="52" t="inlineStr">
        <is>
          <t>32093</t>
        </is>
      </c>
      <c r="C3029" s="52">
        <f>LEFT(Tableau1[[#This Row],[Formacode]],3)</f>
        <v/>
      </c>
      <c r="D3029" s="53" t="n">
        <v>37719</v>
      </c>
      <c r="E3029" s="54">
        <f>"RNCP"&amp;D3029</f>
        <v/>
      </c>
      <c r="F3029" s="54" t="inlineStr">
        <is>
          <t>DIPLOVIS - Diplôme en management international de l'hôtellerie et de la restauration</t>
        </is>
      </c>
      <c r="G3029" s="55">
        <f>E3029&amp;" - "&amp;F3029</f>
        <v/>
      </c>
      <c r="H3029" s="37" t="inlineStr">
        <is>
          <t>À vérifier</t>
        </is>
      </c>
      <c r="I3029" s="51" t="inlineStr">
        <is>
          <t>Échéance le 31/08/2026 (dans 44 j)</t>
        </is>
      </c>
      <c r="J3029" s="51" t="inlineStr">
        <is>
          <t>RNCP37719</t>
        </is>
      </c>
      <c r="K3029" s="51" t="inlineStr">
        <is>
          <t>Diplôme en management international de l'hôtellerie et de la restauration</t>
        </is>
      </c>
      <c r="L3029" s="51" t="inlineStr">
        <is>
          <t>31/08/2026</t>
        </is>
      </c>
      <c r="M3029" s="51" t="inlineStr">
        <is>
          <t>32054 (Gestion des organisations) ; 42754 (Hôtellerie restauration) ; 42627 (Gestion entreprise touristique)</t>
        </is>
      </c>
      <c r="N3029" s="62" t="inlineStr">
        <is>
          <t>NON</t>
        </is>
      </c>
      <c r="O3029" s="51" t="inlineStr"/>
    </row>
    <row r="3030" customFormat="1" s="4">
      <c r="A3030" s="51" t="n"/>
      <c r="B3030" s="52" t="inlineStr">
        <is>
          <t>32093</t>
        </is>
      </c>
      <c r="C3030" s="52">
        <f>LEFT(Tableau1[[#This Row],[Formacode]],3)</f>
        <v/>
      </c>
      <c r="D3030" s="53" t="n">
        <v>37932</v>
      </c>
      <c r="E3030" s="54">
        <f>"RNCP"&amp;D3030</f>
        <v/>
      </c>
      <c r="F3030" s="54" t="inlineStr">
        <is>
          <t>DIPLOVIS - Diplôme en Management International des Arts Culinaires</t>
        </is>
      </c>
      <c r="G3030" s="55">
        <f>E3030&amp;" - "&amp;F3030</f>
        <v/>
      </c>
      <c r="H3030" s="37" t="inlineStr">
        <is>
          <t>À vérifier</t>
        </is>
      </c>
      <c r="I3030" s="51" t="inlineStr">
        <is>
          <t>Successeur déjà publié : RNCP42267 (DIPLOVIS - Diplôme en management international des arts culinaires) — préparer la bascule de l'offre CPF | Échéance le 31/08/2026 (dans 44 j)</t>
        </is>
      </c>
      <c r="J3030" s="51" t="inlineStr">
        <is>
          <t>RNCP42267</t>
        </is>
      </c>
      <c r="K3030" s="51" t="inlineStr">
        <is>
          <t>DIPLOVIS - Diplôme en management international des arts culinaires</t>
        </is>
      </c>
      <c r="L3030" s="51" t="inlineStr">
        <is>
          <t>31/08/2026</t>
        </is>
      </c>
      <c r="M3030" s="51" t="inlineStr">
        <is>
          <t>42782 (Gestion cuisine) ; 42760 (Gastronomie) ; 42766 (Gestion hôtel restaurant bar) ; 32054 (Gestion des organisations)</t>
        </is>
      </c>
      <c r="N3030" s="62" t="inlineStr">
        <is>
          <t>NON</t>
        </is>
      </c>
      <c r="O3030" s="51" t="inlineStr"/>
    </row>
    <row r="3031" customFormat="1" s="4">
      <c r="A3031" s="45" t="n"/>
      <c r="B3031" s="46" t="inlineStr">
        <is>
          <t>32093</t>
        </is>
      </c>
      <c r="C3031" s="46">
        <f>LEFT(Tableau1[[#This Row],[Formacode]],3)</f>
        <v/>
      </c>
      <c r="D3031" s="47" t="n">
        <v>37949</v>
      </c>
      <c r="E3031" s="48">
        <f>"RNCP"&amp;D3031</f>
        <v/>
      </c>
      <c r="F3031" s="48" t="inlineStr">
        <is>
          <t>TP - Gestionnaire comptable et  fiscal</t>
        </is>
      </c>
      <c r="G3031" s="49">
        <f>E3031&amp;" - "&amp;F3031</f>
        <v/>
      </c>
      <c r="H3031" s="36" t="inlineStr">
        <is>
          <t>RAS</t>
        </is>
      </c>
      <c r="I3031" s="45" t="inlineStr"/>
      <c r="J3031" s="45" t="inlineStr">
        <is>
          <t>RNCP37949</t>
        </is>
      </c>
      <c r="K3031" s="45" t="inlineStr">
        <is>
          <t>Gestionnaire comptable et fiscal</t>
        </is>
      </c>
      <c r="L3031" s="45" t="inlineStr">
        <is>
          <t>01/12/2028</t>
        </is>
      </c>
      <c r="M3031" s="45" t="inlineStr">
        <is>
          <t>32663 (Comptabilité) ; 32054 (Gestion des organisations)</t>
        </is>
      </c>
      <c r="N3031" s="50" t="inlineStr">
        <is>
          <t>NON</t>
        </is>
      </c>
      <c r="O3031" s="45" t="inlineStr"/>
    </row>
    <row r="3032" customFormat="1" s="4">
      <c r="A3032" s="51" t="n"/>
      <c r="B3032" s="52" t="inlineStr">
        <is>
          <t>32093</t>
        </is>
      </c>
      <c r="C3032" s="52">
        <f>LEFT(Tableau1[[#This Row],[Formacode]],3)</f>
        <v/>
      </c>
      <c r="D3032" s="53" t="n">
        <v>37988</v>
      </c>
      <c r="E3032" s="54">
        <f>"RNCP"&amp;D3032</f>
        <v/>
      </c>
      <c r="F3032" s="54" t="inlineStr">
        <is>
          <t>Diplôme visé - Diplôme supérieur en marketing, vente et gestion</t>
        </is>
      </c>
      <c r="G3032" s="55">
        <f>E3032&amp;" - "&amp;F3032</f>
        <v/>
      </c>
      <c r="H3032" s="37" t="inlineStr">
        <is>
          <t>À vérifier</t>
        </is>
      </c>
      <c r="I3032" s="51" t="inlineStr">
        <is>
          <t>Successeur déjà publié : RNCP42254 (Diplôme supérieur en marketing, vente et gestion) — préparer la bascule de l'offre CPF | Échéance le 31/08/2026 (dans 44 j)</t>
        </is>
      </c>
      <c r="J3032" s="51" t="inlineStr">
        <is>
          <t>RNCP42254</t>
        </is>
      </c>
      <c r="K3032" s="51" t="inlineStr">
        <is>
          <t>Diplôme supérieur en marketing, vente et gestion</t>
        </is>
      </c>
      <c r="L3032" s="51" t="inlineStr">
        <is>
          <t>31/08/2026</t>
        </is>
      </c>
      <c r="M3032" s="51" t="inlineStr">
        <is>
          <t>34085 (Stratégie commerciale) ; 34052 (Marketing) ; 32154 (Encadrement management) ; 32054 (Gestion des organisations)</t>
        </is>
      </c>
      <c r="N3032" s="62" t="inlineStr">
        <is>
          <t>NON</t>
        </is>
      </c>
      <c r="O3032" s="51" t="inlineStr"/>
    </row>
    <row r="3033" customFormat="1" s="4">
      <c r="A3033" s="45" t="n"/>
      <c r="B3033" s="46" t="inlineStr">
        <is>
          <t>32093</t>
        </is>
      </c>
      <c r="C3033" s="46">
        <f>LEFT(Tableau1[[#This Row],[Formacode]],3)</f>
        <v/>
      </c>
      <c r="D3033" s="47" t="n">
        <v>39626</v>
      </c>
      <c r="E3033" s="48">
        <f>"RNCP"&amp;D3033</f>
        <v/>
      </c>
      <c r="F3033" s="48" t="inlineStr">
        <is>
          <t>Assistant de gestion des petites entreprises</t>
        </is>
      </c>
      <c r="G3033" s="49">
        <f>E3033&amp;" - "&amp;F3033</f>
        <v/>
      </c>
      <c r="H3033" s="36" t="inlineStr">
        <is>
          <t>RAS</t>
        </is>
      </c>
      <c r="I3033" s="45" t="inlineStr"/>
      <c r="J3033" s="45" t="inlineStr">
        <is>
          <t>RNCP39626</t>
        </is>
      </c>
      <c r="K3033" s="45" t="inlineStr">
        <is>
          <t>Assistant de gestion des petites entreprises</t>
        </is>
      </c>
      <c r="L3033" s="45" t="inlineStr">
        <is>
          <t>01/10/2029</t>
        </is>
      </c>
      <c r="M3033" s="45" t="inlineStr">
        <is>
          <t>35049 (Secrétariat assistanat comptabilité) ; 32054 (Gestion des organisations) ; 35007 (Secrétariat assistanat gestion PME PMI)</t>
        </is>
      </c>
      <c r="N3033" s="50" t="inlineStr">
        <is>
          <t>NON</t>
        </is>
      </c>
      <c r="O3033" s="45" t="inlineStr"/>
    </row>
    <row r="3034" customFormat="1" s="4">
      <c r="A3034" s="45" t="n"/>
      <c r="B3034" s="46" t="inlineStr">
        <is>
          <t>32093</t>
        </is>
      </c>
      <c r="C3034" s="46">
        <f>LEFT(Tableau1[[#This Row],[Formacode]],3)</f>
        <v/>
      </c>
      <c r="D3034" s="47" t="n">
        <v>41308</v>
      </c>
      <c r="E3034" s="48">
        <f>"RNCP"&amp;D3034</f>
        <v/>
      </c>
      <c r="F3034" s="48" t="inlineStr">
        <is>
          <t>Office manager</t>
        </is>
      </c>
      <c r="G3034" s="49">
        <f>E3034&amp;" - "&amp;F3034</f>
        <v/>
      </c>
      <c r="H3034" s="36" t="inlineStr">
        <is>
          <t>RAS</t>
        </is>
      </c>
      <c r="I3034" s="45" t="inlineStr"/>
      <c r="J3034" s="45" t="inlineStr">
        <is>
          <t>RNCP41308</t>
        </is>
      </c>
      <c r="K3034" s="45" t="inlineStr">
        <is>
          <t>Office manager</t>
        </is>
      </c>
      <c r="L3034" s="45" t="inlineStr">
        <is>
          <t>24/09/2028</t>
        </is>
      </c>
      <c r="M3034" s="45" t="inlineStr">
        <is>
          <t>35047 (Secrétariat assistanat direction) ; 32054 (Gestion des organisations)</t>
        </is>
      </c>
      <c r="N3034" s="50" t="inlineStr">
        <is>
          <t>NON</t>
        </is>
      </c>
      <c r="O3034" s="45" t="inlineStr"/>
    </row>
    <row r="3035" customFormat="1" s="4">
      <c r="A3035" s="45" t="n"/>
      <c r="B3035" s="46" t="inlineStr">
        <is>
          <t>32094</t>
        </is>
      </c>
      <c r="C3035" s="46">
        <f>LEFT(Tableau1[[#This Row],[Formacode]],3)</f>
        <v/>
      </c>
      <c r="D3035" s="47" t="n">
        <v>36419</v>
      </c>
      <c r="E3035" s="48">
        <f>"RNCP"&amp;D3035</f>
        <v/>
      </c>
      <c r="F3035" s="48" t="inlineStr">
        <is>
          <t>DipViGrM - Programme Grande Ecole</t>
        </is>
      </c>
      <c r="G3035" s="49">
        <f>E3035&amp;" - "&amp;F3035</f>
        <v/>
      </c>
      <c r="H3035" s="36" t="inlineStr">
        <is>
          <t>RAS</t>
        </is>
      </c>
      <c r="I3035" s="45" t="inlineStr"/>
      <c r="J3035" s="45" t="inlineStr">
        <is>
          <t>RNCP36419</t>
        </is>
      </c>
      <c r="K3035" s="45" t="inlineStr">
        <is>
          <t>Programme Grande Ecole</t>
        </is>
      </c>
      <c r="L3035" s="45" t="inlineStr">
        <is>
          <t>31/08/2027</t>
        </is>
      </c>
      <c r="M3035" s="45" t="inlineStr">
        <is>
          <t>32094 (Gestion PME PMI) ; 32145 (Management transversal) ; 32025 (Stratégie entreprise) ; 32024 (Gestion centre profit)</t>
        </is>
      </c>
      <c r="N3035" s="50" t="inlineStr">
        <is>
          <t>NON</t>
        </is>
      </c>
      <c r="O3035" s="45" t="inlineStr"/>
    </row>
    <row r="3036" customFormat="1" s="4">
      <c r="A3036" s="45" t="n"/>
      <c r="B3036" s="46" t="inlineStr">
        <is>
          <t>32094</t>
        </is>
      </c>
      <c r="C3036" s="46">
        <f>LEFT(Tableau1[[#This Row],[Formacode]],3)</f>
        <v/>
      </c>
      <c r="D3036" s="47" t="n">
        <v>36420</v>
      </c>
      <c r="E3036" s="48">
        <f>"RNCP"&amp;D3036</f>
        <v/>
      </c>
      <c r="F3036" s="48" t="inlineStr">
        <is>
          <t>DIPLOVIS - Programme supérieur de gestion et de commerce</t>
        </is>
      </c>
      <c r="G3036" s="49">
        <f>E3036&amp;" - "&amp;F3036</f>
        <v/>
      </c>
      <c r="H3036" s="36" t="inlineStr">
        <is>
          <t>RAS</t>
        </is>
      </c>
      <c r="I3036" s="45" t="inlineStr"/>
      <c r="J3036" s="45" t="inlineStr">
        <is>
          <t>RNCP36420</t>
        </is>
      </c>
      <c r="K3036" s="45" t="inlineStr">
        <is>
          <t>Programme supérieur de gestion et de commerce</t>
        </is>
      </c>
      <c r="L3036" s="45" t="inlineStr">
        <is>
          <t>31/08/2027</t>
        </is>
      </c>
      <c r="M3036" s="45" t="inlineStr">
        <is>
          <t>32110 (Management opérationnel) ; 32135 (Conduite projet) ; 32054 (Gestion des organisations)</t>
        </is>
      </c>
      <c r="N3036" s="50" t="inlineStr">
        <is>
          <t>NON</t>
        </is>
      </c>
      <c r="O3036" s="45" t="inlineStr"/>
    </row>
    <row r="3037" customFormat="1" s="4">
      <c r="A3037" s="45" t="n"/>
      <c r="B3037" s="46" t="inlineStr">
        <is>
          <t>32094</t>
        </is>
      </c>
      <c r="C3037" s="46">
        <f>LEFT(Tableau1[[#This Row],[Formacode]],3)</f>
        <v/>
      </c>
      <c r="D3037" s="47" t="n">
        <v>36461</v>
      </c>
      <c r="E3037" s="48">
        <f>"RNCP"&amp;D3037</f>
        <v/>
      </c>
      <c r="F3037" s="48" t="inlineStr">
        <is>
          <t>Directeur d'unité opérationnelle</t>
        </is>
      </c>
      <c r="G3037" s="49">
        <f>E3037&amp;" - "&amp;F3037</f>
        <v/>
      </c>
      <c r="H3037" s="36" t="inlineStr">
        <is>
          <t>RAS</t>
        </is>
      </c>
      <c r="I3037" s="45" t="inlineStr"/>
      <c r="J3037" s="45" t="inlineStr">
        <is>
          <t>RNCP36461</t>
        </is>
      </c>
      <c r="K3037" s="45" t="inlineStr">
        <is>
          <t>Directeur d'unité opérationnelle</t>
        </is>
      </c>
      <c r="L3037" s="45" t="inlineStr">
        <is>
          <t>02/06/2027</t>
        </is>
      </c>
      <c r="M3037" s="45" t="inlineStr">
        <is>
          <t>32054 (Gestion des organisations) ; 32154 (Encadrement management)</t>
        </is>
      </c>
      <c r="N3037" s="50" t="inlineStr">
        <is>
          <t>NON</t>
        </is>
      </c>
      <c r="O3037" s="45" t="inlineStr"/>
    </row>
    <row r="3038" customFormat="1" s="4">
      <c r="A3038" s="45" t="n"/>
      <c r="B3038" s="46" t="inlineStr">
        <is>
          <t>32094</t>
        </is>
      </c>
      <c r="C3038" s="46">
        <f>LEFT(Tableau1[[#This Row],[Formacode]],3)</f>
        <v/>
      </c>
      <c r="D3038" s="47" t="n">
        <v>36677</v>
      </c>
      <c r="E3038" s="48">
        <f>"RNCP"&amp;D3038</f>
        <v/>
      </c>
      <c r="F3038" s="48" t="inlineStr">
        <is>
          <t>DIPLOVIS - Responsable en marketing, commercialisation et gestion</t>
        </is>
      </c>
      <c r="G3038" s="49">
        <f>E3038&amp;" - "&amp;F3038</f>
        <v/>
      </c>
      <c r="H3038" s="36" t="inlineStr">
        <is>
          <t>RAS</t>
        </is>
      </c>
      <c r="I3038" s="45" t="inlineStr"/>
      <c r="J3038" s="45" t="inlineStr">
        <is>
          <t>RNCP36677</t>
        </is>
      </c>
      <c r="K3038" s="45" t="inlineStr">
        <is>
          <t>Responsable en marketing, commercialisation et gestion</t>
        </is>
      </c>
      <c r="L3038" s="45" t="inlineStr">
        <is>
          <t>31/08/2027</t>
        </is>
      </c>
      <c r="M3038" s="45" t="inlineStr">
        <is>
          <t>34052 (Marketing) ; 34554 (Commerce) ; 32054 (Gestion des organisations)</t>
        </is>
      </c>
      <c r="N3038" s="50" t="inlineStr">
        <is>
          <t>NON</t>
        </is>
      </c>
      <c r="O3038" s="45" t="inlineStr"/>
    </row>
    <row r="3039" customFormat="1" s="4">
      <c r="A3039" s="45" t="n"/>
      <c r="B3039" s="46" t="inlineStr">
        <is>
          <t>32094</t>
        </is>
      </c>
      <c r="C3039" s="46">
        <f>LEFT(Tableau1[[#This Row],[Formacode]],3)</f>
        <v/>
      </c>
      <c r="D3039" s="47" t="n">
        <v>37645</v>
      </c>
      <c r="E3039" s="48">
        <f>"RNCP"&amp;D3039</f>
        <v/>
      </c>
      <c r="F3039" s="48" t="inlineStr">
        <is>
          <t>Cadre dirigeant</t>
        </is>
      </c>
      <c r="G3039" s="49">
        <f>E3039&amp;" - "&amp;F3039</f>
        <v/>
      </c>
      <c r="H3039" s="36" t="inlineStr">
        <is>
          <t>RAS</t>
        </is>
      </c>
      <c r="I3039" s="45" t="inlineStr"/>
      <c r="J3039" s="45" t="inlineStr">
        <is>
          <t>RNCP37645</t>
        </is>
      </c>
      <c r="K3039" s="45" t="inlineStr">
        <is>
          <t>Cadre dirigeant</t>
        </is>
      </c>
      <c r="L3039" s="45" t="inlineStr">
        <is>
          <t>31/05/2028</t>
        </is>
      </c>
      <c r="M3039" s="45" t="inlineStr">
        <is>
          <t>32054 (Gestion des organisations)</t>
        </is>
      </c>
      <c r="N3039" s="50" t="inlineStr">
        <is>
          <t>NON</t>
        </is>
      </c>
      <c r="O3039" s="45" t="inlineStr"/>
    </row>
    <row r="3040" customFormat="1" s="4">
      <c r="A3040" s="51" t="n"/>
      <c r="B3040" s="52" t="inlineStr">
        <is>
          <t>32094</t>
        </is>
      </c>
      <c r="C3040" s="52">
        <f>LEFT(Tableau1[[#This Row],[Formacode]],3)</f>
        <v/>
      </c>
      <c r="D3040" s="53" t="n">
        <v>37719</v>
      </c>
      <c r="E3040" s="54">
        <f>"RNCP"&amp;D3040</f>
        <v/>
      </c>
      <c r="F3040" s="54" t="inlineStr">
        <is>
          <t>DIPLOVIS - Diplôme en management international de l'hôtellerie et de la restauration</t>
        </is>
      </c>
      <c r="G3040" s="55">
        <f>E3040&amp;" - "&amp;F3040</f>
        <v/>
      </c>
      <c r="H3040" s="37" t="inlineStr">
        <is>
          <t>À vérifier</t>
        </is>
      </c>
      <c r="I3040" s="51" t="inlineStr">
        <is>
          <t>Échéance le 31/08/2026 (dans 44 j)</t>
        </is>
      </c>
      <c r="J3040" s="51" t="inlineStr">
        <is>
          <t>RNCP37719</t>
        </is>
      </c>
      <c r="K3040" s="51" t="inlineStr">
        <is>
          <t>Diplôme en management international de l'hôtellerie et de la restauration</t>
        </is>
      </c>
      <c r="L3040" s="51" t="inlineStr">
        <is>
          <t>31/08/2026</t>
        </is>
      </c>
      <c r="M3040" s="51" t="inlineStr">
        <is>
          <t>32054 (Gestion des organisations) ; 42754 (Hôtellerie restauration) ; 42627 (Gestion entreprise touristique)</t>
        </is>
      </c>
      <c r="N3040" s="62" t="inlineStr">
        <is>
          <t>NON</t>
        </is>
      </c>
      <c r="O3040" s="51" t="inlineStr"/>
    </row>
    <row r="3041" customFormat="1" s="4">
      <c r="A3041" s="51" t="n"/>
      <c r="B3041" s="52" t="inlineStr">
        <is>
          <t>32094</t>
        </is>
      </c>
      <c r="C3041" s="52">
        <f>LEFT(Tableau1[[#This Row],[Formacode]],3)</f>
        <v/>
      </c>
      <c r="D3041" s="53" t="n">
        <v>37932</v>
      </c>
      <c r="E3041" s="54">
        <f>"RNCP"&amp;D3041</f>
        <v/>
      </c>
      <c r="F3041" s="54" t="inlineStr">
        <is>
          <t>DIPLOVIS - Diplôme en Management International des Arts Culinaires</t>
        </is>
      </c>
      <c r="G3041" s="55">
        <f>E3041&amp;" - "&amp;F3041</f>
        <v/>
      </c>
      <c r="H3041" s="37" t="inlineStr">
        <is>
          <t>À vérifier</t>
        </is>
      </c>
      <c r="I3041" s="51" t="inlineStr">
        <is>
          <t>Successeur déjà publié : RNCP42267 (DIPLOVIS - Diplôme en management international des arts culinaires) — préparer la bascule de l'offre CPF | Échéance le 31/08/2026 (dans 44 j)</t>
        </is>
      </c>
      <c r="J3041" s="51" t="inlineStr">
        <is>
          <t>RNCP42267</t>
        </is>
      </c>
      <c r="K3041" s="51" t="inlineStr">
        <is>
          <t>DIPLOVIS - Diplôme en management international des arts culinaires</t>
        </is>
      </c>
      <c r="L3041" s="51" t="inlineStr">
        <is>
          <t>31/08/2026</t>
        </is>
      </c>
      <c r="M3041" s="51" t="inlineStr">
        <is>
          <t>42782 (Gestion cuisine) ; 42760 (Gastronomie) ; 42766 (Gestion hôtel restaurant bar) ; 32054 (Gestion des organisations)</t>
        </is>
      </c>
      <c r="N3041" s="62" t="inlineStr">
        <is>
          <t>NON</t>
        </is>
      </c>
      <c r="O3041" s="51" t="inlineStr"/>
    </row>
    <row r="3042" customFormat="1" s="4">
      <c r="A3042" s="45" t="n"/>
      <c r="B3042" s="46" t="inlineStr">
        <is>
          <t>32094</t>
        </is>
      </c>
      <c r="C3042" s="46">
        <f>LEFT(Tableau1[[#This Row],[Formacode]],3)</f>
        <v/>
      </c>
      <c r="D3042" s="47" t="n">
        <v>37949</v>
      </c>
      <c r="E3042" s="48">
        <f>"RNCP"&amp;D3042</f>
        <v/>
      </c>
      <c r="F3042" s="48" t="inlineStr">
        <is>
          <t>TP - Gestionnaire comptable et  fiscal</t>
        </is>
      </c>
      <c r="G3042" s="49">
        <f>E3042&amp;" - "&amp;F3042</f>
        <v/>
      </c>
      <c r="H3042" s="36" t="inlineStr">
        <is>
          <t>RAS</t>
        </is>
      </c>
      <c r="I3042" s="45" t="inlineStr"/>
      <c r="J3042" s="45" t="inlineStr">
        <is>
          <t>RNCP37949</t>
        </is>
      </c>
      <c r="K3042" s="45" t="inlineStr">
        <is>
          <t>Gestionnaire comptable et fiscal</t>
        </is>
      </c>
      <c r="L3042" s="45" t="inlineStr">
        <is>
          <t>01/12/2028</t>
        </is>
      </c>
      <c r="M3042" s="45" t="inlineStr">
        <is>
          <t>32663 (Comptabilité) ; 32054 (Gestion des organisations)</t>
        </is>
      </c>
      <c r="N3042" s="50" t="inlineStr">
        <is>
          <t>NON</t>
        </is>
      </c>
      <c r="O3042" s="45" t="inlineStr"/>
    </row>
    <row r="3043" customFormat="1" s="4">
      <c r="A3043" s="51" t="n"/>
      <c r="B3043" s="52" t="inlineStr">
        <is>
          <t>32094</t>
        </is>
      </c>
      <c r="C3043" s="52">
        <f>LEFT(Tableau1[[#This Row],[Formacode]],3)</f>
        <v/>
      </c>
      <c r="D3043" s="53" t="n">
        <v>37988</v>
      </c>
      <c r="E3043" s="54">
        <f>"RNCP"&amp;D3043</f>
        <v/>
      </c>
      <c r="F3043" s="54" t="inlineStr">
        <is>
          <t>Diplôme visé - Diplôme supérieur en marketing, vente et gestion</t>
        </is>
      </c>
      <c r="G3043" s="55">
        <f>E3043&amp;" - "&amp;F3043</f>
        <v/>
      </c>
      <c r="H3043" s="37" t="inlineStr">
        <is>
          <t>À vérifier</t>
        </is>
      </c>
      <c r="I3043" s="51" t="inlineStr">
        <is>
          <t>Successeur déjà publié : RNCP42254 (Diplôme supérieur en marketing, vente et gestion) — préparer la bascule de l'offre CPF | Échéance le 31/08/2026 (dans 44 j)</t>
        </is>
      </c>
      <c r="J3043" s="51" t="inlineStr">
        <is>
          <t>RNCP42254</t>
        </is>
      </c>
      <c r="K3043" s="51" t="inlineStr">
        <is>
          <t>Diplôme supérieur en marketing, vente et gestion</t>
        </is>
      </c>
      <c r="L3043" s="51" t="inlineStr">
        <is>
          <t>31/08/2026</t>
        </is>
      </c>
      <c r="M3043" s="51" t="inlineStr">
        <is>
          <t>34085 (Stratégie commerciale) ; 34052 (Marketing) ; 32154 (Encadrement management) ; 32054 (Gestion des organisations)</t>
        </is>
      </c>
      <c r="N3043" s="62" t="inlineStr">
        <is>
          <t>NON</t>
        </is>
      </c>
      <c r="O3043" s="51" t="inlineStr"/>
    </row>
    <row r="3044" customFormat="1" s="4">
      <c r="A3044" s="45" t="n"/>
      <c r="B3044" s="46" t="inlineStr">
        <is>
          <t>32094</t>
        </is>
      </c>
      <c r="C3044" s="46">
        <f>LEFT(Tableau1[[#This Row],[Formacode]],3)</f>
        <v/>
      </c>
      <c r="D3044" s="47" t="n">
        <v>38575</v>
      </c>
      <c r="E3044" s="48">
        <f>"RNCP"&amp;D3044</f>
        <v/>
      </c>
      <c r="F3044" s="48" t="inlineStr">
        <is>
          <t>TP - Responsable de petite ou moyenne structure</t>
        </is>
      </c>
      <c r="G3044" s="49">
        <f>E3044&amp;" - "&amp;F3044</f>
        <v/>
      </c>
      <c r="H3044" s="36" t="inlineStr">
        <is>
          <t>RAS</t>
        </is>
      </c>
      <c r="I3044" s="45" t="inlineStr"/>
      <c r="J3044" s="45" t="inlineStr">
        <is>
          <t>RNCP38575</t>
        </is>
      </c>
      <c r="K3044" s="45" t="inlineStr">
        <is>
          <t>Responsable de petite ou moyenne structure</t>
        </is>
      </c>
      <c r="L3044" s="45" t="inlineStr">
        <is>
          <t>08/02/2029</t>
        </is>
      </c>
      <c r="M3044" s="45" t="inlineStr">
        <is>
          <t>32094 (Gestion PME PMI) ; 13175 (Économie sociale) ; 32008 (Responsabilité sociétale entreprise) ; 32047 (Création entreprise) ; 32048 (Reprise entreprise)</t>
        </is>
      </c>
      <c r="N3044" s="50" t="inlineStr">
        <is>
          <t>NON</t>
        </is>
      </c>
      <c r="O3044" s="45" t="inlineStr"/>
    </row>
    <row r="3045" customFormat="1" s="4">
      <c r="A3045" s="45" t="n"/>
      <c r="B3045" s="46" t="inlineStr">
        <is>
          <t>32094</t>
        </is>
      </c>
      <c r="C3045" s="46">
        <f>LEFT(Tableau1[[#This Row],[Formacode]],3)</f>
        <v/>
      </c>
      <c r="D3045" s="47" t="n">
        <v>39135</v>
      </c>
      <c r="E3045" s="48">
        <f>"RNCP"&amp;D3045</f>
        <v/>
      </c>
      <c r="F3045" s="48" t="inlineStr">
        <is>
          <t>DIPLOVIS - Gestion et Développement Commercial</t>
        </is>
      </c>
      <c r="G3045" s="49">
        <f>E3045&amp;" - "&amp;F3045</f>
        <v/>
      </c>
      <c r="H3045" s="36" t="inlineStr">
        <is>
          <t>RAS</t>
        </is>
      </c>
      <c r="I3045" s="45" t="inlineStr"/>
      <c r="J3045" s="45" t="inlineStr">
        <is>
          <t>RNCP39135</t>
        </is>
      </c>
      <c r="K3045" s="45" t="inlineStr">
        <is>
          <t>Gestion et Développement Commercial</t>
        </is>
      </c>
      <c r="L3045" s="45" t="inlineStr">
        <is>
          <t>31/08/2027</t>
        </is>
      </c>
      <c r="M3045" s="45" t="inlineStr">
        <is>
          <t>32079 (Gestion performance) ; 32094 (Gestion PME PMI) ; 32145 (Management transversal) ; 34085 (Stratégie commerciale) ; 34076 (Gestion relation client)</t>
        </is>
      </c>
      <c r="N3045" s="50" t="inlineStr">
        <is>
          <t>NON</t>
        </is>
      </c>
      <c r="O3045" s="45" t="inlineStr"/>
    </row>
    <row r="3046" customFormat="1" s="4">
      <c r="A3046" s="45" t="n"/>
      <c r="B3046" s="46" t="inlineStr">
        <is>
          <t>32094</t>
        </is>
      </c>
      <c r="C3046" s="46">
        <f>LEFT(Tableau1[[#This Row],[Formacode]],3)</f>
        <v/>
      </c>
      <c r="D3046" s="47" t="n">
        <v>39368</v>
      </c>
      <c r="E3046" s="48">
        <f>"RNCP"&amp;D3046</f>
        <v/>
      </c>
      <c r="F3046" s="48" t="inlineStr">
        <is>
          <t>CQP Animateur du développement commercial de la PME/PMI par l’international</t>
        </is>
      </c>
      <c r="G3046" s="49">
        <f>E3046&amp;" - "&amp;F3046</f>
        <v/>
      </c>
      <c r="H3046" s="36" t="inlineStr">
        <is>
          <t>RAS</t>
        </is>
      </c>
      <c r="I3046" s="45" t="inlineStr"/>
      <c r="J3046" s="45" t="inlineStr">
        <is>
          <t>RNCP39368</t>
        </is>
      </c>
      <c r="K3046" s="45" t="inlineStr">
        <is>
          <t>CQP Animateur du développement commercial de la PME/PMI par l’international</t>
        </is>
      </c>
      <c r="L3046" s="45" t="inlineStr">
        <is>
          <t>19/07/2028</t>
        </is>
      </c>
      <c r="M3046" s="45" t="inlineStr">
        <is>
          <t>34254 (Commerce international) ; 32094 (Gestion PME PMI)</t>
        </is>
      </c>
      <c r="N3046" s="50" t="inlineStr">
        <is>
          <t>NON</t>
        </is>
      </c>
      <c r="O3046" s="45" t="inlineStr"/>
    </row>
    <row r="3047" customFormat="1" s="4">
      <c r="A3047" s="51" t="n"/>
      <c r="B3047" s="52" t="inlineStr">
        <is>
          <t>32094</t>
        </is>
      </c>
      <c r="C3047" s="52">
        <f>LEFT(Tableau1[[#This Row],[Formacode]],3)</f>
        <v/>
      </c>
      <c r="D3047" s="53" t="n">
        <v>39395</v>
      </c>
      <c r="E3047" s="54">
        <f>"RNCP"&amp;D3047</f>
        <v/>
      </c>
      <c r="F3047" s="54" t="inlineStr">
        <is>
          <t>Responsable d'agence et de commerce</t>
        </is>
      </c>
      <c r="G3047" s="55">
        <f>E3047&amp;" - "&amp;F3047</f>
        <v/>
      </c>
      <c r="H3047" s="37" t="inlineStr">
        <is>
          <t>À vérifier</t>
        </is>
      </c>
      <c r="I3047" s="51" t="inlineStr">
        <is>
          <t>Successeur déjà publié : RNCP42475 (Responsable d'agence et de commerce) — préparer la bascule de l'offre CPF | Échéance le 19/07/2026 (dans 1 j)</t>
        </is>
      </c>
      <c r="J3047" s="51" t="inlineStr">
        <is>
          <t>RNCP42475</t>
        </is>
      </c>
      <c r="K3047" s="51" t="inlineStr">
        <is>
          <t>Responsable d'agence et de commerce</t>
        </is>
      </c>
      <c r="L3047" s="51" t="inlineStr">
        <is>
          <t>19/07/2026</t>
        </is>
      </c>
      <c r="M3047" s="51" t="inlineStr">
        <is>
          <t>34554 (Commerce) ; 32154 (Encadrement management) ; 32079 (Gestion performance)</t>
        </is>
      </c>
      <c r="N3047" s="62" t="inlineStr">
        <is>
          <t>NON</t>
        </is>
      </c>
      <c r="O3047" s="51" t="inlineStr"/>
    </row>
    <row r="3048" customFormat="1" s="4">
      <c r="A3048" s="45" t="n"/>
      <c r="B3048" s="46" t="inlineStr">
        <is>
          <t>32094</t>
        </is>
      </c>
      <c r="C3048" s="46">
        <f>LEFT(Tableau1[[#This Row],[Formacode]],3)</f>
        <v/>
      </c>
      <c r="D3048" s="47" t="n">
        <v>39570</v>
      </c>
      <c r="E3048" s="48">
        <f>"RNCP"&amp;D3048</f>
        <v/>
      </c>
      <c r="F3048" s="48" t="inlineStr">
        <is>
          <t>DIPLOVIS - Coordinateur de projets de développement international et sociétal</t>
        </is>
      </c>
      <c r="G3048" s="49">
        <f>E3048&amp;" - "&amp;F3048</f>
        <v/>
      </c>
      <c r="H3048" s="36" t="inlineStr">
        <is>
          <t>RAS</t>
        </is>
      </c>
      <c r="I3048" s="45" t="inlineStr"/>
      <c r="J3048" s="45" t="inlineStr">
        <is>
          <t>RNCP39570</t>
        </is>
      </c>
      <c r="K3048" s="45" t="inlineStr">
        <is>
          <t>Coordinateur de projets de développement international et sociétal</t>
        </is>
      </c>
      <c r="L3048" s="45" t="inlineStr">
        <is>
          <t>31/08/2027</t>
        </is>
      </c>
      <c r="M3048" s="45" t="inlineStr">
        <is>
          <t>13017 (Action humanitaire) ; 13175 (Économie sociale) ; 12522 (Développement durable) ; 32094 (Gestion PME PMI) ; 32006 (Gestion entreprise internationale)</t>
        </is>
      </c>
      <c r="N3048" s="50" t="inlineStr">
        <is>
          <t>NON</t>
        </is>
      </c>
      <c r="O3048" s="45" t="inlineStr"/>
    </row>
    <row r="3049" customFormat="1" s="4">
      <c r="A3049" s="45" t="n"/>
      <c r="B3049" s="46" t="inlineStr">
        <is>
          <t>32094</t>
        </is>
      </c>
      <c r="C3049" s="46">
        <f>LEFT(Tableau1[[#This Row],[Formacode]],3)</f>
        <v/>
      </c>
      <c r="D3049" s="47" t="n">
        <v>39626</v>
      </c>
      <c r="E3049" s="48">
        <f>"RNCP"&amp;D3049</f>
        <v/>
      </c>
      <c r="F3049" s="48" t="inlineStr">
        <is>
          <t>Assistant de gestion des petites entreprises</t>
        </is>
      </c>
      <c r="G3049" s="49">
        <f>E3049&amp;" - "&amp;F3049</f>
        <v/>
      </c>
      <c r="H3049" s="36" t="inlineStr">
        <is>
          <t>RAS</t>
        </is>
      </c>
      <c r="I3049" s="45" t="inlineStr"/>
      <c r="J3049" s="45" t="inlineStr">
        <is>
          <t>RNCP39626</t>
        </is>
      </c>
      <c r="K3049" s="45" t="inlineStr">
        <is>
          <t>Assistant de gestion des petites entreprises</t>
        </is>
      </c>
      <c r="L3049" s="45" t="inlineStr">
        <is>
          <t>01/10/2029</t>
        </is>
      </c>
      <c r="M3049" s="45" t="inlineStr">
        <is>
          <t>35049 (Secrétariat assistanat comptabilité) ; 32054 (Gestion des organisations) ; 35007 (Secrétariat assistanat gestion PME PMI)</t>
        </is>
      </c>
      <c r="N3049" s="50" t="inlineStr">
        <is>
          <t>NON</t>
        </is>
      </c>
      <c r="O3049" s="45" t="inlineStr"/>
    </row>
    <row r="3050" customFormat="1" s="4">
      <c r="A3050" s="45" t="n"/>
      <c r="B3050" s="46" t="inlineStr">
        <is>
          <t>32094</t>
        </is>
      </c>
      <c r="C3050" s="46">
        <f>LEFT(Tableau1[[#This Row],[Formacode]],3)</f>
        <v/>
      </c>
      <c r="D3050" s="47" t="n">
        <v>41308</v>
      </c>
      <c r="E3050" s="48">
        <f>"RNCP"&amp;D3050</f>
        <v/>
      </c>
      <c r="F3050" s="48" t="inlineStr">
        <is>
          <t>Office manager</t>
        </is>
      </c>
      <c r="G3050" s="49">
        <f>E3050&amp;" - "&amp;F3050</f>
        <v/>
      </c>
      <c r="H3050" s="36" t="inlineStr">
        <is>
          <t>RAS</t>
        </is>
      </c>
      <c r="I3050" s="45" t="inlineStr"/>
      <c r="J3050" s="45" t="inlineStr">
        <is>
          <t>RNCP41308</t>
        </is>
      </c>
      <c r="K3050" s="45" t="inlineStr">
        <is>
          <t>Office manager</t>
        </is>
      </c>
      <c r="L3050" s="45" t="inlineStr">
        <is>
          <t>24/09/2028</t>
        </is>
      </c>
      <c r="M3050" s="45" t="inlineStr">
        <is>
          <t>35047 (Secrétariat assistanat direction) ; 32054 (Gestion des organisations)</t>
        </is>
      </c>
      <c r="N3050" s="50" t="inlineStr">
        <is>
          <t>NON</t>
        </is>
      </c>
      <c r="O3050" s="45" t="inlineStr"/>
    </row>
    <row r="3051" customFormat="1" s="4">
      <c r="A3051" s="45" t="n"/>
      <c r="B3051" s="46" t="inlineStr">
        <is>
          <t>32094</t>
        </is>
      </c>
      <c r="C3051" s="46">
        <f>LEFT(Tableau1[[#This Row],[Formacode]],3)</f>
        <v/>
      </c>
      <c r="D3051" s="47" t="n">
        <v>41697</v>
      </c>
      <c r="E3051" s="48">
        <f>"RNCP"&amp;D3051</f>
        <v/>
      </c>
      <c r="F3051" s="48" t="inlineStr">
        <is>
          <t>Dirigeant d'entreprise</t>
        </is>
      </c>
      <c r="G3051" s="49">
        <f>E3051&amp;" - "&amp;F3051</f>
        <v/>
      </c>
      <c r="H3051" s="36" t="inlineStr">
        <is>
          <t>RAS</t>
        </is>
      </c>
      <c r="I3051" s="45" t="inlineStr"/>
      <c r="J3051" s="45" t="inlineStr">
        <is>
          <t>RNCP41697</t>
        </is>
      </c>
      <c r="K3051" s="45" t="inlineStr">
        <is>
          <t>Dirigeant d'entreprise</t>
        </is>
      </c>
      <c r="L3051" s="45" t="inlineStr">
        <is>
          <t>27/11/2030</t>
        </is>
      </c>
      <c r="M3051" s="45" t="inlineStr">
        <is>
          <t>32008 (Responsabilité sociétale entreprise) ; 32025 (Stratégie entreprise) ; 32047 (Création entreprise) ; 32094 (Gestion PME PMI)</t>
        </is>
      </c>
      <c r="N3051" s="50" t="inlineStr">
        <is>
          <t>NON</t>
        </is>
      </c>
      <c r="O3051" s="45" t="inlineStr"/>
    </row>
    <row r="3052" customFormat="1" s="4">
      <c r="A3052" s="45" t="n"/>
      <c r="B3052" s="46" t="inlineStr">
        <is>
          <t>32095</t>
        </is>
      </c>
      <c r="C3052" s="46">
        <f>LEFT(Tableau1[[#This Row],[Formacode]],3)</f>
        <v/>
      </c>
      <c r="D3052" s="47" t="n">
        <v>36420</v>
      </c>
      <c r="E3052" s="48">
        <f>"RNCP"&amp;D3052</f>
        <v/>
      </c>
      <c r="F3052" s="48" t="inlineStr">
        <is>
          <t>DIPLOVIS - Programme supérieur de gestion et de commerce</t>
        </is>
      </c>
      <c r="G3052" s="49">
        <f>E3052&amp;" - "&amp;F3052</f>
        <v/>
      </c>
      <c r="H3052" s="36" t="inlineStr">
        <is>
          <t>RAS</t>
        </is>
      </c>
      <c r="I3052" s="45" t="inlineStr"/>
      <c r="J3052" s="45" t="inlineStr">
        <is>
          <t>RNCP36420</t>
        </is>
      </c>
      <c r="K3052" s="45" t="inlineStr">
        <is>
          <t>Programme supérieur de gestion et de commerce</t>
        </is>
      </c>
      <c r="L3052" s="45" t="inlineStr">
        <is>
          <t>31/08/2027</t>
        </is>
      </c>
      <c r="M3052" s="45" t="inlineStr">
        <is>
          <t>32110 (Management opérationnel) ; 32135 (Conduite projet) ; 32054 (Gestion des organisations)</t>
        </is>
      </c>
      <c r="N3052" s="50" t="inlineStr">
        <is>
          <t>NON</t>
        </is>
      </c>
      <c r="O3052" s="45" t="inlineStr"/>
    </row>
    <row r="3053" customFormat="1" s="4">
      <c r="A3053" s="45" t="n"/>
      <c r="B3053" s="46" t="inlineStr">
        <is>
          <t>32095</t>
        </is>
      </c>
      <c r="C3053" s="46">
        <f>LEFT(Tableau1[[#This Row],[Formacode]],3)</f>
        <v/>
      </c>
      <c r="D3053" s="47" t="n">
        <v>36461</v>
      </c>
      <c r="E3053" s="48">
        <f>"RNCP"&amp;D3053</f>
        <v/>
      </c>
      <c r="F3053" s="48" t="inlineStr">
        <is>
          <t>Directeur d'unité opérationnelle</t>
        </is>
      </c>
      <c r="G3053" s="49">
        <f>E3053&amp;" - "&amp;F3053</f>
        <v/>
      </c>
      <c r="H3053" s="36" t="inlineStr">
        <is>
          <t>RAS</t>
        </is>
      </c>
      <c r="I3053" s="45" t="inlineStr"/>
      <c r="J3053" s="45" t="inlineStr">
        <is>
          <t>RNCP36461</t>
        </is>
      </c>
      <c r="K3053" s="45" t="inlineStr">
        <is>
          <t>Directeur d'unité opérationnelle</t>
        </is>
      </c>
      <c r="L3053" s="45" t="inlineStr">
        <is>
          <t>02/06/2027</t>
        </is>
      </c>
      <c r="M3053" s="45" t="inlineStr">
        <is>
          <t>32054 (Gestion des organisations) ; 32154 (Encadrement management)</t>
        </is>
      </c>
      <c r="N3053" s="50" t="inlineStr">
        <is>
          <t>NON</t>
        </is>
      </c>
      <c r="O3053" s="45" t="inlineStr"/>
    </row>
    <row r="3054" customFormat="1" s="4">
      <c r="A3054" s="45" t="n"/>
      <c r="B3054" s="46" t="inlineStr">
        <is>
          <t>32095</t>
        </is>
      </c>
      <c r="C3054" s="46">
        <f>LEFT(Tableau1[[#This Row],[Formacode]],3)</f>
        <v/>
      </c>
      <c r="D3054" s="47" t="n">
        <v>36677</v>
      </c>
      <c r="E3054" s="48">
        <f>"RNCP"&amp;D3054</f>
        <v/>
      </c>
      <c r="F3054" s="48" t="inlineStr">
        <is>
          <t>DIPLOVIS - Responsable en marketing, commercialisation et gestion</t>
        </is>
      </c>
      <c r="G3054" s="49">
        <f>E3054&amp;" - "&amp;F3054</f>
        <v/>
      </c>
      <c r="H3054" s="36" t="inlineStr">
        <is>
          <t>RAS</t>
        </is>
      </c>
      <c r="I3054" s="45" t="inlineStr"/>
      <c r="J3054" s="45" t="inlineStr">
        <is>
          <t>RNCP36677</t>
        </is>
      </c>
      <c r="K3054" s="45" t="inlineStr">
        <is>
          <t>Responsable en marketing, commercialisation et gestion</t>
        </is>
      </c>
      <c r="L3054" s="45" t="inlineStr">
        <is>
          <t>31/08/2027</t>
        </is>
      </c>
      <c r="M3054" s="45" t="inlineStr">
        <is>
          <t>34052 (Marketing) ; 34554 (Commerce) ; 32054 (Gestion des organisations)</t>
        </is>
      </c>
      <c r="N3054" s="50" t="inlineStr">
        <is>
          <t>NON</t>
        </is>
      </c>
      <c r="O3054" s="45" t="inlineStr"/>
    </row>
    <row r="3055" customFormat="1" s="4">
      <c r="A3055" s="45" t="n"/>
      <c r="B3055" s="46" t="inlineStr">
        <is>
          <t>32095</t>
        </is>
      </c>
      <c r="C3055" s="46">
        <f>LEFT(Tableau1[[#This Row],[Formacode]],3)</f>
        <v/>
      </c>
      <c r="D3055" s="47" t="n">
        <v>37645</v>
      </c>
      <c r="E3055" s="48">
        <f>"RNCP"&amp;D3055</f>
        <v/>
      </c>
      <c r="F3055" s="48" t="inlineStr">
        <is>
          <t>Cadre dirigeant</t>
        </is>
      </c>
      <c r="G3055" s="49">
        <f>E3055&amp;" - "&amp;F3055</f>
        <v/>
      </c>
      <c r="H3055" s="36" t="inlineStr">
        <is>
          <t>RAS</t>
        </is>
      </c>
      <c r="I3055" s="45" t="inlineStr"/>
      <c r="J3055" s="45" t="inlineStr">
        <is>
          <t>RNCP37645</t>
        </is>
      </c>
      <c r="K3055" s="45" t="inlineStr">
        <is>
          <t>Cadre dirigeant</t>
        </is>
      </c>
      <c r="L3055" s="45" t="inlineStr">
        <is>
          <t>31/05/2028</t>
        </is>
      </c>
      <c r="M3055" s="45" t="inlineStr">
        <is>
          <t>32054 (Gestion des organisations)</t>
        </is>
      </c>
      <c r="N3055" s="50" t="inlineStr">
        <is>
          <t>NON</t>
        </is>
      </c>
      <c r="O3055" s="45" t="inlineStr"/>
    </row>
    <row r="3056" customFormat="1" s="4">
      <c r="A3056" s="51" t="n"/>
      <c r="B3056" s="52" t="inlineStr">
        <is>
          <t>32095</t>
        </is>
      </c>
      <c r="C3056" s="52">
        <f>LEFT(Tableau1[[#This Row],[Formacode]],3)</f>
        <v/>
      </c>
      <c r="D3056" s="53" t="n">
        <v>37719</v>
      </c>
      <c r="E3056" s="54">
        <f>"RNCP"&amp;D3056</f>
        <v/>
      </c>
      <c r="F3056" s="54" t="inlineStr">
        <is>
          <t>DIPLOVIS - Diplôme en management international de l'hôtellerie et de la restauration</t>
        </is>
      </c>
      <c r="G3056" s="55">
        <f>E3056&amp;" - "&amp;F3056</f>
        <v/>
      </c>
      <c r="H3056" s="37" t="inlineStr">
        <is>
          <t>À vérifier</t>
        </is>
      </c>
      <c r="I3056" s="51" t="inlineStr">
        <is>
          <t>Échéance le 31/08/2026 (dans 44 j)</t>
        </is>
      </c>
      <c r="J3056" s="51" t="inlineStr">
        <is>
          <t>RNCP37719</t>
        </is>
      </c>
      <c r="K3056" s="51" t="inlineStr">
        <is>
          <t>Diplôme en management international de l'hôtellerie et de la restauration</t>
        </is>
      </c>
      <c r="L3056" s="51" t="inlineStr">
        <is>
          <t>31/08/2026</t>
        </is>
      </c>
      <c r="M3056" s="51" t="inlineStr">
        <is>
          <t>32054 (Gestion des organisations) ; 42754 (Hôtellerie restauration) ; 42627 (Gestion entreprise touristique)</t>
        </is>
      </c>
      <c r="N3056" s="62" t="inlineStr">
        <is>
          <t>NON</t>
        </is>
      </c>
      <c r="O3056" s="51" t="inlineStr"/>
    </row>
    <row r="3057" customFormat="1" s="4">
      <c r="A3057" s="51" t="n"/>
      <c r="B3057" s="52" t="inlineStr">
        <is>
          <t>32095</t>
        </is>
      </c>
      <c r="C3057" s="52">
        <f>LEFT(Tableau1[[#This Row],[Formacode]],3)</f>
        <v/>
      </c>
      <c r="D3057" s="53" t="n">
        <v>37932</v>
      </c>
      <c r="E3057" s="54">
        <f>"RNCP"&amp;D3057</f>
        <v/>
      </c>
      <c r="F3057" s="54" t="inlineStr">
        <is>
          <t>DIPLOVIS - Diplôme en Management International des Arts Culinaires</t>
        </is>
      </c>
      <c r="G3057" s="55">
        <f>E3057&amp;" - "&amp;F3057</f>
        <v/>
      </c>
      <c r="H3057" s="37" t="inlineStr">
        <is>
          <t>À vérifier</t>
        </is>
      </c>
      <c r="I3057" s="51" t="inlineStr">
        <is>
          <t>Successeur déjà publié : RNCP42267 (DIPLOVIS - Diplôme en management international des arts culinaires) — préparer la bascule de l'offre CPF | Échéance le 31/08/2026 (dans 44 j)</t>
        </is>
      </c>
      <c r="J3057" s="51" t="inlineStr">
        <is>
          <t>RNCP42267</t>
        </is>
      </c>
      <c r="K3057" s="51" t="inlineStr">
        <is>
          <t>DIPLOVIS - Diplôme en management international des arts culinaires</t>
        </is>
      </c>
      <c r="L3057" s="51" t="inlineStr">
        <is>
          <t>31/08/2026</t>
        </is>
      </c>
      <c r="M3057" s="51" t="inlineStr">
        <is>
          <t>42782 (Gestion cuisine) ; 42760 (Gastronomie) ; 42766 (Gestion hôtel restaurant bar) ; 32054 (Gestion des organisations)</t>
        </is>
      </c>
      <c r="N3057" s="62" t="inlineStr">
        <is>
          <t>NON</t>
        </is>
      </c>
      <c r="O3057" s="51" t="inlineStr"/>
    </row>
    <row r="3058" customFormat="1" s="4">
      <c r="A3058" s="45" t="n"/>
      <c r="B3058" s="46" t="inlineStr">
        <is>
          <t>32095</t>
        </is>
      </c>
      <c r="C3058" s="46">
        <f>LEFT(Tableau1[[#This Row],[Formacode]],3)</f>
        <v/>
      </c>
      <c r="D3058" s="47" t="n">
        <v>37949</v>
      </c>
      <c r="E3058" s="48">
        <f>"RNCP"&amp;D3058</f>
        <v/>
      </c>
      <c r="F3058" s="48" t="inlineStr">
        <is>
          <t>TP - Gestionnaire comptable et  fiscal</t>
        </is>
      </c>
      <c r="G3058" s="49">
        <f>E3058&amp;" - "&amp;F3058</f>
        <v/>
      </c>
      <c r="H3058" s="36" t="inlineStr">
        <is>
          <t>RAS</t>
        </is>
      </c>
      <c r="I3058" s="45" t="inlineStr"/>
      <c r="J3058" s="45" t="inlineStr">
        <is>
          <t>RNCP37949</t>
        </is>
      </c>
      <c r="K3058" s="45" t="inlineStr">
        <is>
          <t>Gestionnaire comptable et fiscal</t>
        </is>
      </c>
      <c r="L3058" s="45" t="inlineStr">
        <is>
          <t>01/12/2028</t>
        </is>
      </c>
      <c r="M3058" s="45" t="inlineStr">
        <is>
          <t>32663 (Comptabilité) ; 32054 (Gestion des organisations)</t>
        </is>
      </c>
      <c r="N3058" s="50" t="inlineStr">
        <is>
          <t>NON</t>
        </is>
      </c>
      <c r="O3058" s="45" t="inlineStr"/>
    </row>
    <row r="3059" customFormat="1" s="4">
      <c r="A3059" s="51" t="n"/>
      <c r="B3059" s="52" t="inlineStr">
        <is>
          <t>32095</t>
        </is>
      </c>
      <c r="C3059" s="52">
        <f>LEFT(Tableau1[[#This Row],[Formacode]],3)</f>
        <v/>
      </c>
      <c r="D3059" s="53" t="n">
        <v>37988</v>
      </c>
      <c r="E3059" s="54">
        <f>"RNCP"&amp;D3059</f>
        <v/>
      </c>
      <c r="F3059" s="54" t="inlineStr">
        <is>
          <t>Diplôme visé - Diplôme supérieur en marketing, vente et gestion</t>
        </is>
      </c>
      <c r="G3059" s="55">
        <f>E3059&amp;" - "&amp;F3059</f>
        <v/>
      </c>
      <c r="H3059" s="37" t="inlineStr">
        <is>
          <t>À vérifier</t>
        </is>
      </c>
      <c r="I3059" s="51" t="inlineStr">
        <is>
          <t>Successeur déjà publié : RNCP42254 (Diplôme supérieur en marketing, vente et gestion) — préparer la bascule de l'offre CPF | Échéance le 31/08/2026 (dans 44 j)</t>
        </is>
      </c>
      <c r="J3059" s="51" t="inlineStr">
        <is>
          <t>RNCP42254</t>
        </is>
      </c>
      <c r="K3059" s="51" t="inlineStr">
        <is>
          <t>Diplôme supérieur en marketing, vente et gestion</t>
        </is>
      </c>
      <c r="L3059" s="51" t="inlineStr">
        <is>
          <t>31/08/2026</t>
        </is>
      </c>
      <c r="M3059" s="51" t="inlineStr">
        <is>
          <t>34085 (Stratégie commerciale) ; 34052 (Marketing) ; 32154 (Encadrement management) ; 32054 (Gestion des organisations)</t>
        </is>
      </c>
      <c r="N3059" s="62" t="inlineStr">
        <is>
          <t>NON</t>
        </is>
      </c>
      <c r="O3059" s="51" t="inlineStr"/>
    </row>
    <row r="3060" customFormat="1" s="4">
      <c r="A3060" s="45" t="n"/>
      <c r="B3060" s="46" t="inlineStr">
        <is>
          <t>32095</t>
        </is>
      </c>
      <c r="C3060" s="46">
        <f>LEFT(Tableau1[[#This Row],[Formacode]],3)</f>
        <v/>
      </c>
      <c r="D3060" s="47" t="n">
        <v>39626</v>
      </c>
      <c r="E3060" s="48">
        <f>"RNCP"&amp;D3060</f>
        <v/>
      </c>
      <c r="F3060" s="48" t="inlineStr">
        <is>
          <t>Assistant de gestion des petites entreprises</t>
        </is>
      </c>
      <c r="G3060" s="49">
        <f>E3060&amp;" - "&amp;F3060</f>
        <v/>
      </c>
      <c r="H3060" s="36" t="inlineStr">
        <is>
          <t>RAS</t>
        </is>
      </c>
      <c r="I3060" s="45" t="inlineStr"/>
      <c r="J3060" s="45" t="inlineStr">
        <is>
          <t>RNCP39626</t>
        </is>
      </c>
      <c r="K3060" s="45" t="inlineStr">
        <is>
          <t>Assistant de gestion des petites entreprises</t>
        </is>
      </c>
      <c r="L3060" s="45" t="inlineStr">
        <is>
          <t>01/10/2029</t>
        </is>
      </c>
      <c r="M3060" s="45" t="inlineStr">
        <is>
          <t>35049 (Secrétariat assistanat comptabilité) ; 32054 (Gestion des organisations) ; 35007 (Secrétariat assistanat gestion PME PMI)</t>
        </is>
      </c>
      <c r="N3060" s="50" t="inlineStr">
        <is>
          <t>NON</t>
        </is>
      </c>
      <c r="O3060" s="45" t="inlineStr"/>
    </row>
    <row r="3061" customFormat="1" s="4">
      <c r="A3061" s="45" t="n"/>
      <c r="B3061" s="46" t="inlineStr">
        <is>
          <t>32095</t>
        </is>
      </c>
      <c r="C3061" s="46">
        <f>LEFT(Tableau1[[#This Row],[Formacode]],3)</f>
        <v/>
      </c>
      <c r="D3061" s="47" t="n">
        <v>41308</v>
      </c>
      <c r="E3061" s="48">
        <f>"RNCP"&amp;D3061</f>
        <v/>
      </c>
      <c r="F3061" s="48" t="inlineStr">
        <is>
          <t>Office manager</t>
        </is>
      </c>
      <c r="G3061" s="49">
        <f>E3061&amp;" - "&amp;F3061</f>
        <v/>
      </c>
      <c r="H3061" s="36" t="inlineStr">
        <is>
          <t>RAS</t>
        </is>
      </c>
      <c r="I3061" s="45" t="inlineStr"/>
      <c r="J3061" s="45" t="inlineStr">
        <is>
          <t>RNCP41308</t>
        </is>
      </c>
      <c r="K3061" s="45" t="inlineStr">
        <is>
          <t>Office manager</t>
        </is>
      </c>
      <c r="L3061" s="45" t="inlineStr">
        <is>
          <t>24/09/2028</t>
        </is>
      </c>
      <c r="M3061" s="45" t="inlineStr">
        <is>
          <t>35047 (Secrétariat assistanat direction) ; 32054 (Gestion des organisations)</t>
        </is>
      </c>
      <c r="N3061" s="50" t="inlineStr">
        <is>
          <t>NON</t>
        </is>
      </c>
      <c r="O3061" s="45" t="inlineStr"/>
    </row>
    <row r="3062" customFormat="1" s="4">
      <c r="A3062" s="45" t="n"/>
      <c r="B3062" s="46" t="inlineStr">
        <is>
          <t>32096</t>
        </is>
      </c>
      <c r="C3062" s="46">
        <f>LEFT(Tableau1[[#This Row],[Formacode]],3)</f>
        <v/>
      </c>
      <c r="D3062" s="47" t="n">
        <v>36420</v>
      </c>
      <c r="E3062" s="48">
        <f>"RNCP"&amp;D3062</f>
        <v/>
      </c>
      <c r="F3062" s="48" t="inlineStr">
        <is>
          <t>DIPLOVIS - Programme supérieur de gestion et de commerce</t>
        </is>
      </c>
      <c r="G3062" s="49">
        <f>E3062&amp;" - "&amp;F3062</f>
        <v/>
      </c>
      <c r="H3062" s="36" t="inlineStr">
        <is>
          <t>RAS</t>
        </is>
      </c>
      <c r="I3062" s="45" t="inlineStr"/>
      <c r="J3062" s="45" t="inlineStr">
        <is>
          <t>RNCP36420</t>
        </is>
      </c>
      <c r="K3062" s="45" t="inlineStr">
        <is>
          <t>Programme supérieur de gestion et de commerce</t>
        </is>
      </c>
      <c r="L3062" s="45" t="inlineStr">
        <is>
          <t>31/08/2027</t>
        </is>
      </c>
      <c r="M3062" s="45" t="inlineStr">
        <is>
          <t>32110 (Management opérationnel) ; 32135 (Conduite projet) ; 32054 (Gestion des organisations)</t>
        </is>
      </c>
      <c r="N3062" s="50" t="inlineStr">
        <is>
          <t>NON</t>
        </is>
      </c>
      <c r="O3062" s="45" t="inlineStr"/>
    </row>
    <row r="3063" customFormat="1" s="4">
      <c r="A3063" s="45" t="n"/>
      <c r="B3063" s="46" t="inlineStr">
        <is>
          <t>32096</t>
        </is>
      </c>
      <c r="C3063" s="46">
        <f>LEFT(Tableau1[[#This Row],[Formacode]],3)</f>
        <v/>
      </c>
      <c r="D3063" s="47" t="n">
        <v>36461</v>
      </c>
      <c r="E3063" s="48">
        <f>"RNCP"&amp;D3063</f>
        <v/>
      </c>
      <c r="F3063" s="48" t="inlineStr">
        <is>
          <t>Directeur d'unité opérationnelle</t>
        </is>
      </c>
      <c r="G3063" s="49">
        <f>E3063&amp;" - "&amp;F3063</f>
        <v/>
      </c>
      <c r="H3063" s="36" t="inlineStr">
        <is>
          <t>RAS</t>
        </is>
      </c>
      <c r="I3063" s="45" t="inlineStr"/>
      <c r="J3063" s="45" t="inlineStr">
        <is>
          <t>RNCP36461</t>
        </is>
      </c>
      <c r="K3063" s="45" t="inlineStr">
        <is>
          <t>Directeur d'unité opérationnelle</t>
        </is>
      </c>
      <c r="L3063" s="45" t="inlineStr">
        <is>
          <t>02/06/2027</t>
        </is>
      </c>
      <c r="M3063" s="45" t="inlineStr">
        <is>
          <t>32054 (Gestion des organisations) ; 32154 (Encadrement management)</t>
        </is>
      </c>
      <c r="N3063" s="50" t="inlineStr">
        <is>
          <t>NON</t>
        </is>
      </c>
      <c r="O3063" s="45" t="inlineStr"/>
    </row>
    <row r="3064" customFormat="1" s="4">
      <c r="A3064" s="45" t="n"/>
      <c r="B3064" s="46" t="inlineStr">
        <is>
          <t>32096</t>
        </is>
      </c>
      <c r="C3064" s="46">
        <f>LEFT(Tableau1[[#This Row],[Formacode]],3)</f>
        <v/>
      </c>
      <c r="D3064" s="47" t="n">
        <v>36677</v>
      </c>
      <c r="E3064" s="48">
        <f>"RNCP"&amp;D3064</f>
        <v/>
      </c>
      <c r="F3064" s="48" t="inlineStr">
        <is>
          <t>DIPLOVIS - Responsable en marketing, commercialisation et gestion</t>
        </is>
      </c>
      <c r="G3064" s="49">
        <f>E3064&amp;" - "&amp;F3064</f>
        <v/>
      </c>
      <c r="H3064" s="36" t="inlineStr">
        <is>
          <t>RAS</t>
        </is>
      </c>
      <c r="I3064" s="45" t="inlineStr"/>
      <c r="J3064" s="45" t="inlineStr">
        <is>
          <t>RNCP36677</t>
        </is>
      </c>
      <c r="K3064" s="45" t="inlineStr">
        <is>
          <t>Responsable en marketing, commercialisation et gestion</t>
        </is>
      </c>
      <c r="L3064" s="45" t="inlineStr">
        <is>
          <t>31/08/2027</t>
        </is>
      </c>
      <c r="M3064" s="45" t="inlineStr">
        <is>
          <t>34052 (Marketing) ; 34554 (Commerce) ; 32054 (Gestion des organisations)</t>
        </is>
      </c>
      <c r="N3064" s="50" t="inlineStr">
        <is>
          <t>NON</t>
        </is>
      </c>
      <c r="O3064" s="45" t="inlineStr"/>
    </row>
    <row r="3065" customFormat="1" s="4">
      <c r="A3065" s="45" t="n"/>
      <c r="B3065" s="46" t="inlineStr">
        <is>
          <t>32096</t>
        </is>
      </c>
      <c r="C3065" s="46">
        <f>LEFT(Tableau1[[#This Row],[Formacode]],3)</f>
        <v/>
      </c>
      <c r="D3065" s="47" t="n">
        <v>37645</v>
      </c>
      <c r="E3065" s="48">
        <f>"RNCP"&amp;D3065</f>
        <v/>
      </c>
      <c r="F3065" s="48" t="inlineStr">
        <is>
          <t>Cadre dirigeant</t>
        </is>
      </c>
      <c r="G3065" s="49">
        <f>E3065&amp;" - "&amp;F3065</f>
        <v/>
      </c>
      <c r="H3065" s="36" t="inlineStr">
        <is>
          <t>RAS</t>
        </is>
      </c>
      <c r="I3065" s="45" t="inlineStr"/>
      <c r="J3065" s="45" t="inlineStr">
        <is>
          <t>RNCP37645</t>
        </is>
      </c>
      <c r="K3065" s="45" t="inlineStr">
        <is>
          <t>Cadre dirigeant</t>
        </is>
      </c>
      <c r="L3065" s="45" t="inlineStr">
        <is>
          <t>31/05/2028</t>
        </is>
      </c>
      <c r="M3065" s="45" t="inlineStr">
        <is>
          <t>32054 (Gestion des organisations)</t>
        </is>
      </c>
      <c r="N3065" s="50" t="inlineStr">
        <is>
          <t>NON</t>
        </is>
      </c>
      <c r="O3065" s="45" t="inlineStr"/>
    </row>
    <row r="3066" customFormat="1" s="4">
      <c r="A3066" s="51" t="n"/>
      <c r="B3066" s="52" t="inlineStr">
        <is>
          <t>32096</t>
        </is>
      </c>
      <c r="C3066" s="52">
        <f>LEFT(Tableau1[[#This Row],[Formacode]],3)</f>
        <v/>
      </c>
      <c r="D3066" s="53" t="n">
        <v>37719</v>
      </c>
      <c r="E3066" s="54">
        <f>"RNCP"&amp;D3066</f>
        <v/>
      </c>
      <c r="F3066" s="54" t="inlineStr">
        <is>
          <t>DIPLOVIS - Diplôme en management international de l'hôtellerie et de la restauration</t>
        </is>
      </c>
      <c r="G3066" s="55">
        <f>E3066&amp;" - "&amp;F3066</f>
        <v/>
      </c>
      <c r="H3066" s="37" t="inlineStr">
        <is>
          <t>À vérifier</t>
        </is>
      </c>
      <c r="I3066" s="51" t="inlineStr">
        <is>
          <t>Échéance le 31/08/2026 (dans 44 j)</t>
        </is>
      </c>
      <c r="J3066" s="51" t="inlineStr">
        <is>
          <t>RNCP37719</t>
        </is>
      </c>
      <c r="K3066" s="51" t="inlineStr">
        <is>
          <t>Diplôme en management international de l'hôtellerie et de la restauration</t>
        </is>
      </c>
      <c r="L3066" s="51" t="inlineStr">
        <is>
          <t>31/08/2026</t>
        </is>
      </c>
      <c r="M3066" s="51" t="inlineStr">
        <is>
          <t>32054 (Gestion des organisations) ; 42754 (Hôtellerie restauration) ; 42627 (Gestion entreprise touristique)</t>
        </is>
      </c>
      <c r="N3066" s="62" t="inlineStr">
        <is>
          <t>NON</t>
        </is>
      </c>
      <c r="O3066" s="51" t="inlineStr"/>
    </row>
    <row r="3067" customFormat="1" s="4">
      <c r="A3067" s="51" t="n"/>
      <c r="B3067" s="52" t="inlineStr">
        <is>
          <t>32096</t>
        </is>
      </c>
      <c r="C3067" s="52">
        <f>LEFT(Tableau1[[#This Row],[Formacode]],3)</f>
        <v/>
      </c>
      <c r="D3067" s="53" t="n">
        <v>37932</v>
      </c>
      <c r="E3067" s="54">
        <f>"RNCP"&amp;D3067</f>
        <v/>
      </c>
      <c r="F3067" s="54" t="inlineStr">
        <is>
          <t>DIPLOVIS - Diplôme en Management International des Arts Culinaires</t>
        </is>
      </c>
      <c r="G3067" s="55">
        <f>E3067&amp;" - "&amp;F3067</f>
        <v/>
      </c>
      <c r="H3067" s="37" t="inlineStr">
        <is>
          <t>À vérifier</t>
        </is>
      </c>
      <c r="I3067" s="51" t="inlineStr">
        <is>
          <t>Successeur déjà publié : RNCP42267 (DIPLOVIS - Diplôme en management international des arts culinaires) — préparer la bascule de l'offre CPF | Échéance le 31/08/2026 (dans 44 j)</t>
        </is>
      </c>
      <c r="J3067" s="51" t="inlineStr">
        <is>
          <t>RNCP42267</t>
        </is>
      </c>
      <c r="K3067" s="51" t="inlineStr">
        <is>
          <t>DIPLOVIS - Diplôme en management international des arts culinaires</t>
        </is>
      </c>
      <c r="L3067" s="51" t="inlineStr">
        <is>
          <t>31/08/2026</t>
        </is>
      </c>
      <c r="M3067" s="51" t="inlineStr">
        <is>
          <t>42782 (Gestion cuisine) ; 42760 (Gastronomie) ; 42766 (Gestion hôtel restaurant bar) ; 32054 (Gestion des organisations)</t>
        </is>
      </c>
      <c r="N3067" s="62" t="inlineStr">
        <is>
          <t>NON</t>
        </is>
      </c>
      <c r="O3067" s="51" t="inlineStr"/>
    </row>
    <row r="3068" customFormat="1" s="4">
      <c r="A3068" s="45" t="n"/>
      <c r="B3068" s="46" t="inlineStr">
        <is>
          <t>32096</t>
        </is>
      </c>
      <c r="C3068" s="46">
        <f>LEFT(Tableau1[[#This Row],[Formacode]],3)</f>
        <v/>
      </c>
      <c r="D3068" s="47" t="n">
        <v>37949</v>
      </c>
      <c r="E3068" s="48">
        <f>"RNCP"&amp;D3068</f>
        <v/>
      </c>
      <c r="F3068" s="48" t="inlineStr">
        <is>
          <t>TP - Gestionnaire comptable et  fiscal</t>
        </is>
      </c>
      <c r="G3068" s="49">
        <f>E3068&amp;" - "&amp;F3068</f>
        <v/>
      </c>
      <c r="H3068" s="36" t="inlineStr">
        <is>
          <t>RAS</t>
        </is>
      </c>
      <c r="I3068" s="45" t="inlineStr"/>
      <c r="J3068" s="45" t="inlineStr">
        <is>
          <t>RNCP37949</t>
        </is>
      </c>
      <c r="K3068" s="45" t="inlineStr">
        <is>
          <t>Gestionnaire comptable et fiscal</t>
        </is>
      </c>
      <c r="L3068" s="45" t="inlineStr">
        <is>
          <t>01/12/2028</t>
        </is>
      </c>
      <c r="M3068" s="45" t="inlineStr">
        <is>
          <t>32663 (Comptabilité) ; 32054 (Gestion des organisations)</t>
        </is>
      </c>
      <c r="N3068" s="50" t="inlineStr">
        <is>
          <t>NON</t>
        </is>
      </c>
      <c r="O3068" s="45" t="inlineStr"/>
    </row>
    <row r="3069" customFormat="1" s="4">
      <c r="A3069" s="51" t="n"/>
      <c r="B3069" s="52" t="inlineStr">
        <is>
          <t>32096</t>
        </is>
      </c>
      <c r="C3069" s="52">
        <f>LEFT(Tableau1[[#This Row],[Formacode]],3)</f>
        <v/>
      </c>
      <c r="D3069" s="53" t="n">
        <v>37988</v>
      </c>
      <c r="E3069" s="54">
        <f>"RNCP"&amp;D3069</f>
        <v/>
      </c>
      <c r="F3069" s="54" t="inlineStr">
        <is>
          <t>Diplôme visé - Diplôme supérieur en marketing, vente et gestion</t>
        </is>
      </c>
      <c r="G3069" s="55">
        <f>E3069&amp;" - "&amp;F3069</f>
        <v/>
      </c>
      <c r="H3069" s="37" t="inlineStr">
        <is>
          <t>À vérifier</t>
        </is>
      </c>
      <c r="I3069" s="51" t="inlineStr">
        <is>
          <t>Successeur déjà publié : RNCP42254 (Diplôme supérieur en marketing, vente et gestion) — préparer la bascule de l'offre CPF | Échéance le 31/08/2026 (dans 44 j)</t>
        </is>
      </c>
      <c r="J3069" s="51" t="inlineStr">
        <is>
          <t>RNCP42254</t>
        </is>
      </c>
      <c r="K3069" s="51" t="inlineStr">
        <is>
          <t>Diplôme supérieur en marketing, vente et gestion</t>
        </is>
      </c>
      <c r="L3069" s="51" t="inlineStr">
        <is>
          <t>31/08/2026</t>
        </is>
      </c>
      <c r="M3069" s="51" t="inlineStr">
        <is>
          <t>34085 (Stratégie commerciale) ; 34052 (Marketing) ; 32154 (Encadrement management) ; 32054 (Gestion des organisations)</t>
        </is>
      </c>
      <c r="N3069" s="62" t="inlineStr">
        <is>
          <t>NON</t>
        </is>
      </c>
      <c r="O3069" s="51" t="inlineStr"/>
    </row>
    <row r="3070" customFormat="1" s="4">
      <c r="A3070" s="45" t="n"/>
      <c r="B3070" s="46" t="inlineStr">
        <is>
          <t>32096</t>
        </is>
      </c>
      <c r="C3070" s="46">
        <f>LEFT(Tableau1[[#This Row],[Formacode]],3)</f>
        <v/>
      </c>
      <c r="D3070" s="47" t="n">
        <v>39626</v>
      </c>
      <c r="E3070" s="48">
        <f>"RNCP"&amp;D3070</f>
        <v/>
      </c>
      <c r="F3070" s="48" t="inlineStr">
        <is>
          <t>Assistant de gestion des petites entreprises</t>
        </is>
      </c>
      <c r="G3070" s="49">
        <f>E3070&amp;" - "&amp;F3070</f>
        <v/>
      </c>
      <c r="H3070" s="36" t="inlineStr">
        <is>
          <t>RAS</t>
        </is>
      </c>
      <c r="I3070" s="45" t="inlineStr"/>
      <c r="J3070" s="45" t="inlineStr">
        <is>
          <t>RNCP39626</t>
        </is>
      </c>
      <c r="K3070" s="45" t="inlineStr">
        <is>
          <t>Assistant de gestion des petites entreprises</t>
        </is>
      </c>
      <c r="L3070" s="45" t="inlineStr">
        <is>
          <t>01/10/2029</t>
        </is>
      </c>
      <c r="M3070" s="45" t="inlineStr">
        <is>
          <t>35049 (Secrétariat assistanat comptabilité) ; 32054 (Gestion des organisations) ; 35007 (Secrétariat assistanat gestion PME PMI)</t>
        </is>
      </c>
      <c r="N3070" s="50" t="inlineStr">
        <is>
          <t>NON</t>
        </is>
      </c>
      <c r="O3070" s="45" t="inlineStr"/>
    </row>
    <row r="3071" customFormat="1" s="4">
      <c r="A3071" s="45" t="n"/>
      <c r="B3071" s="46" t="inlineStr">
        <is>
          <t>32096</t>
        </is>
      </c>
      <c r="C3071" s="46">
        <f>LEFT(Tableau1[[#This Row],[Formacode]],3)</f>
        <v/>
      </c>
      <c r="D3071" s="47" t="n">
        <v>41308</v>
      </c>
      <c r="E3071" s="48">
        <f>"RNCP"&amp;D3071</f>
        <v/>
      </c>
      <c r="F3071" s="48" t="inlineStr">
        <is>
          <t>Office manager</t>
        </is>
      </c>
      <c r="G3071" s="49">
        <f>E3071&amp;" - "&amp;F3071</f>
        <v/>
      </c>
      <c r="H3071" s="36" t="inlineStr">
        <is>
          <t>RAS</t>
        </is>
      </c>
      <c r="I3071" s="45" t="inlineStr"/>
      <c r="J3071" s="45" t="inlineStr">
        <is>
          <t>RNCP41308</t>
        </is>
      </c>
      <c r="K3071" s="45" t="inlineStr">
        <is>
          <t>Office manager</t>
        </is>
      </c>
      <c r="L3071" s="45" t="inlineStr">
        <is>
          <t>24/09/2028</t>
        </is>
      </c>
      <c r="M3071" s="45" t="inlineStr">
        <is>
          <t>35047 (Secrétariat assistanat direction) ; 32054 (Gestion des organisations)</t>
        </is>
      </c>
      <c r="N3071" s="50" t="inlineStr">
        <is>
          <t>NON</t>
        </is>
      </c>
      <c r="O3071" s="45" t="inlineStr"/>
    </row>
    <row r="3072" customFormat="1" s="4">
      <c r="A3072" s="45" t="n"/>
      <c r="B3072" s="46" t="inlineStr">
        <is>
          <t>32097</t>
        </is>
      </c>
      <c r="C3072" s="46">
        <f>LEFT(Tableau1[[#This Row],[Formacode]],3)</f>
        <v/>
      </c>
      <c r="D3072" s="47" t="n">
        <v>36420</v>
      </c>
      <c r="E3072" s="48">
        <f>"RNCP"&amp;D3072</f>
        <v/>
      </c>
      <c r="F3072" s="48" t="inlineStr">
        <is>
          <t>DIPLOVIS - Programme supérieur de gestion et de commerce</t>
        </is>
      </c>
      <c r="G3072" s="49">
        <f>E3072&amp;" - "&amp;F3072</f>
        <v/>
      </c>
      <c r="H3072" s="36" t="inlineStr">
        <is>
          <t>RAS</t>
        </is>
      </c>
      <c r="I3072" s="45" t="inlineStr"/>
      <c r="J3072" s="45" t="inlineStr">
        <is>
          <t>RNCP36420</t>
        </is>
      </c>
      <c r="K3072" s="45" t="inlineStr">
        <is>
          <t>Programme supérieur de gestion et de commerce</t>
        </is>
      </c>
      <c r="L3072" s="45" t="inlineStr">
        <is>
          <t>31/08/2027</t>
        </is>
      </c>
      <c r="M3072" s="45" t="inlineStr">
        <is>
          <t>32110 (Management opérationnel) ; 32135 (Conduite projet) ; 32054 (Gestion des organisations)</t>
        </is>
      </c>
      <c r="N3072" s="50" t="inlineStr">
        <is>
          <t>NON</t>
        </is>
      </c>
      <c r="O3072" s="45" t="inlineStr"/>
    </row>
    <row r="3073" customFormat="1" s="4">
      <c r="A3073" s="45" t="n"/>
      <c r="B3073" s="46" t="inlineStr">
        <is>
          <t>32097</t>
        </is>
      </c>
      <c r="C3073" s="46">
        <f>LEFT(Tableau1[[#This Row],[Formacode]],3)</f>
        <v/>
      </c>
      <c r="D3073" s="47" t="n">
        <v>36461</v>
      </c>
      <c r="E3073" s="48">
        <f>"RNCP"&amp;D3073</f>
        <v/>
      </c>
      <c r="F3073" s="48" t="inlineStr">
        <is>
          <t>Directeur d'unité opérationnelle</t>
        </is>
      </c>
      <c r="G3073" s="49">
        <f>E3073&amp;" - "&amp;F3073</f>
        <v/>
      </c>
      <c r="H3073" s="36" t="inlineStr">
        <is>
          <t>RAS</t>
        </is>
      </c>
      <c r="I3073" s="45" t="inlineStr"/>
      <c r="J3073" s="45" t="inlineStr">
        <is>
          <t>RNCP36461</t>
        </is>
      </c>
      <c r="K3073" s="45" t="inlineStr">
        <is>
          <t>Directeur d'unité opérationnelle</t>
        </is>
      </c>
      <c r="L3073" s="45" t="inlineStr">
        <is>
          <t>02/06/2027</t>
        </is>
      </c>
      <c r="M3073" s="45" t="inlineStr">
        <is>
          <t>32054 (Gestion des organisations) ; 32154 (Encadrement management)</t>
        </is>
      </c>
      <c r="N3073" s="50" t="inlineStr">
        <is>
          <t>NON</t>
        </is>
      </c>
      <c r="O3073" s="45" t="inlineStr"/>
    </row>
    <row r="3074" customFormat="1" s="4">
      <c r="A3074" s="45" t="n"/>
      <c r="B3074" s="46" t="inlineStr">
        <is>
          <t>32097</t>
        </is>
      </c>
      <c r="C3074" s="46">
        <f>LEFT(Tableau1[[#This Row],[Formacode]],3)</f>
        <v/>
      </c>
      <c r="D3074" s="47" t="n">
        <v>36677</v>
      </c>
      <c r="E3074" s="48">
        <f>"RNCP"&amp;D3074</f>
        <v/>
      </c>
      <c r="F3074" s="48" t="inlineStr">
        <is>
          <t>DIPLOVIS - Responsable en marketing, commercialisation et gestion</t>
        </is>
      </c>
      <c r="G3074" s="49">
        <f>E3074&amp;" - "&amp;F3074</f>
        <v/>
      </c>
      <c r="H3074" s="36" t="inlineStr">
        <is>
          <t>RAS</t>
        </is>
      </c>
      <c r="I3074" s="45" t="inlineStr"/>
      <c r="J3074" s="45" t="inlineStr">
        <is>
          <t>RNCP36677</t>
        </is>
      </c>
      <c r="K3074" s="45" t="inlineStr">
        <is>
          <t>Responsable en marketing, commercialisation et gestion</t>
        </is>
      </c>
      <c r="L3074" s="45" t="inlineStr">
        <is>
          <t>31/08/2027</t>
        </is>
      </c>
      <c r="M3074" s="45" t="inlineStr">
        <is>
          <t>34052 (Marketing) ; 34554 (Commerce) ; 32054 (Gestion des organisations)</t>
        </is>
      </c>
      <c r="N3074" s="50" t="inlineStr">
        <is>
          <t>NON</t>
        </is>
      </c>
      <c r="O3074" s="45" t="inlineStr"/>
    </row>
    <row r="3075" customFormat="1" s="4">
      <c r="A3075" s="45" t="n"/>
      <c r="B3075" s="46" t="inlineStr">
        <is>
          <t>32097</t>
        </is>
      </c>
      <c r="C3075" s="46">
        <f>LEFT(Tableau1[[#This Row],[Formacode]],3)</f>
        <v/>
      </c>
      <c r="D3075" s="47" t="n">
        <v>37645</v>
      </c>
      <c r="E3075" s="48">
        <f>"RNCP"&amp;D3075</f>
        <v/>
      </c>
      <c r="F3075" s="48" t="inlineStr">
        <is>
          <t>Cadre dirigeant</t>
        </is>
      </c>
      <c r="G3075" s="49">
        <f>E3075&amp;" - "&amp;F3075</f>
        <v/>
      </c>
      <c r="H3075" s="36" t="inlineStr">
        <is>
          <t>RAS</t>
        </is>
      </c>
      <c r="I3075" s="45" t="inlineStr"/>
      <c r="J3075" s="45" t="inlineStr">
        <is>
          <t>RNCP37645</t>
        </is>
      </c>
      <c r="K3075" s="45" t="inlineStr">
        <is>
          <t>Cadre dirigeant</t>
        </is>
      </c>
      <c r="L3075" s="45" t="inlineStr">
        <is>
          <t>31/05/2028</t>
        </is>
      </c>
      <c r="M3075" s="45" t="inlineStr">
        <is>
          <t>32054 (Gestion des organisations)</t>
        </is>
      </c>
      <c r="N3075" s="50" t="inlineStr">
        <is>
          <t>NON</t>
        </is>
      </c>
      <c r="O3075" s="45" t="inlineStr"/>
    </row>
    <row r="3076" customFormat="1" s="4">
      <c r="A3076" s="51" t="n"/>
      <c r="B3076" s="52" t="inlineStr">
        <is>
          <t>32097</t>
        </is>
      </c>
      <c r="C3076" s="52">
        <f>LEFT(Tableau1[[#This Row],[Formacode]],3)</f>
        <v/>
      </c>
      <c r="D3076" s="53" t="n">
        <v>37719</v>
      </c>
      <c r="E3076" s="54">
        <f>"RNCP"&amp;D3076</f>
        <v/>
      </c>
      <c r="F3076" s="54" t="inlineStr">
        <is>
          <t>DIPLOVIS - Diplôme en management international de l'hôtellerie et de la restauration</t>
        </is>
      </c>
      <c r="G3076" s="55">
        <f>E3076&amp;" - "&amp;F3076</f>
        <v/>
      </c>
      <c r="H3076" s="37" t="inlineStr">
        <is>
          <t>À vérifier</t>
        </is>
      </c>
      <c r="I3076" s="51" t="inlineStr">
        <is>
          <t>Échéance le 31/08/2026 (dans 44 j)</t>
        </is>
      </c>
      <c r="J3076" s="51" t="inlineStr">
        <is>
          <t>RNCP37719</t>
        </is>
      </c>
      <c r="K3076" s="51" t="inlineStr">
        <is>
          <t>Diplôme en management international de l'hôtellerie et de la restauration</t>
        </is>
      </c>
      <c r="L3076" s="51" t="inlineStr">
        <is>
          <t>31/08/2026</t>
        </is>
      </c>
      <c r="M3076" s="51" t="inlineStr">
        <is>
          <t>32054 (Gestion des organisations) ; 42754 (Hôtellerie restauration) ; 42627 (Gestion entreprise touristique)</t>
        </is>
      </c>
      <c r="N3076" s="62" t="inlineStr">
        <is>
          <t>NON</t>
        </is>
      </c>
      <c r="O3076" s="51" t="inlineStr"/>
    </row>
    <row r="3077" customFormat="1" s="4">
      <c r="A3077" s="51" t="n"/>
      <c r="B3077" s="52" t="inlineStr">
        <is>
          <t>32097</t>
        </is>
      </c>
      <c r="C3077" s="52">
        <f>LEFT(Tableau1[[#This Row],[Formacode]],3)</f>
        <v/>
      </c>
      <c r="D3077" s="53" t="n">
        <v>37932</v>
      </c>
      <c r="E3077" s="54">
        <f>"RNCP"&amp;D3077</f>
        <v/>
      </c>
      <c r="F3077" s="54" t="inlineStr">
        <is>
          <t>DIPLOVIS - Diplôme en Management International des Arts Culinaires</t>
        </is>
      </c>
      <c r="G3077" s="55">
        <f>E3077&amp;" - "&amp;F3077</f>
        <v/>
      </c>
      <c r="H3077" s="37" t="inlineStr">
        <is>
          <t>À vérifier</t>
        </is>
      </c>
      <c r="I3077" s="51" t="inlineStr">
        <is>
          <t>Successeur déjà publié : RNCP42267 (DIPLOVIS - Diplôme en management international des arts culinaires) — préparer la bascule de l'offre CPF | Échéance le 31/08/2026 (dans 44 j)</t>
        </is>
      </c>
      <c r="J3077" s="51" t="inlineStr">
        <is>
          <t>RNCP42267</t>
        </is>
      </c>
      <c r="K3077" s="51" t="inlineStr">
        <is>
          <t>DIPLOVIS - Diplôme en management international des arts culinaires</t>
        </is>
      </c>
      <c r="L3077" s="51" t="inlineStr">
        <is>
          <t>31/08/2026</t>
        </is>
      </c>
      <c r="M3077" s="51" t="inlineStr">
        <is>
          <t>42782 (Gestion cuisine) ; 42760 (Gastronomie) ; 42766 (Gestion hôtel restaurant bar) ; 32054 (Gestion des organisations)</t>
        </is>
      </c>
      <c r="N3077" s="62" t="inlineStr">
        <is>
          <t>NON</t>
        </is>
      </c>
      <c r="O3077" s="51" t="inlineStr"/>
    </row>
    <row r="3078" customFormat="1" s="4">
      <c r="A3078" s="45" t="n"/>
      <c r="B3078" s="46" t="inlineStr">
        <is>
          <t>32097</t>
        </is>
      </c>
      <c r="C3078" s="46">
        <f>LEFT(Tableau1[[#This Row],[Formacode]],3)</f>
        <v/>
      </c>
      <c r="D3078" s="47" t="n">
        <v>37949</v>
      </c>
      <c r="E3078" s="48">
        <f>"RNCP"&amp;D3078</f>
        <v/>
      </c>
      <c r="F3078" s="48" t="inlineStr">
        <is>
          <t>TP - Gestionnaire comptable et  fiscal</t>
        </is>
      </c>
      <c r="G3078" s="49">
        <f>E3078&amp;" - "&amp;F3078</f>
        <v/>
      </c>
      <c r="H3078" s="36" t="inlineStr">
        <is>
          <t>RAS</t>
        </is>
      </c>
      <c r="I3078" s="45" t="inlineStr"/>
      <c r="J3078" s="45" t="inlineStr">
        <is>
          <t>RNCP37949</t>
        </is>
      </c>
      <c r="K3078" s="45" t="inlineStr">
        <is>
          <t>Gestionnaire comptable et fiscal</t>
        </is>
      </c>
      <c r="L3078" s="45" t="inlineStr">
        <is>
          <t>01/12/2028</t>
        </is>
      </c>
      <c r="M3078" s="45" t="inlineStr">
        <is>
          <t>32663 (Comptabilité) ; 32054 (Gestion des organisations)</t>
        </is>
      </c>
      <c r="N3078" s="50" t="inlineStr">
        <is>
          <t>NON</t>
        </is>
      </c>
      <c r="O3078" s="45" t="inlineStr"/>
    </row>
    <row r="3079" customFormat="1" s="4">
      <c r="A3079" s="51" t="n"/>
      <c r="B3079" s="52" t="inlineStr">
        <is>
          <t>32097</t>
        </is>
      </c>
      <c r="C3079" s="52">
        <f>LEFT(Tableau1[[#This Row],[Formacode]],3)</f>
        <v/>
      </c>
      <c r="D3079" s="53" t="n">
        <v>37988</v>
      </c>
      <c r="E3079" s="54">
        <f>"RNCP"&amp;D3079</f>
        <v/>
      </c>
      <c r="F3079" s="54" t="inlineStr">
        <is>
          <t>Diplôme visé - Diplôme supérieur en marketing, vente et gestion</t>
        </is>
      </c>
      <c r="G3079" s="55">
        <f>E3079&amp;" - "&amp;F3079</f>
        <v/>
      </c>
      <c r="H3079" s="37" t="inlineStr">
        <is>
          <t>À vérifier</t>
        </is>
      </c>
      <c r="I3079" s="51" t="inlineStr">
        <is>
          <t>Successeur déjà publié : RNCP42254 (Diplôme supérieur en marketing, vente et gestion) — préparer la bascule de l'offre CPF | Échéance le 31/08/2026 (dans 44 j)</t>
        </is>
      </c>
      <c r="J3079" s="51" t="inlineStr">
        <is>
          <t>RNCP42254</t>
        </is>
      </c>
      <c r="K3079" s="51" t="inlineStr">
        <is>
          <t>Diplôme supérieur en marketing, vente et gestion</t>
        </is>
      </c>
      <c r="L3079" s="51" t="inlineStr">
        <is>
          <t>31/08/2026</t>
        </is>
      </c>
      <c r="M3079" s="51" t="inlineStr">
        <is>
          <t>34085 (Stratégie commerciale) ; 34052 (Marketing) ; 32154 (Encadrement management) ; 32054 (Gestion des organisations)</t>
        </is>
      </c>
      <c r="N3079" s="62" t="inlineStr">
        <is>
          <t>NON</t>
        </is>
      </c>
      <c r="O3079" s="51" t="inlineStr"/>
    </row>
    <row r="3080" customFormat="1" s="4">
      <c r="A3080" s="45" t="n"/>
      <c r="B3080" s="46" t="inlineStr">
        <is>
          <t>32097</t>
        </is>
      </c>
      <c r="C3080" s="46">
        <f>LEFT(Tableau1[[#This Row],[Formacode]],3)</f>
        <v/>
      </c>
      <c r="D3080" s="47" t="n">
        <v>39626</v>
      </c>
      <c r="E3080" s="48">
        <f>"RNCP"&amp;D3080</f>
        <v/>
      </c>
      <c r="F3080" s="48" t="inlineStr">
        <is>
          <t>Assistant de gestion des petites entreprises</t>
        </is>
      </c>
      <c r="G3080" s="49">
        <f>E3080&amp;" - "&amp;F3080</f>
        <v/>
      </c>
      <c r="H3080" s="36" t="inlineStr">
        <is>
          <t>RAS</t>
        </is>
      </c>
      <c r="I3080" s="45" t="inlineStr"/>
      <c r="J3080" s="45" t="inlineStr">
        <is>
          <t>RNCP39626</t>
        </is>
      </c>
      <c r="K3080" s="45" t="inlineStr">
        <is>
          <t>Assistant de gestion des petites entreprises</t>
        </is>
      </c>
      <c r="L3080" s="45" t="inlineStr">
        <is>
          <t>01/10/2029</t>
        </is>
      </c>
      <c r="M3080" s="45" t="inlineStr">
        <is>
          <t>35049 (Secrétariat assistanat comptabilité) ; 32054 (Gestion des organisations) ; 35007 (Secrétariat assistanat gestion PME PMI)</t>
        </is>
      </c>
      <c r="N3080" s="50" t="inlineStr">
        <is>
          <t>NON</t>
        </is>
      </c>
      <c r="O3080" s="45" t="inlineStr"/>
    </row>
    <row r="3081" customFormat="1" s="4">
      <c r="A3081" s="45" t="n"/>
      <c r="B3081" s="46" t="inlineStr">
        <is>
          <t>32097</t>
        </is>
      </c>
      <c r="C3081" s="46">
        <f>LEFT(Tableau1[[#This Row],[Formacode]],3)</f>
        <v/>
      </c>
      <c r="D3081" s="47" t="n">
        <v>40259</v>
      </c>
      <c r="E3081" s="48">
        <f>"RNCP"&amp;D3081</f>
        <v/>
      </c>
      <c r="F3081" s="48" t="inlineStr">
        <is>
          <t>Couvreur-zingueur (BM)</t>
        </is>
      </c>
      <c r="G3081" s="49">
        <f>E3081&amp;" - "&amp;F3081</f>
        <v/>
      </c>
      <c r="H3081" s="36" t="inlineStr">
        <is>
          <t>RAS</t>
        </is>
      </c>
      <c r="I3081" s="45" t="inlineStr"/>
      <c r="J3081" s="45" t="inlineStr">
        <is>
          <t>RNCP40259</t>
        </is>
      </c>
      <c r="K3081" s="45" t="inlineStr">
        <is>
          <t>Couvreur-zingueur (BM)</t>
        </is>
      </c>
      <c r="L3081" s="45" t="inlineStr">
        <is>
          <t>28/02/2028</t>
        </is>
      </c>
      <c r="M3081" s="45" t="inlineStr">
        <is>
          <t>22437 (Couverture) ; 32097 (Gestion entreprise artisanale) ; 22254 (BTP conception organisation)</t>
        </is>
      </c>
      <c r="N3081" s="50" t="inlineStr">
        <is>
          <t>NON</t>
        </is>
      </c>
      <c r="O3081" s="45" t="inlineStr"/>
    </row>
    <row r="3082" customFormat="1" s="4">
      <c r="A3082" s="45" t="n"/>
      <c r="B3082" s="46" t="inlineStr">
        <is>
          <t>32097</t>
        </is>
      </c>
      <c r="C3082" s="46">
        <f>LEFT(Tableau1[[#This Row],[Formacode]],3)</f>
        <v/>
      </c>
      <c r="D3082" s="47" t="n">
        <v>41308</v>
      </c>
      <c r="E3082" s="48">
        <f>"RNCP"&amp;D3082</f>
        <v/>
      </c>
      <c r="F3082" s="48" t="inlineStr">
        <is>
          <t>Office manager</t>
        </is>
      </c>
      <c r="G3082" s="49">
        <f>E3082&amp;" - "&amp;F3082</f>
        <v/>
      </c>
      <c r="H3082" s="36" t="inlineStr">
        <is>
          <t>RAS</t>
        </is>
      </c>
      <c r="I3082" s="45" t="inlineStr"/>
      <c r="J3082" s="45" t="inlineStr">
        <is>
          <t>RNCP41308</t>
        </is>
      </c>
      <c r="K3082" s="45" t="inlineStr">
        <is>
          <t>Office manager</t>
        </is>
      </c>
      <c r="L3082" s="45" t="inlineStr">
        <is>
          <t>24/09/2028</t>
        </is>
      </c>
      <c r="M3082" s="45" t="inlineStr">
        <is>
          <t>35047 (Secrétariat assistanat direction) ; 32054 (Gestion des organisations)</t>
        </is>
      </c>
      <c r="N3082" s="50" t="inlineStr">
        <is>
          <t>NON</t>
        </is>
      </c>
      <c r="O3082" s="45" t="inlineStr"/>
    </row>
    <row r="3083" customFormat="1" s="4">
      <c r="A3083" s="45" t="n"/>
      <c r="B3083" s="46" t="inlineStr">
        <is>
          <t>32098</t>
        </is>
      </c>
      <c r="C3083" s="46">
        <f>LEFT(Tableau1[[#This Row],[Formacode]],3)</f>
        <v/>
      </c>
      <c r="D3083" s="47" t="n">
        <v>36420</v>
      </c>
      <c r="E3083" s="48">
        <f>"RNCP"&amp;D3083</f>
        <v/>
      </c>
      <c r="F3083" s="48" t="inlineStr">
        <is>
          <t>DIPLOVIS - Programme supérieur de gestion et de commerce</t>
        </is>
      </c>
      <c r="G3083" s="49">
        <f>E3083&amp;" - "&amp;F3083</f>
        <v/>
      </c>
      <c r="H3083" s="36" t="inlineStr">
        <is>
          <t>RAS</t>
        </is>
      </c>
      <c r="I3083" s="45" t="inlineStr"/>
      <c r="J3083" s="45" t="inlineStr">
        <is>
          <t>RNCP36420</t>
        </is>
      </c>
      <c r="K3083" s="45" t="inlineStr">
        <is>
          <t>Programme supérieur de gestion et de commerce</t>
        </is>
      </c>
      <c r="L3083" s="45" t="inlineStr">
        <is>
          <t>31/08/2027</t>
        </is>
      </c>
      <c r="M3083" s="45" t="inlineStr">
        <is>
          <t>32110 (Management opérationnel) ; 32135 (Conduite projet) ; 32054 (Gestion des organisations)</t>
        </is>
      </c>
      <c r="N3083" s="50" t="inlineStr">
        <is>
          <t>NON</t>
        </is>
      </c>
      <c r="O3083" s="45" t="inlineStr"/>
    </row>
    <row r="3084" customFormat="1" s="4">
      <c r="A3084" s="45" t="n"/>
      <c r="B3084" s="46" t="inlineStr">
        <is>
          <t>32098</t>
        </is>
      </c>
      <c r="C3084" s="46">
        <f>LEFT(Tableau1[[#This Row],[Formacode]],3)</f>
        <v/>
      </c>
      <c r="D3084" s="47" t="n">
        <v>36461</v>
      </c>
      <c r="E3084" s="48">
        <f>"RNCP"&amp;D3084</f>
        <v/>
      </c>
      <c r="F3084" s="48" t="inlineStr">
        <is>
          <t>Directeur d'unité opérationnelle</t>
        </is>
      </c>
      <c r="G3084" s="49">
        <f>E3084&amp;" - "&amp;F3084</f>
        <v/>
      </c>
      <c r="H3084" s="36" t="inlineStr">
        <is>
          <t>RAS</t>
        </is>
      </c>
      <c r="I3084" s="45" t="inlineStr"/>
      <c r="J3084" s="45" t="inlineStr">
        <is>
          <t>RNCP36461</t>
        </is>
      </c>
      <c r="K3084" s="45" t="inlineStr">
        <is>
          <t>Directeur d'unité opérationnelle</t>
        </is>
      </c>
      <c r="L3084" s="45" t="inlineStr">
        <is>
          <t>02/06/2027</t>
        </is>
      </c>
      <c r="M3084" s="45" t="inlineStr">
        <is>
          <t>32054 (Gestion des organisations) ; 32154 (Encadrement management)</t>
        </is>
      </c>
      <c r="N3084" s="50" t="inlineStr">
        <is>
          <t>NON</t>
        </is>
      </c>
      <c r="O3084" s="45" t="inlineStr"/>
    </row>
    <row r="3085" customFormat="1" s="4">
      <c r="A3085" s="45" t="n"/>
      <c r="B3085" s="46" t="inlineStr">
        <is>
          <t>32098</t>
        </is>
      </c>
      <c r="C3085" s="46">
        <f>LEFT(Tableau1[[#This Row],[Formacode]],3)</f>
        <v/>
      </c>
      <c r="D3085" s="47" t="n">
        <v>36677</v>
      </c>
      <c r="E3085" s="48">
        <f>"RNCP"&amp;D3085</f>
        <v/>
      </c>
      <c r="F3085" s="48" t="inlineStr">
        <is>
          <t>DIPLOVIS - Responsable en marketing, commercialisation et gestion</t>
        </is>
      </c>
      <c r="G3085" s="49">
        <f>E3085&amp;" - "&amp;F3085</f>
        <v/>
      </c>
      <c r="H3085" s="36" t="inlineStr">
        <is>
          <t>RAS</t>
        </is>
      </c>
      <c r="I3085" s="45" t="inlineStr"/>
      <c r="J3085" s="45" t="inlineStr">
        <is>
          <t>RNCP36677</t>
        </is>
      </c>
      <c r="K3085" s="45" t="inlineStr">
        <is>
          <t>Responsable en marketing, commercialisation et gestion</t>
        </is>
      </c>
      <c r="L3085" s="45" t="inlineStr">
        <is>
          <t>31/08/2027</t>
        </is>
      </c>
      <c r="M3085" s="45" t="inlineStr">
        <is>
          <t>34052 (Marketing) ; 34554 (Commerce) ; 32054 (Gestion des organisations)</t>
        </is>
      </c>
      <c r="N3085" s="50" t="inlineStr">
        <is>
          <t>NON</t>
        </is>
      </c>
      <c r="O3085" s="45" t="inlineStr"/>
    </row>
    <row r="3086" customFormat="1" s="4">
      <c r="A3086" s="45" t="n"/>
      <c r="B3086" s="46" t="inlineStr">
        <is>
          <t>32098</t>
        </is>
      </c>
      <c r="C3086" s="46">
        <f>LEFT(Tableau1[[#This Row],[Formacode]],3)</f>
        <v/>
      </c>
      <c r="D3086" s="47" t="n">
        <v>37645</v>
      </c>
      <c r="E3086" s="48">
        <f>"RNCP"&amp;D3086</f>
        <v/>
      </c>
      <c r="F3086" s="48" t="inlineStr">
        <is>
          <t>Cadre dirigeant</t>
        </is>
      </c>
      <c r="G3086" s="49">
        <f>E3086&amp;" - "&amp;F3086</f>
        <v/>
      </c>
      <c r="H3086" s="36" t="inlineStr">
        <is>
          <t>RAS</t>
        </is>
      </c>
      <c r="I3086" s="45" t="inlineStr"/>
      <c r="J3086" s="45" t="inlineStr">
        <is>
          <t>RNCP37645</t>
        </is>
      </c>
      <c r="K3086" s="45" t="inlineStr">
        <is>
          <t>Cadre dirigeant</t>
        </is>
      </c>
      <c r="L3086" s="45" t="inlineStr">
        <is>
          <t>31/05/2028</t>
        </is>
      </c>
      <c r="M3086" s="45" t="inlineStr">
        <is>
          <t>32054 (Gestion des organisations)</t>
        </is>
      </c>
      <c r="N3086" s="50" t="inlineStr">
        <is>
          <t>NON</t>
        </is>
      </c>
      <c r="O3086" s="45" t="inlineStr"/>
    </row>
    <row r="3087" customFormat="1" s="4">
      <c r="A3087" s="51" t="n"/>
      <c r="B3087" s="52" t="inlineStr">
        <is>
          <t>32098</t>
        </is>
      </c>
      <c r="C3087" s="52">
        <f>LEFT(Tableau1[[#This Row],[Formacode]],3)</f>
        <v/>
      </c>
      <c r="D3087" s="53" t="n">
        <v>37719</v>
      </c>
      <c r="E3087" s="54">
        <f>"RNCP"&amp;D3087</f>
        <v/>
      </c>
      <c r="F3087" s="54" t="inlineStr">
        <is>
          <t>DIPLOVIS - Diplôme en management international de l'hôtellerie et de la restauration</t>
        </is>
      </c>
      <c r="G3087" s="55">
        <f>E3087&amp;" - "&amp;F3087</f>
        <v/>
      </c>
      <c r="H3087" s="37" t="inlineStr">
        <is>
          <t>À vérifier</t>
        </is>
      </c>
      <c r="I3087" s="51" t="inlineStr">
        <is>
          <t>Échéance le 31/08/2026 (dans 44 j)</t>
        </is>
      </c>
      <c r="J3087" s="51" t="inlineStr">
        <is>
          <t>RNCP37719</t>
        </is>
      </c>
      <c r="K3087" s="51" t="inlineStr">
        <is>
          <t>Diplôme en management international de l'hôtellerie et de la restauration</t>
        </is>
      </c>
      <c r="L3087" s="51" t="inlineStr">
        <is>
          <t>31/08/2026</t>
        </is>
      </c>
      <c r="M3087" s="51" t="inlineStr">
        <is>
          <t>32054 (Gestion des organisations) ; 42754 (Hôtellerie restauration) ; 42627 (Gestion entreprise touristique)</t>
        </is>
      </c>
      <c r="N3087" s="62" t="inlineStr">
        <is>
          <t>NON</t>
        </is>
      </c>
      <c r="O3087" s="51" t="inlineStr"/>
    </row>
    <row r="3088" customFormat="1" s="4">
      <c r="A3088" s="51" t="n"/>
      <c r="B3088" s="52" t="inlineStr">
        <is>
          <t>32098</t>
        </is>
      </c>
      <c r="C3088" s="52">
        <f>LEFT(Tableau1[[#This Row],[Formacode]],3)</f>
        <v/>
      </c>
      <c r="D3088" s="53" t="n">
        <v>37932</v>
      </c>
      <c r="E3088" s="54">
        <f>"RNCP"&amp;D3088</f>
        <v/>
      </c>
      <c r="F3088" s="54" t="inlineStr">
        <is>
          <t>DIPLOVIS - Diplôme en Management International des Arts Culinaires</t>
        </is>
      </c>
      <c r="G3088" s="55">
        <f>E3088&amp;" - "&amp;F3088</f>
        <v/>
      </c>
      <c r="H3088" s="37" t="inlineStr">
        <is>
          <t>À vérifier</t>
        </is>
      </c>
      <c r="I3088" s="51" t="inlineStr">
        <is>
          <t>Successeur déjà publié : RNCP42267 (DIPLOVIS - Diplôme en management international des arts culinaires) — préparer la bascule de l'offre CPF | Échéance le 31/08/2026 (dans 44 j)</t>
        </is>
      </c>
      <c r="J3088" s="51" t="inlineStr">
        <is>
          <t>RNCP42267</t>
        </is>
      </c>
      <c r="K3088" s="51" t="inlineStr">
        <is>
          <t>DIPLOVIS - Diplôme en management international des arts culinaires</t>
        </is>
      </c>
      <c r="L3088" s="51" t="inlineStr">
        <is>
          <t>31/08/2026</t>
        </is>
      </c>
      <c r="M3088" s="51" t="inlineStr">
        <is>
          <t>42782 (Gestion cuisine) ; 42760 (Gastronomie) ; 42766 (Gestion hôtel restaurant bar) ; 32054 (Gestion des organisations)</t>
        </is>
      </c>
      <c r="N3088" s="62" t="inlineStr">
        <is>
          <t>NON</t>
        </is>
      </c>
      <c r="O3088" s="51" t="inlineStr"/>
    </row>
    <row r="3089" customFormat="1" s="4">
      <c r="A3089" s="45" t="n"/>
      <c r="B3089" s="46" t="inlineStr">
        <is>
          <t>32098</t>
        </is>
      </c>
      <c r="C3089" s="46">
        <f>LEFT(Tableau1[[#This Row],[Formacode]],3)</f>
        <v/>
      </c>
      <c r="D3089" s="47" t="n">
        <v>37949</v>
      </c>
      <c r="E3089" s="48">
        <f>"RNCP"&amp;D3089</f>
        <v/>
      </c>
      <c r="F3089" s="48" t="inlineStr">
        <is>
          <t>TP - Gestionnaire comptable et  fiscal</t>
        </is>
      </c>
      <c r="G3089" s="49">
        <f>E3089&amp;" - "&amp;F3089</f>
        <v/>
      </c>
      <c r="H3089" s="36" t="inlineStr">
        <is>
          <t>RAS</t>
        </is>
      </c>
      <c r="I3089" s="45" t="inlineStr"/>
      <c r="J3089" s="45" t="inlineStr">
        <is>
          <t>RNCP37949</t>
        </is>
      </c>
      <c r="K3089" s="45" t="inlineStr">
        <is>
          <t>Gestionnaire comptable et fiscal</t>
        </is>
      </c>
      <c r="L3089" s="45" t="inlineStr">
        <is>
          <t>01/12/2028</t>
        </is>
      </c>
      <c r="M3089" s="45" t="inlineStr">
        <is>
          <t>32663 (Comptabilité) ; 32054 (Gestion des organisations)</t>
        </is>
      </c>
      <c r="N3089" s="50" t="inlineStr">
        <is>
          <t>NON</t>
        </is>
      </c>
      <c r="O3089" s="45" t="inlineStr"/>
    </row>
    <row r="3090" customFormat="1" s="4">
      <c r="A3090" s="51" t="n"/>
      <c r="B3090" s="52" t="inlineStr">
        <is>
          <t>32098</t>
        </is>
      </c>
      <c r="C3090" s="52">
        <f>LEFT(Tableau1[[#This Row],[Formacode]],3)</f>
        <v/>
      </c>
      <c r="D3090" s="53" t="n">
        <v>37988</v>
      </c>
      <c r="E3090" s="54">
        <f>"RNCP"&amp;D3090</f>
        <v/>
      </c>
      <c r="F3090" s="54" t="inlineStr">
        <is>
          <t>Diplôme visé - Diplôme supérieur en marketing, vente et gestion</t>
        </is>
      </c>
      <c r="G3090" s="55">
        <f>E3090&amp;" - "&amp;F3090</f>
        <v/>
      </c>
      <c r="H3090" s="37" t="inlineStr">
        <is>
          <t>À vérifier</t>
        </is>
      </c>
      <c r="I3090" s="51" t="inlineStr">
        <is>
          <t>Successeur déjà publié : RNCP42254 (Diplôme supérieur en marketing, vente et gestion) — préparer la bascule de l'offre CPF | Échéance le 31/08/2026 (dans 44 j)</t>
        </is>
      </c>
      <c r="J3090" s="51" t="inlineStr">
        <is>
          <t>RNCP42254</t>
        </is>
      </c>
      <c r="K3090" s="51" t="inlineStr">
        <is>
          <t>Diplôme supérieur en marketing, vente et gestion</t>
        </is>
      </c>
      <c r="L3090" s="51" t="inlineStr">
        <is>
          <t>31/08/2026</t>
        </is>
      </c>
      <c r="M3090" s="51" t="inlineStr">
        <is>
          <t>34085 (Stratégie commerciale) ; 34052 (Marketing) ; 32154 (Encadrement management) ; 32054 (Gestion des organisations)</t>
        </is>
      </c>
      <c r="N3090" s="62" t="inlineStr">
        <is>
          <t>NON</t>
        </is>
      </c>
      <c r="O3090" s="51" t="inlineStr"/>
    </row>
    <row r="3091" customFormat="1" s="4">
      <c r="A3091" s="45" t="n"/>
      <c r="B3091" s="46" t="inlineStr">
        <is>
          <t>32098</t>
        </is>
      </c>
      <c r="C3091" s="46">
        <f>LEFT(Tableau1[[#This Row],[Formacode]],3)</f>
        <v/>
      </c>
      <c r="D3091" s="47" t="n">
        <v>39626</v>
      </c>
      <c r="E3091" s="48">
        <f>"RNCP"&amp;D3091</f>
        <v/>
      </c>
      <c r="F3091" s="48" t="inlineStr">
        <is>
          <t>Assistant de gestion des petites entreprises</t>
        </is>
      </c>
      <c r="G3091" s="49">
        <f>E3091&amp;" - "&amp;F3091</f>
        <v/>
      </c>
      <c r="H3091" s="36" t="inlineStr">
        <is>
          <t>RAS</t>
        </is>
      </c>
      <c r="I3091" s="45" t="inlineStr"/>
      <c r="J3091" s="45" t="inlineStr">
        <is>
          <t>RNCP39626</t>
        </is>
      </c>
      <c r="K3091" s="45" t="inlineStr">
        <is>
          <t>Assistant de gestion des petites entreprises</t>
        </is>
      </c>
      <c r="L3091" s="45" t="inlineStr">
        <is>
          <t>01/10/2029</t>
        </is>
      </c>
      <c r="M3091" s="45" t="inlineStr">
        <is>
          <t>35049 (Secrétariat assistanat comptabilité) ; 32054 (Gestion des organisations) ; 35007 (Secrétariat assistanat gestion PME PMI)</t>
        </is>
      </c>
      <c r="N3091" s="50" t="inlineStr">
        <is>
          <t>NON</t>
        </is>
      </c>
      <c r="O3091" s="45" t="inlineStr"/>
    </row>
    <row r="3092" customFormat="1" s="4">
      <c r="A3092" s="51" t="n"/>
      <c r="B3092" s="52" t="inlineStr">
        <is>
          <t>32098</t>
        </is>
      </c>
      <c r="C3092" s="52">
        <f>LEFT(Tableau1[[#This Row],[Formacode]],3)</f>
        <v/>
      </c>
      <c r="D3092" s="53" t="n">
        <v>39763</v>
      </c>
      <c r="E3092" s="54">
        <f>"RNCP"&amp;D3092</f>
        <v/>
      </c>
      <c r="F3092" s="54" t="inlineStr">
        <is>
          <t>Manager de la performance financière</t>
        </is>
      </c>
      <c r="G3092" s="55">
        <f>E3092&amp;" - "&amp;F3092</f>
        <v/>
      </c>
      <c r="H3092" s="37" t="inlineStr">
        <is>
          <t>À vérifier</t>
        </is>
      </c>
      <c r="I3092" s="51" t="inlineStr">
        <is>
          <t>Échéance le 31/10/2026 (dans 105 j)</t>
        </is>
      </c>
      <c r="J3092" s="51" t="inlineStr">
        <is>
          <t>RNCP39763</t>
        </is>
      </c>
      <c r="K3092" s="51" t="inlineStr">
        <is>
          <t>Manager de la performance financière</t>
        </is>
      </c>
      <c r="L3092" s="51" t="inlineStr">
        <is>
          <t>31/10/2026</t>
        </is>
      </c>
      <c r="M3092" s="51" t="inlineStr">
        <is>
          <t>32154 (Encadrement management) ; 32079 (Gestion performance) ; 32652 (Contrôle gestion) ; 32098 (Audit entreprise)</t>
        </is>
      </c>
      <c r="N3092" s="62" t="inlineStr">
        <is>
          <t>NON</t>
        </is>
      </c>
      <c r="O3092" s="51" t="inlineStr"/>
    </row>
    <row r="3093" customFormat="1" s="4">
      <c r="A3093" s="45" t="n"/>
      <c r="B3093" s="46" t="inlineStr">
        <is>
          <t>32098</t>
        </is>
      </c>
      <c r="C3093" s="46">
        <f>LEFT(Tableau1[[#This Row],[Formacode]],3)</f>
        <v/>
      </c>
      <c r="D3093" s="47" t="n">
        <v>41308</v>
      </c>
      <c r="E3093" s="48">
        <f>"RNCP"&amp;D3093</f>
        <v/>
      </c>
      <c r="F3093" s="48" t="inlineStr">
        <is>
          <t>Office manager</t>
        </is>
      </c>
      <c r="G3093" s="49">
        <f>E3093&amp;" - "&amp;F3093</f>
        <v/>
      </c>
      <c r="H3093" s="36" t="inlineStr">
        <is>
          <t>RAS</t>
        </is>
      </c>
      <c r="I3093" s="45" t="inlineStr"/>
      <c r="J3093" s="45" t="inlineStr">
        <is>
          <t>RNCP41308</t>
        </is>
      </c>
      <c r="K3093" s="45" t="inlineStr">
        <is>
          <t>Office manager</t>
        </is>
      </c>
      <c r="L3093" s="45" t="inlineStr">
        <is>
          <t>24/09/2028</t>
        </is>
      </c>
      <c r="M3093" s="45" t="inlineStr">
        <is>
          <t>35047 (Secrétariat assistanat direction) ; 32054 (Gestion des organisations)</t>
        </is>
      </c>
      <c r="N3093" s="50" t="inlineStr">
        <is>
          <t>NON</t>
        </is>
      </c>
      <c r="O3093" s="45" t="inlineStr"/>
    </row>
    <row r="3094" customFormat="1" s="3">
      <c r="A3094" s="63" t="n"/>
      <c r="B3094" s="64" t="inlineStr">
        <is>
          <t>32102</t>
        </is>
      </c>
      <c r="C3094" s="64">
        <f>LEFT(Tableau1[[#This Row],[Formacode]],3)</f>
        <v/>
      </c>
      <c r="D3094" s="65" t="n">
        <v>35233</v>
      </c>
      <c r="E3094" s="66">
        <f>"RNCP"&amp;D3094</f>
        <v/>
      </c>
      <c r="F3094" s="66" t="inlineStr">
        <is>
          <t>TP - Assistant manager d’unité marchande</t>
        </is>
      </c>
      <c r="G3094" s="67">
        <f>E3094&amp;" - "&amp;F3094</f>
        <v/>
      </c>
      <c r="H3094" s="38" t="inlineStr">
        <is>
          <t>Expiré / remplacé</t>
        </is>
      </c>
      <c r="I3094" s="63" t="inlineStr">
        <is>
          <t>Fiche inactive — remplacée par RNCP41852 (Assistant manager d’unité marchande)</t>
        </is>
      </c>
      <c r="J3094" s="63" t="inlineStr">
        <is>
          <t>RNCP41852</t>
        </is>
      </c>
      <c r="K3094" s="63" t="inlineStr">
        <is>
          <t>Assistant manager d’unité marchande</t>
        </is>
      </c>
      <c r="L3094" s="63" t="inlineStr">
        <is>
          <t>16/02/2026</t>
        </is>
      </c>
      <c r="M3094" s="63" t="inlineStr">
        <is>
          <t>34566 (Vente distribution) ; 32154 (Encadrement management)</t>
        </is>
      </c>
      <c r="N3094" s="68" t="inlineStr">
        <is>
          <t>NON</t>
        </is>
      </c>
      <c r="O3094" s="63" t="inlineStr"/>
    </row>
    <row r="3095" customFormat="1" s="3">
      <c r="A3095" s="45" t="n"/>
      <c r="B3095" s="46" t="inlineStr">
        <is>
          <t>32102</t>
        </is>
      </c>
      <c r="C3095" s="46">
        <f>LEFT(Tableau1[[#This Row],[Formacode]],3)</f>
        <v/>
      </c>
      <c r="D3095" s="47" t="n">
        <v>36461</v>
      </c>
      <c r="E3095" s="48">
        <f>"RNCP"&amp;D3095</f>
        <v/>
      </c>
      <c r="F3095" s="48" t="inlineStr">
        <is>
          <t>Directeur d'unité opérationnelle</t>
        </is>
      </c>
      <c r="G3095" s="49">
        <f>E3095&amp;" - "&amp;F3095</f>
        <v/>
      </c>
      <c r="H3095" s="36" t="inlineStr">
        <is>
          <t>RAS</t>
        </is>
      </c>
      <c r="I3095" s="45" t="inlineStr"/>
      <c r="J3095" s="45" t="inlineStr">
        <is>
          <t>RNCP36461</t>
        </is>
      </c>
      <c r="K3095" s="45" t="inlineStr">
        <is>
          <t>Directeur d'unité opérationnelle</t>
        </is>
      </c>
      <c r="L3095" s="45" t="inlineStr">
        <is>
          <t>02/06/2027</t>
        </is>
      </c>
      <c r="M3095" s="45" t="inlineStr">
        <is>
          <t>32054 (Gestion des organisations) ; 32154 (Encadrement management)</t>
        </is>
      </c>
      <c r="N3095" s="50" t="inlineStr">
        <is>
          <t>NON</t>
        </is>
      </c>
      <c r="O3095" s="45" t="inlineStr"/>
    </row>
    <row r="3096" customFormat="1" s="3">
      <c r="A3096" s="45" t="n"/>
      <c r="B3096" s="46" t="inlineStr">
        <is>
          <t>32102</t>
        </is>
      </c>
      <c r="C3096" s="46">
        <f>LEFT(Tableau1[[#This Row],[Formacode]],3)</f>
        <v/>
      </c>
      <c r="D3096" s="47" t="n">
        <v>36890</v>
      </c>
      <c r="E3096" s="48">
        <f>"RNCP"&amp;D3096</f>
        <v/>
      </c>
      <c r="F3096" s="48" t="inlineStr">
        <is>
          <t>Manager d'unité opérationnelle</t>
        </is>
      </c>
      <c r="G3096" s="49">
        <f>E3096&amp;" - "&amp;F3096</f>
        <v/>
      </c>
      <c r="H3096" s="36" t="inlineStr">
        <is>
          <t>RAS</t>
        </is>
      </c>
      <c r="I3096" s="45" t="inlineStr"/>
      <c r="J3096" s="45" t="inlineStr">
        <is>
          <t>RNCP36890</t>
        </is>
      </c>
      <c r="K3096" s="45" t="inlineStr">
        <is>
          <t>Manager d'unité opérationnelle</t>
        </is>
      </c>
      <c r="L3096" s="45" t="inlineStr">
        <is>
          <t>29/09/2027</t>
        </is>
      </c>
      <c r="M3096" s="45" t="inlineStr">
        <is>
          <t>32079 (Gestion performance) ; 32025 (Stratégie entreprise) ; 32154 (Encadrement management)</t>
        </is>
      </c>
      <c r="N3096" s="50" t="inlineStr">
        <is>
          <t>NON</t>
        </is>
      </c>
      <c r="O3096" s="45" t="inlineStr"/>
    </row>
    <row r="3097" customFormat="1" s="3">
      <c r="A3097" s="45" t="n"/>
      <c r="B3097" s="46" t="inlineStr">
        <is>
          <t>32102</t>
        </is>
      </c>
      <c r="C3097" s="46">
        <f>LEFT(Tableau1[[#This Row],[Formacode]],3)</f>
        <v/>
      </c>
      <c r="D3097" s="47" t="n">
        <v>37270</v>
      </c>
      <c r="E3097" s="48">
        <f>"RNCP"&amp;D3097</f>
        <v/>
      </c>
      <c r="F3097" s="48" t="inlineStr">
        <is>
          <t>Manager de programmes internationaux - humanitaire et développement</t>
        </is>
      </c>
      <c r="G3097" s="49">
        <f>E3097&amp;" - "&amp;F3097</f>
        <v/>
      </c>
      <c r="H3097" s="36" t="inlineStr">
        <is>
          <t>RAS</t>
        </is>
      </c>
      <c r="I3097" s="45" t="inlineStr"/>
      <c r="J3097" s="45" t="inlineStr">
        <is>
          <t>RNCP37270</t>
        </is>
      </c>
      <c r="K3097" s="45" t="inlineStr">
        <is>
          <t>Manager de programmes internationaux - humanitaire et développement</t>
        </is>
      </c>
      <c r="L3097" s="45" t="inlineStr">
        <is>
          <t>25/01/2028</t>
        </is>
      </c>
      <c r="M3097" s="45" t="inlineStr">
        <is>
          <t>13017 (Action humanitaire) ; 32154 (Encadrement management) ; 32005 (Stratégie internationale)</t>
        </is>
      </c>
      <c r="N3097" s="50" t="inlineStr">
        <is>
          <t>NON</t>
        </is>
      </c>
      <c r="O3097" s="45" t="inlineStr"/>
    </row>
    <row r="3098" customFormat="1" s="3">
      <c r="A3098" s="45" t="n"/>
      <c r="B3098" s="46" t="inlineStr">
        <is>
          <t>32102</t>
        </is>
      </c>
      <c r="C3098" s="46">
        <f>LEFT(Tableau1[[#This Row],[Formacode]],3)</f>
        <v/>
      </c>
      <c r="D3098" s="47" t="n">
        <v>37282</v>
      </c>
      <c r="E3098" s="48">
        <f>"RNCP"&amp;D3098</f>
        <v/>
      </c>
      <c r="F3098" s="48" t="inlineStr">
        <is>
          <t>CQP Manager d’équipe en négoce des matériaux de construction</t>
        </is>
      </c>
      <c r="G3098" s="49">
        <f>E3098&amp;" - "&amp;F3098</f>
        <v/>
      </c>
      <c r="H3098" s="36" t="inlineStr">
        <is>
          <t>RAS</t>
        </is>
      </c>
      <c r="I3098" s="45" t="inlineStr"/>
      <c r="J3098" s="45" t="inlineStr">
        <is>
          <t>RNCP37282</t>
        </is>
      </c>
      <c r="K3098" s="45" t="inlineStr">
        <is>
          <t>CQP Manager d’équipe en négoce des matériaux de construction</t>
        </is>
      </c>
      <c r="L3098" s="45" t="inlineStr">
        <is>
          <t>25/01/2028</t>
        </is>
      </c>
      <c r="M3098" s="45" t="inlineStr">
        <is>
          <t>22852 (Matériau construction) ; 31663 (Gestion stock) ; 34085 (Stratégie commerciale) ; 32154 (Encadrement management)</t>
        </is>
      </c>
      <c r="N3098" s="50" t="inlineStr">
        <is>
          <t>NON</t>
        </is>
      </c>
      <c r="O3098" s="45" t="inlineStr"/>
    </row>
    <row r="3099" customFormat="1" s="3">
      <c r="A3099" s="45" t="n"/>
      <c r="B3099" s="46" t="inlineStr">
        <is>
          <t>32102</t>
        </is>
      </c>
      <c r="C3099" s="46">
        <f>LEFT(Tableau1[[#This Row],[Formacode]],3)</f>
        <v/>
      </c>
      <c r="D3099" s="47" t="n">
        <v>37285</v>
      </c>
      <c r="E3099" s="48">
        <f>"RNCP"&amp;D3099</f>
        <v/>
      </c>
      <c r="F3099" s="48" t="inlineStr">
        <is>
          <t>CQP Chef d’agence en négoce des matériaux de construction</t>
        </is>
      </c>
      <c r="G3099" s="49">
        <f>E3099&amp;" - "&amp;F3099</f>
        <v/>
      </c>
      <c r="H3099" s="36" t="inlineStr">
        <is>
          <t>RAS</t>
        </is>
      </c>
      <c r="I3099" s="45" t="inlineStr"/>
      <c r="J3099" s="45" t="inlineStr">
        <is>
          <t>RNCP37285</t>
        </is>
      </c>
      <c r="K3099" s="45" t="inlineStr">
        <is>
          <t>CQP Chef d’agence en négoce des matériaux de construction</t>
        </is>
      </c>
      <c r="L3099" s="45" t="inlineStr">
        <is>
          <t>25/01/2028</t>
        </is>
      </c>
      <c r="M3099" s="45" t="inlineStr">
        <is>
          <t>22852 (Matériau construction) ; 32650 (Gestion budgétaire) ; 31663 (Gestion stock) ; 34085 (Stratégie commerciale) ; 32154 (Encadrement management)</t>
        </is>
      </c>
      <c r="N3099" s="50" t="inlineStr">
        <is>
          <t>NON</t>
        </is>
      </c>
      <c r="O3099" s="45" t="inlineStr"/>
    </row>
    <row r="3100" ht="28.8" customFormat="1" customHeight="1" s="3">
      <c r="A3100" s="45" t="n"/>
      <c r="B3100" s="46" t="inlineStr">
        <is>
          <t>32102</t>
        </is>
      </c>
      <c r="C3100" s="46">
        <f>LEFT(Tableau1[[#This Row],[Formacode]],3)</f>
        <v/>
      </c>
      <c r="D3100" s="47" t="n">
        <v>37375</v>
      </c>
      <c r="E3100" s="48">
        <f>"RNCP"&amp;D3100</f>
        <v/>
      </c>
      <c r="F3100" s="48" t="inlineStr">
        <is>
          <t>Brevet de technicien supérieur - Métiers de l’esthétique, de la cosmétique et de la parfumerie</t>
        </is>
      </c>
      <c r="G3100" s="49">
        <f>E3100&amp;" - "&amp;F3100</f>
        <v/>
      </c>
      <c r="H3100" s="36" t="inlineStr">
        <is>
          <t>RAS</t>
        </is>
      </c>
      <c r="I3100" s="45" t="inlineStr"/>
      <c r="J3100" s="45" t="inlineStr">
        <is>
          <t>RNCP37375</t>
        </is>
      </c>
      <c r="K3100" s="45" t="inlineStr">
        <is>
          <t>Métiers de l’esthétique, de la cosmétique et de la parfumerie</t>
        </is>
      </c>
      <c r="L3100" s="45" t="inlineStr">
        <is>
          <t>31/08/2028</t>
        </is>
      </c>
      <c r="M3100" s="45" t="inlineStr">
        <is>
          <t>42032 (Esthétique soin corporel) ; 32154 (Encadrement management) ; 22885 (Cosmétique) ; 34059 (Gestion marque) ; 44517 (Conception action formation)</t>
        </is>
      </c>
      <c r="N3100" s="50" t="inlineStr">
        <is>
          <t>NON</t>
        </is>
      </c>
      <c r="O3100" s="45" t="inlineStr"/>
    </row>
    <row r="3101" customFormat="1" s="3">
      <c r="A3101" s="45" t="n"/>
      <c r="B3101" s="46" t="inlineStr">
        <is>
          <t>32102</t>
        </is>
      </c>
      <c r="C3101" s="46">
        <f>LEFT(Tableau1[[#This Row],[Formacode]],3)</f>
        <v/>
      </c>
      <c r="D3101" s="47" t="n">
        <v>37655</v>
      </c>
      <c r="E3101" s="48">
        <f>"RNCP"&amp;D3101</f>
        <v/>
      </c>
      <c r="F3101" s="48" t="inlineStr">
        <is>
          <t>Responsable en gestion et développement d’une business unit</t>
        </is>
      </c>
      <c r="G3101" s="49">
        <f>E3101&amp;" - "&amp;F3101</f>
        <v/>
      </c>
      <c r="H3101" s="36" t="inlineStr">
        <is>
          <t>RAS</t>
        </is>
      </c>
      <c r="I3101" s="45" t="inlineStr"/>
      <c r="J3101" s="45" t="inlineStr">
        <is>
          <t>RNCP37655</t>
        </is>
      </c>
      <c r="K3101" s="45" t="inlineStr">
        <is>
          <t>Responsable en gestion et développement d’une business unit</t>
        </is>
      </c>
      <c r="L3101" s="45" t="inlineStr">
        <is>
          <t>31/05/2028</t>
        </is>
      </c>
      <c r="M3101" s="45" t="inlineStr">
        <is>
          <t>32025 (Stratégie entreprise) ; 32154 (Encadrement management) ; 34054 (Gestion commerciale achats)</t>
        </is>
      </c>
      <c r="N3101" s="50" t="inlineStr">
        <is>
          <t>NON</t>
        </is>
      </c>
      <c r="O3101" s="45" t="inlineStr"/>
    </row>
    <row r="3102" customFormat="1" s="3">
      <c r="A3102" s="45" t="n"/>
      <c r="B3102" s="46" t="inlineStr">
        <is>
          <t>32102</t>
        </is>
      </c>
      <c r="C3102" s="46">
        <f>LEFT(Tableau1[[#This Row],[Formacode]],3)</f>
        <v/>
      </c>
      <c r="D3102" s="47" t="n">
        <v>38135</v>
      </c>
      <c r="E3102" s="48">
        <f>"RNCP"&amp;D3102</f>
        <v/>
      </c>
      <c r="F3102" s="48" t="inlineStr">
        <is>
          <t>Manager commercial clients grands comptes</t>
        </is>
      </c>
      <c r="G3102" s="49">
        <f>E3102&amp;" - "&amp;F3102</f>
        <v/>
      </c>
      <c r="H3102" s="36" t="inlineStr">
        <is>
          <t>RAS</t>
        </is>
      </c>
      <c r="I3102" s="45" t="inlineStr"/>
      <c r="J3102" s="45" t="inlineStr">
        <is>
          <t>RNCP38135</t>
        </is>
      </c>
      <c r="K3102" s="45" t="inlineStr">
        <is>
          <t>Manager commercial clients grands comptes</t>
        </is>
      </c>
      <c r="L3102" s="45" t="inlineStr">
        <is>
          <t>18/10/2028</t>
        </is>
      </c>
      <c r="M3102" s="45" t="inlineStr">
        <is>
          <t>34572 (Négociation grand compte) ; 32154 (Encadrement management)</t>
        </is>
      </c>
      <c r="N3102" s="50" t="inlineStr">
        <is>
          <t>NON</t>
        </is>
      </c>
      <c r="O3102" s="45" t="inlineStr"/>
    </row>
    <row r="3103" customFormat="1" s="3">
      <c r="A3103" s="45" t="n"/>
      <c r="B3103" s="46" t="inlineStr">
        <is>
          <t>32102</t>
        </is>
      </c>
      <c r="C3103" s="46">
        <f>LEFT(Tableau1[[#This Row],[Formacode]],3)</f>
        <v/>
      </c>
      <c r="D3103" s="47" t="n">
        <v>38362</v>
      </c>
      <c r="E3103" s="48">
        <f>"RNCP"&amp;D3103</f>
        <v/>
      </c>
      <c r="F3103" s="48" t="inlineStr">
        <is>
          <t>BTS - Management commercial opérationnel</t>
        </is>
      </c>
      <c r="G3103" s="49">
        <f>E3103&amp;" - "&amp;F3103</f>
        <v/>
      </c>
      <c r="H3103" s="36" t="inlineStr">
        <is>
          <t>RAS</t>
        </is>
      </c>
      <c r="I3103" s="45" t="inlineStr"/>
      <c r="J3103" s="45" t="inlineStr">
        <is>
          <t>RNCP38362</t>
        </is>
      </c>
      <c r="K3103" s="45" t="inlineStr">
        <is>
          <t>Management commercial opérationnel</t>
        </is>
      </c>
      <c r="L3103" s="45" t="inlineStr">
        <is>
          <t>31/12/2028</t>
        </is>
      </c>
      <c r="M3103" s="45" t="inlineStr">
        <is>
          <t>34054 (Gestion commerciale achats) ; 32154 (Encadrement management)</t>
        </is>
      </c>
      <c r="N3103" s="50" t="inlineStr">
        <is>
          <t>NON</t>
        </is>
      </c>
      <c r="O3103" s="45" t="inlineStr"/>
    </row>
    <row r="3104" customFormat="1" s="3">
      <c r="A3104" s="45" t="n"/>
      <c r="B3104" s="46" t="inlineStr">
        <is>
          <t>32102</t>
        </is>
      </c>
      <c r="C3104" s="46">
        <f>LEFT(Tableau1[[#This Row],[Formacode]],3)</f>
        <v/>
      </c>
      <c r="D3104" s="47" t="n">
        <v>38374</v>
      </c>
      <c r="E3104" s="48">
        <f>"RNCP"&amp;D3104</f>
        <v/>
      </c>
      <c r="F3104" s="48" t="inlineStr">
        <is>
          <t>TP - Conducteur d'équipements agroalimentaires</t>
        </is>
      </c>
      <c r="G3104" s="49">
        <f>E3104&amp;" - "&amp;F3104</f>
        <v/>
      </c>
      <c r="H3104" s="36" t="inlineStr">
        <is>
          <t>RAS</t>
        </is>
      </c>
      <c r="I3104" s="45" t="inlineStr"/>
      <c r="J3104" s="45" t="inlineStr">
        <is>
          <t>RNCP38374</t>
        </is>
      </c>
      <c r="K3104" s="45" t="inlineStr">
        <is>
          <t>Conducteur d'équipements agroalimentaires</t>
        </is>
      </c>
      <c r="L3104" s="45" t="inlineStr">
        <is>
          <t>22/12/2028</t>
        </is>
      </c>
      <c r="M3104" s="45" t="inlineStr">
        <is>
          <t>21546 (Méthode haccp) ; 21547 (Bonnes pratiques hygiène agroalimentaire) ; 21575 (Conditionnement agroalimentaire) ; 32154 (Encadrement management) ; 32062 (Recherche développement)</t>
        </is>
      </c>
      <c r="N3104" s="50" t="inlineStr">
        <is>
          <t>NON</t>
        </is>
      </c>
      <c r="O3104" s="45" t="inlineStr"/>
    </row>
    <row r="3105" customFormat="1" s="3">
      <c r="A3105" s="45" t="n"/>
      <c r="B3105" s="46" t="inlineStr">
        <is>
          <t>32102</t>
        </is>
      </c>
      <c r="C3105" s="46">
        <f>LEFT(Tableau1[[#This Row],[Formacode]],3)</f>
        <v/>
      </c>
      <c r="D3105" s="47" t="n">
        <v>38439</v>
      </c>
      <c r="E3105" s="48">
        <f>"RNCP"&amp;D3105</f>
        <v/>
      </c>
      <c r="F3105" s="48" t="inlineStr">
        <is>
          <t>Responsable d'un centre de profit</t>
        </is>
      </c>
      <c r="G3105" s="49">
        <f>E3105&amp;" - "&amp;F3105</f>
        <v/>
      </c>
      <c r="H3105" s="36" t="inlineStr">
        <is>
          <t>RAS</t>
        </is>
      </c>
      <c r="I3105" s="45" t="inlineStr"/>
      <c r="J3105" s="45" t="inlineStr">
        <is>
          <t>RNCP38439</t>
        </is>
      </c>
      <c r="K3105" s="45" t="inlineStr">
        <is>
          <t>Responsable d'un centre de profit</t>
        </is>
      </c>
      <c r="L3105" s="45" t="inlineStr">
        <is>
          <t>21/12/2028</t>
        </is>
      </c>
      <c r="M3105" s="45" t="inlineStr">
        <is>
          <t>32024 (Gestion centre profit) ; 32154 (Encadrement management)</t>
        </is>
      </c>
      <c r="N3105" s="50" t="inlineStr">
        <is>
          <t>NON</t>
        </is>
      </c>
      <c r="O3105" s="45" t="inlineStr"/>
    </row>
    <row r="3106" customFormat="1" s="3">
      <c r="A3106" s="45" t="n"/>
      <c r="B3106" s="46" t="inlineStr">
        <is>
          <t>32102</t>
        </is>
      </c>
      <c r="C3106" s="46">
        <f>LEFT(Tableau1[[#This Row],[Formacode]],3)</f>
        <v/>
      </c>
      <c r="D3106" s="47" t="n">
        <v>38786</v>
      </c>
      <c r="E3106" s="48">
        <f>"RNCP"&amp;D3106</f>
        <v/>
      </c>
      <c r="F3106" s="48" t="inlineStr">
        <is>
          <t>CQP Responsable d'équipe</t>
        </is>
      </c>
      <c r="G3106" s="49">
        <f>E3106&amp;" - "&amp;F3106</f>
        <v/>
      </c>
      <c r="H3106" s="36" t="inlineStr">
        <is>
          <t>RAS</t>
        </is>
      </c>
      <c r="I3106" s="45" t="inlineStr"/>
      <c r="J3106" s="45" t="inlineStr">
        <is>
          <t>RNCP38786</t>
        </is>
      </c>
      <c r="K3106" s="45" t="inlineStr">
        <is>
          <t>CQP Responsable d'équipe</t>
        </is>
      </c>
      <c r="L3106" s="45" t="inlineStr">
        <is>
          <t>27/03/2028</t>
        </is>
      </c>
      <c r="M3106" s="45" t="inlineStr">
        <is>
          <t>32154 (Encadrement management)</t>
        </is>
      </c>
      <c r="N3106" s="50" t="inlineStr">
        <is>
          <t>NON</t>
        </is>
      </c>
      <c r="O3106" s="45" t="inlineStr"/>
    </row>
    <row r="3107" customFormat="1" s="3">
      <c r="A3107" s="45" t="n"/>
      <c r="B3107" s="46" t="inlineStr">
        <is>
          <t>32102</t>
        </is>
      </c>
      <c r="C3107" s="46">
        <f>LEFT(Tableau1[[#This Row],[Formacode]],3)</f>
        <v/>
      </c>
      <c r="D3107" s="47" t="n">
        <v>39136</v>
      </c>
      <c r="E3107" s="48">
        <f>"RNCP"&amp;D3107</f>
        <v/>
      </c>
      <c r="F3107" s="48" t="inlineStr">
        <is>
          <t>Grade_Master - Diplôme des Instituts d’Études Politiques – Sciences Po</t>
        </is>
      </c>
      <c r="G3107" s="49">
        <f>E3107&amp;" - "&amp;F3107</f>
        <v/>
      </c>
      <c r="H3107" s="36" t="inlineStr">
        <is>
          <t>RAS</t>
        </is>
      </c>
      <c r="I3107" s="45" t="inlineStr"/>
      <c r="J3107" s="45" t="inlineStr">
        <is>
          <t>RNCP39136</t>
        </is>
      </c>
      <c r="K3107" s="45" t="inlineStr">
        <is>
          <t>Diplôme des Instituts d’Études Politiques – Sciences Po</t>
        </is>
      </c>
      <c r="L3107" s="45" t="inlineStr">
        <is>
          <t>14/04/2029</t>
        </is>
      </c>
      <c r="M3107" s="45" t="inlineStr">
        <is>
          <t>13154 (Économie) ; 13054 (Science politique) ; 46354 (Information - Communication numérique) ; 32154 (Encadrement management) ; 13254 (Droit)</t>
        </is>
      </c>
      <c r="N3107" s="50" t="inlineStr">
        <is>
          <t>NON</t>
        </is>
      </c>
      <c r="O3107" s="45" t="inlineStr"/>
    </row>
    <row r="3108" customFormat="1" s="3">
      <c r="A3108" s="51" t="n"/>
      <c r="B3108" s="52" t="inlineStr">
        <is>
          <t>32102</t>
        </is>
      </c>
      <c r="C3108" s="52">
        <f>LEFT(Tableau1[[#This Row],[Formacode]],3)</f>
        <v/>
      </c>
      <c r="D3108" s="53" t="n">
        <v>39160</v>
      </c>
      <c r="E3108" s="54">
        <f>"RNCP"&amp;D3108</f>
        <v/>
      </c>
      <c r="F3108" s="54" t="inlineStr">
        <is>
          <t>Diplôme visé grade de master - Programme Grande Ecole</t>
        </is>
      </c>
      <c r="G3108" s="55">
        <f>E3108&amp;" - "&amp;F3108</f>
        <v/>
      </c>
      <c r="H3108" s="37" t="inlineStr">
        <is>
          <t>À vérifier</t>
        </is>
      </c>
      <c r="I3108" s="51" t="inlineStr">
        <is>
          <t>Échéance le 31/08/2026 (dans 44 j)</t>
        </is>
      </c>
      <c r="J3108" s="51" t="inlineStr">
        <is>
          <t>RNCP39160</t>
        </is>
      </c>
      <c r="K3108" s="51" t="inlineStr">
        <is>
          <t>Programme Grande Ecole</t>
        </is>
      </c>
      <c r="L3108" s="51" t="inlineStr">
        <is>
          <t>31/08/2026</t>
        </is>
      </c>
      <c r="M3108" s="51" t="inlineStr">
        <is>
          <t>32025 (Stratégie entreprise) ; 32008 (Responsabilité sociétale entreprise) ; 32047 (Création entreprise) ; 32654 (Gestion financière comptabilité) ; 32154 (Encadrement management)</t>
        </is>
      </c>
      <c r="N3108" s="62" t="inlineStr">
        <is>
          <t>NON</t>
        </is>
      </c>
      <c r="O3108" s="51" t="inlineStr"/>
    </row>
    <row r="3109" customFormat="1" s="3">
      <c r="A3109" s="45" t="n"/>
      <c r="B3109" s="46" t="inlineStr">
        <is>
          <t>32102</t>
        </is>
      </c>
      <c r="C3109" s="46">
        <f>LEFT(Tableau1[[#This Row],[Formacode]],3)</f>
        <v/>
      </c>
      <c r="D3109" s="47" t="n">
        <v>39354</v>
      </c>
      <c r="E3109" s="48">
        <f>"RNCP"&amp;D3109</f>
        <v/>
      </c>
      <c r="F3109" s="48" t="inlineStr">
        <is>
          <t>Manager du développement d'entreprise et commercial</t>
        </is>
      </c>
      <c r="G3109" s="49">
        <f>E3109&amp;" - "&amp;F3109</f>
        <v/>
      </c>
      <c r="H3109" s="36" t="inlineStr">
        <is>
          <t>RAS</t>
        </is>
      </c>
      <c r="I3109" s="45" t="inlineStr"/>
      <c r="J3109" s="45" t="inlineStr">
        <is>
          <t>RNCP39354</t>
        </is>
      </c>
      <c r="K3109" s="45" t="inlineStr">
        <is>
          <t>Manager du développement d'entreprise et commercial</t>
        </is>
      </c>
      <c r="L3109" s="45" t="inlineStr">
        <is>
          <t>19/07/2027</t>
        </is>
      </c>
      <c r="M3109" s="45" t="inlineStr">
        <is>
          <t>34085 (Stratégie commerciale) ; 32025 (Stratégie entreprise) ; 32024 (Gestion centre profit) ; 32154 (Encadrement management)</t>
        </is>
      </c>
      <c r="N3109" s="50" t="inlineStr">
        <is>
          <t>NON</t>
        </is>
      </c>
      <c r="O3109" s="45" t="inlineStr"/>
    </row>
    <row r="3110" customFormat="1" s="3">
      <c r="A3110" s="45" t="n"/>
      <c r="B3110" s="46" t="inlineStr">
        <is>
          <t>32102</t>
        </is>
      </c>
      <c r="C3110" s="46">
        <f>LEFT(Tableau1[[#This Row],[Formacode]],3)</f>
        <v/>
      </c>
      <c r="D3110" s="47" t="n">
        <v>39366</v>
      </c>
      <c r="E3110" s="48">
        <f>"RNCP"&amp;D3110</f>
        <v/>
      </c>
      <c r="F3110" s="48" t="inlineStr">
        <is>
          <t>CQP Manager commercial cuisines et/ou aménagement intérieur</t>
        </is>
      </c>
      <c r="G3110" s="49">
        <f>E3110&amp;" - "&amp;F3110</f>
        <v/>
      </c>
      <c r="H3110" s="36" t="inlineStr">
        <is>
          <t>RAS</t>
        </is>
      </c>
      <c r="I3110" s="45" t="inlineStr"/>
      <c r="J3110" s="45" t="inlineStr">
        <is>
          <t>RNCP39366</t>
        </is>
      </c>
      <c r="K3110" s="45" t="inlineStr">
        <is>
          <t>CQP Manager commercial cuisines et/ou aménagement intérieur</t>
        </is>
      </c>
      <c r="L3110" s="45" t="inlineStr">
        <is>
          <t>19/07/2029</t>
        </is>
      </c>
      <c r="M3110" s="45" t="inlineStr">
        <is>
          <t>34561 (Force vente) ; 34536 (Vente équipement maison) ; 32154 (Encadrement management)</t>
        </is>
      </c>
      <c r="N3110" s="50" t="inlineStr">
        <is>
          <t>NON</t>
        </is>
      </c>
      <c r="O3110" s="45" t="inlineStr"/>
    </row>
    <row r="3111" customFormat="1" s="3">
      <c r="A3111" s="51" t="n"/>
      <c r="B3111" s="52" t="inlineStr">
        <is>
          <t>32102</t>
        </is>
      </c>
      <c r="C3111" s="52">
        <f>LEFT(Tableau1[[#This Row],[Formacode]],3)</f>
        <v/>
      </c>
      <c r="D3111" s="53" t="n">
        <v>39763</v>
      </c>
      <c r="E3111" s="54">
        <f>"RNCP"&amp;D3111</f>
        <v/>
      </c>
      <c r="F3111" s="54" t="inlineStr">
        <is>
          <t>Manager de la performance financière</t>
        </is>
      </c>
      <c r="G3111" s="55">
        <f>E3111&amp;" - "&amp;F3111</f>
        <v/>
      </c>
      <c r="H3111" s="37" t="inlineStr">
        <is>
          <t>À vérifier</t>
        </is>
      </c>
      <c r="I3111" s="51" t="inlineStr">
        <is>
          <t>Échéance le 31/10/2026 (dans 105 j)</t>
        </is>
      </c>
      <c r="J3111" s="51" t="inlineStr">
        <is>
          <t>RNCP39763</t>
        </is>
      </c>
      <c r="K3111" s="51" t="inlineStr">
        <is>
          <t>Manager de la performance financière</t>
        </is>
      </c>
      <c r="L3111" s="51" t="inlineStr">
        <is>
          <t>31/10/2026</t>
        </is>
      </c>
      <c r="M3111" s="51" t="inlineStr">
        <is>
          <t>32154 (Encadrement management) ; 32079 (Gestion performance) ; 32652 (Contrôle gestion) ; 32098 (Audit entreprise)</t>
        </is>
      </c>
      <c r="N3111" s="62" t="inlineStr">
        <is>
          <t>NON</t>
        </is>
      </c>
      <c r="O3111" s="51" t="inlineStr"/>
    </row>
    <row r="3112" customFormat="1" s="3">
      <c r="A3112" s="45" t="n"/>
      <c r="B3112" s="46" t="inlineStr">
        <is>
          <t>32102</t>
        </is>
      </c>
      <c r="C3112" s="46">
        <f>LEFT(Tableau1[[#This Row],[Formacode]],3)</f>
        <v/>
      </c>
      <c r="D3112" s="47" t="n">
        <v>39787</v>
      </c>
      <c r="E3112" s="48">
        <f>"RNCP"&amp;D3112</f>
        <v/>
      </c>
      <c r="F3112" s="48" t="inlineStr">
        <is>
          <t>Directeur de la performance commerciale</t>
        </is>
      </c>
      <c r="G3112" s="49">
        <f>E3112&amp;" - "&amp;F3112</f>
        <v/>
      </c>
      <c r="H3112" s="36" t="inlineStr">
        <is>
          <t>RAS</t>
        </is>
      </c>
      <c r="I3112" s="45" t="inlineStr"/>
      <c r="J3112" s="45" t="inlineStr">
        <is>
          <t>RNCP39787</t>
        </is>
      </c>
      <c r="K3112" s="45" t="inlineStr">
        <is>
          <t>Directeur de la performance commerciale</t>
        </is>
      </c>
      <c r="L3112" s="45" t="inlineStr">
        <is>
          <t>31/10/2029</t>
        </is>
      </c>
      <c r="M3112" s="45" t="inlineStr">
        <is>
          <t>32079 (Gestion performance) ; 32154 (Encadrement management) ; 34085 (Stratégie commerciale)</t>
        </is>
      </c>
      <c r="N3112" s="50" t="inlineStr">
        <is>
          <t>NON</t>
        </is>
      </c>
      <c r="O3112" s="45" t="inlineStr"/>
    </row>
    <row r="3113" customFormat="1" s="3">
      <c r="A3113" s="45" t="n"/>
      <c r="B3113" s="46" t="inlineStr">
        <is>
          <t>32102</t>
        </is>
      </c>
      <c r="C3113" s="46">
        <f>LEFT(Tableau1[[#This Row],[Formacode]],3)</f>
        <v/>
      </c>
      <c r="D3113" s="47" t="n">
        <v>39864</v>
      </c>
      <c r="E3113" s="48">
        <f>"RNCP"&amp;D3113</f>
        <v/>
      </c>
      <c r="F3113" s="48" t="inlineStr">
        <is>
          <t>Manager du développement des ressources humaines</t>
        </is>
      </c>
      <c r="G3113" s="49">
        <f>E3113&amp;" - "&amp;F3113</f>
        <v/>
      </c>
      <c r="H3113" s="36" t="inlineStr">
        <is>
          <t>RAS</t>
        </is>
      </c>
      <c r="I3113" s="45" t="inlineStr"/>
      <c r="J3113" s="45" t="inlineStr">
        <is>
          <t>RNCP39864</t>
        </is>
      </c>
      <c r="K3113" s="45" t="inlineStr">
        <is>
          <t>Manager du développement des ressources humaines</t>
        </is>
      </c>
      <c r="L3113" s="45" t="inlineStr">
        <is>
          <t>28/11/2027</t>
        </is>
      </c>
      <c r="M3113" s="45" t="inlineStr">
        <is>
          <t>33054 (Gestion ressources humaines) ; 32154 (Encadrement management)</t>
        </is>
      </c>
      <c r="N3113" s="50" t="inlineStr">
        <is>
          <t>NON</t>
        </is>
      </c>
      <c r="O3113" s="45" t="inlineStr"/>
    </row>
    <row r="3114" customFormat="1" s="3">
      <c r="A3114" s="45" t="n"/>
      <c r="B3114" s="46" t="inlineStr">
        <is>
          <t>32102</t>
        </is>
      </c>
      <c r="C3114" s="46">
        <f>LEFT(Tableau1[[#This Row],[Formacode]],3)</f>
        <v/>
      </c>
      <c r="D3114" s="47" t="n">
        <v>39972</v>
      </c>
      <c r="E3114" s="48">
        <f>"RNCP"&amp;D3114</f>
        <v/>
      </c>
      <c r="F3114" s="48" t="inlineStr">
        <is>
          <t>CQP Responsable d'équipe du secteur alimentaire</t>
        </is>
      </c>
      <c r="G3114" s="49">
        <f>E3114&amp;" - "&amp;F3114</f>
        <v/>
      </c>
      <c r="H3114" s="36" t="inlineStr">
        <is>
          <t>RAS</t>
        </is>
      </c>
      <c r="I3114" s="45" t="inlineStr"/>
      <c r="J3114" s="45" t="inlineStr">
        <is>
          <t>RNCP39972</t>
        </is>
      </c>
      <c r="K3114" s="45" t="inlineStr">
        <is>
          <t>CQP Responsable d'équipe du secteur alimentaire</t>
        </is>
      </c>
      <c r="L3114" s="45" t="inlineStr">
        <is>
          <t>18/12/2029</t>
        </is>
      </c>
      <c r="M3114" s="45" t="inlineStr">
        <is>
          <t>32154 (Encadrement management) ; 21554 (Agroalimentaire)</t>
        </is>
      </c>
      <c r="N3114" s="50" t="inlineStr">
        <is>
          <t>NON</t>
        </is>
      </c>
      <c r="O3114" s="45" t="inlineStr"/>
    </row>
    <row r="3115" customFormat="1" s="3">
      <c r="A3115" s="45" t="n"/>
      <c r="B3115" s="46" t="inlineStr">
        <is>
          <t>32102</t>
        </is>
      </c>
      <c r="C3115" s="46">
        <f>LEFT(Tableau1[[#This Row],[Formacode]],3)</f>
        <v/>
      </c>
      <c r="D3115" s="47" t="n">
        <v>39994</v>
      </c>
      <c r="E3115" s="48">
        <f>"RNCP"&amp;D3115</f>
        <v/>
      </c>
      <c r="F3115" s="48" t="inlineStr">
        <is>
          <t>Manager des transformations des organisations</t>
        </is>
      </c>
      <c r="G3115" s="49">
        <f>E3115&amp;" - "&amp;F3115</f>
        <v/>
      </c>
      <c r="H3115" s="36" t="inlineStr">
        <is>
          <t>RAS</t>
        </is>
      </c>
      <c r="I3115" s="45" t="inlineStr"/>
      <c r="J3115" s="45" t="inlineStr">
        <is>
          <t>RNCP39994</t>
        </is>
      </c>
      <c r="K3115" s="45" t="inlineStr">
        <is>
          <t>Manager des transformations des organisations</t>
        </is>
      </c>
      <c r="L3115" s="45" t="inlineStr">
        <is>
          <t>18/12/2027</t>
        </is>
      </c>
      <c r="M3115" s="45" t="inlineStr">
        <is>
          <t>32025 (Stratégie entreprise) ; 32079 (Gestion performance) ; 32154 (Encadrement management)</t>
        </is>
      </c>
      <c r="N3115" s="50" t="inlineStr">
        <is>
          <t>NON</t>
        </is>
      </c>
      <c r="O3115" s="45" t="inlineStr"/>
    </row>
    <row r="3116" customFormat="1" s="3">
      <c r="A3116" s="45" t="n"/>
      <c r="B3116" s="46" t="inlineStr">
        <is>
          <t>32102</t>
        </is>
      </c>
      <c r="C3116" s="46">
        <f>LEFT(Tableau1[[#This Row],[Formacode]],3)</f>
        <v/>
      </c>
      <c r="D3116" s="47" t="n">
        <v>40169</v>
      </c>
      <c r="E3116" s="48">
        <f>"RNCP"&amp;D3116</f>
        <v/>
      </c>
      <c r="F3116" s="48" t="inlineStr">
        <is>
          <t>CQP Responsable de conseillers techniques en élevage</t>
        </is>
      </c>
      <c r="G3116" s="49">
        <f>E3116&amp;" - "&amp;F3116</f>
        <v/>
      </c>
      <c r="H3116" s="36" t="inlineStr">
        <is>
          <t>RAS</t>
        </is>
      </c>
      <c r="I3116" s="45" t="inlineStr"/>
      <c r="J3116" s="45" t="inlineStr">
        <is>
          <t>RNCP40169</t>
        </is>
      </c>
      <c r="K3116" s="45" t="inlineStr">
        <is>
          <t>CQP Responsable de conseillers techniques en élevage</t>
        </is>
      </c>
      <c r="L3116" s="45" t="inlineStr">
        <is>
          <t>31/01/2030</t>
        </is>
      </c>
      <c r="M3116" s="45" t="inlineStr">
        <is>
          <t>21056 (Élevage) ; 32068 (Coordination travail) ; 32154 (Encadrement management)</t>
        </is>
      </c>
      <c r="N3116" s="50" t="inlineStr">
        <is>
          <t>NON</t>
        </is>
      </c>
      <c r="O3116" s="45" t="inlineStr"/>
    </row>
    <row r="3117" customFormat="1" s="3">
      <c r="A3117" s="45" t="n"/>
      <c r="B3117" s="46" t="inlineStr">
        <is>
          <t>32102</t>
        </is>
      </c>
      <c r="C3117" s="46">
        <f>LEFT(Tableau1[[#This Row],[Formacode]],3)</f>
        <v/>
      </c>
      <c r="D3117" s="47" t="n">
        <v>41000</v>
      </c>
      <c r="E3117" s="48">
        <f>"RNCP"&amp;D3117</f>
        <v/>
      </c>
      <c r="F3117" s="48" t="inlineStr">
        <is>
          <t>BTS - Management opérationnel de la sécurité</t>
        </is>
      </c>
      <c r="G3117" s="49">
        <f>E3117&amp;" - "&amp;F3117</f>
        <v/>
      </c>
      <c r="H3117" s="36" t="inlineStr">
        <is>
          <t>RAS</t>
        </is>
      </c>
      <c r="I3117" s="45" t="inlineStr"/>
      <c r="J3117" s="45" t="inlineStr">
        <is>
          <t>RNCP41000</t>
        </is>
      </c>
      <c r="K3117" s="45" t="inlineStr">
        <is>
          <t>Management opérationnel de la sécurité</t>
        </is>
      </c>
      <c r="L3117" s="45" t="inlineStr">
        <is>
          <t>31/08/2030</t>
        </is>
      </c>
      <c r="M3117" s="45" t="inlineStr">
        <is>
          <t>42854 (Prévention sécurité) ; 32154 (Encadrement management)</t>
        </is>
      </c>
      <c r="N3117" s="50" t="inlineStr">
        <is>
          <t>NON</t>
        </is>
      </c>
      <c r="O3117" s="45" t="inlineStr"/>
    </row>
    <row r="3118" customFormat="1" s="3">
      <c r="A3118" s="45" t="n"/>
      <c r="B3118" s="46" t="inlineStr">
        <is>
          <t>32102</t>
        </is>
      </c>
      <c r="C3118" s="46">
        <f>LEFT(Tableau1[[#This Row],[Formacode]],3)</f>
        <v/>
      </c>
      <c r="D3118" s="47" t="n">
        <v>41809</v>
      </c>
      <c r="E3118" s="48">
        <f>"RNCP"&amp;D3118</f>
        <v/>
      </c>
      <c r="F3118" s="48" t="inlineStr">
        <is>
          <t>Manager de la stratégie marketing digital</t>
        </is>
      </c>
      <c r="G3118" s="49">
        <f>E3118&amp;" - "&amp;F3118</f>
        <v/>
      </c>
      <c r="H3118" s="36" t="inlineStr">
        <is>
          <t>RAS</t>
        </is>
      </c>
      <c r="I3118" s="45" t="inlineStr"/>
      <c r="J3118" s="45" t="inlineStr">
        <is>
          <t>RNCP41809</t>
        </is>
      </c>
      <c r="K3118" s="45" t="inlineStr">
        <is>
          <t>Manager de la stratégie marketing digital</t>
        </is>
      </c>
      <c r="L3118" s="45" t="inlineStr">
        <is>
          <t>18/12/2028</t>
        </is>
      </c>
      <c r="M3118" s="45" t="inlineStr">
        <is>
          <t>46301 (Communication entreprise) ; 15004 (Communication professionnelle) ; 32154 (Encadrement management) ; 34052 (Marketing)</t>
        </is>
      </c>
      <c r="N3118" s="50" t="inlineStr">
        <is>
          <t>NON</t>
        </is>
      </c>
      <c r="O3118" s="45" t="inlineStr"/>
    </row>
    <row r="3119" customFormat="1" s="3">
      <c r="A3119" s="63" t="n"/>
      <c r="B3119" s="64" t="inlineStr">
        <is>
          <t>32103</t>
        </is>
      </c>
      <c r="C3119" s="64">
        <f>LEFT(Tableau1[[#This Row],[Formacode]],3)</f>
        <v/>
      </c>
      <c r="D3119" s="65" t="n">
        <v>35233</v>
      </c>
      <c r="E3119" s="66">
        <f>"RNCP"&amp;D3119</f>
        <v/>
      </c>
      <c r="F3119" s="66" t="inlineStr">
        <is>
          <t>TP - Assistant manager d’unité marchande</t>
        </is>
      </c>
      <c r="G3119" s="67">
        <f>E3119&amp;" - "&amp;F3119</f>
        <v/>
      </c>
      <c r="H3119" s="38" t="inlineStr">
        <is>
          <t>Expiré / remplacé</t>
        </is>
      </c>
      <c r="I3119" s="63" t="inlineStr">
        <is>
          <t>Fiche inactive — remplacée par RNCP41852 (Assistant manager d’unité marchande)</t>
        </is>
      </c>
      <c r="J3119" s="63" t="inlineStr">
        <is>
          <t>RNCP41852</t>
        </is>
      </c>
      <c r="K3119" s="63" t="inlineStr">
        <is>
          <t>Assistant manager d’unité marchande</t>
        </is>
      </c>
      <c r="L3119" s="63" t="inlineStr">
        <is>
          <t>16/02/2026</t>
        </is>
      </c>
      <c r="M3119" s="63" t="inlineStr">
        <is>
          <t>34566 (Vente distribution) ; 32154 (Encadrement management)</t>
        </is>
      </c>
      <c r="N3119" s="68" t="inlineStr">
        <is>
          <t>NON</t>
        </is>
      </c>
      <c r="O3119" s="63" t="inlineStr"/>
    </row>
    <row r="3120" customFormat="1" s="3">
      <c r="A3120" s="45" t="n"/>
      <c r="B3120" s="46" t="inlineStr">
        <is>
          <t>32103</t>
        </is>
      </c>
      <c r="C3120" s="46">
        <f>LEFT(Tableau1[[#This Row],[Formacode]],3)</f>
        <v/>
      </c>
      <c r="D3120" s="47" t="n">
        <v>36461</v>
      </c>
      <c r="E3120" s="48">
        <f>"RNCP"&amp;D3120</f>
        <v/>
      </c>
      <c r="F3120" s="48" t="inlineStr">
        <is>
          <t>Directeur d'unité opérationnelle</t>
        </is>
      </c>
      <c r="G3120" s="49">
        <f>E3120&amp;" - "&amp;F3120</f>
        <v/>
      </c>
      <c r="H3120" s="36" t="inlineStr">
        <is>
          <t>RAS</t>
        </is>
      </c>
      <c r="I3120" s="45" t="inlineStr"/>
      <c r="J3120" s="45" t="inlineStr">
        <is>
          <t>RNCP36461</t>
        </is>
      </c>
      <c r="K3120" s="45" t="inlineStr">
        <is>
          <t>Directeur d'unité opérationnelle</t>
        </is>
      </c>
      <c r="L3120" s="45" t="inlineStr">
        <is>
          <t>02/06/2027</t>
        </is>
      </c>
      <c r="M3120" s="45" t="inlineStr">
        <is>
          <t>32054 (Gestion des organisations) ; 32154 (Encadrement management)</t>
        </is>
      </c>
      <c r="N3120" s="50" t="inlineStr">
        <is>
          <t>NON</t>
        </is>
      </c>
      <c r="O3120" s="45" t="inlineStr"/>
    </row>
    <row r="3121" customFormat="1" s="3">
      <c r="A3121" s="45" t="n"/>
      <c r="B3121" s="46" t="inlineStr">
        <is>
          <t>32103</t>
        </is>
      </c>
      <c r="C3121" s="46">
        <f>LEFT(Tableau1[[#This Row],[Formacode]],3)</f>
        <v/>
      </c>
      <c r="D3121" s="47" t="n">
        <v>36890</v>
      </c>
      <c r="E3121" s="48">
        <f>"RNCP"&amp;D3121</f>
        <v/>
      </c>
      <c r="F3121" s="48" t="inlineStr">
        <is>
          <t>Manager d'unité opérationnelle</t>
        </is>
      </c>
      <c r="G3121" s="49">
        <f>E3121&amp;" - "&amp;F3121</f>
        <v/>
      </c>
      <c r="H3121" s="36" t="inlineStr">
        <is>
          <t>RAS</t>
        </is>
      </c>
      <c r="I3121" s="45" t="inlineStr"/>
      <c r="J3121" s="45" t="inlineStr">
        <is>
          <t>RNCP36890</t>
        </is>
      </c>
      <c r="K3121" s="45" t="inlineStr">
        <is>
          <t>Manager d'unité opérationnelle</t>
        </is>
      </c>
      <c r="L3121" s="45" t="inlineStr">
        <is>
          <t>29/09/2027</t>
        </is>
      </c>
      <c r="M3121" s="45" t="inlineStr">
        <is>
          <t>32079 (Gestion performance) ; 32025 (Stratégie entreprise) ; 32154 (Encadrement management)</t>
        </is>
      </c>
      <c r="N3121" s="50" t="inlineStr">
        <is>
          <t>NON</t>
        </is>
      </c>
      <c r="O3121" s="45" t="inlineStr"/>
    </row>
    <row r="3122" customFormat="1" s="3">
      <c r="A3122" s="45" t="n"/>
      <c r="B3122" s="46" t="inlineStr">
        <is>
          <t>32103</t>
        </is>
      </c>
      <c r="C3122" s="46">
        <f>LEFT(Tableau1[[#This Row],[Formacode]],3)</f>
        <v/>
      </c>
      <c r="D3122" s="47" t="n">
        <v>37270</v>
      </c>
      <c r="E3122" s="48">
        <f>"RNCP"&amp;D3122</f>
        <v/>
      </c>
      <c r="F3122" s="48" t="inlineStr">
        <is>
          <t>Manager de programmes internationaux - humanitaire et développement</t>
        </is>
      </c>
      <c r="G3122" s="49">
        <f>E3122&amp;" - "&amp;F3122</f>
        <v/>
      </c>
      <c r="H3122" s="36" t="inlineStr">
        <is>
          <t>RAS</t>
        </is>
      </c>
      <c r="I3122" s="45" t="inlineStr"/>
      <c r="J3122" s="45" t="inlineStr">
        <is>
          <t>RNCP37270</t>
        </is>
      </c>
      <c r="K3122" s="45" t="inlineStr">
        <is>
          <t>Manager de programmes internationaux - humanitaire et développement</t>
        </is>
      </c>
      <c r="L3122" s="45" t="inlineStr">
        <is>
          <t>25/01/2028</t>
        </is>
      </c>
      <c r="M3122" s="45" t="inlineStr">
        <is>
          <t>13017 (Action humanitaire) ; 32154 (Encadrement management) ; 32005 (Stratégie internationale)</t>
        </is>
      </c>
      <c r="N3122" s="50" t="inlineStr">
        <is>
          <t>NON</t>
        </is>
      </c>
      <c r="O3122" s="45" t="inlineStr"/>
    </row>
    <row r="3123" customFormat="1" s="3">
      <c r="A3123" s="45" t="n"/>
      <c r="B3123" s="46" t="inlineStr">
        <is>
          <t>32103</t>
        </is>
      </c>
      <c r="C3123" s="46">
        <f>LEFT(Tableau1[[#This Row],[Formacode]],3)</f>
        <v/>
      </c>
      <c r="D3123" s="47" t="n">
        <v>37282</v>
      </c>
      <c r="E3123" s="48">
        <f>"RNCP"&amp;D3123</f>
        <v/>
      </c>
      <c r="F3123" s="48" t="inlineStr">
        <is>
          <t>CQP Manager d’équipe en négoce des matériaux de construction</t>
        </is>
      </c>
      <c r="G3123" s="49">
        <f>E3123&amp;" - "&amp;F3123</f>
        <v/>
      </c>
      <c r="H3123" s="36" t="inlineStr">
        <is>
          <t>RAS</t>
        </is>
      </c>
      <c r="I3123" s="45" t="inlineStr"/>
      <c r="J3123" s="45" t="inlineStr">
        <is>
          <t>RNCP37282</t>
        </is>
      </c>
      <c r="K3123" s="45" t="inlineStr">
        <is>
          <t>CQP Manager d’équipe en négoce des matériaux de construction</t>
        </is>
      </c>
      <c r="L3123" s="45" t="inlineStr">
        <is>
          <t>25/01/2028</t>
        </is>
      </c>
      <c r="M3123" s="45" t="inlineStr">
        <is>
          <t>22852 (Matériau construction) ; 31663 (Gestion stock) ; 34085 (Stratégie commerciale) ; 32154 (Encadrement management)</t>
        </is>
      </c>
      <c r="N3123" s="50" t="inlineStr">
        <is>
          <t>NON</t>
        </is>
      </c>
      <c r="O3123" s="45" t="inlineStr"/>
    </row>
    <row r="3124" customFormat="1" s="3">
      <c r="A3124" s="45" t="n"/>
      <c r="B3124" s="46" t="inlineStr">
        <is>
          <t>32103</t>
        </is>
      </c>
      <c r="C3124" s="46">
        <f>LEFT(Tableau1[[#This Row],[Formacode]],3)</f>
        <v/>
      </c>
      <c r="D3124" s="47" t="n">
        <v>37285</v>
      </c>
      <c r="E3124" s="48">
        <f>"RNCP"&amp;D3124</f>
        <v/>
      </c>
      <c r="F3124" s="48" t="inlineStr">
        <is>
          <t>CQP Chef d’agence en négoce des matériaux de construction</t>
        </is>
      </c>
      <c r="G3124" s="49">
        <f>E3124&amp;" - "&amp;F3124</f>
        <v/>
      </c>
      <c r="H3124" s="36" t="inlineStr">
        <is>
          <t>RAS</t>
        </is>
      </c>
      <c r="I3124" s="45" t="inlineStr"/>
      <c r="J3124" s="45" t="inlineStr">
        <is>
          <t>RNCP37285</t>
        </is>
      </c>
      <c r="K3124" s="45" t="inlineStr">
        <is>
          <t>CQP Chef d’agence en négoce des matériaux de construction</t>
        </is>
      </c>
      <c r="L3124" s="45" t="inlineStr">
        <is>
          <t>25/01/2028</t>
        </is>
      </c>
      <c r="M3124" s="45" t="inlineStr">
        <is>
          <t>22852 (Matériau construction) ; 32650 (Gestion budgétaire) ; 31663 (Gestion stock) ; 34085 (Stratégie commerciale) ; 32154 (Encadrement management)</t>
        </is>
      </c>
      <c r="N3124" s="50" t="inlineStr">
        <is>
          <t>NON</t>
        </is>
      </c>
      <c r="O3124" s="45" t="inlineStr"/>
    </row>
    <row r="3125" ht="28.8" customFormat="1" customHeight="1" s="3">
      <c r="A3125" s="45" t="n"/>
      <c r="B3125" s="46" t="inlineStr">
        <is>
          <t>32103</t>
        </is>
      </c>
      <c r="C3125" s="46">
        <f>LEFT(Tableau1[[#This Row],[Formacode]],3)</f>
        <v/>
      </c>
      <c r="D3125" s="47" t="n">
        <v>37375</v>
      </c>
      <c r="E3125" s="48">
        <f>"RNCP"&amp;D3125</f>
        <v/>
      </c>
      <c r="F3125" s="48" t="inlineStr">
        <is>
          <t>Brevet de technicien supérieur - Métiers de l’esthétique, de la cosmétique et de la parfumerie</t>
        </is>
      </c>
      <c r="G3125" s="49">
        <f>E3125&amp;" - "&amp;F3125</f>
        <v/>
      </c>
      <c r="H3125" s="36" t="inlineStr">
        <is>
          <t>RAS</t>
        </is>
      </c>
      <c r="I3125" s="45" t="inlineStr"/>
      <c r="J3125" s="45" t="inlineStr">
        <is>
          <t>RNCP37375</t>
        </is>
      </c>
      <c r="K3125" s="45" t="inlineStr">
        <is>
          <t>Métiers de l’esthétique, de la cosmétique et de la parfumerie</t>
        </is>
      </c>
      <c r="L3125" s="45" t="inlineStr">
        <is>
          <t>31/08/2028</t>
        </is>
      </c>
      <c r="M3125" s="45" t="inlineStr">
        <is>
          <t>42032 (Esthétique soin corporel) ; 32154 (Encadrement management) ; 22885 (Cosmétique) ; 34059 (Gestion marque) ; 44517 (Conception action formation)</t>
        </is>
      </c>
      <c r="N3125" s="50" t="inlineStr">
        <is>
          <t>NON</t>
        </is>
      </c>
      <c r="O3125" s="45" t="inlineStr"/>
    </row>
    <row r="3126" customFormat="1" s="3">
      <c r="A3126" s="45" t="n"/>
      <c r="B3126" s="46" t="inlineStr">
        <is>
          <t>32103</t>
        </is>
      </c>
      <c r="C3126" s="46">
        <f>LEFT(Tableau1[[#This Row],[Formacode]],3)</f>
        <v/>
      </c>
      <c r="D3126" s="47" t="n">
        <v>37655</v>
      </c>
      <c r="E3126" s="48">
        <f>"RNCP"&amp;D3126</f>
        <v/>
      </c>
      <c r="F3126" s="48" t="inlineStr">
        <is>
          <t>Responsable en gestion et développement d’une business unit</t>
        </is>
      </c>
      <c r="G3126" s="49">
        <f>E3126&amp;" - "&amp;F3126</f>
        <v/>
      </c>
      <c r="H3126" s="36" t="inlineStr">
        <is>
          <t>RAS</t>
        </is>
      </c>
      <c r="I3126" s="45" t="inlineStr"/>
      <c r="J3126" s="45" t="inlineStr">
        <is>
          <t>RNCP37655</t>
        </is>
      </c>
      <c r="K3126" s="45" t="inlineStr">
        <is>
          <t>Responsable en gestion et développement d’une business unit</t>
        </is>
      </c>
      <c r="L3126" s="45" t="inlineStr">
        <is>
          <t>31/05/2028</t>
        </is>
      </c>
      <c r="M3126" s="45" t="inlineStr">
        <is>
          <t>32025 (Stratégie entreprise) ; 32154 (Encadrement management) ; 34054 (Gestion commerciale achats)</t>
        </is>
      </c>
      <c r="N3126" s="50" t="inlineStr">
        <is>
          <t>NON</t>
        </is>
      </c>
      <c r="O3126" s="45" t="inlineStr"/>
    </row>
    <row r="3127" customFormat="1" s="3">
      <c r="A3127" s="45" t="n"/>
      <c r="B3127" s="46" t="inlineStr">
        <is>
          <t>32103</t>
        </is>
      </c>
      <c r="C3127" s="46">
        <f>LEFT(Tableau1[[#This Row],[Formacode]],3)</f>
        <v/>
      </c>
      <c r="D3127" s="47" t="n">
        <v>38135</v>
      </c>
      <c r="E3127" s="48">
        <f>"RNCP"&amp;D3127</f>
        <v/>
      </c>
      <c r="F3127" s="48" t="inlineStr">
        <is>
          <t>Manager commercial clients grands comptes</t>
        </is>
      </c>
      <c r="G3127" s="49">
        <f>E3127&amp;" - "&amp;F3127</f>
        <v/>
      </c>
      <c r="H3127" s="36" t="inlineStr">
        <is>
          <t>RAS</t>
        </is>
      </c>
      <c r="I3127" s="45" t="inlineStr"/>
      <c r="J3127" s="45" t="inlineStr">
        <is>
          <t>RNCP38135</t>
        </is>
      </c>
      <c r="K3127" s="45" t="inlineStr">
        <is>
          <t>Manager commercial clients grands comptes</t>
        </is>
      </c>
      <c r="L3127" s="45" t="inlineStr">
        <is>
          <t>18/10/2028</t>
        </is>
      </c>
      <c r="M3127" s="45" t="inlineStr">
        <is>
          <t>34572 (Négociation grand compte) ; 32154 (Encadrement management)</t>
        </is>
      </c>
      <c r="N3127" s="50" t="inlineStr">
        <is>
          <t>NON</t>
        </is>
      </c>
      <c r="O3127" s="45" t="inlineStr"/>
    </row>
    <row r="3128" customFormat="1" s="3">
      <c r="A3128" s="45" t="n"/>
      <c r="B3128" s="46" t="inlineStr">
        <is>
          <t>32103</t>
        </is>
      </c>
      <c r="C3128" s="46">
        <f>LEFT(Tableau1[[#This Row],[Formacode]],3)</f>
        <v/>
      </c>
      <c r="D3128" s="47" t="n">
        <v>38362</v>
      </c>
      <c r="E3128" s="48">
        <f>"RNCP"&amp;D3128</f>
        <v/>
      </c>
      <c r="F3128" s="48" t="inlineStr">
        <is>
          <t>BTS - Management commercial opérationnel</t>
        </is>
      </c>
      <c r="G3128" s="49">
        <f>E3128&amp;" - "&amp;F3128</f>
        <v/>
      </c>
      <c r="H3128" s="36" t="inlineStr">
        <is>
          <t>RAS</t>
        </is>
      </c>
      <c r="I3128" s="45" t="inlineStr"/>
      <c r="J3128" s="45" t="inlineStr">
        <is>
          <t>RNCP38362</t>
        </is>
      </c>
      <c r="K3128" s="45" t="inlineStr">
        <is>
          <t>Management commercial opérationnel</t>
        </is>
      </c>
      <c r="L3128" s="45" t="inlineStr">
        <is>
          <t>31/12/2028</t>
        </is>
      </c>
      <c r="M3128" s="45" t="inlineStr">
        <is>
          <t>34054 (Gestion commerciale achats) ; 32154 (Encadrement management)</t>
        </is>
      </c>
      <c r="N3128" s="50" t="inlineStr">
        <is>
          <t>NON</t>
        </is>
      </c>
      <c r="O3128" s="45" t="inlineStr"/>
    </row>
    <row r="3129" customFormat="1" s="3">
      <c r="A3129" s="45" t="n"/>
      <c r="B3129" s="46" t="inlineStr">
        <is>
          <t>32103</t>
        </is>
      </c>
      <c r="C3129" s="46">
        <f>LEFT(Tableau1[[#This Row],[Formacode]],3)</f>
        <v/>
      </c>
      <c r="D3129" s="47" t="n">
        <v>38374</v>
      </c>
      <c r="E3129" s="48">
        <f>"RNCP"&amp;D3129</f>
        <v/>
      </c>
      <c r="F3129" s="48" t="inlineStr">
        <is>
          <t>TP - Conducteur d'équipements agroalimentaires</t>
        </is>
      </c>
      <c r="G3129" s="49">
        <f>E3129&amp;" - "&amp;F3129</f>
        <v/>
      </c>
      <c r="H3129" s="36" t="inlineStr">
        <is>
          <t>RAS</t>
        </is>
      </c>
      <c r="I3129" s="45" t="inlineStr"/>
      <c r="J3129" s="45" t="inlineStr">
        <is>
          <t>RNCP38374</t>
        </is>
      </c>
      <c r="K3129" s="45" t="inlineStr">
        <is>
          <t>Conducteur d'équipements agroalimentaires</t>
        </is>
      </c>
      <c r="L3129" s="45" t="inlineStr">
        <is>
          <t>22/12/2028</t>
        </is>
      </c>
      <c r="M3129" s="45" t="inlineStr">
        <is>
          <t>21546 (Méthode haccp) ; 21547 (Bonnes pratiques hygiène agroalimentaire) ; 21575 (Conditionnement agroalimentaire) ; 32154 (Encadrement management) ; 32062 (Recherche développement)</t>
        </is>
      </c>
      <c r="N3129" s="50" t="inlineStr">
        <is>
          <t>NON</t>
        </is>
      </c>
      <c r="O3129" s="45" t="inlineStr"/>
    </row>
    <row r="3130" customFormat="1" s="3">
      <c r="A3130" s="45" t="n"/>
      <c r="B3130" s="46" t="inlineStr">
        <is>
          <t>32103</t>
        </is>
      </c>
      <c r="C3130" s="46">
        <f>LEFT(Tableau1[[#This Row],[Formacode]],3)</f>
        <v/>
      </c>
      <c r="D3130" s="47" t="n">
        <v>38439</v>
      </c>
      <c r="E3130" s="48">
        <f>"RNCP"&amp;D3130</f>
        <v/>
      </c>
      <c r="F3130" s="48" t="inlineStr">
        <is>
          <t>Responsable d'un centre de profit</t>
        </is>
      </c>
      <c r="G3130" s="49">
        <f>E3130&amp;" - "&amp;F3130</f>
        <v/>
      </c>
      <c r="H3130" s="36" t="inlineStr">
        <is>
          <t>RAS</t>
        </is>
      </c>
      <c r="I3130" s="45" t="inlineStr"/>
      <c r="J3130" s="45" t="inlineStr">
        <is>
          <t>RNCP38439</t>
        </is>
      </c>
      <c r="K3130" s="45" t="inlineStr">
        <is>
          <t>Responsable d'un centre de profit</t>
        </is>
      </c>
      <c r="L3130" s="45" t="inlineStr">
        <is>
          <t>21/12/2028</t>
        </is>
      </c>
      <c r="M3130" s="45" t="inlineStr">
        <is>
          <t>32024 (Gestion centre profit) ; 32154 (Encadrement management)</t>
        </is>
      </c>
      <c r="N3130" s="50" t="inlineStr">
        <is>
          <t>NON</t>
        </is>
      </c>
      <c r="O3130" s="45" t="inlineStr"/>
    </row>
    <row r="3131" customFormat="1" s="3">
      <c r="A3131" s="45" t="n"/>
      <c r="B3131" s="46" t="inlineStr">
        <is>
          <t>32103</t>
        </is>
      </c>
      <c r="C3131" s="46">
        <f>LEFT(Tableau1[[#This Row],[Formacode]],3)</f>
        <v/>
      </c>
      <c r="D3131" s="47" t="n">
        <v>38786</v>
      </c>
      <c r="E3131" s="48">
        <f>"RNCP"&amp;D3131</f>
        <v/>
      </c>
      <c r="F3131" s="48" t="inlineStr">
        <is>
          <t>CQP Responsable d'équipe</t>
        </is>
      </c>
      <c r="G3131" s="49">
        <f>E3131&amp;" - "&amp;F3131</f>
        <v/>
      </c>
      <c r="H3131" s="36" t="inlineStr">
        <is>
          <t>RAS</t>
        </is>
      </c>
      <c r="I3131" s="45" t="inlineStr"/>
      <c r="J3131" s="45" t="inlineStr">
        <is>
          <t>RNCP38786</t>
        </is>
      </c>
      <c r="K3131" s="45" t="inlineStr">
        <is>
          <t>CQP Responsable d'équipe</t>
        </is>
      </c>
      <c r="L3131" s="45" t="inlineStr">
        <is>
          <t>27/03/2028</t>
        </is>
      </c>
      <c r="M3131" s="45" t="inlineStr">
        <is>
          <t>32154 (Encadrement management)</t>
        </is>
      </c>
      <c r="N3131" s="50" t="inlineStr">
        <is>
          <t>NON</t>
        </is>
      </c>
      <c r="O3131" s="45" t="inlineStr"/>
    </row>
    <row r="3132" customFormat="1" s="3">
      <c r="A3132" s="45" t="n"/>
      <c r="B3132" s="46" t="inlineStr">
        <is>
          <t>32103</t>
        </is>
      </c>
      <c r="C3132" s="46">
        <f>LEFT(Tableau1[[#This Row],[Formacode]],3)</f>
        <v/>
      </c>
      <c r="D3132" s="47" t="n">
        <v>39136</v>
      </c>
      <c r="E3132" s="48">
        <f>"RNCP"&amp;D3132</f>
        <v/>
      </c>
      <c r="F3132" s="48" t="inlineStr">
        <is>
          <t>Grade_Master - Diplôme des Instituts d’Études Politiques – Sciences Po</t>
        </is>
      </c>
      <c r="G3132" s="49">
        <f>E3132&amp;" - "&amp;F3132</f>
        <v/>
      </c>
      <c r="H3132" s="36" t="inlineStr">
        <is>
          <t>RAS</t>
        </is>
      </c>
      <c r="I3132" s="45" t="inlineStr"/>
      <c r="J3132" s="45" t="inlineStr">
        <is>
          <t>RNCP39136</t>
        </is>
      </c>
      <c r="K3132" s="45" t="inlineStr">
        <is>
          <t>Diplôme des Instituts d’Études Politiques – Sciences Po</t>
        </is>
      </c>
      <c r="L3132" s="45" t="inlineStr">
        <is>
          <t>14/04/2029</t>
        </is>
      </c>
      <c r="M3132" s="45" t="inlineStr">
        <is>
          <t>13154 (Économie) ; 13054 (Science politique) ; 46354 (Information - Communication numérique) ; 32154 (Encadrement management) ; 13254 (Droit)</t>
        </is>
      </c>
      <c r="N3132" s="50" t="inlineStr">
        <is>
          <t>NON</t>
        </is>
      </c>
      <c r="O3132" s="45" t="inlineStr"/>
    </row>
    <row r="3133" customFormat="1" s="3">
      <c r="A3133" s="51" t="n"/>
      <c r="B3133" s="52" t="inlineStr">
        <is>
          <t>32103</t>
        </is>
      </c>
      <c r="C3133" s="52">
        <f>LEFT(Tableau1[[#This Row],[Formacode]],3)</f>
        <v/>
      </c>
      <c r="D3133" s="53" t="n">
        <v>39160</v>
      </c>
      <c r="E3133" s="54">
        <f>"RNCP"&amp;D3133</f>
        <v/>
      </c>
      <c r="F3133" s="54" t="inlineStr">
        <is>
          <t>Diplôme visé grade de master - Programme Grande Ecole</t>
        </is>
      </c>
      <c r="G3133" s="55">
        <f>E3133&amp;" - "&amp;F3133</f>
        <v/>
      </c>
      <c r="H3133" s="37" t="inlineStr">
        <is>
          <t>À vérifier</t>
        </is>
      </c>
      <c r="I3133" s="51" t="inlineStr">
        <is>
          <t>Échéance le 31/08/2026 (dans 44 j)</t>
        </is>
      </c>
      <c r="J3133" s="51" t="inlineStr">
        <is>
          <t>RNCP39160</t>
        </is>
      </c>
      <c r="K3133" s="51" t="inlineStr">
        <is>
          <t>Programme Grande Ecole</t>
        </is>
      </c>
      <c r="L3133" s="51" t="inlineStr">
        <is>
          <t>31/08/2026</t>
        </is>
      </c>
      <c r="M3133" s="51" t="inlineStr">
        <is>
          <t>32025 (Stratégie entreprise) ; 32008 (Responsabilité sociétale entreprise) ; 32047 (Création entreprise) ; 32654 (Gestion financière comptabilité) ; 32154 (Encadrement management)</t>
        </is>
      </c>
      <c r="N3133" s="62" t="inlineStr">
        <is>
          <t>NON</t>
        </is>
      </c>
      <c r="O3133" s="51" t="inlineStr"/>
    </row>
    <row r="3134" customFormat="1" s="3">
      <c r="A3134" s="45" t="n"/>
      <c r="B3134" s="46" t="inlineStr">
        <is>
          <t>32103</t>
        </is>
      </c>
      <c r="C3134" s="46">
        <f>LEFT(Tableau1[[#This Row],[Formacode]],3)</f>
        <v/>
      </c>
      <c r="D3134" s="47" t="n">
        <v>39354</v>
      </c>
      <c r="E3134" s="48">
        <f>"RNCP"&amp;D3134</f>
        <v/>
      </c>
      <c r="F3134" s="48" t="inlineStr">
        <is>
          <t>Manager du développement d'entreprise et commercial</t>
        </is>
      </c>
      <c r="G3134" s="49">
        <f>E3134&amp;" - "&amp;F3134</f>
        <v/>
      </c>
      <c r="H3134" s="36" t="inlineStr">
        <is>
          <t>RAS</t>
        </is>
      </c>
      <c r="I3134" s="45" t="inlineStr"/>
      <c r="J3134" s="45" t="inlineStr">
        <is>
          <t>RNCP39354</t>
        </is>
      </c>
      <c r="K3134" s="45" t="inlineStr">
        <is>
          <t>Manager du développement d'entreprise et commercial</t>
        </is>
      </c>
      <c r="L3134" s="45" t="inlineStr">
        <is>
          <t>19/07/2027</t>
        </is>
      </c>
      <c r="M3134" s="45" t="inlineStr">
        <is>
          <t>34085 (Stratégie commerciale) ; 32025 (Stratégie entreprise) ; 32024 (Gestion centre profit) ; 32154 (Encadrement management)</t>
        </is>
      </c>
      <c r="N3134" s="50" t="inlineStr">
        <is>
          <t>NON</t>
        </is>
      </c>
      <c r="O3134" s="45" t="inlineStr"/>
    </row>
    <row r="3135" customFormat="1" s="3">
      <c r="A3135" s="45" t="n"/>
      <c r="B3135" s="46" t="inlineStr">
        <is>
          <t>32103</t>
        </is>
      </c>
      <c r="C3135" s="46">
        <f>LEFT(Tableau1[[#This Row],[Formacode]],3)</f>
        <v/>
      </c>
      <c r="D3135" s="47" t="n">
        <v>39366</v>
      </c>
      <c r="E3135" s="48">
        <f>"RNCP"&amp;D3135</f>
        <v/>
      </c>
      <c r="F3135" s="48" t="inlineStr">
        <is>
          <t>CQP Manager commercial cuisines et/ou aménagement intérieur</t>
        </is>
      </c>
      <c r="G3135" s="49">
        <f>E3135&amp;" - "&amp;F3135</f>
        <v/>
      </c>
      <c r="H3135" s="36" t="inlineStr">
        <is>
          <t>RAS</t>
        </is>
      </c>
      <c r="I3135" s="45" t="inlineStr"/>
      <c r="J3135" s="45" t="inlineStr">
        <is>
          <t>RNCP39366</t>
        </is>
      </c>
      <c r="K3135" s="45" t="inlineStr">
        <is>
          <t>CQP Manager commercial cuisines et/ou aménagement intérieur</t>
        </is>
      </c>
      <c r="L3135" s="45" t="inlineStr">
        <is>
          <t>19/07/2029</t>
        </is>
      </c>
      <c r="M3135" s="45" t="inlineStr">
        <is>
          <t>34561 (Force vente) ; 34536 (Vente équipement maison) ; 32154 (Encadrement management)</t>
        </is>
      </c>
      <c r="N3135" s="50" t="inlineStr">
        <is>
          <t>NON</t>
        </is>
      </c>
      <c r="O3135" s="45" t="inlineStr"/>
    </row>
    <row r="3136" customFormat="1" s="3">
      <c r="A3136" s="51" t="n"/>
      <c r="B3136" s="52" t="inlineStr">
        <is>
          <t>32103</t>
        </is>
      </c>
      <c r="C3136" s="52">
        <f>LEFT(Tableau1[[#This Row],[Formacode]],3)</f>
        <v/>
      </c>
      <c r="D3136" s="53" t="n">
        <v>39763</v>
      </c>
      <c r="E3136" s="54">
        <f>"RNCP"&amp;D3136</f>
        <v/>
      </c>
      <c r="F3136" s="54" t="inlineStr">
        <is>
          <t>Manager de la performance financière</t>
        </is>
      </c>
      <c r="G3136" s="55">
        <f>E3136&amp;" - "&amp;F3136</f>
        <v/>
      </c>
      <c r="H3136" s="37" t="inlineStr">
        <is>
          <t>À vérifier</t>
        </is>
      </c>
      <c r="I3136" s="51" t="inlineStr">
        <is>
          <t>Échéance le 31/10/2026 (dans 105 j)</t>
        </is>
      </c>
      <c r="J3136" s="51" t="inlineStr">
        <is>
          <t>RNCP39763</t>
        </is>
      </c>
      <c r="K3136" s="51" t="inlineStr">
        <is>
          <t>Manager de la performance financière</t>
        </is>
      </c>
      <c r="L3136" s="51" t="inlineStr">
        <is>
          <t>31/10/2026</t>
        </is>
      </c>
      <c r="M3136" s="51" t="inlineStr">
        <is>
          <t>32154 (Encadrement management) ; 32079 (Gestion performance) ; 32652 (Contrôle gestion) ; 32098 (Audit entreprise)</t>
        </is>
      </c>
      <c r="N3136" s="62" t="inlineStr">
        <is>
          <t>NON</t>
        </is>
      </c>
      <c r="O3136" s="51" t="inlineStr"/>
    </row>
    <row r="3137" customFormat="1" s="3">
      <c r="A3137" s="45" t="n"/>
      <c r="B3137" s="46" t="inlineStr">
        <is>
          <t>32103</t>
        </is>
      </c>
      <c r="C3137" s="46">
        <f>LEFT(Tableau1[[#This Row],[Formacode]],3)</f>
        <v/>
      </c>
      <c r="D3137" s="47" t="n">
        <v>39787</v>
      </c>
      <c r="E3137" s="48">
        <f>"RNCP"&amp;D3137</f>
        <v/>
      </c>
      <c r="F3137" s="48" t="inlineStr">
        <is>
          <t>Directeur de la performance commerciale</t>
        </is>
      </c>
      <c r="G3137" s="49">
        <f>E3137&amp;" - "&amp;F3137</f>
        <v/>
      </c>
      <c r="H3137" s="36" t="inlineStr">
        <is>
          <t>RAS</t>
        </is>
      </c>
      <c r="I3137" s="45" t="inlineStr"/>
      <c r="J3137" s="45" t="inlineStr">
        <is>
          <t>RNCP39787</t>
        </is>
      </c>
      <c r="K3137" s="45" t="inlineStr">
        <is>
          <t>Directeur de la performance commerciale</t>
        </is>
      </c>
      <c r="L3137" s="45" t="inlineStr">
        <is>
          <t>31/10/2029</t>
        </is>
      </c>
      <c r="M3137" s="45" t="inlineStr">
        <is>
          <t>32079 (Gestion performance) ; 32154 (Encadrement management) ; 34085 (Stratégie commerciale)</t>
        </is>
      </c>
      <c r="N3137" s="50" t="inlineStr">
        <is>
          <t>NON</t>
        </is>
      </c>
      <c r="O3137" s="45" t="inlineStr"/>
    </row>
    <row r="3138" customFormat="1" s="3">
      <c r="A3138" s="45" t="n"/>
      <c r="B3138" s="46" t="inlineStr">
        <is>
          <t>32103</t>
        </is>
      </c>
      <c r="C3138" s="46">
        <f>LEFT(Tableau1[[#This Row],[Formacode]],3)</f>
        <v/>
      </c>
      <c r="D3138" s="47" t="n">
        <v>39864</v>
      </c>
      <c r="E3138" s="48">
        <f>"RNCP"&amp;D3138</f>
        <v/>
      </c>
      <c r="F3138" s="48" t="inlineStr">
        <is>
          <t>Manager du développement des ressources humaines</t>
        </is>
      </c>
      <c r="G3138" s="49">
        <f>E3138&amp;" - "&amp;F3138</f>
        <v/>
      </c>
      <c r="H3138" s="36" t="inlineStr">
        <is>
          <t>RAS</t>
        </is>
      </c>
      <c r="I3138" s="45" t="inlineStr"/>
      <c r="J3138" s="45" t="inlineStr">
        <is>
          <t>RNCP39864</t>
        </is>
      </c>
      <c r="K3138" s="45" t="inlineStr">
        <is>
          <t>Manager du développement des ressources humaines</t>
        </is>
      </c>
      <c r="L3138" s="45" t="inlineStr">
        <is>
          <t>28/11/2027</t>
        </is>
      </c>
      <c r="M3138" s="45" t="inlineStr">
        <is>
          <t>33054 (Gestion ressources humaines) ; 32154 (Encadrement management)</t>
        </is>
      </c>
      <c r="N3138" s="50" t="inlineStr">
        <is>
          <t>NON</t>
        </is>
      </c>
      <c r="O3138" s="45" t="inlineStr"/>
    </row>
    <row r="3139" customFormat="1" s="3">
      <c r="A3139" s="45" t="n"/>
      <c r="B3139" s="46" t="inlineStr">
        <is>
          <t>32103</t>
        </is>
      </c>
      <c r="C3139" s="46">
        <f>LEFT(Tableau1[[#This Row],[Formacode]],3)</f>
        <v/>
      </c>
      <c r="D3139" s="47" t="n">
        <v>39972</v>
      </c>
      <c r="E3139" s="48">
        <f>"RNCP"&amp;D3139</f>
        <v/>
      </c>
      <c r="F3139" s="48" t="inlineStr">
        <is>
          <t>CQP Responsable d'équipe du secteur alimentaire</t>
        </is>
      </c>
      <c r="G3139" s="49">
        <f>E3139&amp;" - "&amp;F3139</f>
        <v/>
      </c>
      <c r="H3139" s="36" t="inlineStr">
        <is>
          <t>RAS</t>
        </is>
      </c>
      <c r="I3139" s="45" t="inlineStr"/>
      <c r="J3139" s="45" t="inlineStr">
        <is>
          <t>RNCP39972</t>
        </is>
      </c>
      <c r="K3139" s="45" t="inlineStr">
        <is>
          <t>CQP Responsable d'équipe du secteur alimentaire</t>
        </is>
      </c>
      <c r="L3139" s="45" t="inlineStr">
        <is>
          <t>18/12/2029</t>
        </is>
      </c>
      <c r="M3139" s="45" t="inlineStr">
        <is>
          <t>32154 (Encadrement management) ; 21554 (Agroalimentaire)</t>
        </is>
      </c>
      <c r="N3139" s="50" t="inlineStr">
        <is>
          <t>NON</t>
        </is>
      </c>
      <c r="O3139" s="45" t="inlineStr"/>
    </row>
    <row r="3140" customFormat="1" s="3">
      <c r="A3140" s="45" t="n"/>
      <c r="B3140" s="46" t="inlineStr">
        <is>
          <t>32103</t>
        </is>
      </c>
      <c r="C3140" s="46">
        <f>LEFT(Tableau1[[#This Row],[Formacode]],3)</f>
        <v/>
      </c>
      <c r="D3140" s="47" t="n">
        <v>39994</v>
      </c>
      <c r="E3140" s="48">
        <f>"RNCP"&amp;D3140</f>
        <v/>
      </c>
      <c r="F3140" s="48" t="inlineStr">
        <is>
          <t>Manager des transformations des organisations</t>
        </is>
      </c>
      <c r="G3140" s="49">
        <f>E3140&amp;" - "&amp;F3140</f>
        <v/>
      </c>
      <c r="H3140" s="36" t="inlineStr">
        <is>
          <t>RAS</t>
        </is>
      </c>
      <c r="I3140" s="45" t="inlineStr"/>
      <c r="J3140" s="45" t="inlineStr">
        <is>
          <t>RNCP39994</t>
        </is>
      </c>
      <c r="K3140" s="45" t="inlineStr">
        <is>
          <t>Manager des transformations des organisations</t>
        </is>
      </c>
      <c r="L3140" s="45" t="inlineStr">
        <is>
          <t>18/12/2027</t>
        </is>
      </c>
      <c r="M3140" s="45" t="inlineStr">
        <is>
          <t>32025 (Stratégie entreprise) ; 32079 (Gestion performance) ; 32154 (Encadrement management)</t>
        </is>
      </c>
      <c r="N3140" s="50" t="inlineStr">
        <is>
          <t>NON</t>
        </is>
      </c>
      <c r="O3140" s="45" t="inlineStr"/>
    </row>
    <row r="3141" customFormat="1" s="3">
      <c r="A3141" s="45" t="n"/>
      <c r="B3141" s="46" t="inlineStr">
        <is>
          <t>32103</t>
        </is>
      </c>
      <c r="C3141" s="46">
        <f>LEFT(Tableau1[[#This Row],[Formacode]],3)</f>
        <v/>
      </c>
      <c r="D3141" s="47" t="n">
        <v>40169</v>
      </c>
      <c r="E3141" s="48">
        <f>"RNCP"&amp;D3141</f>
        <v/>
      </c>
      <c r="F3141" s="48" t="inlineStr">
        <is>
          <t>CQP Responsable de conseillers techniques en élevage</t>
        </is>
      </c>
      <c r="G3141" s="49">
        <f>E3141&amp;" - "&amp;F3141</f>
        <v/>
      </c>
      <c r="H3141" s="36" t="inlineStr">
        <is>
          <t>RAS</t>
        </is>
      </c>
      <c r="I3141" s="45" t="inlineStr"/>
      <c r="J3141" s="45" t="inlineStr">
        <is>
          <t>RNCP40169</t>
        </is>
      </c>
      <c r="K3141" s="45" t="inlineStr">
        <is>
          <t>CQP Responsable de conseillers techniques en élevage</t>
        </is>
      </c>
      <c r="L3141" s="45" t="inlineStr">
        <is>
          <t>31/01/2030</t>
        </is>
      </c>
      <c r="M3141" s="45" t="inlineStr">
        <is>
          <t>21056 (Élevage) ; 32068 (Coordination travail) ; 32154 (Encadrement management)</t>
        </is>
      </c>
      <c r="N3141" s="50" t="inlineStr">
        <is>
          <t>NON</t>
        </is>
      </c>
      <c r="O3141" s="45" t="inlineStr"/>
    </row>
    <row r="3142" customFormat="1" s="3">
      <c r="A3142" s="45" t="n"/>
      <c r="B3142" s="46" t="inlineStr">
        <is>
          <t>32103</t>
        </is>
      </c>
      <c r="C3142" s="46">
        <f>LEFT(Tableau1[[#This Row],[Formacode]],3)</f>
        <v/>
      </c>
      <c r="D3142" s="47" t="n">
        <v>41000</v>
      </c>
      <c r="E3142" s="48">
        <f>"RNCP"&amp;D3142</f>
        <v/>
      </c>
      <c r="F3142" s="48" t="inlineStr">
        <is>
          <t>BTS - Management opérationnel de la sécurité</t>
        </is>
      </c>
      <c r="G3142" s="49">
        <f>E3142&amp;" - "&amp;F3142</f>
        <v/>
      </c>
      <c r="H3142" s="36" t="inlineStr">
        <is>
          <t>RAS</t>
        </is>
      </c>
      <c r="I3142" s="45" t="inlineStr"/>
      <c r="J3142" s="45" t="inlineStr">
        <is>
          <t>RNCP41000</t>
        </is>
      </c>
      <c r="K3142" s="45" t="inlineStr">
        <is>
          <t>Management opérationnel de la sécurité</t>
        </is>
      </c>
      <c r="L3142" s="45" t="inlineStr">
        <is>
          <t>31/08/2030</t>
        </is>
      </c>
      <c r="M3142" s="45" t="inlineStr">
        <is>
          <t>42854 (Prévention sécurité) ; 32154 (Encadrement management)</t>
        </is>
      </c>
      <c r="N3142" s="50" t="inlineStr">
        <is>
          <t>NON</t>
        </is>
      </c>
      <c r="O3142" s="45" t="inlineStr"/>
    </row>
    <row r="3143" customFormat="1" s="3">
      <c r="A3143" s="45" t="n"/>
      <c r="B3143" s="46" t="inlineStr">
        <is>
          <t>32103</t>
        </is>
      </c>
      <c r="C3143" s="46">
        <f>LEFT(Tableau1[[#This Row],[Formacode]],3)</f>
        <v/>
      </c>
      <c r="D3143" s="47" t="n">
        <v>41809</v>
      </c>
      <c r="E3143" s="48">
        <f>"RNCP"&amp;D3143</f>
        <v/>
      </c>
      <c r="F3143" s="48" t="inlineStr">
        <is>
          <t>Manager de la stratégie marketing digital</t>
        </is>
      </c>
      <c r="G3143" s="49">
        <f>E3143&amp;" - "&amp;F3143</f>
        <v/>
      </c>
      <c r="H3143" s="36" t="inlineStr">
        <is>
          <t>RAS</t>
        </is>
      </c>
      <c r="I3143" s="45" t="inlineStr"/>
      <c r="J3143" s="45" t="inlineStr">
        <is>
          <t>RNCP41809</t>
        </is>
      </c>
      <c r="K3143" s="45" t="inlineStr">
        <is>
          <t>Manager de la stratégie marketing digital</t>
        </is>
      </c>
      <c r="L3143" s="45" t="inlineStr">
        <is>
          <t>18/12/2028</t>
        </is>
      </c>
      <c r="M3143" s="45" t="inlineStr">
        <is>
          <t>46301 (Communication entreprise) ; 15004 (Communication professionnelle) ; 32154 (Encadrement management) ; 34052 (Marketing)</t>
        </is>
      </c>
      <c r="N3143" s="50" t="inlineStr">
        <is>
          <t>NON</t>
        </is>
      </c>
      <c r="O3143" s="45" t="inlineStr"/>
    </row>
    <row r="3144" customFormat="1" s="3">
      <c r="A3144" s="63" t="n"/>
      <c r="B3144" s="64" t="inlineStr">
        <is>
          <t>32104</t>
        </is>
      </c>
      <c r="C3144" s="64">
        <f>LEFT(Tableau1[[#This Row],[Formacode]],3)</f>
        <v/>
      </c>
      <c r="D3144" s="65" t="n">
        <v>35233</v>
      </c>
      <c r="E3144" s="66">
        <f>"RNCP"&amp;D3144</f>
        <v/>
      </c>
      <c r="F3144" s="66" t="inlineStr">
        <is>
          <t>TP - Assistant manager d’unité marchande</t>
        </is>
      </c>
      <c r="G3144" s="67">
        <f>E3144&amp;" - "&amp;F3144</f>
        <v/>
      </c>
      <c r="H3144" s="38" t="inlineStr">
        <is>
          <t>Expiré / remplacé</t>
        </is>
      </c>
      <c r="I3144" s="63" t="inlineStr">
        <is>
          <t>Fiche inactive — remplacée par RNCP41852 (Assistant manager d’unité marchande)</t>
        </is>
      </c>
      <c r="J3144" s="63" t="inlineStr">
        <is>
          <t>RNCP41852</t>
        </is>
      </c>
      <c r="K3144" s="63" t="inlineStr">
        <is>
          <t>Assistant manager d’unité marchande</t>
        </is>
      </c>
      <c r="L3144" s="63" t="inlineStr">
        <is>
          <t>16/02/2026</t>
        </is>
      </c>
      <c r="M3144" s="63" t="inlineStr">
        <is>
          <t>34566 (Vente distribution) ; 32154 (Encadrement management)</t>
        </is>
      </c>
      <c r="N3144" s="68" t="inlineStr">
        <is>
          <t>NON</t>
        </is>
      </c>
      <c r="O3144" s="63" t="inlineStr"/>
    </row>
    <row r="3145" customFormat="1" s="3">
      <c r="A3145" s="45" t="n"/>
      <c r="B3145" s="46" t="inlineStr">
        <is>
          <t>32104</t>
        </is>
      </c>
      <c r="C3145" s="46">
        <f>LEFT(Tableau1[[#This Row],[Formacode]],3)</f>
        <v/>
      </c>
      <c r="D3145" s="47" t="n">
        <v>36461</v>
      </c>
      <c r="E3145" s="48">
        <f>"RNCP"&amp;D3145</f>
        <v/>
      </c>
      <c r="F3145" s="48" t="inlineStr">
        <is>
          <t>Directeur d'unité opérationnelle</t>
        </is>
      </c>
      <c r="G3145" s="49">
        <f>E3145&amp;" - "&amp;F3145</f>
        <v/>
      </c>
      <c r="H3145" s="36" t="inlineStr">
        <is>
          <t>RAS</t>
        </is>
      </c>
      <c r="I3145" s="45" t="inlineStr"/>
      <c r="J3145" s="45" t="inlineStr">
        <is>
          <t>RNCP36461</t>
        </is>
      </c>
      <c r="K3145" s="45" t="inlineStr">
        <is>
          <t>Directeur d'unité opérationnelle</t>
        </is>
      </c>
      <c r="L3145" s="45" t="inlineStr">
        <is>
          <t>02/06/2027</t>
        </is>
      </c>
      <c r="M3145" s="45" t="inlineStr">
        <is>
          <t>32054 (Gestion des organisations) ; 32154 (Encadrement management)</t>
        </is>
      </c>
      <c r="N3145" s="50" t="inlineStr">
        <is>
          <t>NON</t>
        </is>
      </c>
      <c r="O3145" s="45" t="inlineStr"/>
    </row>
    <row r="3146" customFormat="1" s="3">
      <c r="A3146" s="45" t="n"/>
      <c r="B3146" s="46" t="inlineStr">
        <is>
          <t>32104</t>
        </is>
      </c>
      <c r="C3146" s="46">
        <f>LEFT(Tableau1[[#This Row],[Formacode]],3)</f>
        <v/>
      </c>
      <c r="D3146" s="47" t="n">
        <v>36890</v>
      </c>
      <c r="E3146" s="48">
        <f>"RNCP"&amp;D3146</f>
        <v/>
      </c>
      <c r="F3146" s="48" t="inlineStr">
        <is>
          <t>Manager d'unité opérationnelle</t>
        </is>
      </c>
      <c r="G3146" s="49">
        <f>E3146&amp;" - "&amp;F3146</f>
        <v/>
      </c>
      <c r="H3146" s="36" t="inlineStr">
        <is>
          <t>RAS</t>
        </is>
      </c>
      <c r="I3146" s="45" t="inlineStr"/>
      <c r="J3146" s="45" t="inlineStr">
        <is>
          <t>RNCP36890</t>
        </is>
      </c>
      <c r="K3146" s="45" t="inlineStr">
        <is>
          <t>Manager d'unité opérationnelle</t>
        </is>
      </c>
      <c r="L3146" s="45" t="inlineStr">
        <is>
          <t>29/09/2027</t>
        </is>
      </c>
      <c r="M3146" s="45" t="inlineStr">
        <is>
          <t>32079 (Gestion performance) ; 32025 (Stratégie entreprise) ; 32154 (Encadrement management)</t>
        </is>
      </c>
      <c r="N3146" s="50" t="inlineStr">
        <is>
          <t>NON</t>
        </is>
      </c>
      <c r="O3146" s="45" t="inlineStr"/>
    </row>
    <row r="3147" customFormat="1" s="3">
      <c r="A3147" s="45" t="n"/>
      <c r="B3147" s="46" t="inlineStr">
        <is>
          <t>32104</t>
        </is>
      </c>
      <c r="C3147" s="46">
        <f>LEFT(Tableau1[[#This Row],[Formacode]],3)</f>
        <v/>
      </c>
      <c r="D3147" s="47" t="n">
        <v>37270</v>
      </c>
      <c r="E3147" s="48">
        <f>"RNCP"&amp;D3147</f>
        <v/>
      </c>
      <c r="F3147" s="48" t="inlineStr">
        <is>
          <t>Manager de programmes internationaux - humanitaire et développement</t>
        </is>
      </c>
      <c r="G3147" s="49">
        <f>E3147&amp;" - "&amp;F3147</f>
        <v/>
      </c>
      <c r="H3147" s="36" t="inlineStr">
        <is>
          <t>RAS</t>
        </is>
      </c>
      <c r="I3147" s="45" t="inlineStr"/>
      <c r="J3147" s="45" t="inlineStr">
        <is>
          <t>RNCP37270</t>
        </is>
      </c>
      <c r="K3147" s="45" t="inlineStr">
        <is>
          <t>Manager de programmes internationaux - humanitaire et développement</t>
        </is>
      </c>
      <c r="L3147" s="45" t="inlineStr">
        <is>
          <t>25/01/2028</t>
        </is>
      </c>
      <c r="M3147" s="45" t="inlineStr">
        <is>
          <t>13017 (Action humanitaire) ; 32154 (Encadrement management) ; 32005 (Stratégie internationale)</t>
        </is>
      </c>
      <c r="N3147" s="50" t="inlineStr">
        <is>
          <t>NON</t>
        </is>
      </c>
      <c r="O3147" s="45" t="inlineStr"/>
    </row>
    <row r="3148" customFormat="1" s="3">
      <c r="A3148" s="45" t="n"/>
      <c r="B3148" s="46" t="inlineStr">
        <is>
          <t>32104</t>
        </is>
      </c>
      <c r="C3148" s="46">
        <f>LEFT(Tableau1[[#This Row],[Formacode]],3)</f>
        <v/>
      </c>
      <c r="D3148" s="47" t="n">
        <v>37282</v>
      </c>
      <c r="E3148" s="48">
        <f>"RNCP"&amp;D3148</f>
        <v/>
      </c>
      <c r="F3148" s="48" t="inlineStr">
        <is>
          <t>CQP Manager d’équipe en négoce des matériaux de construction</t>
        </is>
      </c>
      <c r="G3148" s="49">
        <f>E3148&amp;" - "&amp;F3148</f>
        <v/>
      </c>
      <c r="H3148" s="36" t="inlineStr">
        <is>
          <t>RAS</t>
        </is>
      </c>
      <c r="I3148" s="45" t="inlineStr"/>
      <c r="J3148" s="45" t="inlineStr">
        <is>
          <t>RNCP37282</t>
        </is>
      </c>
      <c r="K3148" s="45" t="inlineStr">
        <is>
          <t>CQP Manager d’équipe en négoce des matériaux de construction</t>
        </is>
      </c>
      <c r="L3148" s="45" t="inlineStr">
        <is>
          <t>25/01/2028</t>
        </is>
      </c>
      <c r="M3148" s="45" t="inlineStr">
        <is>
          <t>22852 (Matériau construction) ; 31663 (Gestion stock) ; 34085 (Stratégie commerciale) ; 32154 (Encadrement management)</t>
        </is>
      </c>
      <c r="N3148" s="50" t="inlineStr">
        <is>
          <t>NON</t>
        </is>
      </c>
      <c r="O3148" s="45" t="inlineStr"/>
    </row>
    <row r="3149" customFormat="1" s="3">
      <c r="A3149" s="45" t="n"/>
      <c r="B3149" s="46" t="inlineStr">
        <is>
          <t>32104</t>
        </is>
      </c>
      <c r="C3149" s="46">
        <f>LEFT(Tableau1[[#This Row],[Formacode]],3)</f>
        <v/>
      </c>
      <c r="D3149" s="47" t="n">
        <v>37285</v>
      </c>
      <c r="E3149" s="48">
        <f>"RNCP"&amp;D3149</f>
        <v/>
      </c>
      <c r="F3149" s="48" t="inlineStr">
        <is>
          <t>CQP Chef d’agence en négoce des matériaux de construction</t>
        </is>
      </c>
      <c r="G3149" s="49">
        <f>E3149&amp;" - "&amp;F3149</f>
        <v/>
      </c>
      <c r="H3149" s="36" t="inlineStr">
        <is>
          <t>RAS</t>
        </is>
      </c>
      <c r="I3149" s="45" t="inlineStr"/>
      <c r="J3149" s="45" t="inlineStr">
        <is>
          <t>RNCP37285</t>
        </is>
      </c>
      <c r="K3149" s="45" t="inlineStr">
        <is>
          <t>CQP Chef d’agence en négoce des matériaux de construction</t>
        </is>
      </c>
      <c r="L3149" s="45" t="inlineStr">
        <is>
          <t>25/01/2028</t>
        </is>
      </c>
      <c r="M3149" s="45" t="inlineStr">
        <is>
          <t>22852 (Matériau construction) ; 32650 (Gestion budgétaire) ; 31663 (Gestion stock) ; 34085 (Stratégie commerciale) ; 32154 (Encadrement management)</t>
        </is>
      </c>
      <c r="N3149" s="50" t="inlineStr">
        <is>
          <t>NON</t>
        </is>
      </c>
      <c r="O3149" s="45" t="inlineStr"/>
    </row>
    <row r="3150" ht="28.8" customFormat="1" customHeight="1" s="3">
      <c r="A3150" s="45" t="n"/>
      <c r="B3150" s="46" t="inlineStr">
        <is>
          <t>32104</t>
        </is>
      </c>
      <c r="C3150" s="46">
        <f>LEFT(Tableau1[[#This Row],[Formacode]],3)</f>
        <v/>
      </c>
      <c r="D3150" s="47" t="n">
        <v>37375</v>
      </c>
      <c r="E3150" s="48">
        <f>"RNCP"&amp;D3150</f>
        <v/>
      </c>
      <c r="F3150" s="48" t="inlineStr">
        <is>
          <t>Brevet de technicien supérieur - Métiers de l’esthétique, de la cosmétique et de la parfumerie</t>
        </is>
      </c>
      <c r="G3150" s="49">
        <f>E3150&amp;" - "&amp;F3150</f>
        <v/>
      </c>
      <c r="H3150" s="36" t="inlineStr">
        <is>
          <t>RAS</t>
        </is>
      </c>
      <c r="I3150" s="45" t="inlineStr"/>
      <c r="J3150" s="45" t="inlineStr">
        <is>
          <t>RNCP37375</t>
        </is>
      </c>
      <c r="K3150" s="45" t="inlineStr">
        <is>
          <t>Métiers de l’esthétique, de la cosmétique et de la parfumerie</t>
        </is>
      </c>
      <c r="L3150" s="45" t="inlineStr">
        <is>
          <t>31/08/2028</t>
        </is>
      </c>
      <c r="M3150" s="45" t="inlineStr">
        <is>
          <t>42032 (Esthétique soin corporel) ; 32154 (Encadrement management) ; 22885 (Cosmétique) ; 34059 (Gestion marque) ; 44517 (Conception action formation)</t>
        </is>
      </c>
      <c r="N3150" s="50" t="inlineStr">
        <is>
          <t>NON</t>
        </is>
      </c>
      <c r="O3150" s="45" t="inlineStr"/>
    </row>
    <row r="3151" customFormat="1" s="3">
      <c r="A3151" s="45" t="n"/>
      <c r="B3151" s="46" t="inlineStr">
        <is>
          <t>32104</t>
        </is>
      </c>
      <c r="C3151" s="46">
        <f>LEFT(Tableau1[[#This Row],[Formacode]],3)</f>
        <v/>
      </c>
      <c r="D3151" s="47" t="n">
        <v>37655</v>
      </c>
      <c r="E3151" s="48">
        <f>"RNCP"&amp;D3151</f>
        <v/>
      </c>
      <c r="F3151" s="48" t="inlineStr">
        <is>
          <t>Responsable en gestion et développement d’une business unit</t>
        </is>
      </c>
      <c r="G3151" s="49">
        <f>E3151&amp;" - "&amp;F3151</f>
        <v/>
      </c>
      <c r="H3151" s="36" t="inlineStr">
        <is>
          <t>RAS</t>
        </is>
      </c>
      <c r="I3151" s="45" t="inlineStr"/>
      <c r="J3151" s="45" t="inlineStr">
        <is>
          <t>RNCP37655</t>
        </is>
      </c>
      <c r="K3151" s="45" t="inlineStr">
        <is>
          <t>Responsable en gestion et développement d’une business unit</t>
        </is>
      </c>
      <c r="L3151" s="45" t="inlineStr">
        <is>
          <t>31/05/2028</t>
        </is>
      </c>
      <c r="M3151" s="45" t="inlineStr">
        <is>
          <t>32025 (Stratégie entreprise) ; 32154 (Encadrement management) ; 34054 (Gestion commerciale achats)</t>
        </is>
      </c>
      <c r="N3151" s="50" t="inlineStr">
        <is>
          <t>NON</t>
        </is>
      </c>
      <c r="O3151" s="45" t="inlineStr"/>
    </row>
    <row r="3152" customFormat="1" s="3">
      <c r="A3152" s="45" t="n"/>
      <c r="B3152" s="46" t="inlineStr">
        <is>
          <t>32104</t>
        </is>
      </c>
      <c r="C3152" s="46">
        <f>LEFT(Tableau1[[#This Row],[Formacode]],3)</f>
        <v/>
      </c>
      <c r="D3152" s="47" t="n">
        <v>38135</v>
      </c>
      <c r="E3152" s="48">
        <f>"RNCP"&amp;D3152</f>
        <v/>
      </c>
      <c r="F3152" s="48" t="inlineStr">
        <is>
          <t>Manager commercial clients grands comptes</t>
        </is>
      </c>
      <c r="G3152" s="49">
        <f>E3152&amp;" - "&amp;F3152</f>
        <v/>
      </c>
      <c r="H3152" s="36" t="inlineStr">
        <is>
          <t>RAS</t>
        </is>
      </c>
      <c r="I3152" s="45" t="inlineStr"/>
      <c r="J3152" s="45" t="inlineStr">
        <is>
          <t>RNCP38135</t>
        </is>
      </c>
      <c r="K3152" s="45" t="inlineStr">
        <is>
          <t>Manager commercial clients grands comptes</t>
        </is>
      </c>
      <c r="L3152" s="45" t="inlineStr">
        <is>
          <t>18/10/2028</t>
        </is>
      </c>
      <c r="M3152" s="45" t="inlineStr">
        <is>
          <t>34572 (Négociation grand compte) ; 32154 (Encadrement management)</t>
        </is>
      </c>
      <c r="N3152" s="50" t="inlineStr">
        <is>
          <t>NON</t>
        </is>
      </c>
      <c r="O3152" s="45" t="inlineStr"/>
    </row>
    <row r="3153" customFormat="1" s="3">
      <c r="A3153" s="45" t="n"/>
      <c r="B3153" s="46" t="inlineStr">
        <is>
          <t>32104</t>
        </is>
      </c>
      <c r="C3153" s="46">
        <f>LEFT(Tableau1[[#This Row],[Formacode]],3)</f>
        <v/>
      </c>
      <c r="D3153" s="47" t="n">
        <v>38362</v>
      </c>
      <c r="E3153" s="48">
        <f>"RNCP"&amp;D3153</f>
        <v/>
      </c>
      <c r="F3153" s="48" t="inlineStr">
        <is>
          <t>BTS - Management commercial opérationnel</t>
        </is>
      </c>
      <c r="G3153" s="49">
        <f>E3153&amp;" - "&amp;F3153</f>
        <v/>
      </c>
      <c r="H3153" s="36" t="inlineStr">
        <is>
          <t>RAS</t>
        </is>
      </c>
      <c r="I3153" s="45" t="inlineStr"/>
      <c r="J3153" s="45" t="inlineStr">
        <is>
          <t>RNCP38362</t>
        </is>
      </c>
      <c r="K3153" s="45" t="inlineStr">
        <is>
          <t>Management commercial opérationnel</t>
        </is>
      </c>
      <c r="L3153" s="45" t="inlineStr">
        <is>
          <t>31/12/2028</t>
        </is>
      </c>
      <c r="M3153" s="45" t="inlineStr">
        <is>
          <t>34054 (Gestion commerciale achats) ; 32154 (Encadrement management)</t>
        </is>
      </c>
      <c r="N3153" s="50" t="inlineStr">
        <is>
          <t>NON</t>
        </is>
      </c>
      <c r="O3153" s="45" t="inlineStr"/>
    </row>
    <row r="3154" customFormat="1" s="3">
      <c r="A3154" s="45" t="n"/>
      <c r="B3154" s="46" t="inlineStr">
        <is>
          <t>32104</t>
        </is>
      </c>
      <c r="C3154" s="46">
        <f>LEFT(Tableau1[[#This Row],[Formacode]],3)</f>
        <v/>
      </c>
      <c r="D3154" s="47" t="n">
        <v>38374</v>
      </c>
      <c r="E3154" s="48">
        <f>"RNCP"&amp;D3154</f>
        <v/>
      </c>
      <c r="F3154" s="48" t="inlineStr">
        <is>
          <t>TP - Conducteur d'équipements agroalimentaires</t>
        </is>
      </c>
      <c r="G3154" s="49">
        <f>E3154&amp;" - "&amp;F3154</f>
        <v/>
      </c>
      <c r="H3154" s="36" t="inlineStr">
        <is>
          <t>RAS</t>
        </is>
      </c>
      <c r="I3154" s="45" t="inlineStr"/>
      <c r="J3154" s="45" t="inlineStr">
        <is>
          <t>RNCP38374</t>
        </is>
      </c>
      <c r="K3154" s="45" t="inlineStr">
        <is>
          <t>Conducteur d'équipements agroalimentaires</t>
        </is>
      </c>
      <c r="L3154" s="45" t="inlineStr">
        <is>
          <t>22/12/2028</t>
        </is>
      </c>
      <c r="M3154" s="45" t="inlineStr">
        <is>
          <t>21546 (Méthode haccp) ; 21547 (Bonnes pratiques hygiène agroalimentaire) ; 21575 (Conditionnement agroalimentaire) ; 32154 (Encadrement management) ; 32062 (Recherche développement)</t>
        </is>
      </c>
      <c r="N3154" s="50" t="inlineStr">
        <is>
          <t>NON</t>
        </is>
      </c>
      <c r="O3154" s="45" t="inlineStr"/>
    </row>
    <row r="3155" customFormat="1" s="3">
      <c r="A3155" s="45" t="n"/>
      <c r="B3155" s="46" t="inlineStr">
        <is>
          <t>32104</t>
        </is>
      </c>
      <c r="C3155" s="46">
        <f>LEFT(Tableau1[[#This Row],[Formacode]],3)</f>
        <v/>
      </c>
      <c r="D3155" s="47" t="n">
        <v>38439</v>
      </c>
      <c r="E3155" s="48">
        <f>"RNCP"&amp;D3155</f>
        <v/>
      </c>
      <c r="F3155" s="48" t="inlineStr">
        <is>
          <t>Responsable d'un centre de profit</t>
        </is>
      </c>
      <c r="G3155" s="49">
        <f>E3155&amp;" - "&amp;F3155</f>
        <v/>
      </c>
      <c r="H3155" s="36" t="inlineStr">
        <is>
          <t>RAS</t>
        </is>
      </c>
      <c r="I3155" s="45" t="inlineStr"/>
      <c r="J3155" s="45" t="inlineStr">
        <is>
          <t>RNCP38439</t>
        </is>
      </c>
      <c r="K3155" s="45" t="inlineStr">
        <is>
          <t>Responsable d'un centre de profit</t>
        </is>
      </c>
      <c r="L3155" s="45" t="inlineStr">
        <is>
          <t>21/12/2028</t>
        </is>
      </c>
      <c r="M3155" s="45" t="inlineStr">
        <is>
          <t>32024 (Gestion centre profit) ; 32154 (Encadrement management)</t>
        </is>
      </c>
      <c r="N3155" s="50" t="inlineStr">
        <is>
          <t>NON</t>
        </is>
      </c>
      <c r="O3155" s="45" t="inlineStr"/>
    </row>
    <row r="3156" customFormat="1" s="3">
      <c r="A3156" s="45" t="n"/>
      <c r="B3156" s="46" t="inlineStr">
        <is>
          <t>32104</t>
        </is>
      </c>
      <c r="C3156" s="46">
        <f>LEFT(Tableau1[[#This Row],[Formacode]],3)</f>
        <v/>
      </c>
      <c r="D3156" s="47" t="n">
        <v>38786</v>
      </c>
      <c r="E3156" s="48">
        <f>"RNCP"&amp;D3156</f>
        <v/>
      </c>
      <c r="F3156" s="48" t="inlineStr">
        <is>
          <t>CQP Responsable d'équipe</t>
        </is>
      </c>
      <c r="G3156" s="49">
        <f>E3156&amp;" - "&amp;F3156</f>
        <v/>
      </c>
      <c r="H3156" s="36" t="inlineStr">
        <is>
          <t>RAS</t>
        </is>
      </c>
      <c r="I3156" s="45" t="inlineStr"/>
      <c r="J3156" s="45" t="inlineStr">
        <is>
          <t>RNCP38786</t>
        </is>
      </c>
      <c r="K3156" s="45" t="inlineStr">
        <is>
          <t>CQP Responsable d'équipe</t>
        </is>
      </c>
      <c r="L3156" s="45" t="inlineStr">
        <is>
          <t>27/03/2028</t>
        </is>
      </c>
      <c r="M3156" s="45" t="inlineStr">
        <is>
          <t>32154 (Encadrement management)</t>
        </is>
      </c>
      <c r="N3156" s="50" t="inlineStr">
        <is>
          <t>NON</t>
        </is>
      </c>
      <c r="O3156" s="45" t="inlineStr"/>
    </row>
    <row r="3157" customFormat="1" s="3">
      <c r="A3157" s="45" t="n"/>
      <c r="B3157" s="46" t="inlineStr">
        <is>
          <t>32104</t>
        </is>
      </c>
      <c r="C3157" s="46">
        <f>LEFT(Tableau1[[#This Row],[Formacode]],3)</f>
        <v/>
      </c>
      <c r="D3157" s="47" t="n">
        <v>39136</v>
      </c>
      <c r="E3157" s="48">
        <f>"RNCP"&amp;D3157</f>
        <v/>
      </c>
      <c r="F3157" s="48" t="inlineStr">
        <is>
          <t>Grade_Master - Diplôme des Instituts d’Études Politiques – Sciences Po</t>
        </is>
      </c>
      <c r="G3157" s="49">
        <f>E3157&amp;" - "&amp;F3157</f>
        <v/>
      </c>
      <c r="H3157" s="36" t="inlineStr">
        <is>
          <t>RAS</t>
        </is>
      </c>
      <c r="I3157" s="45" t="inlineStr"/>
      <c r="J3157" s="45" t="inlineStr">
        <is>
          <t>RNCP39136</t>
        </is>
      </c>
      <c r="K3157" s="45" t="inlineStr">
        <is>
          <t>Diplôme des Instituts d’Études Politiques – Sciences Po</t>
        </is>
      </c>
      <c r="L3157" s="45" t="inlineStr">
        <is>
          <t>14/04/2029</t>
        </is>
      </c>
      <c r="M3157" s="45" t="inlineStr">
        <is>
          <t>13154 (Économie) ; 13054 (Science politique) ; 46354 (Information - Communication numérique) ; 32154 (Encadrement management) ; 13254 (Droit)</t>
        </is>
      </c>
      <c r="N3157" s="50" t="inlineStr">
        <is>
          <t>NON</t>
        </is>
      </c>
      <c r="O3157" s="45" t="inlineStr"/>
    </row>
    <row r="3158" customFormat="1" s="3">
      <c r="A3158" s="51" t="n"/>
      <c r="B3158" s="52" t="inlineStr">
        <is>
          <t>32104</t>
        </is>
      </c>
      <c r="C3158" s="52">
        <f>LEFT(Tableau1[[#This Row],[Formacode]],3)</f>
        <v/>
      </c>
      <c r="D3158" s="53" t="n">
        <v>39160</v>
      </c>
      <c r="E3158" s="54">
        <f>"RNCP"&amp;D3158</f>
        <v/>
      </c>
      <c r="F3158" s="54" t="inlineStr">
        <is>
          <t>Diplôme visé grade de master - Programme Grande Ecole</t>
        </is>
      </c>
      <c r="G3158" s="55">
        <f>E3158&amp;" - "&amp;F3158</f>
        <v/>
      </c>
      <c r="H3158" s="37" t="inlineStr">
        <is>
          <t>À vérifier</t>
        </is>
      </c>
      <c r="I3158" s="51" t="inlineStr">
        <is>
          <t>Échéance le 31/08/2026 (dans 44 j)</t>
        </is>
      </c>
      <c r="J3158" s="51" t="inlineStr">
        <is>
          <t>RNCP39160</t>
        </is>
      </c>
      <c r="K3158" s="51" t="inlineStr">
        <is>
          <t>Programme Grande Ecole</t>
        </is>
      </c>
      <c r="L3158" s="51" t="inlineStr">
        <is>
          <t>31/08/2026</t>
        </is>
      </c>
      <c r="M3158" s="51" t="inlineStr">
        <is>
          <t>32025 (Stratégie entreprise) ; 32008 (Responsabilité sociétale entreprise) ; 32047 (Création entreprise) ; 32654 (Gestion financière comptabilité) ; 32154 (Encadrement management)</t>
        </is>
      </c>
      <c r="N3158" s="62" t="inlineStr">
        <is>
          <t>NON</t>
        </is>
      </c>
      <c r="O3158" s="51" t="inlineStr"/>
    </row>
    <row r="3159" customFormat="1" s="3">
      <c r="A3159" s="45" t="n"/>
      <c r="B3159" s="46" t="inlineStr">
        <is>
          <t>32104</t>
        </is>
      </c>
      <c r="C3159" s="46">
        <f>LEFT(Tableau1[[#This Row],[Formacode]],3)</f>
        <v/>
      </c>
      <c r="D3159" s="47" t="n">
        <v>39354</v>
      </c>
      <c r="E3159" s="48">
        <f>"RNCP"&amp;D3159</f>
        <v/>
      </c>
      <c r="F3159" s="48" t="inlineStr">
        <is>
          <t>Manager du développement d'entreprise et commercial</t>
        </is>
      </c>
      <c r="G3159" s="49">
        <f>E3159&amp;" - "&amp;F3159</f>
        <v/>
      </c>
      <c r="H3159" s="36" t="inlineStr">
        <is>
          <t>RAS</t>
        </is>
      </c>
      <c r="I3159" s="45" t="inlineStr"/>
      <c r="J3159" s="45" t="inlineStr">
        <is>
          <t>RNCP39354</t>
        </is>
      </c>
      <c r="K3159" s="45" t="inlineStr">
        <is>
          <t>Manager du développement d'entreprise et commercial</t>
        </is>
      </c>
      <c r="L3159" s="45" t="inlineStr">
        <is>
          <t>19/07/2027</t>
        </is>
      </c>
      <c r="M3159" s="45" t="inlineStr">
        <is>
          <t>34085 (Stratégie commerciale) ; 32025 (Stratégie entreprise) ; 32024 (Gestion centre profit) ; 32154 (Encadrement management)</t>
        </is>
      </c>
      <c r="N3159" s="50" t="inlineStr">
        <is>
          <t>NON</t>
        </is>
      </c>
      <c r="O3159" s="45" t="inlineStr"/>
    </row>
    <row r="3160" customFormat="1" s="3">
      <c r="A3160" s="45" t="n"/>
      <c r="B3160" s="46" t="inlineStr">
        <is>
          <t>32104</t>
        </is>
      </c>
      <c r="C3160" s="46">
        <f>LEFT(Tableau1[[#This Row],[Formacode]],3)</f>
        <v/>
      </c>
      <c r="D3160" s="47" t="n">
        <v>39366</v>
      </c>
      <c r="E3160" s="48">
        <f>"RNCP"&amp;D3160</f>
        <v/>
      </c>
      <c r="F3160" s="48" t="inlineStr">
        <is>
          <t>CQP Manager commercial cuisines et/ou aménagement intérieur</t>
        </is>
      </c>
      <c r="G3160" s="49">
        <f>E3160&amp;" - "&amp;F3160</f>
        <v/>
      </c>
      <c r="H3160" s="36" t="inlineStr">
        <is>
          <t>RAS</t>
        </is>
      </c>
      <c r="I3160" s="45" t="inlineStr"/>
      <c r="J3160" s="45" t="inlineStr">
        <is>
          <t>RNCP39366</t>
        </is>
      </c>
      <c r="K3160" s="45" t="inlineStr">
        <is>
          <t>CQP Manager commercial cuisines et/ou aménagement intérieur</t>
        </is>
      </c>
      <c r="L3160" s="45" t="inlineStr">
        <is>
          <t>19/07/2029</t>
        </is>
      </c>
      <c r="M3160" s="45" t="inlineStr">
        <is>
          <t>34561 (Force vente) ; 34536 (Vente équipement maison) ; 32154 (Encadrement management)</t>
        </is>
      </c>
      <c r="N3160" s="50" t="inlineStr">
        <is>
          <t>NON</t>
        </is>
      </c>
      <c r="O3160" s="45" t="inlineStr"/>
    </row>
    <row r="3161" customFormat="1" s="3">
      <c r="A3161" s="51" t="n"/>
      <c r="B3161" s="52" t="inlineStr">
        <is>
          <t>32104</t>
        </is>
      </c>
      <c r="C3161" s="52">
        <f>LEFT(Tableau1[[#This Row],[Formacode]],3)</f>
        <v/>
      </c>
      <c r="D3161" s="53" t="n">
        <v>39763</v>
      </c>
      <c r="E3161" s="54">
        <f>"RNCP"&amp;D3161</f>
        <v/>
      </c>
      <c r="F3161" s="54" t="inlineStr">
        <is>
          <t>Manager de la performance financière</t>
        </is>
      </c>
      <c r="G3161" s="55">
        <f>E3161&amp;" - "&amp;F3161</f>
        <v/>
      </c>
      <c r="H3161" s="37" t="inlineStr">
        <is>
          <t>À vérifier</t>
        </is>
      </c>
      <c r="I3161" s="51" t="inlineStr">
        <is>
          <t>Échéance le 31/10/2026 (dans 105 j)</t>
        </is>
      </c>
      <c r="J3161" s="51" t="inlineStr">
        <is>
          <t>RNCP39763</t>
        </is>
      </c>
      <c r="K3161" s="51" t="inlineStr">
        <is>
          <t>Manager de la performance financière</t>
        </is>
      </c>
      <c r="L3161" s="51" t="inlineStr">
        <is>
          <t>31/10/2026</t>
        </is>
      </c>
      <c r="M3161" s="51" t="inlineStr">
        <is>
          <t>32154 (Encadrement management) ; 32079 (Gestion performance) ; 32652 (Contrôle gestion) ; 32098 (Audit entreprise)</t>
        </is>
      </c>
      <c r="N3161" s="62" t="inlineStr">
        <is>
          <t>NON</t>
        </is>
      </c>
      <c r="O3161" s="51" t="inlineStr"/>
    </row>
    <row r="3162" customFormat="1" s="3">
      <c r="A3162" s="45" t="n"/>
      <c r="B3162" s="46" t="inlineStr">
        <is>
          <t>32104</t>
        </is>
      </c>
      <c r="C3162" s="46">
        <f>LEFT(Tableau1[[#This Row],[Formacode]],3)</f>
        <v/>
      </c>
      <c r="D3162" s="47" t="n">
        <v>39787</v>
      </c>
      <c r="E3162" s="48">
        <f>"RNCP"&amp;D3162</f>
        <v/>
      </c>
      <c r="F3162" s="48" t="inlineStr">
        <is>
          <t>Directeur de la performance commerciale</t>
        </is>
      </c>
      <c r="G3162" s="49">
        <f>E3162&amp;" - "&amp;F3162</f>
        <v/>
      </c>
      <c r="H3162" s="36" t="inlineStr">
        <is>
          <t>RAS</t>
        </is>
      </c>
      <c r="I3162" s="45" t="inlineStr"/>
      <c r="J3162" s="45" t="inlineStr">
        <is>
          <t>RNCP39787</t>
        </is>
      </c>
      <c r="K3162" s="45" t="inlineStr">
        <is>
          <t>Directeur de la performance commerciale</t>
        </is>
      </c>
      <c r="L3162" s="45" t="inlineStr">
        <is>
          <t>31/10/2029</t>
        </is>
      </c>
      <c r="M3162" s="45" t="inlineStr">
        <is>
          <t>32079 (Gestion performance) ; 32154 (Encadrement management) ; 34085 (Stratégie commerciale)</t>
        </is>
      </c>
      <c r="N3162" s="50" t="inlineStr">
        <is>
          <t>NON</t>
        </is>
      </c>
      <c r="O3162" s="45" t="inlineStr"/>
    </row>
    <row r="3163" customFormat="1" s="3">
      <c r="A3163" s="45" t="n"/>
      <c r="B3163" s="46" t="inlineStr">
        <is>
          <t>32104</t>
        </is>
      </c>
      <c r="C3163" s="46">
        <f>LEFT(Tableau1[[#This Row],[Formacode]],3)</f>
        <v/>
      </c>
      <c r="D3163" s="47" t="n">
        <v>39864</v>
      </c>
      <c r="E3163" s="48">
        <f>"RNCP"&amp;D3163</f>
        <v/>
      </c>
      <c r="F3163" s="48" t="inlineStr">
        <is>
          <t>Manager du développement des ressources humaines</t>
        </is>
      </c>
      <c r="G3163" s="49">
        <f>E3163&amp;" - "&amp;F3163</f>
        <v/>
      </c>
      <c r="H3163" s="36" t="inlineStr">
        <is>
          <t>RAS</t>
        </is>
      </c>
      <c r="I3163" s="45" t="inlineStr"/>
      <c r="J3163" s="45" t="inlineStr">
        <is>
          <t>RNCP39864</t>
        </is>
      </c>
      <c r="K3163" s="45" t="inlineStr">
        <is>
          <t>Manager du développement des ressources humaines</t>
        </is>
      </c>
      <c r="L3163" s="45" t="inlineStr">
        <is>
          <t>28/11/2027</t>
        </is>
      </c>
      <c r="M3163" s="45" t="inlineStr">
        <is>
          <t>33054 (Gestion ressources humaines) ; 32154 (Encadrement management)</t>
        </is>
      </c>
      <c r="N3163" s="50" t="inlineStr">
        <is>
          <t>NON</t>
        </is>
      </c>
      <c r="O3163" s="45" t="inlineStr"/>
    </row>
    <row r="3164" customFormat="1" s="3">
      <c r="A3164" s="45" t="n"/>
      <c r="B3164" s="46" t="inlineStr">
        <is>
          <t>32104</t>
        </is>
      </c>
      <c r="C3164" s="46">
        <f>LEFT(Tableau1[[#This Row],[Formacode]],3)</f>
        <v/>
      </c>
      <c r="D3164" s="47" t="n">
        <v>39972</v>
      </c>
      <c r="E3164" s="48">
        <f>"RNCP"&amp;D3164</f>
        <v/>
      </c>
      <c r="F3164" s="48" t="inlineStr">
        <is>
          <t>CQP Responsable d'équipe du secteur alimentaire</t>
        </is>
      </c>
      <c r="G3164" s="49">
        <f>E3164&amp;" - "&amp;F3164</f>
        <v/>
      </c>
      <c r="H3164" s="36" t="inlineStr">
        <is>
          <t>RAS</t>
        </is>
      </c>
      <c r="I3164" s="45" t="inlineStr"/>
      <c r="J3164" s="45" t="inlineStr">
        <is>
          <t>RNCP39972</t>
        </is>
      </c>
      <c r="K3164" s="45" t="inlineStr">
        <is>
          <t>CQP Responsable d'équipe du secteur alimentaire</t>
        </is>
      </c>
      <c r="L3164" s="45" t="inlineStr">
        <is>
          <t>18/12/2029</t>
        </is>
      </c>
      <c r="M3164" s="45" t="inlineStr">
        <is>
          <t>32154 (Encadrement management) ; 21554 (Agroalimentaire)</t>
        </is>
      </c>
      <c r="N3164" s="50" t="inlineStr">
        <is>
          <t>NON</t>
        </is>
      </c>
      <c r="O3164" s="45" t="inlineStr"/>
    </row>
    <row r="3165" customFormat="1" s="3">
      <c r="A3165" s="45" t="n"/>
      <c r="B3165" s="46" t="inlineStr">
        <is>
          <t>32104</t>
        </is>
      </c>
      <c r="C3165" s="46">
        <f>LEFT(Tableau1[[#This Row],[Formacode]],3)</f>
        <v/>
      </c>
      <c r="D3165" s="47" t="n">
        <v>39994</v>
      </c>
      <c r="E3165" s="48">
        <f>"RNCP"&amp;D3165</f>
        <v/>
      </c>
      <c r="F3165" s="48" t="inlineStr">
        <is>
          <t>Manager des transformations des organisations</t>
        </is>
      </c>
      <c r="G3165" s="49">
        <f>E3165&amp;" - "&amp;F3165</f>
        <v/>
      </c>
      <c r="H3165" s="36" t="inlineStr">
        <is>
          <t>RAS</t>
        </is>
      </c>
      <c r="I3165" s="45" t="inlineStr"/>
      <c r="J3165" s="45" t="inlineStr">
        <is>
          <t>RNCP39994</t>
        </is>
      </c>
      <c r="K3165" s="45" t="inlineStr">
        <is>
          <t>Manager des transformations des organisations</t>
        </is>
      </c>
      <c r="L3165" s="45" t="inlineStr">
        <is>
          <t>18/12/2027</t>
        </is>
      </c>
      <c r="M3165" s="45" t="inlineStr">
        <is>
          <t>32025 (Stratégie entreprise) ; 32079 (Gestion performance) ; 32154 (Encadrement management)</t>
        </is>
      </c>
      <c r="N3165" s="50" t="inlineStr">
        <is>
          <t>NON</t>
        </is>
      </c>
      <c r="O3165" s="45" t="inlineStr"/>
    </row>
    <row r="3166" customFormat="1" s="3">
      <c r="A3166" s="45" t="n"/>
      <c r="B3166" s="46" t="inlineStr">
        <is>
          <t>32104</t>
        </is>
      </c>
      <c r="C3166" s="46">
        <f>LEFT(Tableau1[[#This Row],[Formacode]],3)</f>
        <v/>
      </c>
      <c r="D3166" s="47" t="n">
        <v>40169</v>
      </c>
      <c r="E3166" s="48">
        <f>"RNCP"&amp;D3166</f>
        <v/>
      </c>
      <c r="F3166" s="48" t="inlineStr">
        <is>
          <t>CQP Responsable de conseillers techniques en élevage</t>
        </is>
      </c>
      <c r="G3166" s="49">
        <f>E3166&amp;" - "&amp;F3166</f>
        <v/>
      </c>
      <c r="H3166" s="36" t="inlineStr">
        <is>
          <t>RAS</t>
        </is>
      </c>
      <c r="I3166" s="45" t="inlineStr"/>
      <c r="J3166" s="45" t="inlineStr">
        <is>
          <t>RNCP40169</t>
        </is>
      </c>
      <c r="K3166" s="45" t="inlineStr">
        <is>
          <t>CQP Responsable de conseillers techniques en élevage</t>
        </is>
      </c>
      <c r="L3166" s="45" t="inlineStr">
        <is>
          <t>31/01/2030</t>
        </is>
      </c>
      <c r="M3166" s="45" t="inlineStr">
        <is>
          <t>21056 (Élevage) ; 32068 (Coordination travail) ; 32154 (Encadrement management)</t>
        </is>
      </c>
      <c r="N3166" s="50" t="inlineStr">
        <is>
          <t>NON</t>
        </is>
      </c>
      <c r="O3166" s="45" t="inlineStr"/>
    </row>
    <row r="3167" customFormat="1" s="3">
      <c r="A3167" s="45" t="n"/>
      <c r="B3167" s="46" t="inlineStr">
        <is>
          <t>32104</t>
        </is>
      </c>
      <c r="C3167" s="46">
        <f>LEFT(Tableau1[[#This Row],[Formacode]],3)</f>
        <v/>
      </c>
      <c r="D3167" s="47" t="n">
        <v>41000</v>
      </c>
      <c r="E3167" s="48">
        <f>"RNCP"&amp;D3167</f>
        <v/>
      </c>
      <c r="F3167" s="48" t="inlineStr">
        <is>
          <t>BTS - Management opérationnel de la sécurité</t>
        </is>
      </c>
      <c r="G3167" s="49">
        <f>E3167&amp;" - "&amp;F3167</f>
        <v/>
      </c>
      <c r="H3167" s="36" t="inlineStr">
        <is>
          <t>RAS</t>
        </is>
      </c>
      <c r="I3167" s="45" t="inlineStr"/>
      <c r="J3167" s="45" t="inlineStr">
        <is>
          <t>RNCP41000</t>
        </is>
      </c>
      <c r="K3167" s="45" t="inlineStr">
        <is>
          <t>Management opérationnel de la sécurité</t>
        </is>
      </c>
      <c r="L3167" s="45" t="inlineStr">
        <is>
          <t>31/08/2030</t>
        </is>
      </c>
      <c r="M3167" s="45" t="inlineStr">
        <is>
          <t>42854 (Prévention sécurité) ; 32154 (Encadrement management)</t>
        </is>
      </c>
      <c r="N3167" s="50" t="inlineStr">
        <is>
          <t>NON</t>
        </is>
      </c>
      <c r="O3167" s="45" t="inlineStr"/>
    </row>
    <row r="3168" customFormat="1" s="3">
      <c r="A3168" s="45" t="n"/>
      <c r="B3168" s="46" t="inlineStr">
        <is>
          <t>32104</t>
        </is>
      </c>
      <c r="C3168" s="46">
        <f>LEFT(Tableau1[[#This Row],[Formacode]],3)</f>
        <v/>
      </c>
      <c r="D3168" s="47" t="n">
        <v>41809</v>
      </c>
      <c r="E3168" s="48">
        <f>"RNCP"&amp;D3168</f>
        <v/>
      </c>
      <c r="F3168" s="48" t="inlineStr">
        <is>
          <t>Manager de la stratégie marketing digital</t>
        </is>
      </c>
      <c r="G3168" s="49">
        <f>E3168&amp;" - "&amp;F3168</f>
        <v/>
      </c>
      <c r="H3168" s="36" t="inlineStr">
        <is>
          <t>RAS</t>
        </is>
      </c>
      <c r="I3168" s="45" t="inlineStr"/>
      <c r="J3168" s="45" t="inlineStr">
        <is>
          <t>RNCP41809</t>
        </is>
      </c>
      <c r="K3168" s="45" t="inlineStr">
        <is>
          <t>Manager de la stratégie marketing digital</t>
        </is>
      </c>
      <c r="L3168" s="45" t="inlineStr">
        <is>
          <t>18/12/2028</t>
        </is>
      </c>
      <c r="M3168" s="45" t="inlineStr">
        <is>
          <t>46301 (Communication entreprise) ; 15004 (Communication professionnelle) ; 32154 (Encadrement management) ; 34052 (Marketing)</t>
        </is>
      </c>
      <c r="N3168" s="50" t="inlineStr">
        <is>
          <t>NON</t>
        </is>
      </c>
      <c r="O3168" s="45" t="inlineStr"/>
    </row>
    <row r="3169" customFormat="1" s="3">
      <c r="A3169" s="63" t="n"/>
      <c r="B3169" s="64" t="inlineStr">
        <is>
          <t>32105</t>
        </is>
      </c>
      <c r="C3169" s="64">
        <f>LEFT(Tableau1[[#This Row],[Formacode]],3)</f>
        <v/>
      </c>
      <c r="D3169" s="65" t="n">
        <v>35233</v>
      </c>
      <c r="E3169" s="66">
        <f>"RNCP"&amp;D3169</f>
        <v/>
      </c>
      <c r="F3169" s="66" t="inlineStr">
        <is>
          <t>TP - Assistant manager d’unité marchande</t>
        </is>
      </c>
      <c r="G3169" s="67">
        <f>E3169&amp;" - "&amp;F3169</f>
        <v/>
      </c>
      <c r="H3169" s="38" t="inlineStr">
        <is>
          <t>Expiré / remplacé</t>
        </is>
      </c>
      <c r="I3169" s="63" t="inlineStr">
        <is>
          <t>Fiche inactive — remplacée par RNCP41852 (Assistant manager d’unité marchande)</t>
        </is>
      </c>
      <c r="J3169" s="63" t="inlineStr">
        <is>
          <t>RNCP41852</t>
        </is>
      </c>
      <c r="K3169" s="63" t="inlineStr">
        <is>
          <t>Assistant manager d’unité marchande</t>
        </is>
      </c>
      <c r="L3169" s="63" t="inlineStr">
        <is>
          <t>16/02/2026</t>
        </is>
      </c>
      <c r="M3169" s="63" t="inlineStr">
        <is>
          <t>34566 (Vente distribution) ; 32154 (Encadrement management)</t>
        </is>
      </c>
      <c r="N3169" s="68" t="inlineStr">
        <is>
          <t>NON</t>
        </is>
      </c>
      <c r="O3169" s="63" t="inlineStr"/>
    </row>
    <row r="3170" customFormat="1" s="3">
      <c r="A3170" s="45" t="n"/>
      <c r="B3170" s="46" t="inlineStr">
        <is>
          <t>32105</t>
        </is>
      </c>
      <c r="C3170" s="46">
        <f>LEFT(Tableau1[[#This Row],[Formacode]],3)</f>
        <v/>
      </c>
      <c r="D3170" s="47" t="n">
        <v>36461</v>
      </c>
      <c r="E3170" s="48">
        <f>"RNCP"&amp;D3170</f>
        <v/>
      </c>
      <c r="F3170" s="48" t="inlineStr">
        <is>
          <t>Directeur d'unité opérationnelle</t>
        </is>
      </c>
      <c r="G3170" s="49">
        <f>E3170&amp;" - "&amp;F3170</f>
        <v/>
      </c>
      <c r="H3170" s="36" t="inlineStr">
        <is>
          <t>RAS</t>
        </is>
      </c>
      <c r="I3170" s="45" t="inlineStr"/>
      <c r="J3170" s="45" t="inlineStr">
        <is>
          <t>RNCP36461</t>
        </is>
      </c>
      <c r="K3170" s="45" t="inlineStr">
        <is>
          <t>Directeur d'unité opérationnelle</t>
        </is>
      </c>
      <c r="L3170" s="45" t="inlineStr">
        <is>
          <t>02/06/2027</t>
        </is>
      </c>
      <c r="M3170" s="45" t="inlineStr">
        <is>
          <t>32054 (Gestion des organisations) ; 32154 (Encadrement management)</t>
        </is>
      </c>
      <c r="N3170" s="50" t="inlineStr">
        <is>
          <t>NON</t>
        </is>
      </c>
      <c r="O3170" s="45" t="inlineStr"/>
    </row>
    <row r="3171" customFormat="1" s="3">
      <c r="A3171" s="45" t="n"/>
      <c r="B3171" s="46" t="inlineStr">
        <is>
          <t>32105</t>
        </is>
      </c>
      <c r="C3171" s="46">
        <f>LEFT(Tableau1[[#This Row],[Formacode]],3)</f>
        <v/>
      </c>
      <c r="D3171" s="47" t="n">
        <v>36890</v>
      </c>
      <c r="E3171" s="48">
        <f>"RNCP"&amp;D3171</f>
        <v/>
      </c>
      <c r="F3171" s="48" t="inlineStr">
        <is>
          <t>Manager d'unité opérationnelle</t>
        </is>
      </c>
      <c r="G3171" s="49">
        <f>E3171&amp;" - "&amp;F3171</f>
        <v/>
      </c>
      <c r="H3171" s="36" t="inlineStr">
        <is>
          <t>RAS</t>
        </is>
      </c>
      <c r="I3171" s="45" t="inlineStr"/>
      <c r="J3171" s="45" t="inlineStr">
        <is>
          <t>RNCP36890</t>
        </is>
      </c>
      <c r="K3171" s="45" t="inlineStr">
        <is>
          <t>Manager d'unité opérationnelle</t>
        </is>
      </c>
      <c r="L3171" s="45" t="inlineStr">
        <is>
          <t>29/09/2027</t>
        </is>
      </c>
      <c r="M3171" s="45" t="inlineStr">
        <is>
          <t>32079 (Gestion performance) ; 32025 (Stratégie entreprise) ; 32154 (Encadrement management)</t>
        </is>
      </c>
      <c r="N3171" s="50" t="inlineStr">
        <is>
          <t>NON</t>
        </is>
      </c>
      <c r="O3171" s="45" t="inlineStr"/>
    </row>
    <row r="3172" customFormat="1" s="3">
      <c r="A3172" s="45" t="n"/>
      <c r="B3172" s="46" t="inlineStr">
        <is>
          <t>32105</t>
        </is>
      </c>
      <c r="C3172" s="46">
        <f>LEFT(Tableau1[[#This Row],[Formacode]],3)</f>
        <v/>
      </c>
      <c r="D3172" s="47" t="n">
        <v>37270</v>
      </c>
      <c r="E3172" s="48">
        <f>"RNCP"&amp;D3172</f>
        <v/>
      </c>
      <c r="F3172" s="48" t="inlineStr">
        <is>
          <t>Manager de programmes internationaux - humanitaire et développement</t>
        </is>
      </c>
      <c r="G3172" s="49">
        <f>E3172&amp;" - "&amp;F3172</f>
        <v/>
      </c>
      <c r="H3172" s="36" t="inlineStr">
        <is>
          <t>RAS</t>
        </is>
      </c>
      <c r="I3172" s="45" t="inlineStr"/>
      <c r="J3172" s="45" t="inlineStr">
        <is>
          <t>RNCP37270</t>
        </is>
      </c>
      <c r="K3172" s="45" t="inlineStr">
        <is>
          <t>Manager de programmes internationaux - humanitaire et développement</t>
        </is>
      </c>
      <c r="L3172" s="45" t="inlineStr">
        <is>
          <t>25/01/2028</t>
        </is>
      </c>
      <c r="M3172" s="45" t="inlineStr">
        <is>
          <t>13017 (Action humanitaire) ; 32154 (Encadrement management) ; 32005 (Stratégie internationale)</t>
        </is>
      </c>
      <c r="N3172" s="50" t="inlineStr">
        <is>
          <t>NON</t>
        </is>
      </c>
      <c r="O3172" s="45" t="inlineStr"/>
    </row>
    <row r="3173" customFormat="1" s="3">
      <c r="A3173" s="45" t="n"/>
      <c r="B3173" s="46" t="inlineStr">
        <is>
          <t>32105</t>
        </is>
      </c>
      <c r="C3173" s="46">
        <f>LEFT(Tableau1[[#This Row],[Formacode]],3)</f>
        <v/>
      </c>
      <c r="D3173" s="47" t="n">
        <v>37282</v>
      </c>
      <c r="E3173" s="48">
        <f>"RNCP"&amp;D3173</f>
        <v/>
      </c>
      <c r="F3173" s="48" t="inlineStr">
        <is>
          <t>CQP Manager d’équipe en négoce des matériaux de construction</t>
        </is>
      </c>
      <c r="G3173" s="49">
        <f>E3173&amp;" - "&amp;F3173</f>
        <v/>
      </c>
      <c r="H3173" s="36" t="inlineStr">
        <is>
          <t>RAS</t>
        </is>
      </c>
      <c r="I3173" s="45" t="inlineStr"/>
      <c r="J3173" s="45" t="inlineStr">
        <is>
          <t>RNCP37282</t>
        </is>
      </c>
      <c r="K3173" s="45" t="inlineStr">
        <is>
          <t>CQP Manager d’équipe en négoce des matériaux de construction</t>
        </is>
      </c>
      <c r="L3173" s="45" t="inlineStr">
        <is>
          <t>25/01/2028</t>
        </is>
      </c>
      <c r="M3173" s="45" t="inlineStr">
        <is>
          <t>22852 (Matériau construction) ; 31663 (Gestion stock) ; 34085 (Stratégie commerciale) ; 32154 (Encadrement management)</t>
        </is>
      </c>
      <c r="N3173" s="50" t="inlineStr">
        <is>
          <t>NON</t>
        </is>
      </c>
      <c r="O3173" s="45" t="inlineStr"/>
    </row>
    <row r="3174" customFormat="1" s="3">
      <c r="A3174" s="45" t="n"/>
      <c r="B3174" s="46" t="inlineStr">
        <is>
          <t>32105</t>
        </is>
      </c>
      <c r="C3174" s="46">
        <f>LEFT(Tableau1[[#This Row],[Formacode]],3)</f>
        <v/>
      </c>
      <c r="D3174" s="47" t="n">
        <v>37285</v>
      </c>
      <c r="E3174" s="48">
        <f>"RNCP"&amp;D3174</f>
        <v/>
      </c>
      <c r="F3174" s="48" t="inlineStr">
        <is>
          <t>CQP Chef d’agence en négoce des matériaux de construction</t>
        </is>
      </c>
      <c r="G3174" s="49">
        <f>E3174&amp;" - "&amp;F3174</f>
        <v/>
      </c>
      <c r="H3174" s="36" t="inlineStr">
        <is>
          <t>RAS</t>
        </is>
      </c>
      <c r="I3174" s="45" t="inlineStr"/>
      <c r="J3174" s="45" t="inlineStr">
        <is>
          <t>RNCP37285</t>
        </is>
      </c>
      <c r="K3174" s="45" t="inlineStr">
        <is>
          <t>CQP Chef d’agence en négoce des matériaux de construction</t>
        </is>
      </c>
      <c r="L3174" s="45" t="inlineStr">
        <is>
          <t>25/01/2028</t>
        </is>
      </c>
      <c r="M3174" s="45" t="inlineStr">
        <is>
          <t>22852 (Matériau construction) ; 32650 (Gestion budgétaire) ; 31663 (Gestion stock) ; 34085 (Stratégie commerciale) ; 32154 (Encadrement management)</t>
        </is>
      </c>
      <c r="N3174" s="50" t="inlineStr">
        <is>
          <t>NON</t>
        </is>
      </c>
      <c r="O3174" s="45" t="inlineStr"/>
    </row>
    <row r="3175" ht="28.8" customFormat="1" customHeight="1" s="3">
      <c r="A3175" s="45" t="n"/>
      <c r="B3175" s="46" t="inlineStr">
        <is>
          <t>32105</t>
        </is>
      </c>
      <c r="C3175" s="46">
        <f>LEFT(Tableau1[[#This Row],[Formacode]],3)</f>
        <v/>
      </c>
      <c r="D3175" s="47" t="n">
        <v>37375</v>
      </c>
      <c r="E3175" s="48">
        <f>"RNCP"&amp;D3175</f>
        <v/>
      </c>
      <c r="F3175" s="48" t="inlineStr">
        <is>
          <t>Brevet de technicien supérieur - Métiers de l’esthétique, de la cosmétique et de la parfumerie</t>
        </is>
      </c>
      <c r="G3175" s="49">
        <f>E3175&amp;" - "&amp;F3175</f>
        <v/>
      </c>
      <c r="H3175" s="36" t="inlineStr">
        <is>
          <t>RAS</t>
        </is>
      </c>
      <c r="I3175" s="45" t="inlineStr"/>
      <c r="J3175" s="45" t="inlineStr">
        <is>
          <t>RNCP37375</t>
        </is>
      </c>
      <c r="K3175" s="45" t="inlineStr">
        <is>
          <t>Métiers de l’esthétique, de la cosmétique et de la parfumerie</t>
        </is>
      </c>
      <c r="L3175" s="45" t="inlineStr">
        <is>
          <t>31/08/2028</t>
        </is>
      </c>
      <c r="M3175" s="45" t="inlineStr">
        <is>
          <t>42032 (Esthétique soin corporel) ; 32154 (Encadrement management) ; 22885 (Cosmétique) ; 34059 (Gestion marque) ; 44517 (Conception action formation)</t>
        </is>
      </c>
      <c r="N3175" s="50" t="inlineStr">
        <is>
          <t>NON</t>
        </is>
      </c>
      <c r="O3175" s="45" t="inlineStr"/>
    </row>
    <row r="3176" customFormat="1" s="3">
      <c r="A3176" s="45" t="n"/>
      <c r="B3176" s="46" t="inlineStr">
        <is>
          <t>32105</t>
        </is>
      </c>
      <c r="C3176" s="46">
        <f>LEFT(Tableau1[[#This Row],[Formacode]],3)</f>
        <v/>
      </c>
      <c r="D3176" s="47" t="n">
        <v>37655</v>
      </c>
      <c r="E3176" s="48">
        <f>"RNCP"&amp;D3176</f>
        <v/>
      </c>
      <c r="F3176" s="48" t="inlineStr">
        <is>
          <t>Responsable en gestion et développement d’une business unit</t>
        </is>
      </c>
      <c r="G3176" s="49">
        <f>E3176&amp;" - "&amp;F3176</f>
        <v/>
      </c>
      <c r="H3176" s="36" t="inlineStr">
        <is>
          <t>RAS</t>
        </is>
      </c>
      <c r="I3176" s="45" t="inlineStr"/>
      <c r="J3176" s="45" t="inlineStr">
        <is>
          <t>RNCP37655</t>
        </is>
      </c>
      <c r="K3176" s="45" t="inlineStr">
        <is>
          <t>Responsable en gestion et développement d’une business unit</t>
        </is>
      </c>
      <c r="L3176" s="45" t="inlineStr">
        <is>
          <t>31/05/2028</t>
        </is>
      </c>
      <c r="M3176" s="45" t="inlineStr">
        <is>
          <t>32025 (Stratégie entreprise) ; 32154 (Encadrement management) ; 34054 (Gestion commerciale achats)</t>
        </is>
      </c>
      <c r="N3176" s="50" t="inlineStr">
        <is>
          <t>NON</t>
        </is>
      </c>
      <c r="O3176" s="45" t="inlineStr"/>
    </row>
    <row r="3177" customFormat="1" s="3">
      <c r="A3177" s="45" t="n"/>
      <c r="B3177" s="46" t="inlineStr">
        <is>
          <t>32105</t>
        </is>
      </c>
      <c r="C3177" s="46">
        <f>LEFT(Tableau1[[#This Row],[Formacode]],3)</f>
        <v/>
      </c>
      <c r="D3177" s="47" t="n">
        <v>38135</v>
      </c>
      <c r="E3177" s="48">
        <f>"RNCP"&amp;D3177</f>
        <v/>
      </c>
      <c r="F3177" s="48" t="inlineStr">
        <is>
          <t>Manager commercial clients grands comptes</t>
        </is>
      </c>
      <c r="G3177" s="49">
        <f>E3177&amp;" - "&amp;F3177</f>
        <v/>
      </c>
      <c r="H3177" s="36" t="inlineStr">
        <is>
          <t>RAS</t>
        </is>
      </c>
      <c r="I3177" s="45" t="inlineStr"/>
      <c r="J3177" s="45" t="inlineStr">
        <is>
          <t>RNCP38135</t>
        </is>
      </c>
      <c r="K3177" s="45" t="inlineStr">
        <is>
          <t>Manager commercial clients grands comptes</t>
        </is>
      </c>
      <c r="L3177" s="45" t="inlineStr">
        <is>
          <t>18/10/2028</t>
        </is>
      </c>
      <c r="M3177" s="45" t="inlineStr">
        <is>
          <t>34572 (Négociation grand compte) ; 32154 (Encadrement management)</t>
        </is>
      </c>
      <c r="N3177" s="50" t="inlineStr">
        <is>
          <t>NON</t>
        </is>
      </c>
      <c r="O3177" s="45" t="inlineStr"/>
    </row>
    <row r="3178" customFormat="1" s="3">
      <c r="A3178" s="45" t="n"/>
      <c r="B3178" s="46" t="inlineStr">
        <is>
          <t>32105</t>
        </is>
      </c>
      <c r="C3178" s="46">
        <f>LEFT(Tableau1[[#This Row],[Formacode]],3)</f>
        <v/>
      </c>
      <c r="D3178" s="47" t="n">
        <v>38362</v>
      </c>
      <c r="E3178" s="48">
        <f>"RNCP"&amp;D3178</f>
        <v/>
      </c>
      <c r="F3178" s="48" t="inlineStr">
        <is>
          <t>BTS - Management commercial opérationnel</t>
        </is>
      </c>
      <c r="G3178" s="49">
        <f>E3178&amp;" - "&amp;F3178</f>
        <v/>
      </c>
      <c r="H3178" s="36" t="inlineStr">
        <is>
          <t>RAS</t>
        </is>
      </c>
      <c r="I3178" s="45" t="inlineStr"/>
      <c r="J3178" s="45" t="inlineStr">
        <is>
          <t>RNCP38362</t>
        </is>
      </c>
      <c r="K3178" s="45" t="inlineStr">
        <is>
          <t>Management commercial opérationnel</t>
        </is>
      </c>
      <c r="L3178" s="45" t="inlineStr">
        <is>
          <t>31/12/2028</t>
        </is>
      </c>
      <c r="M3178" s="45" t="inlineStr">
        <is>
          <t>34054 (Gestion commerciale achats) ; 32154 (Encadrement management)</t>
        </is>
      </c>
      <c r="N3178" s="50" t="inlineStr">
        <is>
          <t>NON</t>
        </is>
      </c>
      <c r="O3178" s="45" t="inlineStr"/>
    </row>
    <row r="3179" customFormat="1" s="3">
      <c r="A3179" s="45" t="n"/>
      <c r="B3179" s="46" t="inlineStr">
        <is>
          <t>32105</t>
        </is>
      </c>
      <c r="C3179" s="46">
        <f>LEFT(Tableau1[[#This Row],[Formacode]],3)</f>
        <v/>
      </c>
      <c r="D3179" s="47" t="n">
        <v>38374</v>
      </c>
      <c r="E3179" s="48">
        <f>"RNCP"&amp;D3179</f>
        <v/>
      </c>
      <c r="F3179" s="48" t="inlineStr">
        <is>
          <t>TP - Conducteur d'équipements agroalimentaires</t>
        </is>
      </c>
      <c r="G3179" s="49">
        <f>E3179&amp;" - "&amp;F3179</f>
        <v/>
      </c>
      <c r="H3179" s="36" t="inlineStr">
        <is>
          <t>RAS</t>
        </is>
      </c>
      <c r="I3179" s="45" t="inlineStr"/>
      <c r="J3179" s="45" t="inlineStr">
        <is>
          <t>RNCP38374</t>
        </is>
      </c>
      <c r="K3179" s="45" t="inlineStr">
        <is>
          <t>Conducteur d'équipements agroalimentaires</t>
        </is>
      </c>
      <c r="L3179" s="45" t="inlineStr">
        <is>
          <t>22/12/2028</t>
        </is>
      </c>
      <c r="M3179" s="45" t="inlineStr">
        <is>
          <t>21546 (Méthode haccp) ; 21547 (Bonnes pratiques hygiène agroalimentaire) ; 21575 (Conditionnement agroalimentaire) ; 32154 (Encadrement management) ; 32062 (Recherche développement)</t>
        </is>
      </c>
      <c r="N3179" s="50" t="inlineStr">
        <is>
          <t>NON</t>
        </is>
      </c>
      <c r="O3179" s="45" t="inlineStr"/>
    </row>
    <row r="3180" customFormat="1" s="3">
      <c r="A3180" s="45" t="n"/>
      <c r="B3180" s="46" t="inlineStr">
        <is>
          <t>32105</t>
        </is>
      </c>
      <c r="C3180" s="46">
        <f>LEFT(Tableau1[[#This Row],[Formacode]],3)</f>
        <v/>
      </c>
      <c r="D3180" s="47" t="n">
        <v>38439</v>
      </c>
      <c r="E3180" s="48">
        <f>"RNCP"&amp;D3180</f>
        <v/>
      </c>
      <c r="F3180" s="48" t="inlineStr">
        <is>
          <t>Responsable d'un centre de profit</t>
        </is>
      </c>
      <c r="G3180" s="49">
        <f>E3180&amp;" - "&amp;F3180</f>
        <v/>
      </c>
      <c r="H3180" s="36" t="inlineStr">
        <is>
          <t>RAS</t>
        </is>
      </c>
      <c r="I3180" s="45" t="inlineStr"/>
      <c r="J3180" s="45" t="inlineStr">
        <is>
          <t>RNCP38439</t>
        </is>
      </c>
      <c r="K3180" s="45" t="inlineStr">
        <is>
          <t>Responsable d'un centre de profit</t>
        </is>
      </c>
      <c r="L3180" s="45" t="inlineStr">
        <is>
          <t>21/12/2028</t>
        </is>
      </c>
      <c r="M3180" s="45" t="inlineStr">
        <is>
          <t>32024 (Gestion centre profit) ; 32154 (Encadrement management)</t>
        </is>
      </c>
      <c r="N3180" s="50" t="inlineStr">
        <is>
          <t>NON</t>
        </is>
      </c>
      <c r="O3180" s="45" t="inlineStr"/>
    </row>
    <row r="3181" customFormat="1" s="3">
      <c r="A3181" s="45" t="n"/>
      <c r="B3181" s="46" t="inlineStr">
        <is>
          <t>32105</t>
        </is>
      </c>
      <c r="C3181" s="46">
        <f>LEFT(Tableau1[[#This Row],[Formacode]],3)</f>
        <v/>
      </c>
      <c r="D3181" s="47" t="n">
        <v>38786</v>
      </c>
      <c r="E3181" s="48">
        <f>"RNCP"&amp;D3181</f>
        <v/>
      </c>
      <c r="F3181" s="48" t="inlineStr">
        <is>
          <t>CQP Responsable d'équipe</t>
        </is>
      </c>
      <c r="G3181" s="49">
        <f>E3181&amp;" - "&amp;F3181</f>
        <v/>
      </c>
      <c r="H3181" s="36" t="inlineStr">
        <is>
          <t>RAS</t>
        </is>
      </c>
      <c r="I3181" s="45" t="inlineStr"/>
      <c r="J3181" s="45" t="inlineStr">
        <is>
          <t>RNCP38786</t>
        </is>
      </c>
      <c r="K3181" s="45" t="inlineStr">
        <is>
          <t>CQP Responsable d'équipe</t>
        </is>
      </c>
      <c r="L3181" s="45" t="inlineStr">
        <is>
          <t>27/03/2028</t>
        </is>
      </c>
      <c r="M3181" s="45" t="inlineStr">
        <is>
          <t>32154 (Encadrement management)</t>
        </is>
      </c>
      <c r="N3181" s="50" t="inlineStr">
        <is>
          <t>NON</t>
        </is>
      </c>
      <c r="O3181" s="45" t="inlineStr"/>
    </row>
    <row r="3182" customFormat="1" s="3">
      <c r="A3182" s="45" t="n"/>
      <c r="B3182" s="46" t="inlineStr">
        <is>
          <t>32105</t>
        </is>
      </c>
      <c r="C3182" s="46">
        <f>LEFT(Tableau1[[#This Row],[Formacode]],3)</f>
        <v/>
      </c>
      <c r="D3182" s="47" t="n">
        <v>39136</v>
      </c>
      <c r="E3182" s="48">
        <f>"RNCP"&amp;D3182</f>
        <v/>
      </c>
      <c r="F3182" s="48" t="inlineStr">
        <is>
          <t>Grade_Master - Diplôme des Instituts d’Études Politiques – Sciences Po</t>
        </is>
      </c>
      <c r="G3182" s="49">
        <f>E3182&amp;" - "&amp;F3182</f>
        <v/>
      </c>
      <c r="H3182" s="36" t="inlineStr">
        <is>
          <t>RAS</t>
        </is>
      </c>
      <c r="I3182" s="45" t="inlineStr"/>
      <c r="J3182" s="45" t="inlineStr">
        <is>
          <t>RNCP39136</t>
        </is>
      </c>
      <c r="K3182" s="45" t="inlineStr">
        <is>
          <t>Diplôme des Instituts d’Études Politiques – Sciences Po</t>
        </is>
      </c>
      <c r="L3182" s="45" t="inlineStr">
        <is>
          <t>14/04/2029</t>
        </is>
      </c>
      <c r="M3182" s="45" t="inlineStr">
        <is>
          <t>13154 (Économie) ; 13054 (Science politique) ; 46354 (Information - Communication numérique) ; 32154 (Encadrement management) ; 13254 (Droit)</t>
        </is>
      </c>
      <c r="N3182" s="50" t="inlineStr">
        <is>
          <t>NON</t>
        </is>
      </c>
      <c r="O3182" s="45" t="inlineStr"/>
    </row>
    <row r="3183" customFormat="1" s="3">
      <c r="A3183" s="51" t="n"/>
      <c r="B3183" s="52" t="inlineStr">
        <is>
          <t>32105</t>
        </is>
      </c>
      <c r="C3183" s="52">
        <f>LEFT(Tableau1[[#This Row],[Formacode]],3)</f>
        <v/>
      </c>
      <c r="D3183" s="53" t="n">
        <v>39160</v>
      </c>
      <c r="E3183" s="54">
        <f>"RNCP"&amp;D3183</f>
        <v/>
      </c>
      <c r="F3183" s="54" t="inlineStr">
        <is>
          <t>Diplôme visé grade de master - Programme Grande Ecole</t>
        </is>
      </c>
      <c r="G3183" s="55">
        <f>E3183&amp;" - "&amp;F3183</f>
        <v/>
      </c>
      <c r="H3183" s="37" t="inlineStr">
        <is>
          <t>À vérifier</t>
        </is>
      </c>
      <c r="I3183" s="51" t="inlineStr">
        <is>
          <t>Échéance le 31/08/2026 (dans 44 j)</t>
        </is>
      </c>
      <c r="J3183" s="51" t="inlineStr">
        <is>
          <t>RNCP39160</t>
        </is>
      </c>
      <c r="K3183" s="51" t="inlineStr">
        <is>
          <t>Programme Grande Ecole</t>
        </is>
      </c>
      <c r="L3183" s="51" t="inlineStr">
        <is>
          <t>31/08/2026</t>
        </is>
      </c>
      <c r="M3183" s="51" t="inlineStr">
        <is>
          <t>32025 (Stratégie entreprise) ; 32008 (Responsabilité sociétale entreprise) ; 32047 (Création entreprise) ; 32654 (Gestion financière comptabilité) ; 32154 (Encadrement management)</t>
        </is>
      </c>
      <c r="N3183" s="62" t="inlineStr">
        <is>
          <t>NON</t>
        </is>
      </c>
      <c r="O3183" s="51" t="inlineStr"/>
    </row>
    <row r="3184" customFormat="1" s="3">
      <c r="A3184" s="45" t="n"/>
      <c r="B3184" s="46" t="inlineStr">
        <is>
          <t>32105</t>
        </is>
      </c>
      <c r="C3184" s="46">
        <f>LEFT(Tableau1[[#This Row],[Formacode]],3)</f>
        <v/>
      </c>
      <c r="D3184" s="47" t="n">
        <v>39354</v>
      </c>
      <c r="E3184" s="48">
        <f>"RNCP"&amp;D3184</f>
        <v/>
      </c>
      <c r="F3184" s="48" t="inlineStr">
        <is>
          <t>Manager du développement d'entreprise et commercial</t>
        </is>
      </c>
      <c r="G3184" s="49">
        <f>E3184&amp;" - "&amp;F3184</f>
        <v/>
      </c>
      <c r="H3184" s="36" t="inlineStr">
        <is>
          <t>RAS</t>
        </is>
      </c>
      <c r="I3184" s="45" t="inlineStr"/>
      <c r="J3184" s="45" t="inlineStr">
        <is>
          <t>RNCP39354</t>
        </is>
      </c>
      <c r="K3184" s="45" t="inlineStr">
        <is>
          <t>Manager du développement d'entreprise et commercial</t>
        </is>
      </c>
      <c r="L3184" s="45" t="inlineStr">
        <is>
          <t>19/07/2027</t>
        </is>
      </c>
      <c r="M3184" s="45" t="inlineStr">
        <is>
          <t>34085 (Stratégie commerciale) ; 32025 (Stratégie entreprise) ; 32024 (Gestion centre profit) ; 32154 (Encadrement management)</t>
        </is>
      </c>
      <c r="N3184" s="50" t="inlineStr">
        <is>
          <t>NON</t>
        </is>
      </c>
      <c r="O3184" s="45" t="inlineStr"/>
    </row>
    <row r="3185" customFormat="1" s="3">
      <c r="A3185" s="45" t="n"/>
      <c r="B3185" s="46" t="inlineStr">
        <is>
          <t>32105</t>
        </is>
      </c>
      <c r="C3185" s="46">
        <f>LEFT(Tableau1[[#This Row],[Formacode]],3)</f>
        <v/>
      </c>
      <c r="D3185" s="47" t="n">
        <v>39366</v>
      </c>
      <c r="E3185" s="48">
        <f>"RNCP"&amp;D3185</f>
        <v/>
      </c>
      <c r="F3185" s="48" t="inlineStr">
        <is>
          <t>CQP Manager commercial cuisines et/ou aménagement intérieur</t>
        </is>
      </c>
      <c r="G3185" s="49">
        <f>E3185&amp;" - "&amp;F3185</f>
        <v/>
      </c>
      <c r="H3185" s="36" t="inlineStr">
        <is>
          <t>RAS</t>
        </is>
      </c>
      <c r="I3185" s="45" t="inlineStr"/>
      <c r="J3185" s="45" t="inlineStr">
        <is>
          <t>RNCP39366</t>
        </is>
      </c>
      <c r="K3185" s="45" t="inlineStr">
        <is>
          <t>CQP Manager commercial cuisines et/ou aménagement intérieur</t>
        </is>
      </c>
      <c r="L3185" s="45" t="inlineStr">
        <is>
          <t>19/07/2029</t>
        </is>
      </c>
      <c r="M3185" s="45" t="inlineStr">
        <is>
          <t>34561 (Force vente) ; 34536 (Vente équipement maison) ; 32154 (Encadrement management)</t>
        </is>
      </c>
      <c r="N3185" s="50" t="inlineStr">
        <is>
          <t>NON</t>
        </is>
      </c>
      <c r="O3185" s="45" t="inlineStr"/>
    </row>
    <row r="3186" customFormat="1" s="3">
      <c r="A3186" s="51" t="n"/>
      <c r="B3186" s="52" t="inlineStr">
        <is>
          <t>32105</t>
        </is>
      </c>
      <c r="C3186" s="52">
        <f>LEFT(Tableau1[[#This Row],[Formacode]],3)</f>
        <v/>
      </c>
      <c r="D3186" s="53" t="n">
        <v>39763</v>
      </c>
      <c r="E3186" s="54">
        <f>"RNCP"&amp;D3186</f>
        <v/>
      </c>
      <c r="F3186" s="54" t="inlineStr">
        <is>
          <t>Manager de la performance financière</t>
        </is>
      </c>
      <c r="G3186" s="55">
        <f>E3186&amp;" - "&amp;F3186</f>
        <v/>
      </c>
      <c r="H3186" s="37" t="inlineStr">
        <is>
          <t>À vérifier</t>
        </is>
      </c>
      <c r="I3186" s="51" t="inlineStr">
        <is>
          <t>Échéance le 31/10/2026 (dans 105 j)</t>
        </is>
      </c>
      <c r="J3186" s="51" t="inlineStr">
        <is>
          <t>RNCP39763</t>
        </is>
      </c>
      <c r="K3186" s="51" t="inlineStr">
        <is>
          <t>Manager de la performance financière</t>
        </is>
      </c>
      <c r="L3186" s="51" t="inlineStr">
        <is>
          <t>31/10/2026</t>
        </is>
      </c>
      <c r="M3186" s="51" t="inlineStr">
        <is>
          <t>32154 (Encadrement management) ; 32079 (Gestion performance) ; 32652 (Contrôle gestion) ; 32098 (Audit entreprise)</t>
        </is>
      </c>
      <c r="N3186" s="62" t="inlineStr">
        <is>
          <t>NON</t>
        </is>
      </c>
      <c r="O3186" s="51" t="inlineStr"/>
    </row>
    <row r="3187" customFormat="1" s="3">
      <c r="A3187" s="45" t="n"/>
      <c r="B3187" s="46" t="inlineStr">
        <is>
          <t>32105</t>
        </is>
      </c>
      <c r="C3187" s="46">
        <f>LEFT(Tableau1[[#This Row],[Formacode]],3)</f>
        <v/>
      </c>
      <c r="D3187" s="47" t="n">
        <v>39787</v>
      </c>
      <c r="E3187" s="48">
        <f>"RNCP"&amp;D3187</f>
        <v/>
      </c>
      <c r="F3187" s="48" t="inlineStr">
        <is>
          <t>Directeur de la performance commerciale</t>
        </is>
      </c>
      <c r="G3187" s="49">
        <f>E3187&amp;" - "&amp;F3187</f>
        <v/>
      </c>
      <c r="H3187" s="36" t="inlineStr">
        <is>
          <t>RAS</t>
        </is>
      </c>
      <c r="I3187" s="45" t="inlineStr"/>
      <c r="J3187" s="45" t="inlineStr">
        <is>
          <t>RNCP39787</t>
        </is>
      </c>
      <c r="K3187" s="45" t="inlineStr">
        <is>
          <t>Directeur de la performance commerciale</t>
        </is>
      </c>
      <c r="L3187" s="45" t="inlineStr">
        <is>
          <t>31/10/2029</t>
        </is>
      </c>
      <c r="M3187" s="45" t="inlineStr">
        <is>
          <t>32079 (Gestion performance) ; 32154 (Encadrement management) ; 34085 (Stratégie commerciale)</t>
        </is>
      </c>
      <c r="N3187" s="50" t="inlineStr">
        <is>
          <t>NON</t>
        </is>
      </c>
      <c r="O3187" s="45" t="inlineStr"/>
    </row>
    <row r="3188" customFormat="1" s="3">
      <c r="A3188" s="45" t="n"/>
      <c r="B3188" s="46" t="inlineStr">
        <is>
          <t>32105</t>
        </is>
      </c>
      <c r="C3188" s="46">
        <f>LEFT(Tableau1[[#This Row],[Formacode]],3)</f>
        <v/>
      </c>
      <c r="D3188" s="47" t="n">
        <v>39864</v>
      </c>
      <c r="E3188" s="48">
        <f>"RNCP"&amp;D3188</f>
        <v/>
      </c>
      <c r="F3188" s="48" t="inlineStr">
        <is>
          <t>Manager du développement des ressources humaines</t>
        </is>
      </c>
      <c r="G3188" s="49">
        <f>E3188&amp;" - "&amp;F3188</f>
        <v/>
      </c>
      <c r="H3188" s="36" t="inlineStr">
        <is>
          <t>RAS</t>
        </is>
      </c>
      <c r="I3188" s="45" t="inlineStr"/>
      <c r="J3188" s="45" t="inlineStr">
        <is>
          <t>RNCP39864</t>
        </is>
      </c>
      <c r="K3188" s="45" t="inlineStr">
        <is>
          <t>Manager du développement des ressources humaines</t>
        </is>
      </c>
      <c r="L3188" s="45" t="inlineStr">
        <is>
          <t>28/11/2027</t>
        </is>
      </c>
      <c r="M3188" s="45" t="inlineStr">
        <is>
          <t>33054 (Gestion ressources humaines) ; 32154 (Encadrement management)</t>
        </is>
      </c>
      <c r="N3188" s="50" t="inlineStr">
        <is>
          <t>NON</t>
        </is>
      </c>
      <c r="O3188" s="45" t="inlineStr"/>
    </row>
    <row r="3189" customFormat="1" s="3">
      <c r="A3189" s="45" t="n"/>
      <c r="B3189" s="46" t="inlineStr">
        <is>
          <t>32105</t>
        </is>
      </c>
      <c r="C3189" s="46">
        <f>LEFT(Tableau1[[#This Row],[Formacode]],3)</f>
        <v/>
      </c>
      <c r="D3189" s="47" t="n">
        <v>39972</v>
      </c>
      <c r="E3189" s="48">
        <f>"RNCP"&amp;D3189</f>
        <v/>
      </c>
      <c r="F3189" s="48" t="inlineStr">
        <is>
          <t>CQP Responsable d'équipe du secteur alimentaire</t>
        </is>
      </c>
      <c r="G3189" s="49">
        <f>E3189&amp;" - "&amp;F3189</f>
        <v/>
      </c>
      <c r="H3189" s="36" t="inlineStr">
        <is>
          <t>RAS</t>
        </is>
      </c>
      <c r="I3189" s="45" t="inlineStr"/>
      <c r="J3189" s="45" t="inlineStr">
        <is>
          <t>RNCP39972</t>
        </is>
      </c>
      <c r="K3189" s="45" t="inlineStr">
        <is>
          <t>CQP Responsable d'équipe du secteur alimentaire</t>
        </is>
      </c>
      <c r="L3189" s="45" t="inlineStr">
        <is>
          <t>18/12/2029</t>
        </is>
      </c>
      <c r="M3189" s="45" t="inlineStr">
        <is>
          <t>32154 (Encadrement management) ; 21554 (Agroalimentaire)</t>
        </is>
      </c>
      <c r="N3189" s="50" t="inlineStr">
        <is>
          <t>NON</t>
        </is>
      </c>
      <c r="O3189" s="45" t="inlineStr"/>
    </row>
    <row r="3190" customFormat="1" s="3">
      <c r="A3190" s="45" t="n"/>
      <c r="B3190" s="46" t="inlineStr">
        <is>
          <t>32105</t>
        </is>
      </c>
      <c r="C3190" s="46">
        <f>LEFT(Tableau1[[#This Row],[Formacode]],3)</f>
        <v/>
      </c>
      <c r="D3190" s="47" t="n">
        <v>39994</v>
      </c>
      <c r="E3190" s="48">
        <f>"RNCP"&amp;D3190</f>
        <v/>
      </c>
      <c r="F3190" s="48" t="inlineStr">
        <is>
          <t>Manager des transformations des organisations</t>
        </is>
      </c>
      <c r="G3190" s="49">
        <f>E3190&amp;" - "&amp;F3190</f>
        <v/>
      </c>
      <c r="H3190" s="36" t="inlineStr">
        <is>
          <t>RAS</t>
        </is>
      </c>
      <c r="I3190" s="45" t="inlineStr"/>
      <c r="J3190" s="45" t="inlineStr">
        <is>
          <t>RNCP39994</t>
        </is>
      </c>
      <c r="K3190" s="45" t="inlineStr">
        <is>
          <t>Manager des transformations des organisations</t>
        </is>
      </c>
      <c r="L3190" s="45" t="inlineStr">
        <is>
          <t>18/12/2027</t>
        </is>
      </c>
      <c r="M3190" s="45" t="inlineStr">
        <is>
          <t>32025 (Stratégie entreprise) ; 32079 (Gestion performance) ; 32154 (Encadrement management)</t>
        </is>
      </c>
      <c r="N3190" s="50" t="inlineStr">
        <is>
          <t>NON</t>
        </is>
      </c>
      <c r="O3190" s="45" t="inlineStr"/>
    </row>
    <row r="3191" customFormat="1" s="3">
      <c r="A3191" s="45" t="n"/>
      <c r="B3191" s="46" t="inlineStr">
        <is>
          <t>32105</t>
        </is>
      </c>
      <c r="C3191" s="46">
        <f>LEFT(Tableau1[[#This Row],[Formacode]],3)</f>
        <v/>
      </c>
      <c r="D3191" s="47" t="n">
        <v>40169</v>
      </c>
      <c r="E3191" s="48">
        <f>"RNCP"&amp;D3191</f>
        <v/>
      </c>
      <c r="F3191" s="48" t="inlineStr">
        <is>
          <t>CQP Responsable de conseillers techniques en élevage</t>
        </is>
      </c>
      <c r="G3191" s="49">
        <f>E3191&amp;" - "&amp;F3191</f>
        <v/>
      </c>
      <c r="H3191" s="36" t="inlineStr">
        <is>
          <t>RAS</t>
        </is>
      </c>
      <c r="I3191" s="45" t="inlineStr"/>
      <c r="J3191" s="45" t="inlineStr">
        <is>
          <t>RNCP40169</t>
        </is>
      </c>
      <c r="K3191" s="45" t="inlineStr">
        <is>
          <t>CQP Responsable de conseillers techniques en élevage</t>
        </is>
      </c>
      <c r="L3191" s="45" t="inlineStr">
        <is>
          <t>31/01/2030</t>
        </is>
      </c>
      <c r="M3191" s="45" t="inlineStr">
        <is>
          <t>21056 (Élevage) ; 32068 (Coordination travail) ; 32154 (Encadrement management)</t>
        </is>
      </c>
      <c r="N3191" s="50" t="inlineStr">
        <is>
          <t>NON</t>
        </is>
      </c>
      <c r="O3191" s="45" t="inlineStr"/>
    </row>
    <row r="3192" customFormat="1" s="3">
      <c r="A3192" s="45" t="n"/>
      <c r="B3192" s="46" t="inlineStr">
        <is>
          <t>32105</t>
        </is>
      </c>
      <c r="C3192" s="46">
        <f>LEFT(Tableau1[[#This Row],[Formacode]],3)</f>
        <v/>
      </c>
      <c r="D3192" s="47" t="n">
        <v>41000</v>
      </c>
      <c r="E3192" s="48">
        <f>"RNCP"&amp;D3192</f>
        <v/>
      </c>
      <c r="F3192" s="48" t="inlineStr">
        <is>
          <t>BTS - Management opérationnel de la sécurité</t>
        </is>
      </c>
      <c r="G3192" s="49">
        <f>E3192&amp;" - "&amp;F3192</f>
        <v/>
      </c>
      <c r="H3192" s="36" t="inlineStr">
        <is>
          <t>RAS</t>
        </is>
      </c>
      <c r="I3192" s="45" t="inlineStr"/>
      <c r="J3192" s="45" t="inlineStr">
        <is>
          <t>RNCP41000</t>
        </is>
      </c>
      <c r="K3192" s="45" t="inlineStr">
        <is>
          <t>Management opérationnel de la sécurité</t>
        </is>
      </c>
      <c r="L3192" s="45" t="inlineStr">
        <is>
          <t>31/08/2030</t>
        </is>
      </c>
      <c r="M3192" s="45" t="inlineStr">
        <is>
          <t>42854 (Prévention sécurité) ; 32154 (Encadrement management)</t>
        </is>
      </c>
      <c r="N3192" s="50" t="inlineStr">
        <is>
          <t>NON</t>
        </is>
      </c>
      <c r="O3192" s="45" t="inlineStr"/>
    </row>
    <row r="3193" customFormat="1" s="3">
      <c r="A3193" s="45" t="n"/>
      <c r="B3193" s="46" t="inlineStr">
        <is>
          <t>32105</t>
        </is>
      </c>
      <c r="C3193" s="46">
        <f>LEFT(Tableau1[[#This Row],[Formacode]],3)</f>
        <v/>
      </c>
      <c r="D3193" s="47" t="n">
        <v>41809</v>
      </c>
      <c r="E3193" s="48">
        <f>"RNCP"&amp;D3193</f>
        <v/>
      </c>
      <c r="F3193" s="48" t="inlineStr">
        <is>
          <t>Manager de la stratégie marketing digital</t>
        </is>
      </c>
      <c r="G3193" s="49">
        <f>E3193&amp;" - "&amp;F3193</f>
        <v/>
      </c>
      <c r="H3193" s="36" t="inlineStr">
        <is>
          <t>RAS</t>
        </is>
      </c>
      <c r="I3193" s="45" t="inlineStr"/>
      <c r="J3193" s="45" t="inlineStr">
        <is>
          <t>RNCP41809</t>
        </is>
      </c>
      <c r="K3193" s="45" t="inlineStr">
        <is>
          <t>Manager de la stratégie marketing digital</t>
        </is>
      </c>
      <c r="L3193" s="45" t="inlineStr">
        <is>
          <t>18/12/2028</t>
        </is>
      </c>
      <c r="M3193" s="45" t="inlineStr">
        <is>
          <t>46301 (Communication entreprise) ; 15004 (Communication professionnelle) ; 32154 (Encadrement management) ; 34052 (Marketing)</t>
        </is>
      </c>
      <c r="N3193" s="50" t="inlineStr">
        <is>
          <t>NON</t>
        </is>
      </c>
      <c r="O3193" s="45" t="inlineStr"/>
    </row>
    <row r="3194" customFormat="1" s="3">
      <c r="A3194" s="63" t="n"/>
      <c r="B3194" s="64" t="inlineStr">
        <is>
          <t>32106</t>
        </is>
      </c>
      <c r="C3194" s="64">
        <f>LEFT(Tableau1[[#This Row],[Formacode]],3)</f>
        <v/>
      </c>
      <c r="D3194" s="65" t="n">
        <v>35233</v>
      </c>
      <c r="E3194" s="66">
        <f>"RNCP"&amp;D3194</f>
        <v/>
      </c>
      <c r="F3194" s="66" t="inlineStr">
        <is>
          <t>TP - Assistant manager d’unité marchande</t>
        </is>
      </c>
      <c r="G3194" s="67">
        <f>E3194&amp;" - "&amp;F3194</f>
        <v/>
      </c>
      <c r="H3194" s="38" t="inlineStr">
        <is>
          <t>Expiré / remplacé</t>
        </is>
      </c>
      <c r="I3194" s="63" t="inlineStr">
        <is>
          <t>Fiche inactive — remplacée par RNCP41852 (Assistant manager d’unité marchande)</t>
        </is>
      </c>
      <c r="J3194" s="63" t="inlineStr">
        <is>
          <t>RNCP41852</t>
        </is>
      </c>
      <c r="K3194" s="63" t="inlineStr">
        <is>
          <t>Assistant manager d’unité marchande</t>
        </is>
      </c>
      <c r="L3194" s="63" t="inlineStr">
        <is>
          <t>16/02/2026</t>
        </is>
      </c>
      <c r="M3194" s="63" t="inlineStr">
        <is>
          <t>34566 (Vente distribution) ; 32154 (Encadrement management)</t>
        </is>
      </c>
      <c r="N3194" s="68" t="inlineStr">
        <is>
          <t>NON</t>
        </is>
      </c>
      <c r="O3194" s="63" t="inlineStr"/>
    </row>
    <row r="3195" customFormat="1" s="3">
      <c r="A3195" s="45" t="n"/>
      <c r="B3195" s="46" t="inlineStr">
        <is>
          <t>32106</t>
        </is>
      </c>
      <c r="C3195" s="46">
        <f>LEFT(Tableau1[[#This Row],[Formacode]],3)</f>
        <v/>
      </c>
      <c r="D3195" s="47" t="n">
        <v>36461</v>
      </c>
      <c r="E3195" s="48">
        <f>"RNCP"&amp;D3195</f>
        <v/>
      </c>
      <c r="F3195" s="48" t="inlineStr">
        <is>
          <t>Directeur d'unité opérationnelle</t>
        </is>
      </c>
      <c r="G3195" s="49">
        <f>E3195&amp;" - "&amp;F3195</f>
        <v/>
      </c>
      <c r="H3195" s="36" t="inlineStr">
        <is>
          <t>RAS</t>
        </is>
      </c>
      <c r="I3195" s="45" t="inlineStr"/>
      <c r="J3195" s="45" t="inlineStr">
        <is>
          <t>RNCP36461</t>
        </is>
      </c>
      <c r="K3195" s="45" t="inlineStr">
        <is>
          <t>Directeur d'unité opérationnelle</t>
        </is>
      </c>
      <c r="L3195" s="45" t="inlineStr">
        <is>
          <t>02/06/2027</t>
        </is>
      </c>
      <c r="M3195" s="45" t="inlineStr">
        <is>
          <t>32054 (Gestion des organisations) ; 32154 (Encadrement management)</t>
        </is>
      </c>
      <c r="N3195" s="50" t="inlineStr">
        <is>
          <t>NON</t>
        </is>
      </c>
      <c r="O3195" s="45" t="inlineStr"/>
    </row>
    <row r="3196" customFormat="1" s="3">
      <c r="A3196" s="45" t="n"/>
      <c r="B3196" s="46" t="inlineStr">
        <is>
          <t>32106</t>
        </is>
      </c>
      <c r="C3196" s="46">
        <f>LEFT(Tableau1[[#This Row],[Formacode]],3)</f>
        <v/>
      </c>
      <c r="D3196" s="47" t="n">
        <v>36890</v>
      </c>
      <c r="E3196" s="48">
        <f>"RNCP"&amp;D3196</f>
        <v/>
      </c>
      <c r="F3196" s="48" t="inlineStr">
        <is>
          <t>Manager d'unité opérationnelle</t>
        </is>
      </c>
      <c r="G3196" s="49">
        <f>E3196&amp;" - "&amp;F3196</f>
        <v/>
      </c>
      <c r="H3196" s="36" t="inlineStr">
        <is>
          <t>RAS</t>
        </is>
      </c>
      <c r="I3196" s="45" t="inlineStr"/>
      <c r="J3196" s="45" t="inlineStr">
        <is>
          <t>RNCP36890</t>
        </is>
      </c>
      <c r="K3196" s="45" t="inlineStr">
        <is>
          <t>Manager d'unité opérationnelle</t>
        </is>
      </c>
      <c r="L3196" s="45" t="inlineStr">
        <is>
          <t>29/09/2027</t>
        </is>
      </c>
      <c r="M3196" s="45" t="inlineStr">
        <is>
          <t>32079 (Gestion performance) ; 32025 (Stratégie entreprise) ; 32154 (Encadrement management)</t>
        </is>
      </c>
      <c r="N3196" s="50" t="inlineStr">
        <is>
          <t>NON</t>
        </is>
      </c>
      <c r="O3196" s="45" t="inlineStr"/>
    </row>
    <row r="3197" customFormat="1" s="3">
      <c r="A3197" s="45" t="n"/>
      <c r="B3197" s="46" t="inlineStr">
        <is>
          <t>32106</t>
        </is>
      </c>
      <c r="C3197" s="46">
        <f>LEFT(Tableau1[[#This Row],[Formacode]],3)</f>
        <v/>
      </c>
      <c r="D3197" s="47" t="n">
        <v>37270</v>
      </c>
      <c r="E3197" s="48">
        <f>"RNCP"&amp;D3197</f>
        <v/>
      </c>
      <c r="F3197" s="48" t="inlineStr">
        <is>
          <t>Manager de programmes internationaux - humanitaire et développement</t>
        </is>
      </c>
      <c r="G3197" s="49">
        <f>E3197&amp;" - "&amp;F3197</f>
        <v/>
      </c>
      <c r="H3197" s="36" t="inlineStr">
        <is>
          <t>RAS</t>
        </is>
      </c>
      <c r="I3197" s="45" t="inlineStr"/>
      <c r="J3197" s="45" t="inlineStr">
        <is>
          <t>RNCP37270</t>
        </is>
      </c>
      <c r="K3197" s="45" t="inlineStr">
        <is>
          <t>Manager de programmes internationaux - humanitaire et développement</t>
        </is>
      </c>
      <c r="L3197" s="45" t="inlineStr">
        <is>
          <t>25/01/2028</t>
        </is>
      </c>
      <c r="M3197" s="45" t="inlineStr">
        <is>
          <t>13017 (Action humanitaire) ; 32154 (Encadrement management) ; 32005 (Stratégie internationale)</t>
        </is>
      </c>
      <c r="N3197" s="50" t="inlineStr">
        <is>
          <t>NON</t>
        </is>
      </c>
      <c r="O3197" s="45" t="inlineStr"/>
    </row>
    <row r="3198" customFormat="1" s="3">
      <c r="A3198" s="45" t="n"/>
      <c r="B3198" s="46" t="inlineStr">
        <is>
          <t>32106</t>
        </is>
      </c>
      <c r="C3198" s="46">
        <f>LEFT(Tableau1[[#This Row],[Formacode]],3)</f>
        <v/>
      </c>
      <c r="D3198" s="47" t="n">
        <v>37282</v>
      </c>
      <c r="E3198" s="48">
        <f>"RNCP"&amp;D3198</f>
        <v/>
      </c>
      <c r="F3198" s="48" t="inlineStr">
        <is>
          <t>CQP Manager d’équipe en négoce des matériaux de construction</t>
        </is>
      </c>
      <c r="G3198" s="49">
        <f>E3198&amp;" - "&amp;F3198</f>
        <v/>
      </c>
      <c r="H3198" s="36" t="inlineStr">
        <is>
          <t>RAS</t>
        </is>
      </c>
      <c r="I3198" s="45" t="inlineStr"/>
      <c r="J3198" s="45" t="inlineStr">
        <is>
          <t>RNCP37282</t>
        </is>
      </c>
      <c r="K3198" s="45" t="inlineStr">
        <is>
          <t>CQP Manager d’équipe en négoce des matériaux de construction</t>
        </is>
      </c>
      <c r="L3198" s="45" t="inlineStr">
        <is>
          <t>25/01/2028</t>
        </is>
      </c>
      <c r="M3198" s="45" t="inlineStr">
        <is>
          <t>22852 (Matériau construction) ; 31663 (Gestion stock) ; 34085 (Stratégie commerciale) ; 32154 (Encadrement management)</t>
        </is>
      </c>
      <c r="N3198" s="50" t="inlineStr">
        <is>
          <t>NON</t>
        </is>
      </c>
      <c r="O3198" s="45" t="inlineStr"/>
    </row>
    <row r="3199" customFormat="1" s="3">
      <c r="A3199" s="45" t="n"/>
      <c r="B3199" s="46" t="inlineStr">
        <is>
          <t>32106</t>
        </is>
      </c>
      <c r="C3199" s="46">
        <f>LEFT(Tableau1[[#This Row],[Formacode]],3)</f>
        <v/>
      </c>
      <c r="D3199" s="47" t="n">
        <v>37285</v>
      </c>
      <c r="E3199" s="48">
        <f>"RNCP"&amp;D3199</f>
        <v/>
      </c>
      <c r="F3199" s="48" t="inlineStr">
        <is>
          <t>CQP Chef d’agence en négoce des matériaux de construction</t>
        </is>
      </c>
      <c r="G3199" s="49">
        <f>E3199&amp;" - "&amp;F3199</f>
        <v/>
      </c>
      <c r="H3199" s="36" t="inlineStr">
        <is>
          <t>RAS</t>
        </is>
      </c>
      <c r="I3199" s="45" t="inlineStr"/>
      <c r="J3199" s="45" t="inlineStr">
        <is>
          <t>RNCP37285</t>
        </is>
      </c>
      <c r="K3199" s="45" t="inlineStr">
        <is>
          <t>CQP Chef d’agence en négoce des matériaux de construction</t>
        </is>
      </c>
      <c r="L3199" s="45" t="inlineStr">
        <is>
          <t>25/01/2028</t>
        </is>
      </c>
      <c r="M3199" s="45" t="inlineStr">
        <is>
          <t>22852 (Matériau construction) ; 32650 (Gestion budgétaire) ; 31663 (Gestion stock) ; 34085 (Stratégie commerciale) ; 32154 (Encadrement management)</t>
        </is>
      </c>
      <c r="N3199" s="50" t="inlineStr">
        <is>
          <t>NON</t>
        </is>
      </c>
      <c r="O3199" s="45" t="inlineStr"/>
    </row>
    <row r="3200" ht="28.8" customFormat="1" customHeight="1" s="3">
      <c r="A3200" s="45" t="n"/>
      <c r="B3200" s="46" t="inlineStr">
        <is>
          <t>32106</t>
        </is>
      </c>
      <c r="C3200" s="46">
        <f>LEFT(Tableau1[[#This Row],[Formacode]],3)</f>
        <v/>
      </c>
      <c r="D3200" s="47" t="n">
        <v>37375</v>
      </c>
      <c r="E3200" s="48">
        <f>"RNCP"&amp;D3200</f>
        <v/>
      </c>
      <c r="F3200" s="48" t="inlineStr">
        <is>
          <t>Brevet de technicien supérieur - Métiers de l’esthétique, de la cosmétique et de la parfumerie</t>
        </is>
      </c>
      <c r="G3200" s="49">
        <f>E3200&amp;" - "&amp;F3200</f>
        <v/>
      </c>
      <c r="H3200" s="36" t="inlineStr">
        <is>
          <t>RAS</t>
        </is>
      </c>
      <c r="I3200" s="45" t="inlineStr"/>
      <c r="J3200" s="45" t="inlineStr">
        <is>
          <t>RNCP37375</t>
        </is>
      </c>
      <c r="K3200" s="45" t="inlineStr">
        <is>
          <t>Métiers de l’esthétique, de la cosmétique et de la parfumerie</t>
        </is>
      </c>
      <c r="L3200" s="45" t="inlineStr">
        <is>
          <t>31/08/2028</t>
        </is>
      </c>
      <c r="M3200" s="45" t="inlineStr">
        <is>
          <t>42032 (Esthétique soin corporel) ; 32154 (Encadrement management) ; 22885 (Cosmétique) ; 34059 (Gestion marque) ; 44517 (Conception action formation)</t>
        </is>
      </c>
      <c r="N3200" s="50" t="inlineStr">
        <is>
          <t>NON</t>
        </is>
      </c>
      <c r="O3200" s="45" t="inlineStr"/>
    </row>
    <row r="3201" customFormat="1" s="3">
      <c r="A3201" s="45" t="n"/>
      <c r="B3201" s="46" t="inlineStr">
        <is>
          <t>32106</t>
        </is>
      </c>
      <c r="C3201" s="46">
        <f>LEFT(Tableau1[[#This Row],[Formacode]],3)</f>
        <v/>
      </c>
      <c r="D3201" s="47" t="n">
        <v>37655</v>
      </c>
      <c r="E3201" s="48">
        <f>"RNCP"&amp;D3201</f>
        <v/>
      </c>
      <c r="F3201" s="48" t="inlineStr">
        <is>
          <t>Responsable en gestion et développement d’une business unit</t>
        </is>
      </c>
      <c r="G3201" s="49">
        <f>E3201&amp;" - "&amp;F3201</f>
        <v/>
      </c>
      <c r="H3201" s="36" t="inlineStr">
        <is>
          <t>RAS</t>
        </is>
      </c>
      <c r="I3201" s="45" t="inlineStr"/>
      <c r="J3201" s="45" t="inlineStr">
        <is>
          <t>RNCP37655</t>
        </is>
      </c>
      <c r="K3201" s="45" t="inlineStr">
        <is>
          <t>Responsable en gestion et développement d’une business unit</t>
        </is>
      </c>
      <c r="L3201" s="45" t="inlineStr">
        <is>
          <t>31/05/2028</t>
        </is>
      </c>
      <c r="M3201" s="45" t="inlineStr">
        <is>
          <t>32025 (Stratégie entreprise) ; 32154 (Encadrement management) ; 34054 (Gestion commerciale achats)</t>
        </is>
      </c>
      <c r="N3201" s="50" t="inlineStr">
        <is>
          <t>NON</t>
        </is>
      </c>
      <c r="O3201" s="45" t="inlineStr"/>
    </row>
    <row r="3202" customFormat="1" s="3">
      <c r="A3202" s="45" t="n"/>
      <c r="B3202" s="46" t="inlineStr">
        <is>
          <t>32106</t>
        </is>
      </c>
      <c r="C3202" s="46">
        <f>LEFT(Tableau1[[#This Row],[Formacode]],3)</f>
        <v/>
      </c>
      <c r="D3202" s="47" t="n">
        <v>38135</v>
      </c>
      <c r="E3202" s="48">
        <f>"RNCP"&amp;D3202</f>
        <v/>
      </c>
      <c r="F3202" s="48" t="inlineStr">
        <is>
          <t>Manager commercial clients grands comptes</t>
        </is>
      </c>
      <c r="G3202" s="49">
        <f>E3202&amp;" - "&amp;F3202</f>
        <v/>
      </c>
      <c r="H3202" s="36" t="inlineStr">
        <is>
          <t>RAS</t>
        </is>
      </c>
      <c r="I3202" s="45" t="inlineStr"/>
      <c r="J3202" s="45" t="inlineStr">
        <is>
          <t>RNCP38135</t>
        </is>
      </c>
      <c r="K3202" s="45" t="inlineStr">
        <is>
          <t>Manager commercial clients grands comptes</t>
        </is>
      </c>
      <c r="L3202" s="45" t="inlineStr">
        <is>
          <t>18/10/2028</t>
        </is>
      </c>
      <c r="M3202" s="45" t="inlineStr">
        <is>
          <t>34572 (Négociation grand compte) ; 32154 (Encadrement management)</t>
        </is>
      </c>
      <c r="N3202" s="50" t="inlineStr">
        <is>
          <t>NON</t>
        </is>
      </c>
      <c r="O3202" s="45" t="inlineStr"/>
    </row>
    <row r="3203" customFormat="1" s="3">
      <c r="A3203" s="45" t="n"/>
      <c r="B3203" s="46" t="inlineStr">
        <is>
          <t>32106</t>
        </is>
      </c>
      <c r="C3203" s="46">
        <f>LEFT(Tableau1[[#This Row],[Formacode]],3)</f>
        <v/>
      </c>
      <c r="D3203" s="47" t="n">
        <v>38362</v>
      </c>
      <c r="E3203" s="48">
        <f>"RNCP"&amp;D3203</f>
        <v/>
      </c>
      <c r="F3203" s="48" t="inlineStr">
        <is>
          <t>BTS - Management commercial opérationnel</t>
        </is>
      </c>
      <c r="G3203" s="49">
        <f>E3203&amp;" - "&amp;F3203</f>
        <v/>
      </c>
      <c r="H3203" s="36" t="inlineStr">
        <is>
          <t>RAS</t>
        </is>
      </c>
      <c r="I3203" s="45" t="inlineStr"/>
      <c r="J3203" s="45" t="inlineStr">
        <is>
          <t>RNCP38362</t>
        </is>
      </c>
      <c r="K3203" s="45" t="inlineStr">
        <is>
          <t>Management commercial opérationnel</t>
        </is>
      </c>
      <c r="L3203" s="45" t="inlineStr">
        <is>
          <t>31/12/2028</t>
        </is>
      </c>
      <c r="M3203" s="45" t="inlineStr">
        <is>
          <t>34054 (Gestion commerciale achats) ; 32154 (Encadrement management)</t>
        </is>
      </c>
      <c r="N3203" s="50" t="inlineStr">
        <is>
          <t>NON</t>
        </is>
      </c>
      <c r="O3203" s="45" t="inlineStr"/>
    </row>
    <row r="3204" customFormat="1" s="3">
      <c r="A3204" s="45" t="n"/>
      <c r="B3204" s="46" t="inlineStr">
        <is>
          <t>32106</t>
        </is>
      </c>
      <c r="C3204" s="46">
        <f>LEFT(Tableau1[[#This Row],[Formacode]],3)</f>
        <v/>
      </c>
      <c r="D3204" s="47" t="n">
        <v>38374</v>
      </c>
      <c r="E3204" s="48">
        <f>"RNCP"&amp;D3204</f>
        <v/>
      </c>
      <c r="F3204" s="48" t="inlineStr">
        <is>
          <t>TP - Conducteur d'équipements agroalimentaires</t>
        </is>
      </c>
      <c r="G3204" s="49">
        <f>E3204&amp;" - "&amp;F3204</f>
        <v/>
      </c>
      <c r="H3204" s="36" t="inlineStr">
        <is>
          <t>RAS</t>
        </is>
      </c>
      <c r="I3204" s="45" t="inlineStr"/>
      <c r="J3204" s="45" t="inlineStr">
        <is>
          <t>RNCP38374</t>
        </is>
      </c>
      <c r="K3204" s="45" t="inlineStr">
        <is>
          <t>Conducteur d'équipements agroalimentaires</t>
        </is>
      </c>
      <c r="L3204" s="45" t="inlineStr">
        <is>
          <t>22/12/2028</t>
        </is>
      </c>
      <c r="M3204" s="45" t="inlineStr">
        <is>
          <t>21546 (Méthode haccp) ; 21547 (Bonnes pratiques hygiène agroalimentaire) ; 21575 (Conditionnement agroalimentaire) ; 32154 (Encadrement management) ; 32062 (Recherche développement)</t>
        </is>
      </c>
      <c r="N3204" s="50" t="inlineStr">
        <is>
          <t>NON</t>
        </is>
      </c>
      <c r="O3204" s="45" t="inlineStr"/>
    </row>
    <row r="3205" customFormat="1" s="3">
      <c r="A3205" s="45" t="n"/>
      <c r="B3205" s="46" t="inlineStr">
        <is>
          <t>32106</t>
        </is>
      </c>
      <c r="C3205" s="46">
        <f>LEFT(Tableau1[[#This Row],[Formacode]],3)</f>
        <v/>
      </c>
      <c r="D3205" s="47" t="n">
        <v>38439</v>
      </c>
      <c r="E3205" s="48">
        <f>"RNCP"&amp;D3205</f>
        <v/>
      </c>
      <c r="F3205" s="48" t="inlineStr">
        <is>
          <t>Responsable d'un centre de profit</t>
        </is>
      </c>
      <c r="G3205" s="49">
        <f>E3205&amp;" - "&amp;F3205</f>
        <v/>
      </c>
      <c r="H3205" s="36" t="inlineStr">
        <is>
          <t>RAS</t>
        </is>
      </c>
      <c r="I3205" s="45" t="inlineStr"/>
      <c r="J3205" s="45" t="inlineStr">
        <is>
          <t>RNCP38439</t>
        </is>
      </c>
      <c r="K3205" s="45" t="inlineStr">
        <is>
          <t>Responsable d'un centre de profit</t>
        </is>
      </c>
      <c r="L3205" s="45" t="inlineStr">
        <is>
          <t>21/12/2028</t>
        </is>
      </c>
      <c r="M3205" s="45" t="inlineStr">
        <is>
          <t>32024 (Gestion centre profit) ; 32154 (Encadrement management)</t>
        </is>
      </c>
      <c r="N3205" s="50" t="inlineStr">
        <is>
          <t>NON</t>
        </is>
      </c>
      <c r="O3205" s="45" t="inlineStr"/>
    </row>
    <row r="3206" customFormat="1" s="3">
      <c r="A3206" s="45" t="n"/>
      <c r="B3206" s="46" t="inlineStr">
        <is>
          <t>32106</t>
        </is>
      </c>
      <c r="C3206" s="46">
        <f>LEFT(Tableau1[[#This Row],[Formacode]],3)</f>
        <v/>
      </c>
      <c r="D3206" s="47" t="n">
        <v>38786</v>
      </c>
      <c r="E3206" s="48">
        <f>"RNCP"&amp;D3206</f>
        <v/>
      </c>
      <c r="F3206" s="48" t="inlineStr">
        <is>
          <t>CQP Responsable d'équipe</t>
        </is>
      </c>
      <c r="G3206" s="49">
        <f>E3206&amp;" - "&amp;F3206</f>
        <v/>
      </c>
      <c r="H3206" s="36" t="inlineStr">
        <is>
          <t>RAS</t>
        </is>
      </c>
      <c r="I3206" s="45" t="inlineStr"/>
      <c r="J3206" s="45" t="inlineStr">
        <is>
          <t>RNCP38786</t>
        </is>
      </c>
      <c r="K3206" s="45" t="inlineStr">
        <is>
          <t>CQP Responsable d'équipe</t>
        </is>
      </c>
      <c r="L3206" s="45" t="inlineStr">
        <is>
          <t>27/03/2028</t>
        </is>
      </c>
      <c r="M3206" s="45" t="inlineStr">
        <is>
          <t>32154 (Encadrement management)</t>
        </is>
      </c>
      <c r="N3206" s="50" t="inlineStr">
        <is>
          <t>NON</t>
        </is>
      </c>
      <c r="O3206" s="45" t="inlineStr"/>
    </row>
    <row r="3207" customFormat="1" s="3">
      <c r="A3207" s="45" t="n"/>
      <c r="B3207" s="46" t="inlineStr">
        <is>
          <t>32106</t>
        </is>
      </c>
      <c r="C3207" s="46">
        <f>LEFT(Tableau1[[#This Row],[Formacode]],3)</f>
        <v/>
      </c>
      <c r="D3207" s="47" t="n">
        <v>39136</v>
      </c>
      <c r="E3207" s="48">
        <f>"RNCP"&amp;D3207</f>
        <v/>
      </c>
      <c r="F3207" s="48" t="inlineStr">
        <is>
          <t>Grade_Master - Diplôme des Instituts d’Études Politiques – Sciences Po</t>
        </is>
      </c>
      <c r="G3207" s="49">
        <f>E3207&amp;" - "&amp;F3207</f>
        <v/>
      </c>
      <c r="H3207" s="36" t="inlineStr">
        <is>
          <t>RAS</t>
        </is>
      </c>
      <c r="I3207" s="45" t="inlineStr"/>
      <c r="J3207" s="45" t="inlineStr">
        <is>
          <t>RNCP39136</t>
        </is>
      </c>
      <c r="K3207" s="45" t="inlineStr">
        <is>
          <t>Diplôme des Instituts d’Études Politiques – Sciences Po</t>
        </is>
      </c>
      <c r="L3207" s="45" t="inlineStr">
        <is>
          <t>14/04/2029</t>
        </is>
      </c>
      <c r="M3207" s="45" t="inlineStr">
        <is>
          <t>13154 (Économie) ; 13054 (Science politique) ; 46354 (Information - Communication numérique) ; 32154 (Encadrement management) ; 13254 (Droit)</t>
        </is>
      </c>
      <c r="N3207" s="50" t="inlineStr">
        <is>
          <t>NON</t>
        </is>
      </c>
      <c r="O3207" s="45" t="inlineStr"/>
    </row>
    <row r="3208" customFormat="1" s="3">
      <c r="A3208" s="51" t="n"/>
      <c r="B3208" s="52" t="inlineStr">
        <is>
          <t>32106</t>
        </is>
      </c>
      <c r="C3208" s="52">
        <f>LEFT(Tableau1[[#This Row],[Formacode]],3)</f>
        <v/>
      </c>
      <c r="D3208" s="53" t="n">
        <v>39160</v>
      </c>
      <c r="E3208" s="54">
        <f>"RNCP"&amp;D3208</f>
        <v/>
      </c>
      <c r="F3208" s="54" t="inlineStr">
        <is>
          <t>Diplôme visé grade de master - Programme Grande Ecole</t>
        </is>
      </c>
      <c r="G3208" s="55">
        <f>E3208&amp;" - "&amp;F3208</f>
        <v/>
      </c>
      <c r="H3208" s="37" t="inlineStr">
        <is>
          <t>À vérifier</t>
        </is>
      </c>
      <c r="I3208" s="51" t="inlineStr">
        <is>
          <t>Échéance le 31/08/2026 (dans 44 j)</t>
        </is>
      </c>
      <c r="J3208" s="51" t="inlineStr">
        <is>
          <t>RNCP39160</t>
        </is>
      </c>
      <c r="K3208" s="51" t="inlineStr">
        <is>
          <t>Programme Grande Ecole</t>
        </is>
      </c>
      <c r="L3208" s="51" t="inlineStr">
        <is>
          <t>31/08/2026</t>
        </is>
      </c>
      <c r="M3208" s="51" t="inlineStr">
        <is>
          <t>32025 (Stratégie entreprise) ; 32008 (Responsabilité sociétale entreprise) ; 32047 (Création entreprise) ; 32654 (Gestion financière comptabilité) ; 32154 (Encadrement management)</t>
        </is>
      </c>
      <c r="N3208" s="62" t="inlineStr">
        <is>
          <t>NON</t>
        </is>
      </c>
      <c r="O3208" s="51" t="inlineStr"/>
    </row>
    <row r="3209" customFormat="1" s="3">
      <c r="A3209" s="45" t="n"/>
      <c r="B3209" s="46" t="inlineStr">
        <is>
          <t>32106</t>
        </is>
      </c>
      <c r="C3209" s="46">
        <f>LEFT(Tableau1[[#This Row],[Formacode]],3)</f>
        <v/>
      </c>
      <c r="D3209" s="47" t="n">
        <v>39354</v>
      </c>
      <c r="E3209" s="48">
        <f>"RNCP"&amp;D3209</f>
        <v/>
      </c>
      <c r="F3209" s="48" t="inlineStr">
        <is>
          <t>Manager du développement d'entreprise et commercial</t>
        </is>
      </c>
      <c r="G3209" s="49">
        <f>E3209&amp;" - "&amp;F3209</f>
        <v/>
      </c>
      <c r="H3209" s="36" t="inlineStr">
        <is>
          <t>RAS</t>
        </is>
      </c>
      <c r="I3209" s="45" t="inlineStr"/>
      <c r="J3209" s="45" t="inlineStr">
        <is>
          <t>RNCP39354</t>
        </is>
      </c>
      <c r="K3209" s="45" t="inlineStr">
        <is>
          <t>Manager du développement d'entreprise et commercial</t>
        </is>
      </c>
      <c r="L3209" s="45" t="inlineStr">
        <is>
          <t>19/07/2027</t>
        </is>
      </c>
      <c r="M3209" s="45" t="inlineStr">
        <is>
          <t>34085 (Stratégie commerciale) ; 32025 (Stratégie entreprise) ; 32024 (Gestion centre profit) ; 32154 (Encadrement management)</t>
        </is>
      </c>
      <c r="N3209" s="50" t="inlineStr">
        <is>
          <t>NON</t>
        </is>
      </c>
      <c r="O3209" s="45" t="inlineStr"/>
    </row>
    <row r="3210" customFormat="1" s="3">
      <c r="A3210" s="45" t="n"/>
      <c r="B3210" s="46" t="inlineStr">
        <is>
          <t>32106</t>
        </is>
      </c>
      <c r="C3210" s="46">
        <f>LEFT(Tableau1[[#This Row],[Formacode]],3)</f>
        <v/>
      </c>
      <c r="D3210" s="47" t="n">
        <v>39366</v>
      </c>
      <c r="E3210" s="48">
        <f>"RNCP"&amp;D3210</f>
        <v/>
      </c>
      <c r="F3210" s="48" t="inlineStr">
        <is>
          <t>CQP Manager commercial cuisines et/ou aménagement intérieur</t>
        </is>
      </c>
      <c r="G3210" s="49">
        <f>E3210&amp;" - "&amp;F3210</f>
        <v/>
      </c>
      <c r="H3210" s="36" t="inlineStr">
        <is>
          <t>RAS</t>
        </is>
      </c>
      <c r="I3210" s="45" t="inlineStr"/>
      <c r="J3210" s="45" t="inlineStr">
        <is>
          <t>RNCP39366</t>
        </is>
      </c>
      <c r="K3210" s="45" t="inlineStr">
        <is>
          <t>CQP Manager commercial cuisines et/ou aménagement intérieur</t>
        </is>
      </c>
      <c r="L3210" s="45" t="inlineStr">
        <is>
          <t>19/07/2029</t>
        </is>
      </c>
      <c r="M3210" s="45" t="inlineStr">
        <is>
          <t>34561 (Force vente) ; 34536 (Vente équipement maison) ; 32154 (Encadrement management)</t>
        </is>
      </c>
      <c r="N3210" s="50" t="inlineStr">
        <is>
          <t>NON</t>
        </is>
      </c>
      <c r="O3210" s="45" t="inlineStr"/>
    </row>
    <row r="3211" customFormat="1" s="3">
      <c r="A3211" s="51" t="n"/>
      <c r="B3211" s="52" t="inlineStr">
        <is>
          <t>32106</t>
        </is>
      </c>
      <c r="C3211" s="52">
        <f>LEFT(Tableau1[[#This Row],[Formacode]],3)</f>
        <v/>
      </c>
      <c r="D3211" s="53" t="n">
        <v>39763</v>
      </c>
      <c r="E3211" s="54">
        <f>"RNCP"&amp;D3211</f>
        <v/>
      </c>
      <c r="F3211" s="54" t="inlineStr">
        <is>
          <t>Manager de la performance financière</t>
        </is>
      </c>
      <c r="G3211" s="55">
        <f>E3211&amp;" - "&amp;F3211</f>
        <v/>
      </c>
      <c r="H3211" s="37" t="inlineStr">
        <is>
          <t>À vérifier</t>
        </is>
      </c>
      <c r="I3211" s="51" t="inlineStr">
        <is>
          <t>Échéance le 31/10/2026 (dans 105 j)</t>
        </is>
      </c>
      <c r="J3211" s="51" t="inlineStr">
        <is>
          <t>RNCP39763</t>
        </is>
      </c>
      <c r="K3211" s="51" t="inlineStr">
        <is>
          <t>Manager de la performance financière</t>
        </is>
      </c>
      <c r="L3211" s="51" t="inlineStr">
        <is>
          <t>31/10/2026</t>
        </is>
      </c>
      <c r="M3211" s="51" t="inlineStr">
        <is>
          <t>32154 (Encadrement management) ; 32079 (Gestion performance) ; 32652 (Contrôle gestion) ; 32098 (Audit entreprise)</t>
        </is>
      </c>
      <c r="N3211" s="62" t="inlineStr">
        <is>
          <t>NON</t>
        </is>
      </c>
      <c r="O3211" s="51" t="inlineStr"/>
    </row>
    <row r="3212" customFormat="1" s="3">
      <c r="A3212" s="45" t="n"/>
      <c r="B3212" s="46" t="inlineStr">
        <is>
          <t>32106</t>
        </is>
      </c>
      <c r="C3212" s="46">
        <f>LEFT(Tableau1[[#This Row],[Formacode]],3)</f>
        <v/>
      </c>
      <c r="D3212" s="47" t="n">
        <v>39787</v>
      </c>
      <c r="E3212" s="48">
        <f>"RNCP"&amp;D3212</f>
        <v/>
      </c>
      <c r="F3212" s="48" t="inlineStr">
        <is>
          <t>Directeur de la performance commerciale</t>
        </is>
      </c>
      <c r="G3212" s="49">
        <f>E3212&amp;" - "&amp;F3212</f>
        <v/>
      </c>
      <c r="H3212" s="36" t="inlineStr">
        <is>
          <t>RAS</t>
        </is>
      </c>
      <c r="I3212" s="45" t="inlineStr"/>
      <c r="J3212" s="45" t="inlineStr">
        <is>
          <t>RNCP39787</t>
        </is>
      </c>
      <c r="K3212" s="45" t="inlineStr">
        <is>
          <t>Directeur de la performance commerciale</t>
        </is>
      </c>
      <c r="L3212" s="45" t="inlineStr">
        <is>
          <t>31/10/2029</t>
        </is>
      </c>
      <c r="M3212" s="45" t="inlineStr">
        <is>
          <t>32079 (Gestion performance) ; 32154 (Encadrement management) ; 34085 (Stratégie commerciale)</t>
        </is>
      </c>
      <c r="N3212" s="50" t="inlineStr">
        <is>
          <t>NON</t>
        </is>
      </c>
      <c r="O3212" s="45" t="inlineStr"/>
    </row>
    <row r="3213" customFormat="1" s="3">
      <c r="A3213" s="45" t="n"/>
      <c r="B3213" s="46" t="inlineStr">
        <is>
          <t>32106</t>
        </is>
      </c>
      <c r="C3213" s="46">
        <f>LEFT(Tableau1[[#This Row],[Formacode]],3)</f>
        <v/>
      </c>
      <c r="D3213" s="47" t="n">
        <v>39864</v>
      </c>
      <c r="E3213" s="48">
        <f>"RNCP"&amp;D3213</f>
        <v/>
      </c>
      <c r="F3213" s="48" t="inlineStr">
        <is>
          <t>Manager du développement des ressources humaines</t>
        </is>
      </c>
      <c r="G3213" s="49">
        <f>E3213&amp;" - "&amp;F3213</f>
        <v/>
      </c>
      <c r="H3213" s="36" t="inlineStr">
        <is>
          <t>RAS</t>
        </is>
      </c>
      <c r="I3213" s="45" t="inlineStr"/>
      <c r="J3213" s="45" t="inlineStr">
        <is>
          <t>RNCP39864</t>
        </is>
      </c>
      <c r="K3213" s="45" t="inlineStr">
        <is>
          <t>Manager du développement des ressources humaines</t>
        </is>
      </c>
      <c r="L3213" s="45" t="inlineStr">
        <is>
          <t>28/11/2027</t>
        </is>
      </c>
      <c r="M3213" s="45" t="inlineStr">
        <is>
          <t>33054 (Gestion ressources humaines) ; 32154 (Encadrement management)</t>
        </is>
      </c>
      <c r="N3213" s="50" t="inlineStr">
        <is>
          <t>NON</t>
        </is>
      </c>
      <c r="O3213" s="45" t="inlineStr"/>
    </row>
    <row r="3214" customFormat="1" s="3">
      <c r="A3214" s="45" t="n"/>
      <c r="B3214" s="46" t="inlineStr">
        <is>
          <t>32106</t>
        </is>
      </c>
      <c r="C3214" s="46">
        <f>LEFT(Tableau1[[#This Row],[Formacode]],3)</f>
        <v/>
      </c>
      <c r="D3214" s="47" t="n">
        <v>39972</v>
      </c>
      <c r="E3214" s="48">
        <f>"RNCP"&amp;D3214</f>
        <v/>
      </c>
      <c r="F3214" s="48" t="inlineStr">
        <is>
          <t>CQP Responsable d'équipe du secteur alimentaire</t>
        </is>
      </c>
      <c r="G3214" s="49">
        <f>E3214&amp;" - "&amp;F3214</f>
        <v/>
      </c>
      <c r="H3214" s="36" t="inlineStr">
        <is>
          <t>RAS</t>
        </is>
      </c>
      <c r="I3214" s="45" t="inlineStr"/>
      <c r="J3214" s="45" t="inlineStr">
        <is>
          <t>RNCP39972</t>
        </is>
      </c>
      <c r="K3214" s="45" t="inlineStr">
        <is>
          <t>CQP Responsable d'équipe du secteur alimentaire</t>
        </is>
      </c>
      <c r="L3214" s="45" t="inlineStr">
        <is>
          <t>18/12/2029</t>
        </is>
      </c>
      <c r="M3214" s="45" t="inlineStr">
        <is>
          <t>32154 (Encadrement management) ; 21554 (Agroalimentaire)</t>
        </is>
      </c>
      <c r="N3214" s="50" t="inlineStr">
        <is>
          <t>NON</t>
        </is>
      </c>
      <c r="O3214" s="45" t="inlineStr"/>
    </row>
    <row r="3215" customFormat="1" s="3">
      <c r="A3215" s="45" t="n"/>
      <c r="B3215" s="46" t="inlineStr">
        <is>
          <t>32106</t>
        </is>
      </c>
      <c r="C3215" s="46">
        <f>LEFT(Tableau1[[#This Row],[Formacode]],3)</f>
        <v/>
      </c>
      <c r="D3215" s="47" t="n">
        <v>39994</v>
      </c>
      <c r="E3215" s="48">
        <f>"RNCP"&amp;D3215</f>
        <v/>
      </c>
      <c r="F3215" s="48" t="inlineStr">
        <is>
          <t>Manager des transformations des organisations</t>
        </is>
      </c>
      <c r="G3215" s="49">
        <f>E3215&amp;" - "&amp;F3215</f>
        <v/>
      </c>
      <c r="H3215" s="36" t="inlineStr">
        <is>
          <t>RAS</t>
        </is>
      </c>
      <c r="I3215" s="45" t="inlineStr"/>
      <c r="J3215" s="45" t="inlineStr">
        <is>
          <t>RNCP39994</t>
        </is>
      </c>
      <c r="K3215" s="45" t="inlineStr">
        <is>
          <t>Manager des transformations des organisations</t>
        </is>
      </c>
      <c r="L3215" s="45" t="inlineStr">
        <is>
          <t>18/12/2027</t>
        </is>
      </c>
      <c r="M3215" s="45" t="inlineStr">
        <is>
          <t>32025 (Stratégie entreprise) ; 32079 (Gestion performance) ; 32154 (Encadrement management)</t>
        </is>
      </c>
      <c r="N3215" s="50" t="inlineStr">
        <is>
          <t>NON</t>
        </is>
      </c>
      <c r="O3215" s="45" t="inlineStr"/>
    </row>
    <row r="3216" customFormat="1" s="3">
      <c r="A3216" s="45" t="n"/>
      <c r="B3216" s="46" t="inlineStr">
        <is>
          <t>32106</t>
        </is>
      </c>
      <c r="C3216" s="46">
        <f>LEFT(Tableau1[[#This Row],[Formacode]],3)</f>
        <v/>
      </c>
      <c r="D3216" s="47" t="n">
        <v>40169</v>
      </c>
      <c r="E3216" s="48">
        <f>"RNCP"&amp;D3216</f>
        <v/>
      </c>
      <c r="F3216" s="48" t="inlineStr">
        <is>
          <t>CQP Responsable de conseillers techniques en élevage</t>
        </is>
      </c>
      <c r="G3216" s="49">
        <f>E3216&amp;" - "&amp;F3216</f>
        <v/>
      </c>
      <c r="H3216" s="36" t="inlineStr">
        <is>
          <t>RAS</t>
        </is>
      </c>
      <c r="I3216" s="45" t="inlineStr"/>
      <c r="J3216" s="45" t="inlineStr">
        <is>
          <t>RNCP40169</t>
        </is>
      </c>
      <c r="K3216" s="45" t="inlineStr">
        <is>
          <t>CQP Responsable de conseillers techniques en élevage</t>
        </is>
      </c>
      <c r="L3216" s="45" t="inlineStr">
        <is>
          <t>31/01/2030</t>
        </is>
      </c>
      <c r="M3216" s="45" t="inlineStr">
        <is>
          <t>21056 (Élevage) ; 32068 (Coordination travail) ; 32154 (Encadrement management)</t>
        </is>
      </c>
      <c r="N3216" s="50" t="inlineStr">
        <is>
          <t>NON</t>
        </is>
      </c>
      <c r="O3216" s="45" t="inlineStr"/>
    </row>
    <row r="3217" customFormat="1" s="3">
      <c r="A3217" s="45" t="n"/>
      <c r="B3217" s="46" t="inlineStr">
        <is>
          <t>32106</t>
        </is>
      </c>
      <c r="C3217" s="46">
        <f>LEFT(Tableau1[[#This Row],[Formacode]],3)</f>
        <v/>
      </c>
      <c r="D3217" s="47" t="n">
        <v>41000</v>
      </c>
      <c r="E3217" s="48">
        <f>"RNCP"&amp;D3217</f>
        <v/>
      </c>
      <c r="F3217" s="48" t="inlineStr">
        <is>
          <t>BTS - Management opérationnel de la sécurité</t>
        </is>
      </c>
      <c r="G3217" s="49">
        <f>E3217&amp;" - "&amp;F3217</f>
        <v/>
      </c>
      <c r="H3217" s="36" t="inlineStr">
        <is>
          <t>RAS</t>
        </is>
      </c>
      <c r="I3217" s="45" t="inlineStr"/>
      <c r="J3217" s="45" t="inlineStr">
        <is>
          <t>RNCP41000</t>
        </is>
      </c>
      <c r="K3217" s="45" t="inlineStr">
        <is>
          <t>Management opérationnel de la sécurité</t>
        </is>
      </c>
      <c r="L3217" s="45" t="inlineStr">
        <is>
          <t>31/08/2030</t>
        </is>
      </c>
      <c r="M3217" s="45" t="inlineStr">
        <is>
          <t>42854 (Prévention sécurité) ; 32154 (Encadrement management)</t>
        </is>
      </c>
      <c r="N3217" s="50" t="inlineStr">
        <is>
          <t>NON</t>
        </is>
      </c>
      <c r="O3217" s="45" t="inlineStr"/>
    </row>
    <row r="3218" customFormat="1" s="3">
      <c r="A3218" s="45" t="n"/>
      <c r="B3218" s="46" t="inlineStr">
        <is>
          <t>32106</t>
        </is>
      </c>
      <c r="C3218" s="46">
        <f>LEFT(Tableau1[[#This Row],[Formacode]],3)</f>
        <v/>
      </c>
      <c r="D3218" s="47" t="n">
        <v>41809</v>
      </c>
      <c r="E3218" s="48">
        <f>"RNCP"&amp;D3218</f>
        <v/>
      </c>
      <c r="F3218" s="48" t="inlineStr">
        <is>
          <t>Manager de la stratégie marketing digital</t>
        </is>
      </c>
      <c r="G3218" s="49">
        <f>E3218&amp;" - "&amp;F3218</f>
        <v/>
      </c>
      <c r="H3218" s="36" t="inlineStr">
        <is>
          <t>RAS</t>
        </is>
      </c>
      <c r="I3218" s="45" t="inlineStr"/>
      <c r="J3218" s="45" t="inlineStr">
        <is>
          <t>RNCP41809</t>
        </is>
      </c>
      <c r="K3218" s="45" t="inlineStr">
        <is>
          <t>Manager de la stratégie marketing digital</t>
        </is>
      </c>
      <c r="L3218" s="45" t="inlineStr">
        <is>
          <t>18/12/2028</t>
        </is>
      </c>
      <c r="M3218" s="45" t="inlineStr">
        <is>
          <t>46301 (Communication entreprise) ; 15004 (Communication professionnelle) ; 32154 (Encadrement management) ; 34052 (Marketing)</t>
        </is>
      </c>
      <c r="N3218" s="50" t="inlineStr">
        <is>
          <t>NON</t>
        </is>
      </c>
      <c r="O3218" s="45" t="inlineStr"/>
    </row>
    <row r="3219" customFormat="1" s="3">
      <c r="A3219" s="63" t="n"/>
      <c r="B3219" s="64" t="inlineStr">
        <is>
          <t>32110</t>
        </is>
      </c>
      <c r="C3219" s="64">
        <f>LEFT(Tableau1[[#This Row],[Formacode]],3)</f>
        <v/>
      </c>
      <c r="D3219" s="65" t="n">
        <v>35233</v>
      </c>
      <c r="E3219" s="66">
        <f>"RNCP"&amp;D3219</f>
        <v/>
      </c>
      <c r="F3219" s="66" t="inlineStr">
        <is>
          <t>TP - Assistant manager d’unité marchande</t>
        </is>
      </c>
      <c r="G3219" s="67">
        <f>E3219&amp;" - "&amp;F3219</f>
        <v/>
      </c>
      <c r="H3219" s="38" t="inlineStr">
        <is>
          <t>Expiré / remplacé</t>
        </is>
      </c>
      <c r="I3219" s="63" t="inlineStr">
        <is>
          <t>Fiche inactive — remplacée par RNCP41852 (Assistant manager d’unité marchande)</t>
        </is>
      </c>
      <c r="J3219" s="63" t="inlineStr">
        <is>
          <t>RNCP41852</t>
        </is>
      </c>
      <c r="K3219" s="63" t="inlineStr">
        <is>
          <t>Assistant manager d’unité marchande</t>
        </is>
      </c>
      <c r="L3219" s="63" t="inlineStr">
        <is>
          <t>16/02/2026</t>
        </is>
      </c>
      <c r="M3219" s="63" t="inlineStr">
        <is>
          <t>34566 (Vente distribution) ; 32154 (Encadrement management)</t>
        </is>
      </c>
      <c r="N3219" s="68" t="inlineStr">
        <is>
          <t>NON</t>
        </is>
      </c>
      <c r="O3219" s="63" t="inlineStr"/>
    </row>
    <row r="3220" customFormat="1" s="3">
      <c r="A3220" s="45" t="n"/>
      <c r="B3220" s="46" t="inlineStr">
        <is>
          <t>32110</t>
        </is>
      </c>
      <c r="C3220" s="46">
        <f>LEFT(Tableau1[[#This Row],[Formacode]],3)</f>
        <v/>
      </c>
      <c r="D3220" s="47" t="n">
        <v>36420</v>
      </c>
      <c r="E3220" s="48">
        <f>"RNCP"&amp;D3220</f>
        <v/>
      </c>
      <c r="F3220" s="48" t="inlineStr">
        <is>
          <t>DIPLOVIS - Programme supérieur de gestion et de commerce</t>
        </is>
      </c>
      <c r="G3220" s="49">
        <f>E3220&amp;" - "&amp;F3220</f>
        <v/>
      </c>
      <c r="H3220" s="36" t="inlineStr">
        <is>
          <t>RAS</t>
        </is>
      </c>
      <c r="I3220" s="45" t="inlineStr"/>
      <c r="J3220" s="45" t="inlineStr">
        <is>
          <t>RNCP36420</t>
        </is>
      </c>
      <c r="K3220" s="45" t="inlineStr">
        <is>
          <t>Programme supérieur de gestion et de commerce</t>
        </is>
      </c>
      <c r="L3220" s="45" t="inlineStr">
        <is>
          <t>31/08/2027</t>
        </is>
      </c>
      <c r="M3220" s="45" t="inlineStr">
        <is>
          <t>32110 (Management opérationnel) ; 32135 (Conduite projet) ; 32054 (Gestion des organisations)</t>
        </is>
      </c>
      <c r="N3220" s="50" t="inlineStr">
        <is>
          <t>NON</t>
        </is>
      </c>
      <c r="O3220" s="45" t="inlineStr"/>
    </row>
    <row r="3221" customFormat="1" s="3">
      <c r="A3221" s="45" t="n"/>
      <c r="B3221" s="46" t="inlineStr">
        <is>
          <t>32110</t>
        </is>
      </c>
      <c r="C3221" s="46">
        <f>LEFT(Tableau1[[#This Row],[Formacode]],3)</f>
        <v/>
      </c>
      <c r="D3221" s="47" t="n">
        <v>36461</v>
      </c>
      <c r="E3221" s="48">
        <f>"RNCP"&amp;D3221</f>
        <v/>
      </c>
      <c r="F3221" s="48" t="inlineStr">
        <is>
          <t>Directeur d'unité opérationnelle</t>
        </is>
      </c>
      <c r="G3221" s="49">
        <f>E3221&amp;" - "&amp;F3221</f>
        <v/>
      </c>
      <c r="H3221" s="36" t="inlineStr">
        <is>
          <t>RAS</t>
        </is>
      </c>
      <c r="I3221" s="45" t="inlineStr"/>
      <c r="J3221" s="45" t="inlineStr">
        <is>
          <t>RNCP36461</t>
        </is>
      </c>
      <c r="K3221" s="45" t="inlineStr">
        <is>
          <t>Directeur d'unité opérationnelle</t>
        </is>
      </c>
      <c r="L3221" s="45" t="inlineStr">
        <is>
          <t>02/06/2027</t>
        </is>
      </c>
      <c r="M3221" s="45" t="inlineStr">
        <is>
          <t>32054 (Gestion des organisations) ; 32154 (Encadrement management)</t>
        </is>
      </c>
      <c r="N3221" s="50" t="inlineStr">
        <is>
          <t>NON</t>
        </is>
      </c>
      <c r="O3221" s="45" t="inlineStr"/>
    </row>
    <row r="3222" customFormat="1" s="3">
      <c r="A3222" s="45" t="n"/>
      <c r="B3222" s="46" t="inlineStr">
        <is>
          <t>32110</t>
        </is>
      </c>
      <c r="C3222" s="46">
        <f>LEFT(Tableau1[[#This Row],[Formacode]],3)</f>
        <v/>
      </c>
      <c r="D3222" s="47" t="n">
        <v>36890</v>
      </c>
      <c r="E3222" s="48">
        <f>"RNCP"&amp;D3222</f>
        <v/>
      </c>
      <c r="F3222" s="48" t="inlineStr">
        <is>
          <t>Manager d'unité opérationnelle</t>
        </is>
      </c>
      <c r="G3222" s="49">
        <f>E3222&amp;" - "&amp;F3222</f>
        <v/>
      </c>
      <c r="H3222" s="36" t="inlineStr">
        <is>
          <t>RAS</t>
        </is>
      </c>
      <c r="I3222" s="45" t="inlineStr"/>
      <c r="J3222" s="45" t="inlineStr">
        <is>
          <t>RNCP36890</t>
        </is>
      </c>
      <c r="K3222" s="45" t="inlineStr">
        <is>
          <t>Manager d'unité opérationnelle</t>
        </is>
      </c>
      <c r="L3222" s="45" t="inlineStr">
        <is>
          <t>29/09/2027</t>
        </is>
      </c>
      <c r="M3222" s="45" t="inlineStr">
        <is>
          <t>32079 (Gestion performance) ; 32025 (Stratégie entreprise) ; 32154 (Encadrement management)</t>
        </is>
      </c>
      <c r="N3222" s="50" t="inlineStr">
        <is>
          <t>NON</t>
        </is>
      </c>
      <c r="O3222" s="45" t="inlineStr"/>
    </row>
    <row r="3223" customFormat="1" s="3">
      <c r="A3223" s="45" t="n"/>
      <c r="B3223" s="46" t="inlineStr">
        <is>
          <t>32110</t>
        </is>
      </c>
      <c r="C3223" s="46">
        <f>LEFT(Tableau1[[#This Row],[Formacode]],3)</f>
        <v/>
      </c>
      <c r="D3223" s="47" t="n">
        <v>37270</v>
      </c>
      <c r="E3223" s="48">
        <f>"RNCP"&amp;D3223</f>
        <v/>
      </c>
      <c r="F3223" s="48" t="inlineStr">
        <is>
          <t>Manager de programmes internationaux - humanitaire et développement</t>
        </is>
      </c>
      <c r="G3223" s="49">
        <f>E3223&amp;" - "&amp;F3223</f>
        <v/>
      </c>
      <c r="H3223" s="36" t="inlineStr">
        <is>
          <t>RAS</t>
        </is>
      </c>
      <c r="I3223" s="45" t="inlineStr"/>
      <c r="J3223" s="45" t="inlineStr">
        <is>
          <t>RNCP37270</t>
        </is>
      </c>
      <c r="K3223" s="45" t="inlineStr">
        <is>
          <t>Manager de programmes internationaux - humanitaire et développement</t>
        </is>
      </c>
      <c r="L3223" s="45" t="inlineStr">
        <is>
          <t>25/01/2028</t>
        </is>
      </c>
      <c r="M3223" s="45" t="inlineStr">
        <is>
          <t>13017 (Action humanitaire) ; 32154 (Encadrement management) ; 32005 (Stratégie internationale)</t>
        </is>
      </c>
      <c r="N3223" s="50" t="inlineStr">
        <is>
          <t>NON</t>
        </is>
      </c>
      <c r="O3223" s="45" t="inlineStr"/>
    </row>
    <row r="3224" customFormat="1" s="3">
      <c r="A3224" s="45" t="n"/>
      <c r="B3224" s="46" t="inlineStr">
        <is>
          <t>32110</t>
        </is>
      </c>
      <c r="C3224" s="46">
        <f>LEFT(Tableau1[[#This Row],[Formacode]],3)</f>
        <v/>
      </c>
      <c r="D3224" s="47" t="n">
        <v>37282</v>
      </c>
      <c r="E3224" s="48">
        <f>"RNCP"&amp;D3224</f>
        <v/>
      </c>
      <c r="F3224" s="48" t="inlineStr">
        <is>
          <t>CQP Manager d’équipe en négoce des matériaux de construction</t>
        </is>
      </c>
      <c r="G3224" s="49">
        <f>E3224&amp;" - "&amp;F3224</f>
        <v/>
      </c>
      <c r="H3224" s="36" t="inlineStr">
        <is>
          <t>RAS</t>
        </is>
      </c>
      <c r="I3224" s="45" t="inlineStr"/>
      <c r="J3224" s="45" t="inlineStr">
        <is>
          <t>RNCP37282</t>
        </is>
      </c>
      <c r="K3224" s="45" t="inlineStr">
        <is>
          <t>CQP Manager d’équipe en négoce des matériaux de construction</t>
        </is>
      </c>
      <c r="L3224" s="45" t="inlineStr">
        <is>
          <t>25/01/2028</t>
        </is>
      </c>
      <c r="M3224" s="45" t="inlineStr">
        <is>
          <t>22852 (Matériau construction) ; 31663 (Gestion stock) ; 34085 (Stratégie commerciale) ; 32154 (Encadrement management)</t>
        </is>
      </c>
      <c r="N3224" s="50" t="inlineStr">
        <is>
          <t>NON</t>
        </is>
      </c>
      <c r="O3224" s="45" t="inlineStr"/>
    </row>
    <row r="3225" customFormat="1" s="3">
      <c r="A3225" s="45" t="n"/>
      <c r="B3225" s="46" t="inlineStr">
        <is>
          <t>32110</t>
        </is>
      </c>
      <c r="C3225" s="46">
        <f>LEFT(Tableau1[[#This Row],[Formacode]],3)</f>
        <v/>
      </c>
      <c r="D3225" s="47" t="n">
        <v>37285</v>
      </c>
      <c r="E3225" s="48">
        <f>"RNCP"&amp;D3225</f>
        <v/>
      </c>
      <c r="F3225" s="48" t="inlineStr">
        <is>
          <t>CQP Chef d’agence en négoce des matériaux de construction</t>
        </is>
      </c>
      <c r="G3225" s="49">
        <f>E3225&amp;" - "&amp;F3225</f>
        <v/>
      </c>
      <c r="H3225" s="36" t="inlineStr">
        <is>
          <t>RAS</t>
        </is>
      </c>
      <c r="I3225" s="45" t="inlineStr"/>
      <c r="J3225" s="45" t="inlineStr">
        <is>
          <t>RNCP37285</t>
        </is>
      </c>
      <c r="K3225" s="45" t="inlineStr">
        <is>
          <t>CQP Chef d’agence en négoce des matériaux de construction</t>
        </is>
      </c>
      <c r="L3225" s="45" t="inlineStr">
        <is>
          <t>25/01/2028</t>
        </is>
      </c>
      <c r="M3225" s="45" t="inlineStr">
        <is>
          <t>22852 (Matériau construction) ; 32650 (Gestion budgétaire) ; 31663 (Gestion stock) ; 34085 (Stratégie commerciale) ; 32154 (Encadrement management)</t>
        </is>
      </c>
      <c r="N3225" s="50" t="inlineStr">
        <is>
          <t>NON</t>
        </is>
      </c>
      <c r="O3225" s="45" t="inlineStr"/>
    </row>
    <row r="3226" ht="28.8" customFormat="1" customHeight="1" s="3">
      <c r="A3226" s="45" t="n"/>
      <c r="B3226" s="46" t="inlineStr">
        <is>
          <t>32110</t>
        </is>
      </c>
      <c r="C3226" s="46">
        <f>LEFT(Tableau1[[#This Row],[Formacode]],3)</f>
        <v/>
      </c>
      <c r="D3226" s="47" t="n">
        <v>37375</v>
      </c>
      <c r="E3226" s="48">
        <f>"RNCP"&amp;D3226</f>
        <v/>
      </c>
      <c r="F3226" s="48" t="inlineStr">
        <is>
          <t>Brevet de technicien supérieur - Métiers de l’esthétique, de la cosmétique et de la parfumerie</t>
        </is>
      </c>
      <c r="G3226" s="49">
        <f>E3226&amp;" - "&amp;F3226</f>
        <v/>
      </c>
      <c r="H3226" s="36" t="inlineStr">
        <is>
          <t>RAS</t>
        </is>
      </c>
      <c r="I3226" s="45" t="inlineStr"/>
      <c r="J3226" s="45" t="inlineStr">
        <is>
          <t>RNCP37375</t>
        </is>
      </c>
      <c r="K3226" s="45" t="inlineStr">
        <is>
          <t>Métiers de l’esthétique, de la cosmétique et de la parfumerie</t>
        </is>
      </c>
      <c r="L3226" s="45" t="inlineStr">
        <is>
          <t>31/08/2028</t>
        </is>
      </c>
      <c r="M3226" s="45" t="inlineStr">
        <is>
          <t>42032 (Esthétique soin corporel) ; 32154 (Encadrement management) ; 22885 (Cosmétique) ; 34059 (Gestion marque) ; 44517 (Conception action formation)</t>
        </is>
      </c>
      <c r="N3226" s="50" t="inlineStr">
        <is>
          <t>NON</t>
        </is>
      </c>
      <c r="O3226" s="45" t="inlineStr"/>
    </row>
    <row r="3227" customFormat="1" s="3">
      <c r="A3227" s="45" t="n"/>
      <c r="B3227" s="46" t="inlineStr">
        <is>
          <t>32110</t>
        </is>
      </c>
      <c r="C3227" s="46">
        <f>LEFT(Tableau1[[#This Row],[Formacode]],3)</f>
        <v/>
      </c>
      <c r="D3227" s="47" t="n">
        <v>37655</v>
      </c>
      <c r="E3227" s="48">
        <f>"RNCP"&amp;D3227</f>
        <v/>
      </c>
      <c r="F3227" s="48" t="inlineStr">
        <is>
          <t>Responsable en gestion et développement d’une business unit</t>
        </is>
      </c>
      <c r="G3227" s="49">
        <f>E3227&amp;" - "&amp;F3227</f>
        <v/>
      </c>
      <c r="H3227" s="36" t="inlineStr">
        <is>
          <t>RAS</t>
        </is>
      </c>
      <c r="I3227" s="45" t="inlineStr"/>
      <c r="J3227" s="45" t="inlineStr">
        <is>
          <t>RNCP37655</t>
        </is>
      </c>
      <c r="K3227" s="45" t="inlineStr">
        <is>
          <t>Responsable en gestion et développement d’une business unit</t>
        </is>
      </c>
      <c r="L3227" s="45" t="inlineStr">
        <is>
          <t>31/05/2028</t>
        </is>
      </c>
      <c r="M3227" s="45" t="inlineStr">
        <is>
          <t>32025 (Stratégie entreprise) ; 32154 (Encadrement management) ; 34054 (Gestion commerciale achats)</t>
        </is>
      </c>
      <c r="N3227" s="50" t="inlineStr">
        <is>
          <t>NON</t>
        </is>
      </c>
      <c r="O3227" s="45" t="inlineStr"/>
    </row>
    <row r="3228" customFormat="1" s="3">
      <c r="A3228" s="45" t="n"/>
      <c r="B3228" s="46" t="inlineStr">
        <is>
          <t>32110</t>
        </is>
      </c>
      <c r="C3228" s="46">
        <f>LEFT(Tableau1[[#This Row],[Formacode]],3)</f>
        <v/>
      </c>
      <c r="D3228" s="47" t="n">
        <v>38135</v>
      </c>
      <c r="E3228" s="48">
        <f>"RNCP"&amp;D3228</f>
        <v/>
      </c>
      <c r="F3228" s="48" t="inlineStr">
        <is>
          <t>Manager commercial clients grands comptes</t>
        </is>
      </c>
      <c r="G3228" s="49">
        <f>E3228&amp;" - "&amp;F3228</f>
        <v/>
      </c>
      <c r="H3228" s="36" t="inlineStr">
        <is>
          <t>RAS</t>
        </is>
      </c>
      <c r="I3228" s="45" t="inlineStr"/>
      <c r="J3228" s="45" t="inlineStr">
        <is>
          <t>RNCP38135</t>
        </is>
      </c>
      <c r="K3228" s="45" t="inlineStr">
        <is>
          <t>Manager commercial clients grands comptes</t>
        </is>
      </c>
      <c r="L3228" s="45" t="inlineStr">
        <is>
          <t>18/10/2028</t>
        </is>
      </c>
      <c r="M3228" s="45" t="inlineStr">
        <is>
          <t>34572 (Négociation grand compte) ; 32154 (Encadrement management)</t>
        </is>
      </c>
      <c r="N3228" s="50" t="inlineStr">
        <is>
          <t>NON</t>
        </is>
      </c>
      <c r="O3228" s="45" t="inlineStr"/>
    </row>
    <row r="3229" customFormat="1" s="3">
      <c r="A3229" s="45" t="n"/>
      <c r="B3229" s="46" t="inlineStr">
        <is>
          <t>32110</t>
        </is>
      </c>
      <c r="C3229" s="46">
        <f>LEFT(Tableau1[[#This Row],[Formacode]],3)</f>
        <v/>
      </c>
      <c r="D3229" s="47" t="n">
        <v>38362</v>
      </c>
      <c r="E3229" s="48">
        <f>"RNCP"&amp;D3229</f>
        <v/>
      </c>
      <c r="F3229" s="48" t="inlineStr">
        <is>
          <t>BTS - Management commercial opérationnel</t>
        </is>
      </c>
      <c r="G3229" s="49">
        <f>E3229&amp;" - "&amp;F3229</f>
        <v/>
      </c>
      <c r="H3229" s="36" t="inlineStr">
        <is>
          <t>RAS</t>
        </is>
      </c>
      <c r="I3229" s="45" t="inlineStr"/>
      <c r="J3229" s="45" t="inlineStr">
        <is>
          <t>RNCP38362</t>
        </is>
      </c>
      <c r="K3229" s="45" t="inlineStr">
        <is>
          <t>Management commercial opérationnel</t>
        </is>
      </c>
      <c r="L3229" s="45" t="inlineStr">
        <is>
          <t>31/12/2028</t>
        </is>
      </c>
      <c r="M3229" s="45" t="inlineStr">
        <is>
          <t>34054 (Gestion commerciale achats) ; 32154 (Encadrement management)</t>
        </is>
      </c>
      <c r="N3229" s="50" t="inlineStr">
        <is>
          <t>NON</t>
        </is>
      </c>
      <c r="O3229" s="45" t="inlineStr"/>
    </row>
    <row r="3230" customFormat="1" s="3">
      <c r="A3230" s="45" t="n"/>
      <c r="B3230" s="46" t="inlineStr">
        <is>
          <t>32110</t>
        </is>
      </c>
      <c r="C3230" s="46">
        <f>LEFT(Tableau1[[#This Row],[Formacode]],3)</f>
        <v/>
      </c>
      <c r="D3230" s="47" t="n">
        <v>38374</v>
      </c>
      <c r="E3230" s="48">
        <f>"RNCP"&amp;D3230</f>
        <v/>
      </c>
      <c r="F3230" s="48" t="inlineStr">
        <is>
          <t>TP - Conducteur d'équipements agroalimentaires</t>
        </is>
      </c>
      <c r="G3230" s="49">
        <f>E3230&amp;" - "&amp;F3230</f>
        <v/>
      </c>
      <c r="H3230" s="36" t="inlineStr">
        <is>
          <t>RAS</t>
        </is>
      </c>
      <c r="I3230" s="45" t="inlineStr"/>
      <c r="J3230" s="45" t="inlineStr">
        <is>
          <t>RNCP38374</t>
        </is>
      </c>
      <c r="K3230" s="45" t="inlineStr">
        <is>
          <t>Conducteur d'équipements agroalimentaires</t>
        </is>
      </c>
      <c r="L3230" s="45" t="inlineStr">
        <is>
          <t>22/12/2028</t>
        </is>
      </c>
      <c r="M3230" s="45" t="inlineStr">
        <is>
          <t>21546 (Méthode haccp) ; 21547 (Bonnes pratiques hygiène agroalimentaire) ; 21575 (Conditionnement agroalimentaire) ; 32154 (Encadrement management) ; 32062 (Recherche développement)</t>
        </is>
      </c>
      <c r="N3230" s="50" t="inlineStr">
        <is>
          <t>NON</t>
        </is>
      </c>
      <c r="O3230" s="45" t="inlineStr"/>
    </row>
    <row r="3231" customFormat="1" s="3">
      <c r="A3231" s="45" t="n"/>
      <c r="B3231" s="46" t="inlineStr">
        <is>
          <t>32110</t>
        </is>
      </c>
      <c r="C3231" s="46">
        <f>LEFT(Tableau1[[#This Row],[Formacode]],3)</f>
        <v/>
      </c>
      <c r="D3231" s="47" t="n">
        <v>38439</v>
      </c>
      <c r="E3231" s="48">
        <f>"RNCP"&amp;D3231</f>
        <v/>
      </c>
      <c r="F3231" s="48" t="inlineStr">
        <is>
          <t>Responsable d'un centre de profit</t>
        </is>
      </c>
      <c r="G3231" s="49">
        <f>E3231&amp;" - "&amp;F3231</f>
        <v/>
      </c>
      <c r="H3231" s="36" t="inlineStr">
        <is>
          <t>RAS</t>
        </is>
      </c>
      <c r="I3231" s="45" t="inlineStr"/>
      <c r="J3231" s="45" t="inlineStr">
        <is>
          <t>RNCP38439</t>
        </is>
      </c>
      <c r="K3231" s="45" t="inlineStr">
        <is>
          <t>Responsable d'un centre de profit</t>
        </is>
      </c>
      <c r="L3231" s="45" t="inlineStr">
        <is>
          <t>21/12/2028</t>
        </is>
      </c>
      <c r="M3231" s="45" t="inlineStr">
        <is>
          <t>32024 (Gestion centre profit) ; 32154 (Encadrement management)</t>
        </is>
      </c>
      <c r="N3231" s="50" t="inlineStr">
        <is>
          <t>NON</t>
        </is>
      </c>
      <c r="O3231" s="45" t="inlineStr"/>
    </row>
    <row r="3232" customFormat="1" s="3">
      <c r="A3232" s="45" t="n"/>
      <c r="B3232" s="46" t="inlineStr">
        <is>
          <t>32110</t>
        </is>
      </c>
      <c r="C3232" s="46">
        <f>LEFT(Tableau1[[#This Row],[Formacode]],3)</f>
        <v/>
      </c>
      <c r="D3232" s="47" t="n">
        <v>38786</v>
      </c>
      <c r="E3232" s="48">
        <f>"RNCP"&amp;D3232</f>
        <v/>
      </c>
      <c r="F3232" s="48" t="inlineStr">
        <is>
          <t>CQP Responsable d'équipe</t>
        </is>
      </c>
      <c r="G3232" s="49">
        <f>E3232&amp;" - "&amp;F3232</f>
        <v/>
      </c>
      <c r="H3232" s="36" t="inlineStr">
        <is>
          <t>RAS</t>
        </is>
      </c>
      <c r="I3232" s="45" t="inlineStr"/>
      <c r="J3232" s="45" t="inlineStr">
        <is>
          <t>RNCP38786</t>
        </is>
      </c>
      <c r="K3232" s="45" t="inlineStr">
        <is>
          <t>CQP Responsable d'équipe</t>
        </is>
      </c>
      <c r="L3232" s="45" t="inlineStr">
        <is>
          <t>27/03/2028</t>
        </is>
      </c>
      <c r="M3232" s="45" t="inlineStr">
        <is>
          <t>32154 (Encadrement management)</t>
        </is>
      </c>
      <c r="N3232" s="50" t="inlineStr">
        <is>
          <t>NON</t>
        </is>
      </c>
      <c r="O3232" s="45" t="inlineStr"/>
    </row>
    <row r="3233" customFormat="1" s="3">
      <c r="A3233" s="45" t="n"/>
      <c r="B3233" s="46" t="inlineStr">
        <is>
          <t>32110</t>
        </is>
      </c>
      <c r="C3233" s="46">
        <f>LEFT(Tableau1[[#This Row],[Formacode]],3)</f>
        <v/>
      </c>
      <c r="D3233" s="47" t="n">
        <v>39122</v>
      </c>
      <c r="E3233" s="48">
        <f>"RNCP"&amp;D3233</f>
        <v/>
      </c>
      <c r="F3233" s="48" t="inlineStr">
        <is>
          <t>Responsable technico-commercial</t>
        </is>
      </c>
      <c r="G3233" s="49">
        <f>E3233&amp;" - "&amp;F3233</f>
        <v/>
      </c>
      <c r="H3233" s="36" t="inlineStr">
        <is>
          <t>RAS</t>
        </is>
      </c>
      <c r="I3233" s="45" t="inlineStr"/>
      <c r="J3233" s="45" t="inlineStr">
        <is>
          <t>RNCP39122</t>
        </is>
      </c>
      <c r="K3233" s="45" t="inlineStr">
        <is>
          <t>Responsable technico-commercial</t>
        </is>
      </c>
      <c r="L3233" s="45" t="inlineStr">
        <is>
          <t>31/05/2029</t>
        </is>
      </c>
      <c r="M3233" s="45" t="inlineStr">
        <is>
          <t>34581 (Technico-commercial) ; 32110 (Management opérationnel)</t>
        </is>
      </c>
      <c r="N3233" s="50" t="inlineStr">
        <is>
          <t>NON</t>
        </is>
      </c>
      <c r="O3233" s="45" t="inlineStr"/>
    </row>
    <row r="3234" customFormat="1" s="3">
      <c r="A3234" s="45" t="n"/>
      <c r="B3234" s="46" t="inlineStr">
        <is>
          <t>32110</t>
        </is>
      </c>
      <c r="C3234" s="46">
        <f>LEFT(Tableau1[[#This Row],[Formacode]],3)</f>
        <v/>
      </c>
      <c r="D3234" s="47" t="n">
        <v>39136</v>
      </c>
      <c r="E3234" s="48">
        <f>"RNCP"&amp;D3234</f>
        <v/>
      </c>
      <c r="F3234" s="48" t="inlineStr">
        <is>
          <t>Grade_Master - Diplôme des Instituts d’Études Politiques – Sciences Po</t>
        </is>
      </c>
      <c r="G3234" s="49">
        <f>E3234&amp;" - "&amp;F3234</f>
        <v/>
      </c>
      <c r="H3234" s="36" t="inlineStr">
        <is>
          <t>RAS</t>
        </is>
      </c>
      <c r="I3234" s="45" t="inlineStr"/>
      <c r="J3234" s="45" t="inlineStr">
        <is>
          <t>RNCP39136</t>
        </is>
      </c>
      <c r="K3234" s="45" t="inlineStr">
        <is>
          <t>Diplôme des Instituts d’Études Politiques – Sciences Po</t>
        </is>
      </c>
      <c r="L3234" s="45" t="inlineStr">
        <is>
          <t>14/04/2029</t>
        </is>
      </c>
      <c r="M3234" s="45" t="inlineStr">
        <is>
          <t>13154 (Économie) ; 13054 (Science politique) ; 46354 (Information - Communication numérique) ; 32154 (Encadrement management) ; 13254 (Droit)</t>
        </is>
      </c>
      <c r="N3234" s="50" t="inlineStr">
        <is>
          <t>NON</t>
        </is>
      </c>
      <c r="O3234" s="45" t="inlineStr"/>
    </row>
    <row r="3235" customFormat="1" s="3">
      <c r="A3235" s="51" t="n"/>
      <c r="B3235" s="52" t="inlineStr">
        <is>
          <t>32110</t>
        </is>
      </c>
      <c r="C3235" s="52">
        <f>LEFT(Tableau1[[#This Row],[Formacode]],3)</f>
        <v/>
      </c>
      <c r="D3235" s="53" t="n">
        <v>39160</v>
      </c>
      <c r="E3235" s="54">
        <f>"RNCP"&amp;D3235</f>
        <v/>
      </c>
      <c r="F3235" s="54" t="inlineStr">
        <is>
          <t>Diplôme visé grade de master - Programme Grande Ecole</t>
        </is>
      </c>
      <c r="G3235" s="55">
        <f>E3235&amp;" - "&amp;F3235</f>
        <v/>
      </c>
      <c r="H3235" s="37" t="inlineStr">
        <is>
          <t>À vérifier</t>
        </is>
      </c>
      <c r="I3235" s="51" t="inlineStr">
        <is>
          <t>Échéance le 31/08/2026 (dans 44 j)</t>
        </is>
      </c>
      <c r="J3235" s="51" t="inlineStr">
        <is>
          <t>RNCP39160</t>
        </is>
      </c>
      <c r="K3235" s="51" t="inlineStr">
        <is>
          <t>Programme Grande Ecole</t>
        </is>
      </c>
      <c r="L3235" s="51" t="inlineStr">
        <is>
          <t>31/08/2026</t>
        </is>
      </c>
      <c r="M3235" s="51" t="inlineStr">
        <is>
          <t>32025 (Stratégie entreprise) ; 32008 (Responsabilité sociétale entreprise) ; 32047 (Création entreprise) ; 32654 (Gestion financière comptabilité) ; 32154 (Encadrement management)</t>
        </is>
      </c>
      <c r="N3235" s="62" t="inlineStr">
        <is>
          <t>NON</t>
        </is>
      </c>
      <c r="O3235" s="51" t="inlineStr"/>
    </row>
    <row r="3236" customFormat="1" s="3">
      <c r="A3236" s="45" t="n"/>
      <c r="B3236" s="46" t="inlineStr">
        <is>
          <t>32110</t>
        </is>
      </c>
      <c r="C3236" s="46">
        <f>LEFT(Tableau1[[#This Row],[Formacode]],3)</f>
        <v/>
      </c>
      <c r="D3236" s="47" t="n">
        <v>39354</v>
      </c>
      <c r="E3236" s="48">
        <f>"RNCP"&amp;D3236</f>
        <v/>
      </c>
      <c r="F3236" s="48" t="inlineStr">
        <is>
          <t>Manager du développement d'entreprise et commercial</t>
        </is>
      </c>
      <c r="G3236" s="49">
        <f>E3236&amp;" - "&amp;F3236</f>
        <v/>
      </c>
      <c r="H3236" s="36" t="inlineStr">
        <is>
          <t>RAS</t>
        </is>
      </c>
      <c r="I3236" s="45" t="inlineStr"/>
      <c r="J3236" s="45" t="inlineStr">
        <is>
          <t>RNCP39354</t>
        </is>
      </c>
      <c r="K3236" s="45" t="inlineStr">
        <is>
          <t>Manager du développement d'entreprise et commercial</t>
        </is>
      </c>
      <c r="L3236" s="45" t="inlineStr">
        <is>
          <t>19/07/2027</t>
        </is>
      </c>
      <c r="M3236" s="45" t="inlineStr">
        <is>
          <t>34085 (Stratégie commerciale) ; 32025 (Stratégie entreprise) ; 32024 (Gestion centre profit) ; 32154 (Encadrement management)</t>
        </is>
      </c>
      <c r="N3236" s="50" t="inlineStr">
        <is>
          <t>NON</t>
        </is>
      </c>
      <c r="O3236" s="45" t="inlineStr"/>
    </row>
    <row r="3237" customFormat="1" s="3">
      <c r="A3237" s="45" t="n"/>
      <c r="B3237" s="46" t="inlineStr">
        <is>
          <t>32110</t>
        </is>
      </c>
      <c r="C3237" s="46">
        <f>LEFT(Tableau1[[#This Row],[Formacode]],3)</f>
        <v/>
      </c>
      <c r="D3237" s="47" t="n">
        <v>39366</v>
      </c>
      <c r="E3237" s="48">
        <f>"RNCP"&amp;D3237</f>
        <v/>
      </c>
      <c r="F3237" s="48" t="inlineStr">
        <is>
          <t>CQP Manager commercial cuisines et/ou aménagement intérieur</t>
        </is>
      </c>
      <c r="G3237" s="49">
        <f>E3237&amp;" - "&amp;F3237</f>
        <v/>
      </c>
      <c r="H3237" s="36" t="inlineStr">
        <is>
          <t>RAS</t>
        </is>
      </c>
      <c r="I3237" s="45" t="inlineStr"/>
      <c r="J3237" s="45" t="inlineStr">
        <is>
          <t>RNCP39366</t>
        </is>
      </c>
      <c r="K3237" s="45" t="inlineStr">
        <is>
          <t>CQP Manager commercial cuisines et/ou aménagement intérieur</t>
        </is>
      </c>
      <c r="L3237" s="45" t="inlineStr">
        <is>
          <t>19/07/2029</t>
        </is>
      </c>
      <c r="M3237" s="45" t="inlineStr">
        <is>
          <t>34561 (Force vente) ; 34536 (Vente équipement maison) ; 32154 (Encadrement management)</t>
        </is>
      </c>
      <c r="N3237" s="50" t="inlineStr">
        <is>
          <t>NON</t>
        </is>
      </c>
      <c r="O3237" s="45" t="inlineStr"/>
    </row>
    <row r="3238" customFormat="1" s="3">
      <c r="A3238" s="51" t="n"/>
      <c r="B3238" s="52" t="inlineStr">
        <is>
          <t>32110</t>
        </is>
      </c>
      <c r="C3238" s="52">
        <f>LEFT(Tableau1[[#This Row],[Formacode]],3)</f>
        <v/>
      </c>
      <c r="D3238" s="53" t="n">
        <v>39763</v>
      </c>
      <c r="E3238" s="54">
        <f>"RNCP"&amp;D3238</f>
        <v/>
      </c>
      <c r="F3238" s="54" t="inlineStr">
        <is>
          <t>Manager de la performance financière</t>
        </is>
      </c>
      <c r="G3238" s="55">
        <f>E3238&amp;" - "&amp;F3238</f>
        <v/>
      </c>
      <c r="H3238" s="37" t="inlineStr">
        <is>
          <t>À vérifier</t>
        </is>
      </c>
      <c r="I3238" s="51" t="inlineStr">
        <is>
          <t>Échéance le 31/10/2026 (dans 105 j)</t>
        </is>
      </c>
      <c r="J3238" s="51" t="inlineStr">
        <is>
          <t>RNCP39763</t>
        </is>
      </c>
      <c r="K3238" s="51" t="inlineStr">
        <is>
          <t>Manager de la performance financière</t>
        </is>
      </c>
      <c r="L3238" s="51" t="inlineStr">
        <is>
          <t>31/10/2026</t>
        </is>
      </c>
      <c r="M3238" s="51" t="inlineStr">
        <is>
          <t>32154 (Encadrement management) ; 32079 (Gestion performance) ; 32652 (Contrôle gestion) ; 32098 (Audit entreprise)</t>
        </is>
      </c>
      <c r="N3238" s="62" t="inlineStr">
        <is>
          <t>NON</t>
        </is>
      </c>
      <c r="O3238" s="51" t="inlineStr"/>
    </row>
    <row r="3239" customFormat="1" s="3">
      <c r="A3239" s="45" t="n"/>
      <c r="B3239" s="46" t="inlineStr">
        <is>
          <t>32110</t>
        </is>
      </c>
      <c r="C3239" s="46">
        <f>LEFT(Tableau1[[#This Row],[Formacode]],3)</f>
        <v/>
      </c>
      <c r="D3239" s="47" t="n">
        <v>39787</v>
      </c>
      <c r="E3239" s="48">
        <f>"RNCP"&amp;D3239</f>
        <v/>
      </c>
      <c r="F3239" s="48" t="inlineStr">
        <is>
          <t>Directeur de la performance commerciale</t>
        </is>
      </c>
      <c r="G3239" s="49">
        <f>E3239&amp;" - "&amp;F3239</f>
        <v/>
      </c>
      <c r="H3239" s="36" t="inlineStr">
        <is>
          <t>RAS</t>
        </is>
      </c>
      <c r="I3239" s="45" t="inlineStr"/>
      <c r="J3239" s="45" t="inlineStr">
        <is>
          <t>RNCP39787</t>
        </is>
      </c>
      <c r="K3239" s="45" t="inlineStr">
        <is>
          <t>Directeur de la performance commerciale</t>
        </is>
      </c>
      <c r="L3239" s="45" t="inlineStr">
        <is>
          <t>31/10/2029</t>
        </is>
      </c>
      <c r="M3239" s="45" t="inlineStr">
        <is>
          <t>32079 (Gestion performance) ; 32154 (Encadrement management) ; 34085 (Stratégie commerciale)</t>
        </is>
      </c>
      <c r="N3239" s="50" t="inlineStr">
        <is>
          <t>NON</t>
        </is>
      </c>
      <c r="O3239" s="45" t="inlineStr"/>
    </row>
    <row r="3240" customFormat="1" s="3">
      <c r="A3240" s="45" t="n"/>
      <c r="B3240" s="46" t="inlineStr">
        <is>
          <t>32110</t>
        </is>
      </c>
      <c r="C3240" s="46">
        <f>LEFT(Tableau1[[#This Row],[Formacode]],3)</f>
        <v/>
      </c>
      <c r="D3240" s="47" t="n">
        <v>39864</v>
      </c>
      <c r="E3240" s="48">
        <f>"RNCP"&amp;D3240</f>
        <v/>
      </c>
      <c r="F3240" s="48" t="inlineStr">
        <is>
          <t>Manager du développement des ressources humaines</t>
        </is>
      </c>
      <c r="G3240" s="49">
        <f>E3240&amp;" - "&amp;F3240</f>
        <v/>
      </c>
      <c r="H3240" s="36" t="inlineStr">
        <is>
          <t>RAS</t>
        </is>
      </c>
      <c r="I3240" s="45" t="inlineStr"/>
      <c r="J3240" s="45" t="inlineStr">
        <is>
          <t>RNCP39864</t>
        </is>
      </c>
      <c r="K3240" s="45" t="inlineStr">
        <is>
          <t>Manager du développement des ressources humaines</t>
        </is>
      </c>
      <c r="L3240" s="45" t="inlineStr">
        <is>
          <t>28/11/2027</t>
        </is>
      </c>
      <c r="M3240" s="45" t="inlineStr">
        <is>
          <t>33054 (Gestion ressources humaines) ; 32154 (Encadrement management)</t>
        </is>
      </c>
      <c r="N3240" s="50" t="inlineStr">
        <is>
          <t>NON</t>
        </is>
      </c>
      <c r="O3240" s="45" t="inlineStr"/>
    </row>
    <row r="3241" customFormat="1" s="3">
      <c r="A3241" s="45" t="n"/>
      <c r="B3241" s="46" t="inlineStr">
        <is>
          <t>32110</t>
        </is>
      </c>
      <c r="C3241" s="46">
        <f>LEFT(Tableau1[[#This Row],[Formacode]],3)</f>
        <v/>
      </c>
      <c r="D3241" s="47" t="n">
        <v>39972</v>
      </c>
      <c r="E3241" s="48">
        <f>"RNCP"&amp;D3241</f>
        <v/>
      </c>
      <c r="F3241" s="48" t="inlineStr">
        <is>
          <t>CQP Responsable d'équipe du secteur alimentaire</t>
        </is>
      </c>
      <c r="G3241" s="49">
        <f>E3241&amp;" - "&amp;F3241</f>
        <v/>
      </c>
      <c r="H3241" s="36" t="inlineStr">
        <is>
          <t>RAS</t>
        </is>
      </c>
      <c r="I3241" s="45" t="inlineStr"/>
      <c r="J3241" s="45" t="inlineStr">
        <is>
          <t>RNCP39972</t>
        </is>
      </c>
      <c r="K3241" s="45" t="inlineStr">
        <is>
          <t>CQP Responsable d'équipe du secteur alimentaire</t>
        </is>
      </c>
      <c r="L3241" s="45" t="inlineStr">
        <is>
          <t>18/12/2029</t>
        </is>
      </c>
      <c r="M3241" s="45" t="inlineStr">
        <is>
          <t>32154 (Encadrement management) ; 21554 (Agroalimentaire)</t>
        </is>
      </c>
      <c r="N3241" s="50" t="inlineStr">
        <is>
          <t>NON</t>
        </is>
      </c>
      <c r="O3241" s="45" t="inlineStr"/>
    </row>
    <row r="3242" customFormat="1" s="3">
      <c r="A3242" s="45" t="n"/>
      <c r="B3242" s="46" t="inlineStr">
        <is>
          <t>32110</t>
        </is>
      </c>
      <c r="C3242" s="46">
        <f>LEFT(Tableau1[[#This Row],[Formacode]],3)</f>
        <v/>
      </c>
      <c r="D3242" s="47" t="n">
        <v>39994</v>
      </c>
      <c r="E3242" s="48">
        <f>"RNCP"&amp;D3242</f>
        <v/>
      </c>
      <c r="F3242" s="48" t="inlineStr">
        <is>
          <t>Manager des transformations des organisations</t>
        </is>
      </c>
      <c r="G3242" s="49">
        <f>E3242&amp;" - "&amp;F3242</f>
        <v/>
      </c>
      <c r="H3242" s="36" t="inlineStr">
        <is>
          <t>RAS</t>
        </is>
      </c>
      <c r="I3242" s="45" t="inlineStr"/>
      <c r="J3242" s="45" t="inlineStr">
        <is>
          <t>RNCP39994</t>
        </is>
      </c>
      <c r="K3242" s="45" t="inlineStr">
        <is>
          <t>Manager des transformations des organisations</t>
        </is>
      </c>
      <c r="L3242" s="45" t="inlineStr">
        <is>
          <t>18/12/2027</t>
        </is>
      </c>
      <c r="M3242" s="45" t="inlineStr">
        <is>
          <t>32025 (Stratégie entreprise) ; 32079 (Gestion performance) ; 32154 (Encadrement management)</t>
        </is>
      </c>
      <c r="N3242" s="50" t="inlineStr">
        <is>
          <t>NON</t>
        </is>
      </c>
      <c r="O3242" s="45" t="inlineStr"/>
    </row>
    <row r="3243" customFormat="1" s="3">
      <c r="A3243" s="45" t="n"/>
      <c r="B3243" s="46" t="inlineStr">
        <is>
          <t>32110</t>
        </is>
      </c>
      <c r="C3243" s="46">
        <f>LEFT(Tableau1[[#This Row],[Formacode]],3)</f>
        <v/>
      </c>
      <c r="D3243" s="47" t="n">
        <v>40169</v>
      </c>
      <c r="E3243" s="48">
        <f>"RNCP"&amp;D3243</f>
        <v/>
      </c>
      <c r="F3243" s="48" t="inlineStr">
        <is>
          <t>CQP Responsable de conseillers techniques en élevage</t>
        </is>
      </c>
      <c r="G3243" s="49">
        <f>E3243&amp;" - "&amp;F3243</f>
        <v/>
      </c>
      <c r="H3243" s="36" t="inlineStr">
        <is>
          <t>RAS</t>
        </is>
      </c>
      <c r="I3243" s="45" t="inlineStr"/>
      <c r="J3243" s="45" t="inlineStr">
        <is>
          <t>RNCP40169</t>
        </is>
      </c>
      <c r="K3243" s="45" t="inlineStr">
        <is>
          <t>CQP Responsable de conseillers techniques en élevage</t>
        </is>
      </c>
      <c r="L3243" s="45" t="inlineStr">
        <is>
          <t>31/01/2030</t>
        </is>
      </c>
      <c r="M3243" s="45" t="inlineStr">
        <is>
          <t>21056 (Élevage) ; 32068 (Coordination travail) ; 32154 (Encadrement management)</t>
        </is>
      </c>
      <c r="N3243" s="50" t="inlineStr">
        <is>
          <t>NON</t>
        </is>
      </c>
      <c r="O3243" s="45" t="inlineStr"/>
    </row>
    <row r="3244" customFormat="1" s="3">
      <c r="A3244" s="45" t="n"/>
      <c r="B3244" s="46" t="inlineStr">
        <is>
          <t>32110</t>
        </is>
      </c>
      <c r="C3244" s="46">
        <f>LEFT(Tableau1[[#This Row],[Formacode]],3)</f>
        <v/>
      </c>
      <c r="D3244" s="47" t="n">
        <v>41000</v>
      </c>
      <c r="E3244" s="48">
        <f>"RNCP"&amp;D3244</f>
        <v/>
      </c>
      <c r="F3244" s="48" t="inlineStr">
        <is>
          <t>BTS - Management opérationnel de la sécurité</t>
        </is>
      </c>
      <c r="G3244" s="49">
        <f>E3244&amp;" - "&amp;F3244</f>
        <v/>
      </c>
      <c r="H3244" s="36" t="inlineStr">
        <is>
          <t>RAS</t>
        </is>
      </c>
      <c r="I3244" s="45" t="inlineStr"/>
      <c r="J3244" s="45" t="inlineStr">
        <is>
          <t>RNCP41000</t>
        </is>
      </c>
      <c r="K3244" s="45" t="inlineStr">
        <is>
          <t>Management opérationnel de la sécurité</t>
        </is>
      </c>
      <c r="L3244" s="45" t="inlineStr">
        <is>
          <t>31/08/2030</t>
        </is>
      </c>
      <c r="M3244" s="45" t="inlineStr">
        <is>
          <t>42854 (Prévention sécurité) ; 32154 (Encadrement management)</t>
        </is>
      </c>
      <c r="N3244" s="50" t="inlineStr">
        <is>
          <t>NON</t>
        </is>
      </c>
      <c r="O3244" s="45" t="inlineStr"/>
    </row>
    <row r="3245" customFormat="1" s="3">
      <c r="A3245" s="45" t="n"/>
      <c r="B3245" s="46" t="inlineStr">
        <is>
          <t>32110</t>
        </is>
      </c>
      <c r="C3245" s="46">
        <f>LEFT(Tableau1[[#This Row],[Formacode]],3)</f>
        <v/>
      </c>
      <c r="D3245" s="47" t="n">
        <v>41785</v>
      </c>
      <c r="E3245" s="48">
        <f>"RNCP"&amp;D3245</f>
        <v/>
      </c>
      <c r="F3245" s="48" t="inlineStr">
        <is>
          <t>CQP Responsable d'équipe</t>
        </is>
      </c>
      <c r="G3245" s="49">
        <f>E3245&amp;" - "&amp;F3245</f>
        <v/>
      </c>
      <c r="H3245" s="36" t="inlineStr">
        <is>
          <t>RAS</t>
        </is>
      </c>
      <c r="I3245" s="45" t="inlineStr"/>
      <c r="J3245" s="45" t="inlineStr">
        <is>
          <t>RNCP41785</t>
        </is>
      </c>
      <c r="K3245" s="45" t="inlineStr">
        <is>
          <t>CQP Responsable d'équipe</t>
        </is>
      </c>
      <c r="L3245" s="45" t="inlineStr">
        <is>
          <t>18/12/2030</t>
        </is>
      </c>
      <c r="M3245" s="45" t="inlineStr">
        <is>
          <t>32110 (Management opérationnel) ; 23021 (Plasturgie)</t>
        </is>
      </c>
      <c r="N3245" s="50" t="inlineStr">
        <is>
          <t>NON</t>
        </is>
      </c>
      <c r="O3245" s="45" t="inlineStr"/>
    </row>
    <row r="3246" customFormat="1" s="3">
      <c r="A3246" s="45" t="n"/>
      <c r="B3246" s="46" t="inlineStr">
        <is>
          <t>32110</t>
        </is>
      </c>
      <c r="C3246" s="46">
        <f>LEFT(Tableau1[[#This Row],[Formacode]],3)</f>
        <v/>
      </c>
      <c r="D3246" s="47" t="n">
        <v>41809</v>
      </c>
      <c r="E3246" s="48">
        <f>"RNCP"&amp;D3246</f>
        <v/>
      </c>
      <c r="F3246" s="48" t="inlineStr">
        <is>
          <t>Manager de la stratégie marketing digital</t>
        </is>
      </c>
      <c r="G3246" s="49">
        <f>E3246&amp;" - "&amp;F3246</f>
        <v/>
      </c>
      <c r="H3246" s="36" t="inlineStr">
        <is>
          <t>RAS</t>
        </is>
      </c>
      <c r="I3246" s="45" t="inlineStr"/>
      <c r="J3246" s="45" t="inlineStr">
        <is>
          <t>RNCP41809</t>
        </is>
      </c>
      <c r="K3246" s="45" t="inlineStr">
        <is>
          <t>Manager de la stratégie marketing digital</t>
        </is>
      </c>
      <c r="L3246" s="45" t="inlineStr">
        <is>
          <t>18/12/2028</t>
        </is>
      </c>
      <c r="M3246" s="45" t="inlineStr">
        <is>
          <t>46301 (Communication entreprise) ; 15004 (Communication professionnelle) ; 32154 (Encadrement management) ; 34052 (Marketing)</t>
        </is>
      </c>
      <c r="N3246" s="50" t="inlineStr">
        <is>
          <t>NON</t>
        </is>
      </c>
      <c r="O3246" s="45" t="inlineStr"/>
    </row>
    <row r="3247" customFormat="1" s="3">
      <c r="A3247" s="63" t="n"/>
      <c r="B3247" s="64" t="inlineStr">
        <is>
          <t>32120</t>
        </is>
      </c>
      <c r="C3247" s="64">
        <f>LEFT(Tableau1[[#This Row],[Formacode]],3)</f>
        <v/>
      </c>
      <c r="D3247" s="65" t="n">
        <v>35233</v>
      </c>
      <c r="E3247" s="66">
        <f>"RNCP"&amp;D3247</f>
        <v/>
      </c>
      <c r="F3247" s="66" t="inlineStr">
        <is>
          <t>TP - Assistant manager d’unité marchande</t>
        </is>
      </c>
      <c r="G3247" s="67">
        <f>E3247&amp;" - "&amp;F3247</f>
        <v/>
      </c>
      <c r="H3247" s="38" t="inlineStr">
        <is>
          <t>Expiré / remplacé</t>
        </is>
      </c>
      <c r="I3247" s="63" t="inlineStr">
        <is>
          <t>Fiche inactive — remplacée par RNCP41852 (Assistant manager d’unité marchande)</t>
        </is>
      </c>
      <c r="J3247" s="63" t="inlineStr">
        <is>
          <t>RNCP41852</t>
        </is>
      </c>
      <c r="K3247" s="63" t="inlineStr">
        <is>
          <t>Assistant manager d’unité marchande</t>
        </is>
      </c>
      <c r="L3247" s="63" t="inlineStr">
        <is>
          <t>16/02/2026</t>
        </is>
      </c>
      <c r="M3247" s="63" t="inlineStr">
        <is>
          <t>34566 (Vente distribution) ; 32154 (Encadrement management)</t>
        </is>
      </c>
      <c r="N3247" s="68" t="inlineStr">
        <is>
          <t>NON</t>
        </is>
      </c>
      <c r="O3247" s="63" t="inlineStr"/>
    </row>
    <row r="3248" customFormat="1" s="3">
      <c r="A3248" s="45" t="n"/>
      <c r="B3248" s="46" t="inlineStr">
        <is>
          <t>32120</t>
        </is>
      </c>
      <c r="C3248" s="46">
        <f>LEFT(Tableau1[[#This Row],[Formacode]],3)</f>
        <v/>
      </c>
      <c r="D3248" s="47" t="n">
        <v>36461</v>
      </c>
      <c r="E3248" s="48">
        <f>"RNCP"&amp;D3248</f>
        <v/>
      </c>
      <c r="F3248" s="48" t="inlineStr">
        <is>
          <t>Directeur d'unité opérationnelle</t>
        </is>
      </c>
      <c r="G3248" s="49">
        <f>E3248&amp;" - "&amp;F3248</f>
        <v/>
      </c>
      <c r="H3248" s="36" t="inlineStr">
        <is>
          <t>RAS</t>
        </is>
      </c>
      <c r="I3248" s="45" t="inlineStr"/>
      <c r="J3248" s="45" t="inlineStr">
        <is>
          <t>RNCP36461</t>
        </is>
      </c>
      <c r="K3248" s="45" t="inlineStr">
        <is>
          <t>Directeur d'unité opérationnelle</t>
        </is>
      </c>
      <c r="L3248" s="45" t="inlineStr">
        <is>
          <t>02/06/2027</t>
        </is>
      </c>
      <c r="M3248" s="45" t="inlineStr">
        <is>
          <t>32054 (Gestion des organisations) ; 32154 (Encadrement management)</t>
        </is>
      </c>
      <c r="N3248" s="50" t="inlineStr">
        <is>
          <t>NON</t>
        </is>
      </c>
      <c r="O3248" s="45" t="inlineStr"/>
    </row>
    <row r="3249" customFormat="1" s="3">
      <c r="A3249" s="45" t="n"/>
      <c r="B3249" s="46" t="inlineStr">
        <is>
          <t>32120</t>
        </is>
      </c>
      <c r="C3249" s="46">
        <f>LEFT(Tableau1[[#This Row],[Formacode]],3)</f>
        <v/>
      </c>
      <c r="D3249" s="47" t="n">
        <v>36890</v>
      </c>
      <c r="E3249" s="48">
        <f>"RNCP"&amp;D3249</f>
        <v/>
      </c>
      <c r="F3249" s="48" t="inlineStr">
        <is>
          <t>Manager d'unité opérationnelle</t>
        </is>
      </c>
      <c r="G3249" s="49">
        <f>E3249&amp;" - "&amp;F3249</f>
        <v/>
      </c>
      <c r="H3249" s="36" t="inlineStr">
        <is>
          <t>RAS</t>
        </is>
      </c>
      <c r="I3249" s="45" t="inlineStr"/>
      <c r="J3249" s="45" t="inlineStr">
        <is>
          <t>RNCP36890</t>
        </is>
      </c>
      <c r="K3249" s="45" t="inlineStr">
        <is>
          <t>Manager d'unité opérationnelle</t>
        </is>
      </c>
      <c r="L3249" s="45" t="inlineStr">
        <is>
          <t>29/09/2027</t>
        </is>
      </c>
      <c r="M3249" s="45" t="inlineStr">
        <is>
          <t>32079 (Gestion performance) ; 32025 (Stratégie entreprise) ; 32154 (Encadrement management)</t>
        </is>
      </c>
      <c r="N3249" s="50" t="inlineStr">
        <is>
          <t>NON</t>
        </is>
      </c>
      <c r="O3249" s="45" t="inlineStr"/>
    </row>
    <row r="3250" customFormat="1" s="3">
      <c r="A3250" s="45" t="n"/>
      <c r="B3250" s="46" t="inlineStr">
        <is>
          <t>32120</t>
        </is>
      </c>
      <c r="C3250" s="46">
        <f>LEFT(Tableau1[[#This Row],[Formacode]],3)</f>
        <v/>
      </c>
      <c r="D3250" s="47" t="n">
        <v>37270</v>
      </c>
      <c r="E3250" s="48">
        <f>"RNCP"&amp;D3250</f>
        <v/>
      </c>
      <c r="F3250" s="48" t="inlineStr">
        <is>
          <t>Manager de programmes internationaux - humanitaire et développement</t>
        </is>
      </c>
      <c r="G3250" s="49">
        <f>E3250&amp;" - "&amp;F3250</f>
        <v/>
      </c>
      <c r="H3250" s="36" t="inlineStr">
        <is>
          <t>RAS</t>
        </is>
      </c>
      <c r="I3250" s="45" t="inlineStr"/>
      <c r="J3250" s="45" t="inlineStr">
        <is>
          <t>RNCP37270</t>
        </is>
      </c>
      <c r="K3250" s="45" t="inlineStr">
        <is>
          <t>Manager de programmes internationaux - humanitaire et développement</t>
        </is>
      </c>
      <c r="L3250" s="45" t="inlineStr">
        <is>
          <t>25/01/2028</t>
        </is>
      </c>
      <c r="M3250" s="45" t="inlineStr">
        <is>
          <t>13017 (Action humanitaire) ; 32154 (Encadrement management) ; 32005 (Stratégie internationale)</t>
        </is>
      </c>
      <c r="N3250" s="50" t="inlineStr">
        <is>
          <t>NON</t>
        </is>
      </c>
      <c r="O3250" s="45" t="inlineStr"/>
    </row>
    <row r="3251" customFormat="1" s="3">
      <c r="A3251" s="45" t="n"/>
      <c r="B3251" s="46" t="inlineStr">
        <is>
          <t>32120</t>
        </is>
      </c>
      <c r="C3251" s="46">
        <f>LEFT(Tableau1[[#This Row],[Formacode]],3)</f>
        <v/>
      </c>
      <c r="D3251" s="47" t="n">
        <v>37282</v>
      </c>
      <c r="E3251" s="48">
        <f>"RNCP"&amp;D3251</f>
        <v/>
      </c>
      <c r="F3251" s="48" t="inlineStr">
        <is>
          <t>CQP Manager d’équipe en négoce des matériaux de construction</t>
        </is>
      </c>
      <c r="G3251" s="49">
        <f>E3251&amp;" - "&amp;F3251</f>
        <v/>
      </c>
      <c r="H3251" s="36" t="inlineStr">
        <is>
          <t>RAS</t>
        </is>
      </c>
      <c r="I3251" s="45" t="inlineStr"/>
      <c r="J3251" s="45" t="inlineStr">
        <is>
          <t>RNCP37282</t>
        </is>
      </c>
      <c r="K3251" s="45" t="inlineStr">
        <is>
          <t>CQP Manager d’équipe en négoce des matériaux de construction</t>
        </is>
      </c>
      <c r="L3251" s="45" t="inlineStr">
        <is>
          <t>25/01/2028</t>
        </is>
      </c>
      <c r="M3251" s="45" t="inlineStr">
        <is>
          <t>22852 (Matériau construction) ; 31663 (Gestion stock) ; 34085 (Stratégie commerciale) ; 32154 (Encadrement management)</t>
        </is>
      </c>
      <c r="N3251" s="50" t="inlineStr">
        <is>
          <t>NON</t>
        </is>
      </c>
      <c r="O3251" s="45" t="inlineStr"/>
    </row>
    <row r="3252" customFormat="1" s="3">
      <c r="A3252" s="45" t="n"/>
      <c r="B3252" s="46" t="inlineStr">
        <is>
          <t>32120</t>
        </is>
      </c>
      <c r="C3252" s="46">
        <f>LEFT(Tableau1[[#This Row],[Formacode]],3)</f>
        <v/>
      </c>
      <c r="D3252" s="47" t="n">
        <v>37285</v>
      </c>
      <c r="E3252" s="48">
        <f>"RNCP"&amp;D3252</f>
        <v/>
      </c>
      <c r="F3252" s="48" t="inlineStr">
        <is>
          <t>CQP Chef d’agence en négoce des matériaux de construction</t>
        </is>
      </c>
      <c r="G3252" s="49">
        <f>E3252&amp;" - "&amp;F3252</f>
        <v/>
      </c>
      <c r="H3252" s="36" t="inlineStr">
        <is>
          <t>RAS</t>
        </is>
      </c>
      <c r="I3252" s="45" t="inlineStr"/>
      <c r="J3252" s="45" t="inlineStr">
        <is>
          <t>RNCP37285</t>
        </is>
      </c>
      <c r="K3252" s="45" t="inlineStr">
        <is>
          <t>CQP Chef d’agence en négoce des matériaux de construction</t>
        </is>
      </c>
      <c r="L3252" s="45" t="inlineStr">
        <is>
          <t>25/01/2028</t>
        </is>
      </c>
      <c r="M3252" s="45" t="inlineStr">
        <is>
          <t>22852 (Matériau construction) ; 32650 (Gestion budgétaire) ; 31663 (Gestion stock) ; 34085 (Stratégie commerciale) ; 32154 (Encadrement management)</t>
        </is>
      </c>
      <c r="N3252" s="50" t="inlineStr">
        <is>
          <t>NON</t>
        </is>
      </c>
      <c r="O3252" s="45" t="inlineStr"/>
    </row>
    <row r="3253" ht="28.8" customFormat="1" customHeight="1" s="3">
      <c r="A3253" s="45" t="n"/>
      <c r="B3253" s="46" t="inlineStr">
        <is>
          <t>32120</t>
        </is>
      </c>
      <c r="C3253" s="46">
        <f>LEFT(Tableau1[[#This Row],[Formacode]],3)</f>
        <v/>
      </c>
      <c r="D3253" s="47" t="n">
        <v>37375</v>
      </c>
      <c r="E3253" s="48">
        <f>"RNCP"&amp;D3253</f>
        <v/>
      </c>
      <c r="F3253" s="48" t="inlineStr">
        <is>
          <t>Brevet de technicien supérieur - Métiers de l’esthétique, de la cosmétique et de la parfumerie</t>
        </is>
      </c>
      <c r="G3253" s="49">
        <f>E3253&amp;" - "&amp;F3253</f>
        <v/>
      </c>
      <c r="H3253" s="36" t="inlineStr">
        <is>
          <t>RAS</t>
        </is>
      </c>
      <c r="I3253" s="45" t="inlineStr"/>
      <c r="J3253" s="45" t="inlineStr">
        <is>
          <t>RNCP37375</t>
        </is>
      </c>
      <c r="K3253" s="45" t="inlineStr">
        <is>
          <t>Métiers de l’esthétique, de la cosmétique et de la parfumerie</t>
        </is>
      </c>
      <c r="L3253" s="45" t="inlineStr">
        <is>
          <t>31/08/2028</t>
        </is>
      </c>
      <c r="M3253" s="45" t="inlineStr">
        <is>
          <t>42032 (Esthétique soin corporel) ; 32154 (Encadrement management) ; 22885 (Cosmétique) ; 34059 (Gestion marque) ; 44517 (Conception action formation)</t>
        </is>
      </c>
      <c r="N3253" s="50" t="inlineStr">
        <is>
          <t>NON</t>
        </is>
      </c>
      <c r="O3253" s="45" t="inlineStr"/>
    </row>
    <row r="3254" customFormat="1" s="3">
      <c r="A3254" s="45" t="n"/>
      <c r="B3254" s="46" t="inlineStr">
        <is>
          <t>32120</t>
        </is>
      </c>
      <c r="C3254" s="46">
        <f>LEFT(Tableau1[[#This Row],[Formacode]],3)</f>
        <v/>
      </c>
      <c r="D3254" s="47" t="n">
        <v>37655</v>
      </c>
      <c r="E3254" s="48">
        <f>"RNCP"&amp;D3254</f>
        <v/>
      </c>
      <c r="F3254" s="48" t="inlineStr">
        <is>
          <t>Responsable en gestion et développement d’une business unit</t>
        </is>
      </c>
      <c r="G3254" s="49">
        <f>E3254&amp;" - "&amp;F3254</f>
        <v/>
      </c>
      <c r="H3254" s="36" t="inlineStr">
        <is>
          <t>RAS</t>
        </is>
      </c>
      <c r="I3254" s="45" t="inlineStr"/>
      <c r="J3254" s="45" t="inlineStr">
        <is>
          <t>RNCP37655</t>
        </is>
      </c>
      <c r="K3254" s="45" t="inlineStr">
        <is>
          <t>Responsable en gestion et développement d’une business unit</t>
        </is>
      </c>
      <c r="L3254" s="45" t="inlineStr">
        <is>
          <t>31/05/2028</t>
        </is>
      </c>
      <c r="M3254" s="45" t="inlineStr">
        <is>
          <t>32025 (Stratégie entreprise) ; 32154 (Encadrement management) ; 34054 (Gestion commerciale achats)</t>
        </is>
      </c>
      <c r="N3254" s="50" t="inlineStr">
        <is>
          <t>NON</t>
        </is>
      </c>
      <c r="O3254" s="45" t="inlineStr"/>
    </row>
    <row r="3255" customFormat="1" s="3">
      <c r="A3255" s="45" t="n"/>
      <c r="B3255" s="46" t="inlineStr">
        <is>
          <t>32120</t>
        </is>
      </c>
      <c r="C3255" s="46">
        <f>LEFT(Tableau1[[#This Row],[Formacode]],3)</f>
        <v/>
      </c>
      <c r="D3255" s="47" t="n">
        <v>38135</v>
      </c>
      <c r="E3255" s="48">
        <f>"RNCP"&amp;D3255</f>
        <v/>
      </c>
      <c r="F3255" s="48" t="inlineStr">
        <is>
          <t>Manager commercial clients grands comptes</t>
        </is>
      </c>
      <c r="G3255" s="49">
        <f>E3255&amp;" - "&amp;F3255</f>
        <v/>
      </c>
      <c r="H3255" s="36" t="inlineStr">
        <is>
          <t>RAS</t>
        </is>
      </c>
      <c r="I3255" s="45" t="inlineStr"/>
      <c r="J3255" s="45" t="inlineStr">
        <is>
          <t>RNCP38135</t>
        </is>
      </c>
      <c r="K3255" s="45" t="inlineStr">
        <is>
          <t>Manager commercial clients grands comptes</t>
        </is>
      </c>
      <c r="L3255" s="45" t="inlineStr">
        <is>
          <t>18/10/2028</t>
        </is>
      </c>
      <c r="M3255" s="45" t="inlineStr">
        <is>
          <t>34572 (Négociation grand compte) ; 32154 (Encadrement management)</t>
        </is>
      </c>
      <c r="N3255" s="50" t="inlineStr">
        <is>
          <t>NON</t>
        </is>
      </c>
      <c r="O3255" s="45" t="inlineStr"/>
    </row>
    <row r="3256" customFormat="1" s="3">
      <c r="A3256" s="45" t="n"/>
      <c r="B3256" s="46" t="inlineStr">
        <is>
          <t>32120</t>
        </is>
      </c>
      <c r="C3256" s="46">
        <f>LEFT(Tableau1[[#This Row],[Formacode]],3)</f>
        <v/>
      </c>
      <c r="D3256" s="47" t="n">
        <v>38362</v>
      </c>
      <c r="E3256" s="48">
        <f>"RNCP"&amp;D3256</f>
        <v/>
      </c>
      <c r="F3256" s="48" t="inlineStr">
        <is>
          <t>BTS - Management commercial opérationnel</t>
        </is>
      </c>
      <c r="G3256" s="49">
        <f>E3256&amp;" - "&amp;F3256</f>
        <v/>
      </c>
      <c r="H3256" s="36" t="inlineStr">
        <is>
          <t>RAS</t>
        </is>
      </c>
      <c r="I3256" s="45" t="inlineStr"/>
      <c r="J3256" s="45" t="inlineStr">
        <is>
          <t>RNCP38362</t>
        </is>
      </c>
      <c r="K3256" s="45" t="inlineStr">
        <is>
          <t>Management commercial opérationnel</t>
        </is>
      </c>
      <c r="L3256" s="45" t="inlineStr">
        <is>
          <t>31/12/2028</t>
        </is>
      </c>
      <c r="M3256" s="45" t="inlineStr">
        <is>
          <t>34054 (Gestion commerciale achats) ; 32154 (Encadrement management)</t>
        </is>
      </c>
      <c r="N3256" s="50" t="inlineStr">
        <is>
          <t>NON</t>
        </is>
      </c>
      <c r="O3256" s="45" t="inlineStr"/>
    </row>
    <row r="3257" customFormat="1" s="3">
      <c r="A3257" s="45" t="n"/>
      <c r="B3257" s="46" t="inlineStr">
        <is>
          <t>32120</t>
        </is>
      </c>
      <c r="C3257" s="46">
        <f>LEFT(Tableau1[[#This Row],[Formacode]],3)</f>
        <v/>
      </c>
      <c r="D3257" s="47" t="n">
        <v>38374</v>
      </c>
      <c r="E3257" s="48">
        <f>"RNCP"&amp;D3257</f>
        <v/>
      </c>
      <c r="F3257" s="48" t="inlineStr">
        <is>
          <t>TP - Conducteur d'équipements agroalimentaires</t>
        </is>
      </c>
      <c r="G3257" s="49">
        <f>E3257&amp;" - "&amp;F3257</f>
        <v/>
      </c>
      <c r="H3257" s="36" t="inlineStr">
        <is>
          <t>RAS</t>
        </is>
      </c>
      <c r="I3257" s="45" t="inlineStr"/>
      <c r="J3257" s="45" t="inlineStr">
        <is>
          <t>RNCP38374</t>
        </is>
      </c>
      <c r="K3257" s="45" t="inlineStr">
        <is>
          <t>Conducteur d'équipements agroalimentaires</t>
        </is>
      </c>
      <c r="L3257" s="45" t="inlineStr">
        <is>
          <t>22/12/2028</t>
        </is>
      </c>
      <c r="M3257" s="45" t="inlineStr">
        <is>
          <t>21546 (Méthode haccp) ; 21547 (Bonnes pratiques hygiène agroalimentaire) ; 21575 (Conditionnement agroalimentaire) ; 32154 (Encadrement management) ; 32062 (Recherche développement)</t>
        </is>
      </c>
      <c r="N3257" s="50" t="inlineStr">
        <is>
          <t>NON</t>
        </is>
      </c>
      <c r="O3257" s="45" t="inlineStr"/>
    </row>
    <row r="3258" customFormat="1" s="3">
      <c r="A3258" s="45" t="n"/>
      <c r="B3258" s="46" t="inlineStr">
        <is>
          <t>32120</t>
        </is>
      </c>
      <c r="C3258" s="46">
        <f>LEFT(Tableau1[[#This Row],[Formacode]],3)</f>
        <v/>
      </c>
      <c r="D3258" s="47" t="n">
        <v>38439</v>
      </c>
      <c r="E3258" s="48">
        <f>"RNCP"&amp;D3258</f>
        <v/>
      </c>
      <c r="F3258" s="48" t="inlineStr">
        <is>
          <t>Responsable d'un centre de profit</t>
        </is>
      </c>
      <c r="G3258" s="49">
        <f>E3258&amp;" - "&amp;F3258</f>
        <v/>
      </c>
      <c r="H3258" s="36" t="inlineStr">
        <is>
          <t>RAS</t>
        </is>
      </c>
      <c r="I3258" s="45" t="inlineStr"/>
      <c r="J3258" s="45" t="inlineStr">
        <is>
          <t>RNCP38439</t>
        </is>
      </c>
      <c r="K3258" s="45" t="inlineStr">
        <is>
          <t>Responsable d'un centre de profit</t>
        </is>
      </c>
      <c r="L3258" s="45" t="inlineStr">
        <is>
          <t>21/12/2028</t>
        </is>
      </c>
      <c r="M3258" s="45" t="inlineStr">
        <is>
          <t>32024 (Gestion centre profit) ; 32154 (Encadrement management)</t>
        </is>
      </c>
      <c r="N3258" s="50" t="inlineStr">
        <is>
          <t>NON</t>
        </is>
      </c>
      <c r="O3258" s="45" t="inlineStr"/>
    </row>
    <row r="3259" customFormat="1" s="3">
      <c r="A3259" s="45" t="n"/>
      <c r="B3259" s="46" t="inlineStr">
        <is>
          <t>32120</t>
        </is>
      </c>
      <c r="C3259" s="46">
        <f>LEFT(Tableau1[[#This Row],[Formacode]],3)</f>
        <v/>
      </c>
      <c r="D3259" s="47" t="n">
        <v>38786</v>
      </c>
      <c r="E3259" s="48">
        <f>"RNCP"&amp;D3259</f>
        <v/>
      </c>
      <c r="F3259" s="48" t="inlineStr">
        <is>
          <t>CQP Responsable d'équipe</t>
        </is>
      </c>
      <c r="G3259" s="49">
        <f>E3259&amp;" - "&amp;F3259</f>
        <v/>
      </c>
      <c r="H3259" s="36" t="inlineStr">
        <is>
          <t>RAS</t>
        </is>
      </c>
      <c r="I3259" s="45" t="inlineStr"/>
      <c r="J3259" s="45" t="inlineStr">
        <is>
          <t>RNCP38786</t>
        </is>
      </c>
      <c r="K3259" s="45" t="inlineStr">
        <is>
          <t>CQP Responsable d'équipe</t>
        </is>
      </c>
      <c r="L3259" s="45" t="inlineStr">
        <is>
          <t>27/03/2028</t>
        </is>
      </c>
      <c r="M3259" s="45" t="inlineStr">
        <is>
          <t>32154 (Encadrement management)</t>
        </is>
      </c>
      <c r="N3259" s="50" t="inlineStr">
        <is>
          <t>NON</t>
        </is>
      </c>
      <c r="O3259" s="45" t="inlineStr"/>
    </row>
    <row r="3260" customFormat="1" s="3">
      <c r="A3260" s="45" t="n"/>
      <c r="B3260" s="46" t="inlineStr">
        <is>
          <t>32120</t>
        </is>
      </c>
      <c r="C3260" s="46">
        <f>LEFT(Tableau1[[#This Row],[Formacode]],3)</f>
        <v/>
      </c>
      <c r="D3260" s="47" t="n">
        <v>39136</v>
      </c>
      <c r="E3260" s="48">
        <f>"RNCP"&amp;D3260</f>
        <v/>
      </c>
      <c r="F3260" s="48" t="inlineStr">
        <is>
          <t>Grade_Master - Diplôme des Instituts d’Études Politiques – Sciences Po</t>
        </is>
      </c>
      <c r="G3260" s="49">
        <f>E3260&amp;" - "&amp;F3260</f>
        <v/>
      </c>
      <c r="H3260" s="36" t="inlineStr">
        <is>
          <t>RAS</t>
        </is>
      </c>
      <c r="I3260" s="45" t="inlineStr"/>
      <c r="J3260" s="45" t="inlineStr">
        <is>
          <t>RNCP39136</t>
        </is>
      </c>
      <c r="K3260" s="45" t="inlineStr">
        <is>
          <t>Diplôme des Instituts d’Études Politiques – Sciences Po</t>
        </is>
      </c>
      <c r="L3260" s="45" t="inlineStr">
        <is>
          <t>14/04/2029</t>
        </is>
      </c>
      <c r="M3260" s="45" t="inlineStr">
        <is>
          <t>13154 (Économie) ; 13054 (Science politique) ; 46354 (Information - Communication numérique) ; 32154 (Encadrement management) ; 13254 (Droit)</t>
        </is>
      </c>
      <c r="N3260" s="50" t="inlineStr">
        <is>
          <t>NON</t>
        </is>
      </c>
      <c r="O3260" s="45" t="inlineStr"/>
    </row>
    <row r="3261" customFormat="1" s="3">
      <c r="A3261" s="51" t="n"/>
      <c r="B3261" s="52" t="inlineStr">
        <is>
          <t>32120</t>
        </is>
      </c>
      <c r="C3261" s="52">
        <f>LEFT(Tableau1[[#This Row],[Formacode]],3)</f>
        <v/>
      </c>
      <c r="D3261" s="53" t="n">
        <v>39160</v>
      </c>
      <c r="E3261" s="54">
        <f>"RNCP"&amp;D3261</f>
        <v/>
      </c>
      <c r="F3261" s="54" t="inlineStr">
        <is>
          <t>Diplôme visé grade de master - Programme Grande Ecole</t>
        </is>
      </c>
      <c r="G3261" s="55">
        <f>E3261&amp;" - "&amp;F3261</f>
        <v/>
      </c>
      <c r="H3261" s="37" t="inlineStr">
        <is>
          <t>À vérifier</t>
        </is>
      </c>
      <c r="I3261" s="51" t="inlineStr">
        <is>
          <t>Échéance le 31/08/2026 (dans 44 j)</t>
        </is>
      </c>
      <c r="J3261" s="51" t="inlineStr">
        <is>
          <t>RNCP39160</t>
        </is>
      </c>
      <c r="K3261" s="51" t="inlineStr">
        <is>
          <t>Programme Grande Ecole</t>
        </is>
      </c>
      <c r="L3261" s="51" t="inlineStr">
        <is>
          <t>31/08/2026</t>
        </is>
      </c>
      <c r="M3261" s="51" t="inlineStr">
        <is>
          <t>32025 (Stratégie entreprise) ; 32008 (Responsabilité sociétale entreprise) ; 32047 (Création entreprise) ; 32654 (Gestion financière comptabilité) ; 32154 (Encadrement management)</t>
        </is>
      </c>
      <c r="N3261" s="62" t="inlineStr">
        <is>
          <t>NON</t>
        </is>
      </c>
      <c r="O3261" s="51" t="inlineStr"/>
    </row>
    <row r="3262" customFormat="1" s="3">
      <c r="A3262" s="45" t="n"/>
      <c r="B3262" s="46" t="inlineStr">
        <is>
          <t>32120</t>
        </is>
      </c>
      <c r="C3262" s="46">
        <f>LEFT(Tableau1[[#This Row],[Formacode]],3)</f>
        <v/>
      </c>
      <c r="D3262" s="47" t="n">
        <v>39354</v>
      </c>
      <c r="E3262" s="48">
        <f>"RNCP"&amp;D3262</f>
        <v/>
      </c>
      <c r="F3262" s="48" t="inlineStr">
        <is>
          <t>Manager du développement d'entreprise et commercial</t>
        </is>
      </c>
      <c r="G3262" s="49">
        <f>E3262&amp;" - "&amp;F3262</f>
        <v/>
      </c>
      <c r="H3262" s="36" t="inlineStr">
        <is>
          <t>RAS</t>
        </is>
      </c>
      <c r="I3262" s="45" t="inlineStr"/>
      <c r="J3262" s="45" t="inlineStr">
        <is>
          <t>RNCP39354</t>
        </is>
      </c>
      <c r="K3262" s="45" t="inlineStr">
        <is>
          <t>Manager du développement d'entreprise et commercial</t>
        </is>
      </c>
      <c r="L3262" s="45" t="inlineStr">
        <is>
          <t>19/07/2027</t>
        </is>
      </c>
      <c r="M3262" s="45" t="inlineStr">
        <is>
          <t>34085 (Stratégie commerciale) ; 32025 (Stratégie entreprise) ; 32024 (Gestion centre profit) ; 32154 (Encadrement management)</t>
        </is>
      </c>
      <c r="N3262" s="50" t="inlineStr">
        <is>
          <t>NON</t>
        </is>
      </c>
      <c r="O3262" s="45" t="inlineStr"/>
    </row>
    <row r="3263" customFormat="1" s="3">
      <c r="A3263" s="45" t="n"/>
      <c r="B3263" s="46" t="inlineStr">
        <is>
          <t>32120</t>
        </is>
      </c>
      <c r="C3263" s="46">
        <f>LEFT(Tableau1[[#This Row],[Formacode]],3)</f>
        <v/>
      </c>
      <c r="D3263" s="47" t="n">
        <v>39366</v>
      </c>
      <c r="E3263" s="48">
        <f>"RNCP"&amp;D3263</f>
        <v/>
      </c>
      <c r="F3263" s="48" t="inlineStr">
        <is>
          <t>CQP Manager commercial cuisines et/ou aménagement intérieur</t>
        </is>
      </c>
      <c r="G3263" s="49">
        <f>E3263&amp;" - "&amp;F3263</f>
        <v/>
      </c>
      <c r="H3263" s="36" t="inlineStr">
        <is>
          <t>RAS</t>
        </is>
      </c>
      <c r="I3263" s="45" t="inlineStr"/>
      <c r="J3263" s="45" t="inlineStr">
        <is>
          <t>RNCP39366</t>
        </is>
      </c>
      <c r="K3263" s="45" t="inlineStr">
        <is>
          <t>CQP Manager commercial cuisines et/ou aménagement intérieur</t>
        </is>
      </c>
      <c r="L3263" s="45" t="inlineStr">
        <is>
          <t>19/07/2029</t>
        </is>
      </c>
      <c r="M3263" s="45" t="inlineStr">
        <is>
          <t>34561 (Force vente) ; 34536 (Vente équipement maison) ; 32154 (Encadrement management)</t>
        </is>
      </c>
      <c r="N3263" s="50" t="inlineStr">
        <is>
          <t>NON</t>
        </is>
      </c>
      <c r="O3263" s="45" t="inlineStr"/>
    </row>
    <row r="3264" customFormat="1" s="3">
      <c r="A3264" s="51" t="n"/>
      <c r="B3264" s="52" t="inlineStr">
        <is>
          <t>32120</t>
        </is>
      </c>
      <c r="C3264" s="52">
        <f>LEFT(Tableau1[[#This Row],[Formacode]],3)</f>
        <v/>
      </c>
      <c r="D3264" s="53" t="n">
        <v>39763</v>
      </c>
      <c r="E3264" s="54">
        <f>"RNCP"&amp;D3264</f>
        <v/>
      </c>
      <c r="F3264" s="54" t="inlineStr">
        <is>
          <t>Manager de la performance financière</t>
        </is>
      </c>
      <c r="G3264" s="55">
        <f>E3264&amp;" - "&amp;F3264</f>
        <v/>
      </c>
      <c r="H3264" s="37" t="inlineStr">
        <is>
          <t>À vérifier</t>
        </is>
      </c>
      <c r="I3264" s="51" t="inlineStr">
        <is>
          <t>Échéance le 31/10/2026 (dans 105 j)</t>
        </is>
      </c>
      <c r="J3264" s="51" t="inlineStr">
        <is>
          <t>RNCP39763</t>
        </is>
      </c>
      <c r="K3264" s="51" t="inlineStr">
        <is>
          <t>Manager de la performance financière</t>
        </is>
      </c>
      <c r="L3264" s="51" t="inlineStr">
        <is>
          <t>31/10/2026</t>
        </is>
      </c>
      <c r="M3264" s="51" t="inlineStr">
        <is>
          <t>32154 (Encadrement management) ; 32079 (Gestion performance) ; 32652 (Contrôle gestion) ; 32098 (Audit entreprise)</t>
        </is>
      </c>
      <c r="N3264" s="62" t="inlineStr">
        <is>
          <t>NON</t>
        </is>
      </c>
      <c r="O3264" s="51" t="inlineStr"/>
    </row>
    <row r="3265" customFormat="1" s="3">
      <c r="A3265" s="45" t="n"/>
      <c r="B3265" s="46" t="inlineStr">
        <is>
          <t>32120</t>
        </is>
      </c>
      <c r="C3265" s="46">
        <f>LEFT(Tableau1[[#This Row],[Formacode]],3)</f>
        <v/>
      </c>
      <c r="D3265" s="47" t="n">
        <v>39787</v>
      </c>
      <c r="E3265" s="48">
        <f>"RNCP"&amp;D3265</f>
        <v/>
      </c>
      <c r="F3265" s="48" t="inlineStr">
        <is>
          <t>Directeur de la performance commerciale</t>
        </is>
      </c>
      <c r="G3265" s="49">
        <f>E3265&amp;" - "&amp;F3265</f>
        <v/>
      </c>
      <c r="H3265" s="36" t="inlineStr">
        <is>
          <t>RAS</t>
        </is>
      </c>
      <c r="I3265" s="45" t="inlineStr"/>
      <c r="J3265" s="45" t="inlineStr">
        <is>
          <t>RNCP39787</t>
        </is>
      </c>
      <c r="K3265" s="45" t="inlineStr">
        <is>
          <t>Directeur de la performance commerciale</t>
        </is>
      </c>
      <c r="L3265" s="45" t="inlineStr">
        <is>
          <t>31/10/2029</t>
        </is>
      </c>
      <c r="M3265" s="45" t="inlineStr">
        <is>
          <t>32079 (Gestion performance) ; 32154 (Encadrement management) ; 34085 (Stratégie commerciale)</t>
        </is>
      </c>
      <c r="N3265" s="50" t="inlineStr">
        <is>
          <t>NON</t>
        </is>
      </c>
      <c r="O3265" s="45" t="inlineStr"/>
    </row>
    <row r="3266" customFormat="1" s="3">
      <c r="A3266" s="45" t="n"/>
      <c r="B3266" s="46" t="inlineStr">
        <is>
          <t>32120</t>
        </is>
      </c>
      <c r="C3266" s="46">
        <f>LEFT(Tableau1[[#This Row],[Formacode]],3)</f>
        <v/>
      </c>
      <c r="D3266" s="47" t="n">
        <v>39864</v>
      </c>
      <c r="E3266" s="48">
        <f>"RNCP"&amp;D3266</f>
        <v/>
      </c>
      <c r="F3266" s="48" t="inlineStr">
        <is>
          <t>Manager du développement des ressources humaines</t>
        </is>
      </c>
      <c r="G3266" s="49">
        <f>E3266&amp;" - "&amp;F3266</f>
        <v/>
      </c>
      <c r="H3266" s="36" t="inlineStr">
        <is>
          <t>RAS</t>
        </is>
      </c>
      <c r="I3266" s="45" t="inlineStr"/>
      <c r="J3266" s="45" t="inlineStr">
        <is>
          <t>RNCP39864</t>
        </is>
      </c>
      <c r="K3266" s="45" t="inlineStr">
        <is>
          <t>Manager du développement des ressources humaines</t>
        </is>
      </c>
      <c r="L3266" s="45" t="inlineStr">
        <is>
          <t>28/11/2027</t>
        </is>
      </c>
      <c r="M3266" s="45" t="inlineStr">
        <is>
          <t>33054 (Gestion ressources humaines) ; 32154 (Encadrement management)</t>
        </is>
      </c>
      <c r="N3266" s="50" t="inlineStr">
        <is>
          <t>NON</t>
        </is>
      </c>
      <c r="O3266" s="45" t="inlineStr"/>
    </row>
    <row r="3267" customFormat="1" s="3">
      <c r="A3267" s="45" t="n"/>
      <c r="B3267" s="46" t="inlineStr">
        <is>
          <t>32120</t>
        </is>
      </c>
      <c r="C3267" s="46">
        <f>LEFT(Tableau1[[#This Row],[Formacode]],3)</f>
        <v/>
      </c>
      <c r="D3267" s="47" t="n">
        <v>39972</v>
      </c>
      <c r="E3267" s="48">
        <f>"RNCP"&amp;D3267</f>
        <v/>
      </c>
      <c r="F3267" s="48" t="inlineStr">
        <is>
          <t>CQP Responsable d'équipe du secteur alimentaire</t>
        </is>
      </c>
      <c r="G3267" s="49">
        <f>E3267&amp;" - "&amp;F3267</f>
        <v/>
      </c>
      <c r="H3267" s="36" t="inlineStr">
        <is>
          <t>RAS</t>
        </is>
      </c>
      <c r="I3267" s="45" t="inlineStr"/>
      <c r="J3267" s="45" t="inlineStr">
        <is>
          <t>RNCP39972</t>
        </is>
      </c>
      <c r="K3267" s="45" t="inlineStr">
        <is>
          <t>CQP Responsable d'équipe du secteur alimentaire</t>
        </is>
      </c>
      <c r="L3267" s="45" t="inlineStr">
        <is>
          <t>18/12/2029</t>
        </is>
      </c>
      <c r="M3267" s="45" t="inlineStr">
        <is>
          <t>32154 (Encadrement management) ; 21554 (Agroalimentaire)</t>
        </is>
      </c>
      <c r="N3267" s="50" t="inlineStr">
        <is>
          <t>NON</t>
        </is>
      </c>
      <c r="O3267" s="45" t="inlineStr"/>
    </row>
    <row r="3268" customFormat="1" s="3">
      <c r="A3268" s="45" t="n"/>
      <c r="B3268" s="46" t="inlineStr">
        <is>
          <t>32120</t>
        </is>
      </c>
      <c r="C3268" s="46">
        <f>LEFT(Tableau1[[#This Row],[Formacode]],3)</f>
        <v/>
      </c>
      <c r="D3268" s="47" t="n">
        <v>39994</v>
      </c>
      <c r="E3268" s="48">
        <f>"RNCP"&amp;D3268</f>
        <v/>
      </c>
      <c r="F3268" s="48" t="inlineStr">
        <is>
          <t>Manager des transformations des organisations</t>
        </is>
      </c>
      <c r="G3268" s="49">
        <f>E3268&amp;" - "&amp;F3268</f>
        <v/>
      </c>
      <c r="H3268" s="36" t="inlineStr">
        <is>
          <t>RAS</t>
        </is>
      </c>
      <c r="I3268" s="45" t="inlineStr"/>
      <c r="J3268" s="45" t="inlineStr">
        <is>
          <t>RNCP39994</t>
        </is>
      </c>
      <c r="K3268" s="45" t="inlineStr">
        <is>
          <t>Manager des transformations des organisations</t>
        </is>
      </c>
      <c r="L3268" s="45" t="inlineStr">
        <is>
          <t>18/12/2027</t>
        </is>
      </c>
      <c r="M3268" s="45" t="inlineStr">
        <is>
          <t>32025 (Stratégie entreprise) ; 32079 (Gestion performance) ; 32154 (Encadrement management)</t>
        </is>
      </c>
      <c r="N3268" s="50" t="inlineStr">
        <is>
          <t>NON</t>
        </is>
      </c>
      <c r="O3268" s="45" t="inlineStr"/>
    </row>
    <row r="3269" customFormat="1" s="3">
      <c r="A3269" s="45" t="n"/>
      <c r="B3269" s="46" t="inlineStr">
        <is>
          <t>32120</t>
        </is>
      </c>
      <c r="C3269" s="46">
        <f>LEFT(Tableau1[[#This Row],[Formacode]],3)</f>
        <v/>
      </c>
      <c r="D3269" s="47" t="n">
        <v>40169</v>
      </c>
      <c r="E3269" s="48">
        <f>"RNCP"&amp;D3269</f>
        <v/>
      </c>
      <c r="F3269" s="48" t="inlineStr">
        <is>
          <t>CQP Responsable de conseillers techniques en élevage</t>
        </is>
      </c>
      <c r="G3269" s="49">
        <f>E3269&amp;" - "&amp;F3269</f>
        <v/>
      </c>
      <c r="H3269" s="36" t="inlineStr">
        <is>
          <t>RAS</t>
        </is>
      </c>
      <c r="I3269" s="45" t="inlineStr"/>
      <c r="J3269" s="45" t="inlineStr">
        <is>
          <t>RNCP40169</t>
        </is>
      </c>
      <c r="K3269" s="45" t="inlineStr">
        <is>
          <t>CQP Responsable de conseillers techniques en élevage</t>
        </is>
      </c>
      <c r="L3269" s="45" t="inlineStr">
        <is>
          <t>31/01/2030</t>
        </is>
      </c>
      <c r="M3269" s="45" t="inlineStr">
        <is>
          <t>21056 (Élevage) ; 32068 (Coordination travail) ; 32154 (Encadrement management)</t>
        </is>
      </c>
      <c r="N3269" s="50" t="inlineStr">
        <is>
          <t>NON</t>
        </is>
      </c>
      <c r="O3269" s="45" t="inlineStr"/>
    </row>
    <row r="3270" customFormat="1" s="3">
      <c r="A3270" s="45" t="n"/>
      <c r="B3270" s="46" t="inlineStr">
        <is>
          <t>32120</t>
        </is>
      </c>
      <c r="C3270" s="46">
        <f>LEFT(Tableau1[[#This Row],[Formacode]],3)</f>
        <v/>
      </c>
      <c r="D3270" s="47" t="n">
        <v>41000</v>
      </c>
      <c r="E3270" s="48">
        <f>"RNCP"&amp;D3270</f>
        <v/>
      </c>
      <c r="F3270" s="48" t="inlineStr">
        <is>
          <t>BTS - Management opérationnel de la sécurité</t>
        </is>
      </c>
      <c r="G3270" s="49">
        <f>E3270&amp;" - "&amp;F3270</f>
        <v/>
      </c>
      <c r="H3270" s="36" t="inlineStr">
        <is>
          <t>RAS</t>
        </is>
      </c>
      <c r="I3270" s="45" t="inlineStr"/>
      <c r="J3270" s="45" t="inlineStr">
        <is>
          <t>RNCP41000</t>
        </is>
      </c>
      <c r="K3270" s="45" t="inlineStr">
        <is>
          <t>Management opérationnel de la sécurité</t>
        </is>
      </c>
      <c r="L3270" s="45" t="inlineStr">
        <is>
          <t>31/08/2030</t>
        </is>
      </c>
      <c r="M3270" s="45" t="inlineStr">
        <is>
          <t>42854 (Prévention sécurité) ; 32154 (Encadrement management)</t>
        </is>
      </c>
      <c r="N3270" s="50" t="inlineStr">
        <is>
          <t>NON</t>
        </is>
      </c>
      <c r="O3270" s="45" t="inlineStr"/>
    </row>
    <row r="3271" customFormat="1" s="3">
      <c r="A3271" s="45" t="n"/>
      <c r="B3271" s="46" t="inlineStr">
        <is>
          <t>32120</t>
        </is>
      </c>
      <c r="C3271" s="46">
        <f>LEFT(Tableau1[[#This Row],[Formacode]],3)</f>
        <v/>
      </c>
      <c r="D3271" s="47" t="n">
        <v>41809</v>
      </c>
      <c r="E3271" s="48">
        <f>"RNCP"&amp;D3271</f>
        <v/>
      </c>
      <c r="F3271" s="48" t="inlineStr">
        <is>
          <t>Manager de la stratégie marketing digital</t>
        </is>
      </c>
      <c r="G3271" s="49">
        <f>E3271&amp;" - "&amp;F3271</f>
        <v/>
      </c>
      <c r="H3271" s="36" t="inlineStr">
        <is>
          <t>RAS</t>
        </is>
      </c>
      <c r="I3271" s="45" t="inlineStr"/>
      <c r="J3271" s="45" t="inlineStr">
        <is>
          <t>RNCP41809</t>
        </is>
      </c>
      <c r="K3271" s="45" t="inlineStr">
        <is>
          <t>Manager de la stratégie marketing digital</t>
        </is>
      </c>
      <c r="L3271" s="45" t="inlineStr">
        <is>
          <t>18/12/2028</t>
        </is>
      </c>
      <c r="M3271" s="45" t="inlineStr">
        <is>
          <t>46301 (Communication entreprise) ; 15004 (Communication professionnelle) ; 32154 (Encadrement management) ; 34052 (Marketing)</t>
        </is>
      </c>
      <c r="N3271" s="50" t="inlineStr">
        <is>
          <t>NON</t>
        </is>
      </c>
      <c r="O3271" s="45" t="inlineStr"/>
    </row>
    <row r="3272" customFormat="1" s="3">
      <c r="A3272" s="63" t="n"/>
      <c r="B3272" s="64" t="inlineStr">
        <is>
          <t>32130</t>
        </is>
      </c>
      <c r="C3272" s="64">
        <f>LEFT(Tableau1[[#This Row],[Formacode]],3)</f>
        <v/>
      </c>
      <c r="D3272" s="65" t="n">
        <v>35233</v>
      </c>
      <c r="E3272" s="66">
        <f>"RNCP"&amp;D3272</f>
        <v/>
      </c>
      <c r="F3272" s="66" t="inlineStr">
        <is>
          <t>TP - Assistant manager d’unité marchande</t>
        </is>
      </c>
      <c r="G3272" s="67">
        <f>E3272&amp;" - "&amp;F3272</f>
        <v/>
      </c>
      <c r="H3272" s="38" t="inlineStr">
        <is>
          <t>Expiré / remplacé</t>
        </is>
      </c>
      <c r="I3272" s="63" t="inlineStr">
        <is>
          <t>Fiche inactive — remplacée par RNCP41852 (Assistant manager d’unité marchande)</t>
        </is>
      </c>
      <c r="J3272" s="63" t="inlineStr">
        <is>
          <t>RNCP41852</t>
        </is>
      </c>
      <c r="K3272" s="63" t="inlineStr">
        <is>
          <t>Assistant manager d’unité marchande</t>
        </is>
      </c>
      <c r="L3272" s="63" t="inlineStr">
        <is>
          <t>16/02/2026</t>
        </is>
      </c>
      <c r="M3272" s="63" t="inlineStr">
        <is>
          <t>34566 (Vente distribution) ; 32154 (Encadrement management)</t>
        </is>
      </c>
      <c r="N3272" s="68" t="inlineStr">
        <is>
          <t>NON</t>
        </is>
      </c>
      <c r="O3272" s="63" t="inlineStr"/>
    </row>
    <row r="3273" customFormat="1" s="3">
      <c r="A3273" s="45" t="n"/>
      <c r="B3273" s="46" t="inlineStr">
        <is>
          <t>32130</t>
        </is>
      </c>
      <c r="C3273" s="46">
        <f>LEFT(Tableau1[[#This Row],[Formacode]],3)</f>
        <v/>
      </c>
      <c r="D3273" s="47" t="n">
        <v>36461</v>
      </c>
      <c r="E3273" s="48">
        <f>"RNCP"&amp;D3273</f>
        <v/>
      </c>
      <c r="F3273" s="48" t="inlineStr">
        <is>
          <t>Directeur d'unité opérationnelle</t>
        </is>
      </c>
      <c r="G3273" s="49">
        <f>E3273&amp;" - "&amp;F3273</f>
        <v/>
      </c>
      <c r="H3273" s="36" t="inlineStr">
        <is>
          <t>RAS</t>
        </is>
      </c>
      <c r="I3273" s="45" t="inlineStr"/>
      <c r="J3273" s="45" t="inlineStr">
        <is>
          <t>RNCP36461</t>
        </is>
      </c>
      <c r="K3273" s="45" t="inlineStr">
        <is>
          <t>Directeur d'unité opérationnelle</t>
        </is>
      </c>
      <c r="L3273" s="45" t="inlineStr">
        <is>
          <t>02/06/2027</t>
        </is>
      </c>
      <c r="M3273" s="45" t="inlineStr">
        <is>
          <t>32054 (Gestion des organisations) ; 32154 (Encadrement management)</t>
        </is>
      </c>
      <c r="N3273" s="50" t="inlineStr">
        <is>
          <t>NON</t>
        </is>
      </c>
      <c r="O3273" s="45" t="inlineStr"/>
    </row>
    <row r="3274" customFormat="1" s="3">
      <c r="A3274" s="45" t="n"/>
      <c r="B3274" s="46" t="inlineStr">
        <is>
          <t>32130</t>
        </is>
      </c>
      <c r="C3274" s="46">
        <f>LEFT(Tableau1[[#This Row],[Formacode]],3)</f>
        <v/>
      </c>
      <c r="D3274" s="47" t="n">
        <v>36890</v>
      </c>
      <c r="E3274" s="48">
        <f>"RNCP"&amp;D3274</f>
        <v/>
      </c>
      <c r="F3274" s="48" t="inlineStr">
        <is>
          <t>Manager d'unité opérationnelle</t>
        </is>
      </c>
      <c r="G3274" s="49">
        <f>E3274&amp;" - "&amp;F3274</f>
        <v/>
      </c>
      <c r="H3274" s="36" t="inlineStr">
        <is>
          <t>RAS</t>
        </is>
      </c>
      <c r="I3274" s="45" t="inlineStr"/>
      <c r="J3274" s="45" t="inlineStr">
        <is>
          <t>RNCP36890</t>
        </is>
      </c>
      <c r="K3274" s="45" t="inlineStr">
        <is>
          <t>Manager d'unité opérationnelle</t>
        </is>
      </c>
      <c r="L3274" s="45" t="inlineStr">
        <is>
          <t>29/09/2027</t>
        </is>
      </c>
      <c r="M3274" s="45" t="inlineStr">
        <is>
          <t>32079 (Gestion performance) ; 32025 (Stratégie entreprise) ; 32154 (Encadrement management)</t>
        </is>
      </c>
      <c r="N3274" s="50" t="inlineStr">
        <is>
          <t>NON</t>
        </is>
      </c>
      <c r="O3274" s="45" t="inlineStr"/>
    </row>
    <row r="3275" customFormat="1" s="3">
      <c r="A3275" s="45" t="n"/>
      <c r="B3275" s="46" t="inlineStr">
        <is>
          <t>32130</t>
        </is>
      </c>
      <c r="C3275" s="46">
        <f>LEFT(Tableau1[[#This Row],[Formacode]],3)</f>
        <v/>
      </c>
      <c r="D3275" s="47" t="n">
        <v>37270</v>
      </c>
      <c r="E3275" s="48">
        <f>"RNCP"&amp;D3275</f>
        <v/>
      </c>
      <c r="F3275" s="48" t="inlineStr">
        <is>
          <t>Manager de programmes internationaux - humanitaire et développement</t>
        </is>
      </c>
      <c r="G3275" s="49">
        <f>E3275&amp;" - "&amp;F3275</f>
        <v/>
      </c>
      <c r="H3275" s="36" t="inlineStr">
        <is>
          <t>RAS</t>
        </is>
      </c>
      <c r="I3275" s="45" t="inlineStr"/>
      <c r="J3275" s="45" t="inlineStr">
        <is>
          <t>RNCP37270</t>
        </is>
      </c>
      <c r="K3275" s="45" t="inlineStr">
        <is>
          <t>Manager de programmes internationaux - humanitaire et développement</t>
        </is>
      </c>
      <c r="L3275" s="45" t="inlineStr">
        <is>
          <t>25/01/2028</t>
        </is>
      </c>
      <c r="M3275" s="45" t="inlineStr">
        <is>
          <t>13017 (Action humanitaire) ; 32154 (Encadrement management) ; 32005 (Stratégie internationale)</t>
        </is>
      </c>
      <c r="N3275" s="50" t="inlineStr">
        <is>
          <t>NON</t>
        </is>
      </c>
      <c r="O3275" s="45" t="inlineStr"/>
    </row>
    <row r="3276" customFormat="1" s="3">
      <c r="A3276" s="45" t="n"/>
      <c r="B3276" s="46" t="inlineStr">
        <is>
          <t>32130</t>
        </is>
      </c>
      <c r="C3276" s="46">
        <f>LEFT(Tableau1[[#This Row],[Formacode]],3)</f>
        <v/>
      </c>
      <c r="D3276" s="47" t="n">
        <v>37282</v>
      </c>
      <c r="E3276" s="48">
        <f>"RNCP"&amp;D3276</f>
        <v/>
      </c>
      <c r="F3276" s="48" t="inlineStr">
        <is>
          <t>CQP Manager d’équipe en négoce des matériaux de construction</t>
        </is>
      </c>
      <c r="G3276" s="49">
        <f>E3276&amp;" - "&amp;F3276</f>
        <v/>
      </c>
      <c r="H3276" s="36" t="inlineStr">
        <is>
          <t>RAS</t>
        </is>
      </c>
      <c r="I3276" s="45" t="inlineStr"/>
      <c r="J3276" s="45" t="inlineStr">
        <is>
          <t>RNCP37282</t>
        </is>
      </c>
      <c r="K3276" s="45" t="inlineStr">
        <is>
          <t>CQP Manager d’équipe en négoce des matériaux de construction</t>
        </is>
      </c>
      <c r="L3276" s="45" t="inlineStr">
        <is>
          <t>25/01/2028</t>
        </is>
      </c>
      <c r="M3276" s="45" t="inlineStr">
        <is>
          <t>22852 (Matériau construction) ; 31663 (Gestion stock) ; 34085 (Stratégie commerciale) ; 32154 (Encadrement management)</t>
        </is>
      </c>
      <c r="N3276" s="50" t="inlineStr">
        <is>
          <t>NON</t>
        </is>
      </c>
      <c r="O3276" s="45" t="inlineStr"/>
    </row>
    <row r="3277" customFormat="1" s="3">
      <c r="A3277" s="45" t="n"/>
      <c r="B3277" s="46" t="inlineStr">
        <is>
          <t>32130</t>
        </is>
      </c>
      <c r="C3277" s="46">
        <f>LEFT(Tableau1[[#This Row],[Formacode]],3)</f>
        <v/>
      </c>
      <c r="D3277" s="47" t="n">
        <v>37285</v>
      </c>
      <c r="E3277" s="48">
        <f>"RNCP"&amp;D3277</f>
        <v/>
      </c>
      <c r="F3277" s="48" t="inlineStr">
        <is>
          <t>CQP Chef d’agence en négoce des matériaux de construction</t>
        </is>
      </c>
      <c r="G3277" s="49">
        <f>E3277&amp;" - "&amp;F3277</f>
        <v/>
      </c>
      <c r="H3277" s="36" t="inlineStr">
        <is>
          <t>RAS</t>
        </is>
      </c>
      <c r="I3277" s="45" t="inlineStr"/>
      <c r="J3277" s="45" t="inlineStr">
        <is>
          <t>RNCP37285</t>
        </is>
      </c>
      <c r="K3277" s="45" t="inlineStr">
        <is>
          <t>CQP Chef d’agence en négoce des matériaux de construction</t>
        </is>
      </c>
      <c r="L3277" s="45" t="inlineStr">
        <is>
          <t>25/01/2028</t>
        </is>
      </c>
      <c r="M3277" s="45" t="inlineStr">
        <is>
          <t>22852 (Matériau construction) ; 32650 (Gestion budgétaire) ; 31663 (Gestion stock) ; 34085 (Stratégie commerciale) ; 32154 (Encadrement management)</t>
        </is>
      </c>
      <c r="N3277" s="50" t="inlineStr">
        <is>
          <t>NON</t>
        </is>
      </c>
      <c r="O3277" s="45" t="inlineStr"/>
    </row>
    <row r="3278" ht="28.8" customFormat="1" customHeight="1" s="3">
      <c r="A3278" s="45" t="n"/>
      <c r="B3278" s="46" t="inlineStr">
        <is>
          <t>32130</t>
        </is>
      </c>
      <c r="C3278" s="46">
        <f>LEFT(Tableau1[[#This Row],[Formacode]],3)</f>
        <v/>
      </c>
      <c r="D3278" s="47" t="n">
        <v>37375</v>
      </c>
      <c r="E3278" s="48">
        <f>"RNCP"&amp;D3278</f>
        <v/>
      </c>
      <c r="F3278" s="48" t="inlineStr">
        <is>
          <t>Brevet de technicien supérieur - Métiers de l’esthétique, de la cosmétique et de la parfumerie</t>
        </is>
      </c>
      <c r="G3278" s="49">
        <f>E3278&amp;" - "&amp;F3278</f>
        <v/>
      </c>
      <c r="H3278" s="36" t="inlineStr">
        <is>
          <t>RAS</t>
        </is>
      </c>
      <c r="I3278" s="45" t="inlineStr"/>
      <c r="J3278" s="45" t="inlineStr">
        <is>
          <t>RNCP37375</t>
        </is>
      </c>
      <c r="K3278" s="45" t="inlineStr">
        <is>
          <t>Métiers de l’esthétique, de la cosmétique et de la parfumerie</t>
        </is>
      </c>
      <c r="L3278" s="45" t="inlineStr">
        <is>
          <t>31/08/2028</t>
        </is>
      </c>
      <c r="M3278" s="45" t="inlineStr">
        <is>
          <t>42032 (Esthétique soin corporel) ; 32154 (Encadrement management) ; 22885 (Cosmétique) ; 34059 (Gestion marque) ; 44517 (Conception action formation)</t>
        </is>
      </c>
      <c r="N3278" s="50" t="inlineStr">
        <is>
          <t>NON</t>
        </is>
      </c>
      <c r="O3278" s="45" t="inlineStr"/>
    </row>
    <row r="3279" customFormat="1" s="3">
      <c r="A3279" s="45" t="n"/>
      <c r="B3279" s="46" t="inlineStr">
        <is>
          <t>32130</t>
        </is>
      </c>
      <c r="C3279" s="46">
        <f>LEFT(Tableau1[[#This Row],[Formacode]],3)</f>
        <v/>
      </c>
      <c r="D3279" s="47" t="n">
        <v>37655</v>
      </c>
      <c r="E3279" s="48">
        <f>"RNCP"&amp;D3279</f>
        <v/>
      </c>
      <c r="F3279" s="48" t="inlineStr">
        <is>
          <t>Responsable en gestion et développement d’une business unit</t>
        </is>
      </c>
      <c r="G3279" s="49">
        <f>E3279&amp;" - "&amp;F3279</f>
        <v/>
      </c>
      <c r="H3279" s="36" t="inlineStr">
        <is>
          <t>RAS</t>
        </is>
      </c>
      <c r="I3279" s="45" t="inlineStr"/>
      <c r="J3279" s="45" t="inlineStr">
        <is>
          <t>RNCP37655</t>
        </is>
      </c>
      <c r="K3279" s="45" t="inlineStr">
        <is>
          <t>Responsable en gestion et développement d’une business unit</t>
        </is>
      </c>
      <c r="L3279" s="45" t="inlineStr">
        <is>
          <t>31/05/2028</t>
        </is>
      </c>
      <c r="M3279" s="45" t="inlineStr">
        <is>
          <t>32025 (Stratégie entreprise) ; 32154 (Encadrement management) ; 34054 (Gestion commerciale achats)</t>
        </is>
      </c>
      <c r="N3279" s="50" t="inlineStr">
        <is>
          <t>NON</t>
        </is>
      </c>
      <c r="O3279" s="45" t="inlineStr"/>
    </row>
    <row r="3280" customFormat="1" s="3">
      <c r="A3280" s="45" t="n"/>
      <c r="B3280" s="46" t="inlineStr">
        <is>
          <t>32130</t>
        </is>
      </c>
      <c r="C3280" s="46">
        <f>LEFT(Tableau1[[#This Row],[Formacode]],3)</f>
        <v/>
      </c>
      <c r="D3280" s="47" t="n">
        <v>38135</v>
      </c>
      <c r="E3280" s="48">
        <f>"RNCP"&amp;D3280</f>
        <v/>
      </c>
      <c r="F3280" s="48" t="inlineStr">
        <is>
          <t>Manager commercial clients grands comptes</t>
        </is>
      </c>
      <c r="G3280" s="49">
        <f>E3280&amp;" - "&amp;F3280</f>
        <v/>
      </c>
      <c r="H3280" s="36" t="inlineStr">
        <is>
          <t>RAS</t>
        </is>
      </c>
      <c r="I3280" s="45" t="inlineStr"/>
      <c r="J3280" s="45" t="inlineStr">
        <is>
          <t>RNCP38135</t>
        </is>
      </c>
      <c r="K3280" s="45" t="inlineStr">
        <is>
          <t>Manager commercial clients grands comptes</t>
        </is>
      </c>
      <c r="L3280" s="45" t="inlineStr">
        <is>
          <t>18/10/2028</t>
        </is>
      </c>
      <c r="M3280" s="45" t="inlineStr">
        <is>
          <t>34572 (Négociation grand compte) ; 32154 (Encadrement management)</t>
        </is>
      </c>
      <c r="N3280" s="50" t="inlineStr">
        <is>
          <t>NON</t>
        </is>
      </c>
      <c r="O3280" s="45" t="inlineStr"/>
    </row>
    <row r="3281" customFormat="1" s="3">
      <c r="A3281" s="45" t="n"/>
      <c r="B3281" s="46" t="inlineStr">
        <is>
          <t>32130</t>
        </is>
      </c>
      <c r="C3281" s="46">
        <f>LEFT(Tableau1[[#This Row],[Formacode]],3)</f>
        <v/>
      </c>
      <c r="D3281" s="47" t="n">
        <v>38362</v>
      </c>
      <c r="E3281" s="48">
        <f>"RNCP"&amp;D3281</f>
        <v/>
      </c>
      <c r="F3281" s="48" t="inlineStr">
        <is>
          <t>BTS - Management commercial opérationnel</t>
        </is>
      </c>
      <c r="G3281" s="49">
        <f>E3281&amp;" - "&amp;F3281</f>
        <v/>
      </c>
      <c r="H3281" s="36" t="inlineStr">
        <is>
          <t>RAS</t>
        </is>
      </c>
      <c r="I3281" s="45" t="inlineStr"/>
      <c r="J3281" s="45" t="inlineStr">
        <is>
          <t>RNCP38362</t>
        </is>
      </c>
      <c r="K3281" s="45" t="inlineStr">
        <is>
          <t>Management commercial opérationnel</t>
        </is>
      </c>
      <c r="L3281" s="45" t="inlineStr">
        <is>
          <t>31/12/2028</t>
        </is>
      </c>
      <c r="M3281" s="45" t="inlineStr">
        <is>
          <t>34054 (Gestion commerciale achats) ; 32154 (Encadrement management)</t>
        </is>
      </c>
      <c r="N3281" s="50" t="inlineStr">
        <is>
          <t>NON</t>
        </is>
      </c>
      <c r="O3281" s="45" t="inlineStr"/>
    </row>
    <row r="3282" customFormat="1" s="3">
      <c r="A3282" s="45" t="n"/>
      <c r="B3282" s="46" t="inlineStr">
        <is>
          <t>32130</t>
        </is>
      </c>
      <c r="C3282" s="46">
        <f>LEFT(Tableau1[[#This Row],[Formacode]],3)</f>
        <v/>
      </c>
      <c r="D3282" s="47" t="n">
        <v>38364</v>
      </c>
      <c r="E3282" s="48">
        <f>"RNCP"&amp;D3282</f>
        <v/>
      </c>
      <c r="F3282" s="48" t="inlineStr">
        <is>
          <t>BTS - Support à l'action managériale</t>
        </is>
      </c>
      <c r="G3282" s="49">
        <f>E3282&amp;" - "&amp;F3282</f>
        <v/>
      </c>
      <c r="H3282" s="36" t="inlineStr">
        <is>
          <t>RAS</t>
        </is>
      </c>
      <c r="I3282" s="45" t="inlineStr"/>
      <c r="J3282" s="45" t="inlineStr">
        <is>
          <t>RNCP38364</t>
        </is>
      </c>
      <c r="K3282" s="45" t="inlineStr">
        <is>
          <t>Support à l'action managériale</t>
        </is>
      </c>
      <c r="L3282" s="45" t="inlineStr">
        <is>
          <t>31/12/2027</t>
        </is>
      </c>
      <c r="M3282" s="45" t="inlineStr">
        <is>
          <t>32139 (Management situationnel) ; 32142 (Management participatif) ; 32145 (Management transversal)</t>
        </is>
      </c>
      <c r="N3282" s="50" t="inlineStr">
        <is>
          <t>NON</t>
        </is>
      </c>
      <c r="O3282" s="45" t="inlineStr"/>
    </row>
    <row r="3283" customFormat="1" s="3">
      <c r="A3283" s="45" t="n"/>
      <c r="B3283" s="46" t="inlineStr">
        <is>
          <t>32130</t>
        </is>
      </c>
      <c r="C3283" s="46">
        <f>LEFT(Tableau1[[#This Row],[Formacode]],3)</f>
        <v/>
      </c>
      <c r="D3283" s="47" t="n">
        <v>38374</v>
      </c>
      <c r="E3283" s="48">
        <f>"RNCP"&amp;D3283</f>
        <v/>
      </c>
      <c r="F3283" s="48" t="inlineStr">
        <is>
          <t>TP - Conducteur d'équipements agroalimentaires</t>
        </is>
      </c>
      <c r="G3283" s="49">
        <f>E3283&amp;" - "&amp;F3283</f>
        <v/>
      </c>
      <c r="H3283" s="36" t="inlineStr">
        <is>
          <t>RAS</t>
        </is>
      </c>
      <c r="I3283" s="45" t="inlineStr"/>
      <c r="J3283" s="45" t="inlineStr">
        <is>
          <t>RNCP38374</t>
        </is>
      </c>
      <c r="K3283" s="45" t="inlineStr">
        <is>
          <t>Conducteur d'équipements agroalimentaires</t>
        </is>
      </c>
      <c r="L3283" s="45" t="inlineStr">
        <is>
          <t>22/12/2028</t>
        </is>
      </c>
      <c r="M3283" s="45" t="inlineStr">
        <is>
          <t>21546 (Méthode haccp) ; 21547 (Bonnes pratiques hygiène agroalimentaire) ; 21575 (Conditionnement agroalimentaire) ; 32154 (Encadrement management) ; 32062 (Recherche développement)</t>
        </is>
      </c>
      <c r="N3283" s="50" t="inlineStr">
        <is>
          <t>NON</t>
        </is>
      </c>
      <c r="O3283" s="45" t="inlineStr"/>
    </row>
    <row r="3284" customFormat="1" s="3">
      <c r="A3284" s="45" t="n"/>
      <c r="B3284" s="46" t="inlineStr">
        <is>
          <t>32130</t>
        </is>
      </c>
      <c r="C3284" s="46">
        <f>LEFT(Tableau1[[#This Row],[Formacode]],3)</f>
        <v/>
      </c>
      <c r="D3284" s="47" t="n">
        <v>38439</v>
      </c>
      <c r="E3284" s="48">
        <f>"RNCP"&amp;D3284</f>
        <v/>
      </c>
      <c r="F3284" s="48" t="inlineStr">
        <is>
          <t>Responsable d'un centre de profit</t>
        </is>
      </c>
      <c r="G3284" s="49">
        <f>E3284&amp;" - "&amp;F3284</f>
        <v/>
      </c>
      <c r="H3284" s="36" t="inlineStr">
        <is>
          <t>RAS</t>
        </is>
      </c>
      <c r="I3284" s="45" t="inlineStr"/>
      <c r="J3284" s="45" t="inlineStr">
        <is>
          <t>RNCP38439</t>
        </is>
      </c>
      <c r="K3284" s="45" t="inlineStr">
        <is>
          <t>Responsable d'un centre de profit</t>
        </is>
      </c>
      <c r="L3284" s="45" t="inlineStr">
        <is>
          <t>21/12/2028</t>
        </is>
      </c>
      <c r="M3284" s="45" t="inlineStr">
        <is>
          <t>32024 (Gestion centre profit) ; 32154 (Encadrement management)</t>
        </is>
      </c>
      <c r="N3284" s="50" t="inlineStr">
        <is>
          <t>NON</t>
        </is>
      </c>
      <c r="O3284" s="45" t="inlineStr"/>
    </row>
    <row r="3285" customFormat="1" s="3">
      <c r="A3285" s="51" t="n"/>
      <c r="B3285" s="52" t="inlineStr">
        <is>
          <t>32130</t>
        </is>
      </c>
      <c r="C3285" s="52">
        <f>LEFT(Tableau1[[#This Row],[Formacode]],3)</f>
        <v/>
      </c>
      <c r="D3285" s="53" t="n">
        <v>38453</v>
      </c>
      <c r="E3285" s="54">
        <f>"RNCP"&amp;D3285</f>
        <v/>
      </c>
      <c r="F3285" s="54" t="inlineStr">
        <is>
          <t>CQP Animateur d'équipe (CQPI)</t>
        </is>
      </c>
      <c r="G3285" s="55">
        <f>E3285&amp;" - "&amp;F3285</f>
        <v/>
      </c>
      <c r="H3285" s="37" t="inlineStr">
        <is>
          <t>À vérifier</t>
        </is>
      </c>
      <c r="I3285" s="51" t="inlineStr">
        <is>
          <t>Échéance le 21/12/2026 (dans 156 j)</t>
        </is>
      </c>
      <c r="J3285" s="51" t="inlineStr">
        <is>
          <t>RNCP38453</t>
        </is>
      </c>
      <c r="K3285" s="51" t="inlineStr">
        <is>
          <t>CQP Animateur d'équipe (CQPI)</t>
        </is>
      </c>
      <c r="L3285" s="51" t="inlineStr">
        <is>
          <t>21/12/2026</t>
        </is>
      </c>
      <c r="M3285" s="51" t="inlineStr">
        <is>
          <t>32130 (Animation motivation équipe)</t>
        </is>
      </c>
      <c r="N3285" s="62" t="inlineStr">
        <is>
          <t>NON</t>
        </is>
      </c>
      <c r="O3285" s="51" t="inlineStr"/>
    </row>
    <row r="3286" customFormat="1" s="3">
      <c r="A3286" s="45" t="n"/>
      <c r="B3286" s="46" t="inlineStr">
        <is>
          <t>32130</t>
        </is>
      </c>
      <c r="C3286" s="46">
        <f>LEFT(Tableau1[[#This Row],[Formacode]],3)</f>
        <v/>
      </c>
      <c r="D3286" s="47" t="n">
        <v>38786</v>
      </c>
      <c r="E3286" s="48">
        <f>"RNCP"&amp;D3286</f>
        <v/>
      </c>
      <c r="F3286" s="48" t="inlineStr">
        <is>
          <t>CQP Responsable d'équipe</t>
        </is>
      </c>
      <c r="G3286" s="49">
        <f>E3286&amp;" - "&amp;F3286</f>
        <v/>
      </c>
      <c r="H3286" s="36" t="inlineStr">
        <is>
          <t>RAS</t>
        </is>
      </c>
      <c r="I3286" s="45" t="inlineStr"/>
      <c r="J3286" s="45" t="inlineStr">
        <is>
          <t>RNCP38786</t>
        </is>
      </c>
      <c r="K3286" s="45" t="inlineStr">
        <is>
          <t>CQP Responsable d'équipe</t>
        </is>
      </c>
      <c r="L3286" s="45" t="inlineStr">
        <is>
          <t>27/03/2028</t>
        </is>
      </c>
      <c r="M3286" s="45" t="inlineStr">
        <is>
          <t>32154 (Encadrement management)</t>
        </is>
      </c>
      <c r="N3286" s="50" t="inlineStr">
        <is>
          <t>NON</t>
        </is>
      </c>
      <c r="O3286" s="45" t="inlineStr"/>
    </row>
    <row r="3287" customFormat="1" s="3">
      <c r="A3287" s="45" t="n"/>
      <c r="B3287" s="46" t="inlineStr">
        <is>
          <t>32130</t>
        </is>
      </c>
      <c r="C3287" s="46">
        <f>LEFT(Tableau1[[#This Row],[Formacode]],3)</f>
        <v/>
      </c>
      <c r="D3287" s="47" t="n">
        <v>39136</v>
      </c>
      <c r="E3287" s="48">
        <f>"RNCP"&amp;D3287</f>
        <v/>
      </c>
      <c r="F3287" s="48" t="inlineStr">
        <is>
          <t>Grade_Master - Diplôme des Instituts d’Études Politiques – Sciences Po</t>
        </is>
      </c>
      <c r="G3287" s="49">
        <f>E3287&amp;" - "&amp;F3287</f>
        <v/>
      </c>
      <c r="H3287" s="36" t="inlineStr">
        <is>
          <t>RAS</t>
        </is>
      </c>
      <c r="I3287" s="45" t="inlineStr"/>
      <c r="J3287" s="45" t="inlineStr">
        <is>
          <t>RNCP39136</t>
        </is>
      </c>
      <c r="K3287" s="45" t="inlineStr">
        <is>
          <t>Diplôme des Instituts d’Études Politiques – Sciences Po</t>
        </is>
      </c>
      <c r="L3287" s="45" t="inlineStr">
        <is>
          <t>14/04/2029</t>
        </is>
      </c>
      <c r="M3287" s="45" t="inlineStr">
        <is>
          <t>13154 (Économie) ; 13054 (Science politique) ; 46354 (Information - Communication numérique) ; 32154 (Encadrement management) ; 13254 (Droit)</t>
        </is>
      </c>
      <c r="N3287" s="50" t="inlineStr">
        <is>
          <t>NON</t>
        </is>
      </c>
      <c r="O3287" s="45" t="inlineStr"/>
    </row>
    <row r="3288" customFormat="1" s="3">
      <c r="A3288" s="51" t="n"/>
      <c r="B3288" s="52" t="inlineStr">
        <is>
          <t>32130</t>
        </is>
      </c>
      <c r="C3288" s="52">
        <f>LEFT(Tableau1[[#This Row],[Formacode]],3)</f>
        <v/>
      </c>
      <c r="D3288" s="53" t="n">
        <v>39160</v>
      </c>
      <c r="E3288" s="54">
        <f>"RNCP"&amp;D3288</f>
        <v/>
      </c>
      <c r="F3288" s="54" t="inlineStr">
        <is>
          <t>Diplôme visé grade de master - Programme Grande Ecole</t>
        </is>
      </c>
      <c r="G3288" s="55">
        <f>E3288&amp;" - "&amp;F3288</f>
        <v/>
      </c>
      <c r="H3288" s="37" t="inlineStr">
        <is>
          <t>À vérifier</t>
        </is>
      </c>
      <c r="I3288" s="51" t="inlineStr">
        <is>
          <t>Échéance le 31/08/2026 (dans 44 j)</t>
        </is>
      </c>
      <c r="J3288" s="51" t="inlineStr">
        <is>
          <t>RNCP39160</t>
        </is>
      </c>
      <c r="K3288" s="51" t="inlineStr">
        <is>
          <t>Programme Grande Ecole</t>
        </is>
      </c>
      <c r="L3288" s="51" t="inlineStr">
        <is>
          <t>31/08/2026</t>
        </is>
      </c>
      <c r="M3288" s="51" t="inlineStr">
        <is>
          <t>32025 (Stratégie entreprise) ; 32008 (Responsabilité sociétale entreprise) ; 32047 (Création entreprise) ; 32654 (Gestion financière comptabilité) ; 32154 (Encadrement management)</t>
        </is>
      </c>
      <c r="N3288" s="62" t="inlineStr">
        <is>
          <t>NON</t>
        </is>
      </c>
      <c r="O3288" s="51" t="inlineStr"/>
    </row>
    <row r="3289" customFormat="1" s="3">
      <c r="A3289" s="45" t="n"/>
      <c r="B3289" s="46" t="inlineStr">
        <is>
          <t>32130</t>
        </is>
      </c>
      <c r="C3289" s="46">
        <f>LEFT(Tableau1[[#This Row],[Formacode]],3)</f>
        <v/>
      </c>
      <c r="D3289" s="47" t="n">
        <v>39354</v>
      </c>
      <c r="E3289" s="48">
        <f>"RNCP"&amp;D3289</f>
        <v/>
      </c>
      <c r="F3289" s="48" t="inlineStr">
        <is>
          <t>Manager du développement d'entreprise et commercial</t>
        </is>
      </c>
      <c r="G3289" s="49">
        <f>E3289&amp;" - "&amp;F3289</f>
        <v/>
      </c>
      <c r="H3289" s="36" t="inlineStr">
        <is>
          <t>RAS</t>
        </is>
      </c>
      <c r="I3289" s="45" t="inlineStr"/>
      <c r="J3289" s="45" t="inlineStr">
        <is>
          <t>RNCP39354</t>
        </is>
      </c>
      <c r="K3289" s="45" t="inlineStr">
        <is>
          <t>Manager du développement d'entreprise et commercial</t>
        </is>
      </c>
      <c r="L3289" s="45" t="inlineStr">
        <is>
          <t>19/07/2027</t>
        </is>
      </c>
      <c r="M3289" s="45" t="inlineStr">
        <is>
          <t>34085 (Stratégie commerciale) ; 32025 (Stratégie entreprise) ; 32024 (Gestion centre profit) ; 32154 (Encadrement management)</t>
        </is>
      </c>
      <c r="N3289" s="50" t="inlineStr">
        <is>
          <t>NON</t>
        </is>
      </c>
      <c r="O3289" s="45" t="inlineStr"/>
    </row>
    <row r="3290" customFormat="1" s="3">
      <c r="A3290" s="45" t="n"/>
      <c r="B3290" s="46" t="inlineStr">
        <is>
          <t>32130</t>
        </is>
      </c>
      <c r="C3290" s="46">
        <f>LEFT(Tableau1[[#This Row],[Formacode]],3)</f>
        <v/>
      </c>
      <c r="D3290" s="47" t="n">
        <v>39366</v>
      </c>
      <c r="E3290" s="48">
        <f>"RNCP"&amp;D3290</f>
        <v/>
      </c>
      <c r="F3290" s="48" t="inlineStr">
        <is>
          <t>CQP Manager commercial cuisines et/ou aménagement intérieur</t>
        </is>
      </c>
      <c r="G3290" s="49">
        <f>E3290&amp;" - "&amp;F3290</f>
        <v/>
      </c>
      <c r="H3290" s="36" t="inlineStr">
        <is>
          <t>RAS</t>
        </is>
      </c>
      <c r="I3290" s="45" t="inlineStr"/>
      <c r="J3290" s="45" t="inlineStr">
        <is>
          <t>RNCP39366</t>
        </is>
      </c>
      <c r="K3290" s="45" t="inlineStr">
        <is>
          <t>CQP Manager commercial cuisines et/ou aménagement intérieur</t>
        </is>
      </c>
      <c r="L3290" s="45" t="inlineStr">
        <is>
          <t>19/07/2029</t>
        </is>
      </c>
      <c r="M3290" s="45" t="inlineStr">
        <is>
          <t>34561 (Force vente) ; 34536 (Vente équipement maison) ; 32154 (Encadrement management)</t>
        </is>
      </c>
      <c r="N3290" s="50" t="inlineStr">
        <is>
          <t>NON</t>
        </is>
      </c>
      <c r="O3290" s="45" t="inlineStr"/>
    </row>
    <row r="3291" customFormat="1" s="3">
      <c r="A3291" s="51" t="n"/>
      <c r="B3291" s="52" t="inlineStr">
        <is>
          <t>32130</t>
        </is>
      </c>
      <c r="C3291" s="52">
        <f>LEFT(Tableau1[[#This Row],[Formacode]],3)</f>
        <v/>
      </c>
      <c r="D3291" s="53" t="n">
        <v>39763</v>
      </c>
      <c r="E3291" s="54">
        <f>"RNCP"&amp;D3291</f>
        <v/>
      </c>
      <c r="F3291" s="54" t="inlineStr">
        <is>
          <t>Manager de la performance financière</t>
        </is>
      </c>
      <c r="G3291" s="55">
        <f>E3291&amp;" - "&amp;F3291</f>
        <v/>
      </c>
      <c r="H3291" s="37" t="inlineStr">
        <is>
          <t>À vérifier</t>
        </is>
      </c>
      <c r="I3291" s="51" t="inlineStr">
        <is>
          <t>Échéance le 31/10/2026 (dans 105 j)</t>
        </is>
      </c>
      <c r="J3291" s="51" t="inlineStr">
        <is>
          <t>RNCP39763</t>
        </is>
      </c>
      <c r="K3291" s="51" t="inlineStr">
        <is>
          <t>Manager de la performance financière</t>
        </is>
      </c>
      <c r="L3291" s="51" t="inlineStr">
        <is>
          <t>31/10/2026</t>
        </is>
      </c>
      <c r="M3291" s="51" t="inlineStr">
        <is>
          <t>32154 (Encadrement management) ; 32079 (Gestion performance) ; 32652 (Contrôle gestion) ; 32098 (Audit entreprise)</t>
        </is>
      </c>
      <c r="N3291" s="62" t="inlineStr">
        <is>
          <t>NON</t>
        </is>
      </c>
      <c r="O3291" s="51" t="inlineStr"/>
    </row>
    <row r="3292" customFormat="1" s="3">
      <c r="A3292" s="45" t="n"/>
      <c r="B3292" s="46" t="inlineStr">
        <is>
          <t>32130</t>
        </is>
      </c>
      <c r="C3292" s="46">
        <f>LEFT(Tableau1[[#This Row],[Formacode]],3)</f>
        <v/>
      </c>
      <c r="D3292" s="47" t="n">
        <v>39787</v>
      </c>
      <c r="E3292" s="48">
        <f>"RNCP"&amp;D3292</f>
        <v/>
      </c>
      <c r="F3292" s="48" t="inlineStr">
        <is>
          <t>Directeur de la performance commerciale</t>
        </is>
      </c>
      <c r="G3292" s="49">
        <f>E3292&amp;" - "&amp;F3292</f>
        <v/>
      </c>
      <c r="H3292" s="36" t="inlineStr">
        <is>
          <t>RAS</t>
        </is>
      </c>
      <c r="I3292" s="45" t="inlineStr"/>
      <c r="J3292" s="45" t="inlineStr">
        <is>
          <t>RNCP39787</t>
        </is>
      </c>
      <c r="K3292" s="45" t="inlineStr">
        <is>
          <t>Directeur de la performance commerciale</t>
        </is>
      </c>
      <c r="L3292" s="45" t="inlineStr">
        <is>
          <t>31/10/2029</t>
        </is>
      </c>
      <c r="M3292" s="45" t="inlineStr">
        <is>
          <t>32079 (Gestion performance) ; 32154 (Encadrement management) ; 34085 (Stratégie commerciale)</t>
        </is>
      </c>
      <c r="N3292" s="50" t="inlineStr">
        <is>
          <t>NON</t>
        </is>
      </c>
      <c r="O3292" s="45" t="inlineStr"/>
    </row>
    <row r="3293" customFormat="1" s="3">
      <c r="A3293" s="45" t="n"/>
      <c r="B3293" s="46" t="inlineStr">
        <is>
          <t>32130</t>
        </is>
      </c>
      <c r="C3293" s="46">
        <f>LEFT(Tableau1[[#This Row],[Formacode]],3)</f>
        <v/>
      </c>
      <c r="D3293" s="47" t="n">
        <v>39864</v>
      </c>
      <c r="E3293" s="48">
        <f>"RNCP"&amp;D3293</f>
        <v/>
      </c>
      <c r="F3293" s="48" t="inlineStr">
        <is>
          <t>Manager du développement des ressources humaines</t>
        </is>
      </c>
      <c r="G3293" s="49">
        <f>E3293&amp;" - "&amp;F3293</f>
        <v/>
      </c>
      <c r="H3293" s="36" t="inlineStr">
        <is>
          <t>RAS</t>
        </is>
      </c>
      <c r="I3293" s="45" t="inlineStr"/>
      <c r="J3293" s="45" t="inlineStr">
        <is>
          <t>RNCP39864</t>
        </is>
      </c>
      <c r="K3293" s="45" t="inlineStr">
        <is>
          <t>Manager du développement des ressources humaines</t>
        </is>
      </c>
      <c r="L3293" s="45" t="inlineStr">
        <is>
          <t>28/11/2027</t>
        </is>
      </c>
      <c r="M3293" s="45" t="inlineStr">
        <is>
          <t>33054 (Gestion ressources humaines) ; 32154 (Encadrement management)</t>
        </is>
      </c>
      <c r="N3293" s="50" t="inlineStr">
        <is>
          <t>NON</t>
        </is>
      </c>
      <c r="O3293" s="45" t="inlineStr"/>
    </row>
    <row r="3294" customFormat="1" s="3">
      <c r="A3294" s="45" t="n"/>
      <c r="B3294" s="46" t="inlineStr">
        <is>
          <t>32130</t>
        </is>
      </c>
      <c r="C3294" s="46">
        <f>LEFT(Tableau1[[#This Row],[Formacode]],3)</f>
        <v/>
      </c>
      <c r="D3294" s="47" t="n">
        <v>39972</v>
      </c>
      <c r="E3294" s="48">
        <f>"RNCP"&amp;D3294</f>
        <v/>
      </c>
      <c r="F3294" s="48" t="inlineStr">
        <is>
          <t>CQP Responsable d'équipe du secteur alimentaire</t>
        </is>
      </c>
      <c r="G3294" s="49">
        <f>E3294&amp;" - "&amp;F3294</f>
        <v/>
      </c>
      <c r="H3294" s="36" t="inlineStr">
        <is>
          <t>RAS</t>
        </is>
      </c>
      <c r="I3294" s="45" t="inlineStr"/>
      <c r="J3294" s="45" t="inlineStr">
        <is>
          <t>RNCP39972</t>
        </is>
      </c>
      <c r="K3294" s="45" t="inlineStr">
        <is>
          <t>CQP Responsable d'équipe du secteur alimentaire</t>
        </is>
      </c>
      <c r="L3294" s="45" t="inlineStr">
        <is>
          <t>18/12/2029</t>
        </is>
      </c>
      <c r="M3294" s="45" t="inlineStr">
        <is>
          <t>32154 (Encadrement management) ; 21554 (Agroalimentaire)</t>
        </is>
      </c>
      <c r="N3294" s="50" t="inlineStr">
        <is>
          <t>NON</t>
        </is>
      </c>
      <c r="O3294" s="45" t="inlineStr"/>
    </row>
    <row r="3295" customFormat="1" s="3">
      <c r="A3295" s="45" t="n"/>
      <c r="B3295" s="46" t="inlineStr">
        <is>
          <t>32130</t>
        </is>
      </c>
      <c r="C3295" s="46">
        <f>LEFT(Tableau1[[#This Row],[Formacode]],3)</f>
        <v/>
      </c>
      <c r="D3295" s="47" t="n">
        <v>39994</v>
      </c>
      <c r="E3295" s="48">
        <f>"RNCP"&amp;D3295</f>
        <v/>
      </c>
      <c r="F3295" s="48" t="inlineStr">
        <is>
          <t>Manager des transformations des organisations</t>
        </is>
      </c>
      <c r="G3295" s="49">
        <f>E3295&amp;" - "&amp;F3295</f>
        <v/>
      </c>
      <c r="H3295" s="36" t="inlineStr">
        <is>
          <t>RAS</t>
        </is>
      </c>
      <c r="I3295" s="45" t="inlineStr"/>
      <c r="J3295" s="45" t="inlineStr">
        <is>
          <t>RNCP39994</t>
        </is>
      </c>
      <c r="K3295" s="45" t="inlineStr">
        <is>
          <t>Manager des transformations des organisations</t>
        </is>
      </c>
      <c r="L3295" s="45" t="inlineStr">
        <is>
          <t>18/12/2027</t>
        </is>
      </c>
      <c r="M3295" s="45" t="inlineStr">
        <is>
          <t>32025 (Stratégie entreprise) ; 32079 (Gestion performance) ; 32154 (Encadrement management)</t>
        </is>
      </c>
      <c r="N3295" s="50" t="inlineStr">
        <is>
          <t>NON</t>
        </is>
      </c>
      <c r="O3295" s="45" t="inlineStr"/>
    </row>
    <row r="3296" customFormat="1" s="3">
      <c r="A3296" s="45" t="n"/>
      <c r="B3296" s="46" t="inlineStr">
        <is>
          <t>32130</t>
        </is>
      </c>
      <c r="C3296" s="46">
        <f>LEFT(Tableau1[[#This Row],[Formacode]],3)</f>
        <v/>
      </c>
      <c r="D3296" s="47" t="n">
        <v>40169</v>
      </c>
      <c r="E3296" s="48">
        <f>"RNCP"&amp;D3296</f>
        <v/>
      </c>
      <c r="F3296" s="48" t="inlineStr">
        <is>
          <t>CQP Responsable de conseillers techniques en élevage</t>
        </is>
      </c>
      <c r="G3296" s="49">
        <f>E3296&amp;" - "&amp;F3296</f>
        <v/>
      </c>
      <c r="H3296" s="36" t="inlineStr">
        <is>
          <t>RAS</t>
        </is>
      </c>
      <c r="I3296" s="45" t="inlineStr"/>
      <c r="J3296" s="45" t="inlineStr">
        <is>
          <t>RNCP40169</t>
        </is>
      </c>
      <c r="K3296" s="45" t="inlineStr">
        <is>
          <t>CQP Responsable de conseillers techniques en élevage</t>
        </is>
      </c>
      <c r="L3296" s="45" t="inlineStr">
        <is>
          <t>31/01/2030</t>
        </is>
      </c>
      <c r="M3296" s="45" t="inlineStr">
        <is>
          <t>21056 (Élevage) ; 32068 (Coordination travail) ; 32154 (Encadrement management)</t>
        </is>
      </c>
      <c r="N3296" s="50" t="inlineStr">
        <is>
          <t>NON</t>
        </is>
      </c>
      <c r="O3296" s="45" t="inlineStr"/>
    </row>
    <row r="3297" customFormat="1" s="3">
      <c r="A3297" s="45" t="n"/>
      <c r="B3297" s="46" t="inlineStr">
        <is>
          <t>32130</t>
        </is>
      </c>
      <c r="C3297" s="46">
        <f>LEFT(Tableau1[[#This Row],[Formacode]],3)</f>
        <v/>
      </c>
      <c r="D3297" s="47" t="n">
        <v>40398</v>
      </c>
      <c r="E3297" s="48">
        <f>"RNCP"&amp;D3297</f>
        <v/>
      </c>
      <c r="F3297" s="48" t="inlineStr">
        <is>
          <t>CQP Animateur d’équipe autonome de production industrielle</t>
        </is>
      </c>
      <c r="G3297" s="49">
        <f>E3297&amp;" - "&amp;F3297</f>
        <v/>
      </c>
      <c r="H3297" s="36" t="inlineStr">
        <is>
          <t>RAS</t>
        </is>
      </c>
      <c r="I3297" s="45" t="inlineStr"/>
      <c r="J3297" s="45" t="inlineStr">
        <is>
          <t>RNCP40398</t>
        </is>
      </c>
      <c r="K3297" s="45" t="inlineStr">
        <is>
          <t>CQP Animateur d’équipe autonome de production industrielle</t>
        </is>
      </c>
      <c r="L3297" s="45" t="inlineStr">
        <is>
          <t>28/03/2030</t>
        </is>
      </c>
      <c r="M3297" s="45" t="inlineStr">
        <is>
          <t>31652 (Gestion production) ; 32130 (Animation motivation équipe)</t>
        </is>
      </c>
      <c r="N3297" s="50" t="inlineStr">
        <is>
          <t>NON</t>
        </is>
      </c>
      <c r="O3297" s="45" t="inlineStr"/>
    </row>
    <row r="3298" customFormat="1" s="3">
      <c r="A3298" s="45" t="n"/>
      <c r="B3298" s="46" t="inlineStr">
        <is>
          <t>32130</t>
        </is>
      </c>
      <c r="C3298" s="46">
        <f>LEFT(Tableau1[[#This Row],[Formacode]],3)</f>
        <v/>
      </c>
      <c r="D3298" s="47" t="n">
        <v>41000</v>
      </c>
      <c r="E3298" s="48">
        <f>"RNCP"&amp;D3298</f>
        <v/>
      </c>
      <c r="F3298" s="48" t="inlineStr">
        <is>
          <t>BTS - Management opérationnel de la sécurité</t>
        </is>
      </c>
      <c r="G3298" s="49">
        <f>E3298&amp;" - "&amp;F3298</f>
        <v/>
      </c>
      <c r="H3298" s="36" t="inlineStr">
        <is>
          <t>RAS</t>
        </is>
      </c>
      <c r="I3298" s="45" t="inlineStr"/>
      <c r="J3298" s="45" t="inlineStr">
        <is>
          <t>RNCP41000</t>
        </is>
      </c>
      <c r="K3298" s="45" t="inlineStr">
        <is>
          <t>Management opérationnel de la sécurité</t>
        </is>
      </c>
      <c r="L3298" s="45" t="inlineStr">
        <is>
          <t>31/08/2030</t>
        </is>
      </c>
      <c r="M3298" s="45" t="inlineStr">
        <is>
          <t>42854 (Prévention sécurité) ; 32154 (Encadrement management)</t>
        </is>
      </c>
      <c r="N3298" s="50" t="inlineStr">
        <is>
          <t>NON</t>
        </is>
      </c>
      <c r="O3298" s="45" t="inlineStr"/>
    </row>
    <row r="3299" customFormat="1" s="3">
      <c r="A3299" s="45" t="n"/>
      <c r="B3299" s="46" t="inlineStr">
        <is>
          <t>32130</t>
        </is>
      </c>
      <c r="C3299" s="46">
        <f>LEFT(Tableau1[[#This Row],[Formacode]],3)</f>
        <v/>
      </c>
      <c r="D3299" s="47" t="n">
        <v>41809</v>
      </c>
      <c r="E3299" s="48">
        <f>"RNCP"&amp;D3299</f>
        <v/>
      </c>
      <c r="F3299" s="48" t="inlineStr">
        <is>
          <t>Manager de la stratégie marketing digital</t>
        </is>
      </c>
      <c r="G3299" s="49">
        <f>E3299&amp;" - "&amp;F3299</f>
        <v/>
      </c>
      <c r="H3299" s="36" t="inlineStr">
        <is>
          <t>RAS</t>
        </is>
      </c>
      <c r="I3299" s="45" t="inlineStr"/>
      <c r="J3299" s="45" t="inlineStr">
        <is>
          <t>RNCP41809</t>
        </is>
      </c>
      <c r="K3299" s="45" t="inlineStr">
        <is>
          <t>Manager de la stratégie marketing digital</t>
        </is>
      </c>
      <c r="L3299" s="45" t="inlineStr">
        <is>
          <t>18/12/2028</t>
        </is>
      </c>
      <c r="M3299" s="45" t="inlineStr">
        <is>
          <t>46301 (Communication entreprise) ; 15004 (Communication professionnelle) ; 32154 (Encadrement management) ; 34052 (Marketing)</t>
        </is>
      </c>
      <c r="N3299" s="50" t="inlineStr">
        <is>
          <t>NON</t>
        </is>
      </c>
      <c r="O3299" s="45" t="inlineStr"/>
    </row>
    <row r="3300" customFormat="1" s="3">
      <c r="A3300" s="63" t="n"/>
      <c r="B3300" s="64" t="inlineStr">
        <is>
          <t>32131</t>
        </is>
      </c>
      <c r="C3300" s="64">
        <f>LEFT(Tableau1[[#This Row],[Formacode]],3)</f>
        <v/>
      </c>
      <c r="D3300" s="65" t="n">
        <v>35233</v>
      </c>
      <c r="E3300" s="66">
        <f>"RNCP"&amp;D3300</f>
        <v/>
      </c>
      <c r="F3300" s="66" t="inlineStr">
        <is>
          <t>TP - Assistant manager d’unité marchande</t>
        </is>
      </c>
      <c r="G3300" s="67">
        <f>E3300&amp;" - "&amp;F3300</f>
        <v/>
      </c>
      <c r="H3300" s="38" t="inlineStr">
        <is>
          <t>Expiré / remplacé</t>
        </is>
      </c>
      <c r="I3300" s="63" t="inlineStr">
        <is>
          <t>Fiche inactive — remplacée par RNCP41852 (Assistant manager d’unité marchande)</t>
        </is>
      </c>
      <c r="J3300" s="63" t="inlineStr">
        <is>
          <t>RNCP41852</t>
        </is>
      </c>
      <c r="K3300" s="63" t="inlineStr">
        <is>
          <t>Assistant manager d’unité marchande</t>
        </is>
      </c>
      <c r="L3300" s="63" t="inlineStr">
        <is>
          <t>16/02/2026</t>
        </is>
      </c>
      <c r="M3300" s="63" t="inlineStr">
        <is>
          <t>34566 (Vente distribution) ; 32154 (Encadrement management)</t>
        </is>
      </c>
      <c r="N3300" s="68" t="inlineStr">
        <is>
          <t>NON</t>
        </is>
      </c>
      <c r="O3300" s="63" t="inlineStr"/>
    </row>
    <row r="3301" customFormat="1" s="3">
      <c r="A3301" s="45" t="n"/>
      <c r="B3301" s="46" t="inlineStr">
        <is>
          <t>32131</t>
        </is>
      </c>
      <c r="C3301" s="46">
        <f>LEFT(Tableau1[[#This Row],[Formacode]],3)</f>
        <v/>
      </c>
      <c r="D3301" s="47" t="n">
        <v>36461</v>
      </c>
      <c r="E3301" s="48">
        <f>"RNCP"&amp;D3301</f>
        <v/>
      </c>
      <c r="F3301" s="48" t="inlineStr">
        <is>
          <t>Directeur d'unité opérationnelle</t>
        </is>
      </c>
      <c r="G3301" s="49">
        <f>E3301&amp;" - "&amp;F3301</f>
        <v/>
      </c>
      <c r="H3301" s="36" t="inlineStr">
        <is>
          <t>RAS</t>
        </is>
      </c>
      <c r="I3301" s="45" t="inlineStr"/>
      <c r="J3301" s="45" t="inlineStr">
        <is>
          <t>RNCP36461</t>
        </is>
      </c>
      <c r="K3301" s="45" t="inlineStr">
        <is>
          <t>Directeur d'unité opérationnelle</t>
        </is>
      </c>
      <c r="L3301" s="45" t="inlineStr">
        <is>
          <t>02/06/2027</t>
        </is>
      </c>
      <c r="M3301" s="45" t="inlineStr">
        <is>
          <t>32054 (Gestion des organisations) ; 32154 (Encadrement management)</t>
        </is>
      </c>
      <c r="N3301" s="50" t="inlineStr">
        <is>
          <t>NON</t>
        </is>
      </c>
      <c r="O3301" s="45" t="inlineStr"/>
    </row>
    <row r="3302" customFormat="1" s="3">
      <c r="A3302" s="45" t="n"/>
      <c r="B3302" s="46" t="inlineStr">
        <is>
          <t>32131</t>
        </is>
      </c>
      <c r="C3302" s="46">
        <f>LEFT(Tableau1[[#This Row],[Formacode]],3)</f>
        <v/>
      </c>
      <c r="D3302" s="47" t="n">
        <v>36890</v>
      </c>
      <c r="E3302" s="48">
        <f>"RNCP"&amp;D3302</f>
        <v/>
      </c>
      <c r="F3302" s="48" t="inlineStr">
        <is>
          <t>Manager d'unité opérationnelle</t>
        </is>
      </c>
      <c r="G3302" s="49">
        <f>E3302&amp;" - "&amp;F3302</f>
        <v/>
      </c>
      <c r="H3302" s="36" t="inlineStr">
        <is>
          <t>RAS</t>
        </is>
      </c>
      <c r="I3302" s="45" t="inlineStr"/>
      <c r="J3302" s="45" t="inlineStr">
        <is>
          <t>RNCP36890</t>
        </is>
      </c>
      <c r="K3302" s="45" t="inlineStr">
        <is>
          <t>Manager d'unité opérationnelle</t>
        </is>
      </c>
      <c r="L3302" s="45" t="inlineStr">
        <is>
          <t>29/09/2027</t>
        </is>
      </c>
      <c r="M3302" s="45" t="inlineStr">
        <is>
          <t>32079 (Gestion performance) ; 32025 (Stratégie entreprise) ; 32154 (Encadrement management)</t>
        </is>
      </c>
      <c r="N3302" s="50" t="inlineStr">
        <is>
          <t>NON</t>
        </is>
      </c>
      <c r="O3302" s="45" t="inlineStr"/>
    </row>
    <row r="3303" customFormat="1" s="3">
      <c r="A3303" s="45" t="n"/>
      <c r="B3303" s="46" t="inlineStr">
        <is>
          <t>32131</t>
        </is>
      </c>
      <c r="C3303" s="46">
        <f>LEFT(Tableau1[[#This Row],[Formacode]],3)</f>
        <v/>
      </c>
      <c r="D3303" s="47" t="n">
        <v>37270</v>
      </c>
      <c r="E3303" s="48">
        <f>"RNCP"&amp;D3303</f>
        <v/>
      </c>
      <c r="F3303" s="48" t="inlineStr">
        <is>
          <t>Manager de programmes internationaux - humanitaire et développement</t>
        </is>
      </c>
      <c r="G3303" s="49">
        <f>E3303&amp;" - "&amp;F3303</f>
        <v/>
      </c>
      <c r="H3303" s="36" t="inlineStr">
        <is>
          <t>RAS</t>
        </is>
      </c>
      <c r="I3303" s="45" t="inlineStr"/>
      <c r="J3303" s="45" t="inlineStr">
        <is>
          <t>RNCP37270</t>
        </is>
      </c>
      <c r="K3303" s="45" t="inlineStr">
        <is>
          <t>Manager de programmes internationaux - humanitaire et développement</t>
        </is>
      </c>
      <c r="L3303" s="45" t="inlineStr">
        <is>
          <t>25/01/2028</t>
        </is>
      </c>
      <c r="M3303" s="45" t="inlineStr">
        <is>
          <t>13017 (Action humanitaire) ; 32154 (Encadrement management) ; 32005 (Stratégie internationale)</t>
        </is>
      </c>
      <c r="N3303" s="50" t="inlineStr">
        <is>
          <t>NON</t>
        </is>
      </c>
      <c r="O3303" s="45" t="inlineStr"/>
    </row>
    <row r="3304" customFormat="1" s="3">
      <c r="A3304" s="45" t="n"/>
      <c r="B3304" s="46" t="inlineStr">
        <is>
          <t>32131</t>
        </is>
      </c>
      <c r="C3304" s="46">
        <f>LEFT(Tableau1[[#This Row],[Formacode]],3)</f>
        <v/>
      </c>
      <c r="D3304" s="47" t="n">
        <v>37282</v>
      </c>
      <c r="E3304" s="48">
        <f>"RNCP"&amp;D3304</f>
        <v/>
      </c>
      <c r="F3304" s="48" t="inlineStr">
        <is>
          <t>CQP Manager d’équipe en négoce des matériaux de construction</t>
        </is>
      </c>
      <c r="G3304" s="49">
        <f>E3304&amp;" - "&amp;F3304</f>
        <v/>
      </c>
      <c r="H3304" s="36" t="inlineStr">
        <is>
          <t>RAS</t>
        </is>
      </c>
      <c r="I3304" s="45" t="inlineStr"/>
      <c r="J3304" s="45" t="inlineStr">
        <is>
          <t>RNCP37282</t>
        </is>
      </c>
      <c r="K3304" s="45" t="inlineStr">
        <is>
          <t>CQP Manager d’équipe en négoce des matériaux de construction</t>
        </is>
      </c>
      <c r="L3304" s="45" t="inlineStr">
        <is>
          <t>25/01/2028</t>
        </is>
      </c>
      <c r="M3304" s="45" t="inlineStr">
        <is>
          <t>22852 (Matériau construction) ; 31663 (Gestion stock) ; 34085 (Stratégie commerciale) ; 32154 (Encadrement management)</t>
        </is>
      </c>
      <c r="N3304" s="50" t="inlineStr">
        <is>
          <t>NON</t>
        </is>
      </c>
      <c r="O3304" s="45" t="inlineStr"/>
    </row>
    <row r="3305" customFormat="1" s="3">
      <c r="A3305" s="45" t="n"/>
      <c r="B3305" s="46" t="inlineStr">
        <is>
          <t>32131</t>
        </is>
      </c>
      <c r="C3305" s="46">
        <f>LEFT(Tableau1[[#This Row],[Formacode]],3)</f>
        <v/>
      </c>
      <c r="D3305" s="47" t="n">
        <v>37285</v>
      </c>
      <c r="E3305" s="48">
        <f>"RNCP"&amp;D3305</f>
        <v/>
      </c>
      <c r="F3305" s="48" t="inlineStr">
        <is>
          <t>CQP Chef d’agence en négoce des matériaux de construction</t>
        </is>
      </c>
      <c r="G3305" s="49">
        <f>E3305&amp;" - "&amp;F3305</f>
        <v/>
      </c>
      <c r="H3305" s="36" t="inlineStr">
        <is>
          <t>RAS</t>
        </is>
      </c>
      <c r="I3305" s="45" t="inlineStr"/>
      <c r="J3305" s="45" t="inlineStr">
        <is>
          <t>RNCP37285</t>
        </is>
      </c>
      <c r="K3305" s="45" t="inlineStr">
        <is>
          <t>CQP Chef d’agence en négoce des matériaux de construction</t>
        </is>
      </c>
      <c r="L3305" s="45" t="inlineStr">
        <is>
          <t>25/01/2028</t>
        </is>
      </c>
      <c r="M3305" s="45" t="inlineStr">
        <is>
          <t>22852 (Matériau construction) ; 32650 (Gestion budgétaire) ; 31663 (Gestion stock) ; 34085 (Stratégie commerciale) ; 32154 (Encadrement management)</t>
        </is>
      </c>
      <c r="N3305" s="50" t="inlineStr">
        <is>
          <t>NON</t>
        </is>
      </c>
      <c r="O3305" s="45" t="inlineStr"/>
    </row>
    <row r="3306" ht="28.8" customFormat="1" customHeight="1" s="3">
      <c r="A3306" s="45" t="n"/>
      <c r="B3306" s="46" t="inlineStr">
        <is>
          <t>32131</t>
        </is>
      </c>
      <c r="C3306" s="46">
        <f>LEFT(Tableau1[[#This Row],[Formacode]],3)</f>
        <v/>
      </c>
      <c r="D3306" s="47" t="n">
        <v>37375</v>
      </c>
      <c r="E3306" s="48">
        <f>"RNCP"&amp;D3306</f>
        <v/>
      </c>
      <c r="F3306" s="48" t="inlineStr">
        <is>
          <t>Brevet de technicien supérieur - Métiers de l’esthétique, de la cosmétique et de la parfumerie</t>
        </is>
      </c>
      <c r="G3306" s="49">
        <f>E3306&amp;" - "&amp;F3306</f>
        <v/>
      </c>
      <c r="H3306" s="36" t="inlineStr">
        <is>
          <t>RAS</t>
        </is>
      </c>
      <c r="I3306" s="45" t="inlineStr"/>
      <c r="J3306" s="45" t="inlineStr">
        <is>
          <t>RNCP37375</t>
        </is>
      </c>
      <c r="K3306" s="45" t="inlineStr">
        <is>
          <t>Métiers de l’esthétique, de la cosmétique et de la parfumerie</t>
        </is>
      </c>
      <c r="L3306" s="45" t="inlineStr">
        <is>
          <t>31/08/2028</t>
        </is>
      </c>
      <c r="M3306" s="45" t="inlineStr">
        <is>
          <t>42032 (Esthétique soin corporel) ; 32154 (Encadrement management) ; 22885 (Cosmétique) ; 34059 (Gestion marque) ; 44517 (Conception action formation)</t>
        </is>
      </c>
      <c r="N3306" s="50" t="inlineStr">
        <is>
          <t>NON</t>
        </is>
      </c>
      <c r="O3306" s="45" t="inlineStr"/>
    </row>
    <row r="3307" customFormat="1" s="3">
      <c r="A3307" s="45" t="n"/>
      <c r="B3307" s="46" t="inlineStr">
        <is>
          <t>32131</t>
        </is>
      </c>
      <c r="C3307" s="46">
        <f>LEFT(Tableau1[[#This Row],[Formacode]],3)</f>
        <v/>
      </c>
      <c r="D3307" s="47" t="n">
        <v>37655</v>
      </c>
      <c r="E3307" s="48">
        <f>"RNCP"&amp;D3307</f>
        <v/>
      </c>
      <c r="F3307" s="48" t="inlineStr">
        <is>
          <t>Responsable en gestion et développement d’une business unit</t>
        </is>
      </c>
      <c r="G3307" s="49">
        <f>E3307&amp;" - "&amp;F3307</f>
        <v/>
      </c>
      <c r="H3307" s="36" t="inlineStr">
        <is>
          <t>RAS</t>
        </is>
      </c>
      <c r="I3307" s="45" t="inlineStr"/>
      <c r="J3307" s="45" t="inlineStr">
        <is>
          <t>RNCP37655</t>
        </is>
      </c>
      <c r="K3307" s="45" t="inlineStr">
        <is>
          <t>Responsable en gestion et développement d’une business unit</t>
        </is>
      </c>
      <c r="L3307" s="45" t="inlineStr">
        <is>
          <t>31/05/2028</t>
        </is>
      </c>
      <c r="M3307" s="45" t="inlineStr">
        <is>
          <t>32025 (Stratégie entreprise) ; 32154 (Encadrement management) ; 34054 (Gestion commerciale achats)</t>
        </is>
      </c>
      <c r="N3307" s="50" t="inlineStr">
        <is>
          <t>NON</t>
        </is>
      </c>
      <c r="O3307" s="45" t="inlineStr"/>
    </row>
    <row r="3308" customFormat="1" s="3">
      <c r="A3308" s="45" t="n"/>
      <c r="B3308" s="46" t="inlineStr">
        <is>
          <t>32131</t>
        </is>
      </c>
      <c r="C3308" s="46">
        <f>LEFT(Tableau1[[#This Row],[Formacode]],3)</f>
        <v/>
      </c>
      <c r="D3308" s="47" t="n">
        <v>38135</v>
      </c>
      <c r="E3308" s="48">
        <f>"RNCP"&amp;D3308</f>
        <v/>
      </c>
      <c r="F3308" s="48" t="inlineStr">
        <is>
          <t>Manager commercial clients grands comptes</t>
        </is>
      </c>
      <c r="G3308" s="49">
        <f>E3308&amp;" - "&amp;F3308</f>
        <v/>
      </c>
      <c r="H3308" s="36" t="inlineStr">
        <is>
          <t>RAS</t>
        </is>
      </c>
      <c r="I3308" s="45" t="inlineStr"/>
      <c r="J3308" s="45" t="inlineStr">
        <is>
          <t>RNCP38135</t>
        </is>
      </c>
      <c r="K3308" s="45" t="inlineStr">
        <is>
          <t>Manager commercial clients grands comptes</t>
        </is>
      </c>
      <c r="L3308" s="45" t="inlineStr">
        <is>
          <t>18/10/2028</t>
        </is>
      </c>
      <c r="M3308" s="45" t="inlineStr">
        <is>
          <t>34572 (Négociation grand compte) ; 32154 (Encadrement management)</t>
        </is>
      </c>
      <c r="N3308" s="50" t="inlineStr">
        <is>
          <t>NON</t>
        </is>
      </c>
      <c r="O3308" s="45" t="inlineStr"/>
    </row>
    <row r="3309" customFormat="1" s="3">
      <c r="A3309" s="45" t="n"/>
      <c r="B3309" s="46" t="inlineStr">
        <is>
          <t>32131</t>
        </is>
      </c>
      <c r="C3309" s="46">
        <f>LEFT(Tableau1[[#This Row],[Formacode]],3)</f>
        <v/>
      </c>
      <c r="D3309" s="47" t="n">
        <v>38362</v>
      </c>
      <c r="E3309" s="48">
        <f>"RNCP"&amp;D3309</f>
        <v/>
      </c>
      <c r="F3309" s="48" t="inlineStr">
        <is>
          <t>BTS - Management commercial opérationnel</t>
        </is>
      </c>
      <c r="G3309" s="49">
        <f>E3309&amp;" - "&amp;F3309</f>
        <v/>
      </c>
      <c r="H3309" s="36" t="inlineStr">
        <is>
          <t>RAS</t>
        </is>
      </c>
      <c r="I3309" s="45" t="inlineStr"/>
      <c r="J3309" s="45" t="inlineStr">
        <is>
          <t>RNCP38362</t>
        </is>
      </c>
      <c r="K3309" s="45" t="inlineStr">
        <is>
          <t>Management commercial opérationnel</t>
        </is>
      </c>
      <c r="L3309" s="45" t="inlineStr">
        <is>
          <t>31/12/2028</t>
        </is>
      </c>
      <c r="M3309" s="45" t="inlineStr">
        <is>
          <t>34054 (Gestion commerciale achats) ; 32154 (Encadrement management)</t>
        </is>
      </c>
      <c r="N3309" s="50" t="inlineStr">
        <is>
          <t>NON</t>
        </is>
      </c>
      <c r="O3309" s="45" t="inlineStr"/>
    </row>
    <row r="3310" customFormat="1" s="3">
      <c r="A3310" s="45" t="n"/>
      <c r="B3310" s="46" t="inlineStr">
        <is>
          <t>32131</t>
        </is>
      </c>
      <c r="C3310" s="46">
        <f>LEFT(Tableau1[[#This Row],[Formacode]],3)</f>
        <v/>
      </c>
      <c r="D3310" s="47" t="n">
        <v>38374</v>
      </c>
      <c r="E3310" s="48">
        <f>"RNCP"&amp;D3310</f>
        <v/>
      </c>
      <c r="F3310" s="48" t="inlineStr">
        <is>
          <t>TP - Conducteur d'équipements agroalimentaires</t>
        </is>
      </c>
      <c r="G3310" s="49">
        <f>E3310&amp;" - "&amp;F3310</f>
        <v/>
      </c>
      <c r="H3310" s="36" t="inlineStr">
        <is>
          <t>RAS</t>
        </is>
      </c>
      <c r="I3310" s="45" t="inlineStr"/>
      <c r="J3310" s="45" t="inlineStr">
        <is>
          <t>RNCP38374</t>
        </is>
      </c>
      <c r="K3310" s="45" t="inlineStr">
        <is>
          <t>Conducteur d'équipements agroalimentaires</t>
        </is>
      </c>
      <c r="L3310" s="45" t="inlineStr">
        <is>
          <t>22/12/2028</t>
        </is>
      </c>
      <c r="M3310" s="45" t="inlineStr">
        <is>
          <t>21546 (Méthode haccp) ; 21547 (Bonnes pratiques hygiène agroalimentaire) ; 21575 (Conditionnement agroalimentaire) ; 32154 (Encadrement management) ; 32062 (Recherche développement)</t>
        </is>
      </c>
      <c r="N3310" s="50" t="inlineStr">
        <is>
          <t>NON</t>
        </is>
      </c>
      <c r="O3310" s="45" t="inlineStr"/>
    </row>
    <row r="3311" customFormat="1" s="3">
      <c r="A3311" s="45" t="n"/>
      <c r="B3311" s="46" t="inlineStr">
        <is>
          <t>32131</t>
        </is>
      </c>
      <c r="C3311" s="46">
        <f>LEFT(Tableau1[[#This Row],[Formacode]],3)</f>
        <v/>
      </c>
      <c r="D3311" s="47" t="n">
        <v>38439</v>
      </c>
      <c r="E3311" s="48">
        <f>"RNCP"&amp;D3311</f>
        <v/>
      </c>
      <c r="F3311" s="48" t="inlineStr">
        <is>
          <t>Responsable d'un centre de profit</t>
        </is>
      </c>
      <c r="G3311" s="49">
        <f>E3311&amp;" - "&amp;F3311</f>
        <v/>
      </c>
      <c r="H3311" s="36" t="inlineStr">
        <is>
          <t>RAS</t>
        </is>
      </c>
      <c r="I3311" s="45" t="inlineStr"/>
      <c r="J3311" s="45" t="inlineStr">
        <is>
          <t>RNCP38439</t>
        </is>
      </c>
      <c r="K3311" s="45" t="inlineStr">
        <is>
          <t>Responsable d'un centre de profit</t>
        </is>
      </c>
      <c r="L3311" s="45" t="inlineStr">
        <is>
          <t>21/12/2028</t>
        </is>
      </c>
      <c r="M3311" s="45" t="inlineStr">
        <is>
          <t>32024 (Gestion centre profit) ; 32154 (Encadrement management)</t>
        </is>
      </c>
      <c r="N3311" s="50" t="inlineStr">
        <is>
          <t>NON</t>
        </is>
      </c>
      <c r="O3311" s="45" t="inlineStr"/>
    </row>
    <row r="3312" customFormat="1" s="3">
      <c r="A3312" s="45" t="n"/>
      <c r="B3312" s="46" t="inlineStr">
        <is>
          <t>32131</t>
        </is>
      </c>
      <c r="C3312" s="46">
        <f>LEFT(Tableau1[[#This Row],[Formacode]],3)</f>
        <v/>
      </c>
      <c r="D3312" s="47" t="n">
        <v>38786</v>
      </c>
      <c r="E3312" s="48">
        <f>"RNCP"&amp;D3312</f>
        <v/>
      </c>
      <c r="F3312" s="48" t="inlineStr">
        <is>
          <t>CQP Responsable d'équipe</t>
        </is>
      </c>
      <c r="G3312" s="49">
        <f>E3312&amp;" - "&amp;F3312</f>
        <v/>
      </c>
      <c r="H3312" s="36" t="inlineStr">
        <is>
          <t>RAS</t>
        </is>
      </c>
      <c r="I3312" s="45" t="inlineStr"/>
      <c r="J3312" s="45" t="inlineStr">
        <is>
          <t>RNCP38786</t>
        </is>
      </c>
      <c r="K3312" s="45" t="inlineStr">
        <is>
          <t>CQP Responsable d'équipe</t>
        </is>
      </c>
      <c r="L3312" s="45" t="inlineStr">
        <is>
          <t>27/03/2028</t>
        </is>
      </c>
      <c r="M3312" s="45" t="inlineStr">
        <is>
          <t>32154 (Encadrement management)</t>
        </is>
      </c>
      <c r="N3312" s="50" t="inlineStr">
        <is>
          <t>NON</t>
        </is>
      </c>
      <c r="O3312" s="45" t="inlineStr"/>
    </row>
    <row r="3313" customFormat="1" s="3">
      <c r="A3313" s="45" t="n"/>
      <c r="B3313" s="46" t="inlineStr">
        <is>
          <t>32131</t>
        </is>
      </c>
      <c r="C3313" s="46">
        <f>LEFT(Tableau1[[#This Row],[Formacode]],3)</f>
        <v/>
      </c>
      <c r="D3313" s="47" t="n">
        <v>39136</v>
      </c>
      <c r="E3313" s="48">
        <f>"RNCP"&amp;D3313</f>
        <v/>
      </c>
      <c r="F3313" s="48" t="inlineStr">
        <is>
          <t>Grade_Master - Diplôme des Instituts d’Études Politiques – Sciences Po</t>
        </is>
      </c>
      <c r="G3313" s="49">
        <f>E3313&amp;" - "&amp;F3313</f>
        <v/>
      </c>
      <c r="H3313" s="36" t="inlineStr">
        <is>
          <t>RAS</t>
        </is>
      </c>
      <c r="I3313" s="45" t="inlineStr"/>
      <c r="J3313" s="45" t="inlineStr">
        <is>
          <t>RNCP39136</t>
        </is>
      </c>
      <c r="K3313" s="45" t="inlineStr">
        <is>
          <t>Diplôme des Instituts d’Études Politiques – Sciences Po</t>
        </is>
      </c>
      <c r="L3313" s="45" t="inlineStr">
        <is>
          <t>14/04/2029</t>
        </is>
      </c>
      <c r="M3313" s="45" t="inlineStr">
        <is>
          <t>13154 (Économie) ; 13054 (Science politique) ; 46354 (Information - Communication numérique) ; 32154 (Encadrement management) ; 13254 (Droit)</t>
        </is>
      </c>
      <c r="N3313" s="50" t="inlineStr">
        <is>
          <t>NON</t>
        </is>
      </c>
      <c r="O3313" s="45" t="inlineStr"/>
    </row>
    <row r="3314" customFormat="1" s="3">
      <c r="A3314" s="51" t="n"/>
      <c r="B3314" s="52" t="inlineStr">
        <is>
          <t>32131</t>
        </is>
      </c>
      <c r="C3314" s="52">
        <f>LEFT(Tableau1[[#This Row],[Formacode]],3)</f>
        <v/>
      </c>
      <c r="D3314" s="53" t="n">
        <v>39160</v>
      </c>
      <c r="E3314" s="54">
        <f>"RNCP"&amp;D3314</f>
        <v/>
      </c>
      <c r="F3314" s="54" t="inlineStr">
        <is>
          <t>Diplôme visé grade de master - Programme Grande Ecole</t>
        </is>
      </c>
      <c r="G3314" s="55">
        <f>E3314&amp;" - "&amp;F3314</f>
        <v/>
      </c>
      <c r="H3314" s="37" t="inlineStr">
        <is>
          <t>À vérifier</t>
        </is>
      </c>
      <c r="I3314" s="51" t="inlineStr">
        <is>
          <t>Échéance le 31/08/2026 (dans 44 j)</t>
        </is>
      </c>
      <c r="J3314" s="51" t="inlineStr">
        <is>
          <t>RNCP39160</t>
        </is>
      </c>
      <c r="K3314" s="51" t="inlineStr">
        <is>
          <t>Programme Grande Ecole</t>
        </is>
      </c>
      <c r="L3314" s="51" t="inlineStr">
        <is>
          <t>31/08/2026</t>
        </is>
      </c>
      <c r="M3314" s="51" t="inlineStr">
        <is>
          <t>32025 (Stratégie entreprise) ; 32008 (Responsabilité sociétale entreprise) ; 32047 (Création entreprise) ; 32654 (Gestion financière comptabilité) ; 32154 (Encadrement management)</t>
        </is>
      </c>
      <c r="N3314" s="62" t="inlineStr">
        <is>
          <t>NON</t>
        </is>
      </c>
      <c r="O3314" s="51" t="inlineStr"/>
    </row>
    <row r="3315" customFormat="1" s="3">
      <c r="A3315" s="45" t="n"/>
      <c r="B3315" s="46" t="inlineStr">
        <is>
          <t>32131</t>
        </is>
      </c>
      <c r="C3315" s="46">
        <f>LEFT(Tableau1[[#This Row],[Formacode]],3)</f>
        <v/>
      </c>
      <c r="D3315" s="47" t="n">
        <v>39354</v>
      </c>
      <c r="E3315" s="48">
        <f>"RNCP"&amp;D3315</f>
        <v/>
      </c>
      <c r="F3315" s="48" t="inlineStr">
        <is>
          <t>Manager du développement d'entreprise et commercial</t>
        </is>
      </c>
      <c r="G3315" s="49">
        <f>E3315&amp;" - "&amp;F3315</f>
        <v/>
      </c>
      <c r="H3315" s="36" t="inlineStr">
        <is>
          <t>RAS</t>
        </is>
      </c>
      <c r="I3315" s="45" t="inlineStr"/>
      <c r="J3315" s="45" t="inlineStr">
        <is>
          <t>RNCP39354</t>
        </is>
      </c>
      <c r="K3315" s="45" t="inlineStr">
        <is>
          <t>Manager du développement d'entreprise et commercial</t>
        </is>
      </c>
      <c r="L3315" s="45" t="inlineStr">
        <is>
          <t>19/07/2027</t>
        </is>
      </c>
      <c r="M3315" s="45" t="inlineStr">
        <is>
          <t>34085 (Stratégie commerciale) ; 32025 (Stratégie entreprise) ; 32024 (Gestion centre profit) ; 32154 (Encadrement management)</t>
        </is>
      </c>
      <c r="N3315" s="50" t="inlineStr">
        <is>
          <t>NON</t>
        </is>
      </c>
      <c r="O3315" s="45" t="inlineStr"/>
    </row>
    <row r="3316" customFormat="1" s="3">
      <c r="A3316" s="45" t="n"/>
      <c r="B3316" s="46" t="inlineStr">
        <is>
          <t>32131</t>
        </is>
      </c>
      <c r="C3316" s="46">
        <f>LEFT(Tableau1[[#This Row],[Formacode]],3)</f>
        <v/>
      </c>
      <c r="D3316" s="47" t="n">
        <v>39366</v>
      </c>
      <c r="E3316" s="48">
        <f>"RNCP"&amp;D3316</f>
        <v/>
      </c>
      <c r="F3316" s="48" t="inlineStr">
        <is>
          <t>CQP Manager commercial cuisines et/ou aménagement intérieur</t>
        </is>
      </c>
      <c r="G3316" s="49">
        <f>E3316&amp;" - "&amp;F3316</f>
        <v/>
      </c>
      <c r="H3316" s="36" t="inlineStr">
        <is>
          <t>RAS</t>
        </is>
      </c>
      <c r="I3316" s="45" t="inlineStr"/>
      <c r="J3316" s="45" t="inlineStr">
        <is>
          <t>RNCP39366</t>
        </is>
      </c>
      <c r="K3316" s="45" t="inlineStr">
        <is>
          <t>CQP Manager commercial cuisines et/ou aménagement intérieur</t>
        </is>
      </c>
      <c r="L3316" s="45" t="inlineStr">
        <is>
          <t>19/07/2029</t>
        </is>
      </c>
      <c r="M3316" s="45" t="inlineStr">
        <is>
          <t>34561 (Force vente) ; 34536 (Vente équipement maison) ; 32154 (Encadrement management)</t>
        </is>
      </c>
      <c r="N3316" s="50" t="inlineStr">
        <is>
          <t>NON</t>
        </is>
      </c>
      <c r="O3316" s="45" t="inlineStr"/>
    </row>
    <row r="3317" customFormat="1" s="3">
      <c r="A3317" s="51" t="n"/>
      <c r="B3317" s="52" t="inlineStr">
        <is>
          <t>32131</t>
        </is>
      </c>
      <c r="C3317" s="52">
        <f>LEFT(Tableau1[[#This Row],[Formacode]],3)</f>
        <v/>
      </c>
      <c r="D3317" s="53" t="n">
        <v>39763</v>
      </c>
      <c r="E3317" s="54">
        <f>"RNCP"&amp;D3317</f>
        <v/>
      </c>
      <c r="F3317" s="54" t="inlineStr">
        <is>
          <t>Manager de la performance financière</t>
        </is>
      </c>
      <c r="G3317" s="55">
        <f>E3317&amp;" - "&amp;F3317</f>
        <v/>
      </c>
      <c r="H3317" s="37" t="inlineStr">
        <is>
          <t>À vérifier</t>
        </is>
      </c>
      <c r="I3317" s="51" t="inlineStr">
        <is>
          <t>Échéance le 31/10/2026 (dans 105 j)</t>
        </is>
      </c>
      <c r="J3317" s="51" t="inlineStr">
        <is>
          <t>RNCP39763</t>
        </is>
      </c>
      <c r="K3317" s="51" t="inlineStr">
        <is>
          <t>Manager de la performance financière</t>
        </is>
      </c>
      <c r="L3317" s="51" t="inlineStr">
        <is>
          <t>31/10/2026</t>
        </is>
      </c>
      <c r="M3317" s="51" t="inlineStr">
        <is>
          <t>32154 (Encadrement management) ; 32079 (Gestion performance) ; 32652 (Contrôle gestion) ; 32098 (Audit entreprise)</t>
        </is>
      </c>
      <c r="N3317" s="62" t="inlineStr">
        <is>
          <t>NON</t>
        </is>
      </c>
      <c r="O3317" s="51" t="inlineStr"/>
    </row>
    <row r="3318" customFormat="1" s="3">
      <c r="A3318" s="45" t="n"/>
      <c r="B3318" s="46" t="inlineStr">
        <is>
          <t>32131</t>
        </is>
      </c>
      <c r="C3318" s="46">
        <f>LEFT(Tableau1[[#This Row],[Formacode]],3)</f>
        <v/>
      </c>
      <c r="D3318" s="47" t="n">
        <v>39787</v>
      </c>
      <c r="E3318" s="48">
        <f>"RNCP"&amp;D3318</f>
        <v/>
      </c>
      <c r="F3318" s="48" t="inlineStr">
        <is>
          <t>Directeur de la performance commerciale</t>
        </is>
      </c>
      <c r="G3318" s="49">
        <f>E3318&amp;" - "&amp;F3318</f>
        <v/>
      </c>
      <c r="H3318" s="36" t="inlineStr">
        <is>
          <t>RAS</t>
        </is>
      </c>
      <c r="I3318" s="45" t="inlineStr"/>
      <c r="J3318" s="45" t="inlineStr">
        <is>
          <t>RNCP39787</t>
        </is>
      </c>
      <c r="K3318" s="45" t="inlineStr">
        <is>
          <t>Directeur de la performance commerciale</t>
        </is>
      </c>
      <c r="L3318" s="45" t="inlineStr">
        <is>
          <t>31/10/2029</t>
        </is>
      </c>
      <c r="M3318" s="45" t="inlineStr">
        <is>
          <t>32079 (Gestion performance) ; 32154 (Encadrement management) ; 34085 (Stratégie commerciale)</t>
        </is>
      </c>
      <c r="N3318" s="50" t="inlineStr">
        <is>
          <t>NON</t>
        </is>
      </c>
      <c r="O3318" s="45" t="inlineStr"/>
    </row>
    <row r="3319" customFormat="1" s="3">
      <c r="A3319" s="45" t="n"/>
      <c r="B3319" s="46" t="inlineStr">
        <is>
          <t>32131</t>
        </is>
      </c>
      <c r="C3319" s="46">
        <f>LEFT(Tableau1[[#This Row],[Formacode]],3)</f>
        <v/>
      </c>
      <c r="D3319" s="47" t="n">
        <v>39864</v>
      </c>
      <c r="E3319" s="48">
        <f>"RNCP"&amp;D3319</f>
        <v/>
      </c>
      <c r="F3319" s="48" t="inlineStr">
        <is>
          <t>Manager du développement des ressources humaines</t>
        </is>
      </c>
      <c r="G3319" s="49">
        <f>E3319&amp;" - "&amp;F3319</f>
        <v/>
      </c>
      <c r="H3319" s="36" t="inlineStr">
        <is>
          <t>RAS</t>
        </is>
      </c>
      <c r="I3319" s="45" t="inlineStr"/>
      <c r="J3319" s="45" t="inlineStr">
        <is>
          <t>RNCP39864</t>
        </is>
      </c>
      <c r="K3319" s="45" t="inlineStr">
        <is>
          <t>Manager du développement des ressources humaines</t>
        </is>
      </c>
      <c r="L3319" s="45" t="inlineStr">
        <is>
          <t>28/11/2027</t>
        </is>
      </c>
      <c r="M3319" s="45" t="inlineStr">
        <is>
          <t>33054 (Gestion ressources humaines) ; 32154 (Encadrement management)</t>
        </is>
      </c>
      <c r="N3319" s="50" t="inlineStr">
        <is>
          <t>NON</t>
        </is>
      </c>
      <c r="O3319" s="45" t="inlineStr"/>
    </row>
    <row r="3320" customFormat="1" s="3">
      <c r="A3320" s="45" t="n"/>
      <c r="B3320" s="46" t="inlineStr">
        <is>
          <t>32131</t>
        </is>
      </c>
      <c r="C3320" s="46">
        <f>LEFT(Tableau1[[#This Row],[Formacode]],3)</f>
        <v/>
      </c>
      <c r="D3320" s="47" t="n">
        <v>39972</v>
      </c>
      <c r="E3320" s="48">
        <f>"RNCP"&amp;D3320</f>
        <v/>
      </c>
      <c r="F3320" s="48" t="inlineStr">
        <is>
          <t>CQP Responsable d'équipe du secteur alimentaire</t>
        </is>
      </c>
      <c r="G3320" s="49">
        <f>E3320&amp;" - "&amp;F3320</f>
        <v/>
      </c>
      <c r="H3320" s="36" t="inlineStr">
        <is>
          <t>RAS</t>
        </is>
      </c>
      <c r="I3320" s="45" t="inlineStr"/>
      <c r="J3320" s="45" t="inlineStr">
        <is>
          <t>RNCP39972</t>
        </is>
      </c>
      <c r="K3320" s="45" t="inlineStr">
        <is>
          <t>CQP Responsable d'équipe du secteur alimentaire</t>
        </is>
      </c>
      <c r="L3320" s="45" t="inlineStr">
        <is>
          <t>18/12/2029</t>
        </is>
      </c>
      <c r="M3320" s="45" t="inlineStr">
        <is>
          <t>32154 (Encadrement management) ; 21554 (Agroalimentaire)</t>
        </is>
      </c>
      <c r="N3320" s="50" t="inlineStr">
        <is>
          <t>NON</t>
        </is>
      </c>
      <c r="O3320" s="45" t="inlineStr"/>
    </row>
    <row r="3321" customFormat="1" s="3">
      <c r="A3321" s="45" t="n"/>
      <c r="B3321" s="46" t="inlineStr">
        <is>
          <t>32131</t>
        </is>
      </c>
      <c r="C3321" s="46">
        <f>LEFT(Tableau1[[#This Row],[Formacode]],3)</f>
        <v/>
      </c>
      <c r="D3321" s="47" t="n">
        <v>39994</v>
      </c>
      <c r="E3321" s="48">
        <f>"RNCP"&amp;D3321</f>
        <v/>
      </c>
      <c r="F3321" s="48" t="inlineStr">
        <is>
          <t>Manager des transformations des organisations</t>
        </is>
      </c>
      <c r="G3321" s="49">
        <f>E3321&amp;" - "&amp;F3321</f>
        <v/>
      </c>
      <c r="H3321" s="36" t="inlineStr">
        <is>
          <t>RAS</t>
        </is>
      </c>
      <c r="I3321" s="45" t="inlineStr"/>
      <c r="J3321" s="45" t="inlineStr">
        <is>
          <t>RNCP39994</t>
        </is>
      </c>
      <c r="K3321" s="45" t="inlineStr">
        <is>
          <t>Manager des transformations des organisations</t>
        </is>
      </c>
      <c r="L3321" s="45" t="inlineStr">
        <is>
          <t>18/12/2027</t>
        </is>
      </c>
      <c r="M3321" s="45" t="inlineStr">
        <is>
          <t>32025 (Stratégie entreprise) ; 32079 (Gestion performance) ; 32154 (Encadrement management)</t>
        </is>
      </c>
      <c r="N3321" s="50" t="inlineStr">
        <is>
          <t>NON</t>
        </is>
      </c>
      <c r="O3321" s="45" t="inlineStr"/>
    </row>
    <row r="3322" customFormat="1" s="3">
      <c r="A3322" s="45" t="n"/>
      <c r="B3322" s="46" t="inlineStr">
        <is>
          <t>32131</t>
        </is>
      </c>
      <c r="C3322" s="46">
        <f>LEFT(Tableau1[[#This Row],[Formacode]],3)</f>
        <v/>
      </c>
      <c r="D3322" s="47" t="n">
        <v>40169</v>
      </c>
      <c r="E3322" s="48">
        <f>"RNCP"&amp;D3322</f>
        <v/>
      </c>
      <c r="F3322" s="48" t="inlineStr">
        <is>
          <t>CQP Responsable de conseillers techniques en élevage</t>
        </is>
      </c>
      <c r="G3322" s="49">
        <f>E3322&amp;" - "&amp;F3322</f>
        <v/>
      </c>
      <c r="H3322" s="36" t="inlineStr">
        <is>
          <t>RAS</t>
        </is>
      </c>
      <c r="I3322" s="45" t="inlineStr"/>
      <c r="J3322" s="45" t="inlineStr">
        <is>
          <t>RNCP40169</t>
        </is>
      </c>
      <c r="K3322" s="45" t="inlineStr">
        <is>
          <t>CQP Responsable de conseillers techniques en élevage</t>
        </is>
      </c>
      <c r="L3322" s="45" t="inlineStr">
        <is>
          <t>31/01/2030</t>
        </is>
      </c>
      <c r="M3322" s="45" t="inlineStr">
        <is>
          <t>21056 (Élevage) ; 32068 (Coordination travail) ; 32154 (Encadrement management)</t>
        </is>
      </c>
      <c r="N3322" s="50" t="inlineStr">
        <is>
          <t>NON</t>
        </is>
      </c>
      <c r="O3322" s="45" t="inlineStr"/>
    </row>
    <row r="3323" customFormat="1" s="3">
      <c r="A3323" s="45" t="n"/>
      <c r="B3323" s="46" t="inlineStr">
        <is>
          <t>32131</t>
        </is>
      </c>
      <c r="C3323" s="46">
        <f>LEFT(Tableau1[[#This Row],[Formacode]],3)</f>
        <v/>
      </c>
      <c r="D3323" s="47" t="n">
        <v>41000</v>
      </c>
      <c r="E3323" s="48">
        <f>"RNCP"&amp;D3323</f>
        <v/>
      </c>
      <c r="F3323" s="48" t="inlineStr">
        <is>
          <t>BTS - Management opérationnel de la sécurité</t>
        </is>
      </c>
      <c r="G3323" s="49">
        <f>E3323&amp;" - "&amp;F3323</f>
        <v/>
      </c>
      <c r="H3323" s="36" t="inlineStr">
        <is>
          <t>RAS</t>
        </is>
      </c>
      <c r="I3323" s="45" t="inlineStr"/>
      <c r="J3323" s="45" t="inlineStr">
        <is>
          <t>RNCP41000</t>
        </is>
      </c>
      <c r="K3323" s="45" t="inlineStr">
        <is>
          <t>Management opérationnel de la sécurité</t>
        </is>
      </c>
      <c r="L3323" s="45" t="inlineStr">
        <is>
          <t>31/08/2030</t>
        </is>
      </c>
      <c r="M3323" s="45" t="inlineStr">
        <is>
          <t>42854 (Prévention sécurité) ; 32154 (Encadrement management)</t>
        </is>
      </c>
      <c r="N3323" s="50" t="inlineStr">
        <is>
          <t>NON</t>
        </is>
      </c>
      <c r="O3323" s="45" t="inlineStr"/>
    </row>
    <row r="3324" customFormat="1" s="3">
      <c r="A3324" s="45" t="n"/>
      <c r="B3324" s="46" t="inlineStr">
        <is>
          <t>32131</t>
        </is>
      </c>
      <c r="C3324" s="46">
        <f>LEFT(Tableau1[[#This Row],[Formacode]],3)</f>
        <v/>
      </c>
      <c r="D3324" s="47" t="n">
        <v>41809</v>
      </c>
      <c r="E3324" s="48">
        <f>"RNCP"&amp;D3324</f>
        <v/>
      </c>
      <c r="F3324" s="48" t="inlineStr">
        <is>
          <t>Manager de la stratégie marketing digital</t>
        </is>
      </c>
      <c r="G3324" s="49">
        <f>E3324&amp;" - "&amp;F3324</f>
        <v/>
      </c>
      <c r="H3324" s="36" t="inlineStr">
        <is>
          <t>RAS</t>
        </is>
      </c>
      <c r="I3324" s="45" t="inlineStr"/>
      <c r="J3324" s="45" t="inlineStr">
        <is>
          <t>RNCP41809</t>
        </is>
      </c>
      <c r="K3324" s="45" t="inlineStr">
        <is>
          <t>Manager de la stratégie marketing digital</t>
        </is>
      </c>
      <c r="L3324" s="45" t="inlineStr">
        <is>
          <t>18/12/2028</t>
        </is>
      </c>
      <c r="M3324" s="45" t="inlineStr">
        <is>
          <t>46301 (Communication entreprise) ; 15004 (Communication professionnelle) ; 32154 (Encadrement management) ; 34052 (Marketing)</t>
        </is>
      </c>
      <c r="N3324" s="50" t="inlineStr">
        <is>
          <t>NON</t>
        </is>
      </c>
      <c r="O3324" s="45" t="inlineStr"/>
    </row>
    <row r="3325" customFormat="1" s="3">
      <c r="A3325" s="63" t="n"/>
      <c r="B3325" s="64" t="inlineStr">
        <is>
          <t>32135</t>
        </is>
      </c>
      <c r="C3325" s="64">
        <f>LEFT(Tableau1[[#This Row],[Formacode]],3)</f>
        <v/>
      </c>
      <c r="D3325" s="65" t="n">
        <v>35233</v>
      </c>
      <c r="E3325" s="66">
        <f>"RNCP"&amp;D3325</f>
        <v/>
      </c>
      <c r="F3325" s="66" t="inlineStr">
        <is>
          <t>TP - Assistant manager d’unité marchande</t>
        </is>
      </c>
      <c r="G3325" s="67">
        <f>E3325&amp;" - "&amp;F3325</f>
        <v/>
      </c>
      <c r="H3325" s="38" t="inlineStr">
        <is>
          <t>Expiré / remplacé</t>
        </is>
      </c>
      <c r="I3325" s="63" t="inlineStr">
        <is>
          <t>Fiche inactive — remplacée par RNCP41852 (Assistant manager d’unité marchande)</t>
        </is>
      </c>
      <c r="J3325" s="63" t="inlineStr">
        <is>
          <t>RNCP41852</t>
        </is>
      </c>
      <c r="K3325" s="63" t="inlineStr">
        <is>
          <t>Assistant manager d’unité marchande</t>
        </is>
      </c>
      <c r="L3325" s="63" t="inlineStr">
        <is>
          <t>16/02/2026</t>
        </is>
      </c>
      <c r="M3325" s="63" t="inlineStr">
        <is>
          <t>34566 (Vente distribution) ; 32154 (Encadrement management)</t>
        </is>
      </c>
      <c r="N3325" s="68" t="inlineStr">
        <is>
          <t>NON</t>
        </is>
      </c>
      <c r="O3325" s="63" t="inlineStr"/>
    </row>
    <row r="3326" customFormat="1" s="3">
      <c r="A3326" s="63" t="n"/>
      <c r="B3326" s="64" t="inlineStr">
        <is>
          <t>32135</t>
        </is>
      </c>
      <c r="C3326" s="64">
        <f>LEFT(Tableau1[[#This Row],[Formacode]],3)</f>
        <v/>
      </c>
      <c r="D3326" s="65" t="n">
        <v>35593</v>
      </c>
      <c r="E3326" s="66">
        <f>"RNCP"&amp;D3326</f>
        <v/>
      </c>
      <c r="F3326" s="66" t="inlineStr">
        <is>
          <t>Directeur de projets image et communication</t>
        </is>
      </c>
      <c r="G3326" s="67">
        <f>E3326&amp;" - "&amp;F3326</f>
        <v/>
      </c>
      <c r="H3326" s="38" t="inlineStr">
        <is>
          <t>Expiré / remplacé</t>
        </is>
      </c>
      <c r="I3326" s="63" t="inlineStr">
        <is>
          <t>Fiche inactive — remplacée par RNCP42186 (Manager de la communication omnicanal)</t>
        </is>
      </c>
      <c r="J3326" s="63" t="inlineStr">
        <is>
          <t>RNCP42186</t>
        </is>
      </c>
      <c r="K3326" s="63" t="inlineStr">
        <is>
          <t>Manager de la communication omnicanal</t>
        </is>
      </c>
      <c r="L3326" s="63" t="inlineStr">
        <is>
          <t>19/05/2026</t>
        </is>
      </c>
      <c r="M3326" s="63" t="inlineStr">
        <is>
          <t>46301 (Communication entreprise) ; 46302 (Gestion entreprise communication information) ; 46347 (Stratégie communication numérique)</t>
        </is>
      </c>
      <c r="N3326" s="68" t="inlineStr">
        <is>
          <t>NON</t>
        </is>
      </c>
      <c r="O3326" s="63" t="inlineStr"/>
    </row>
    <row r="3327" customFormat="1" s="3">
      <c r="A3327" s="45" t="n"/>
      <c r="B3327" s="46" t="inlineStr">
        <is>
          <t>32135</t>
        </is>
      </c>
      <c r="C3327" s="46">
        <f>LEFT(Tableau1[[#This Row],[Formacode]],3)</f>
        <v/>
      </c>
      <c r="D3327" s="47" t="n">
        <v>36420</v>
      </c>
      <c r="E3327" s="48">
        <f>"RNCP"&amp;D3327</f>
        <v/>
      </c>
      <c r="F3327" s="48" t="inlineStr">
        <is>
          <t>DIPLOVIS - Programme supérieur de gestion et de commerce</t>
        </is>
      </c>
      <c r="G3327" s="49">
        <f>E3327&amp;" - "&amp;F3327</f>
        <v/>
      </c>
      <c r="H3327" s="36" t="inlineStr">
        <is>
          <t>RAS</t>
        </is>
      </c>
      <c r="I3327" s="45" t="inlineStr"/>
      <c r="J3327" s="45" t="inlineStr">
        <is>
          <t>RNCP36420</t>
        </is>
      </c>
      <c r="K3327" s="45" t="inlineStr">
        <is>
          <t>Programme supérieur de gestion et de commerce</t>
        </is>
      </c>
      <c r="L3327" s="45" t="inlineStr">
        <is>
          <t>31/08/2027</t>
        </is>
      </c>
      <c r="M3327" s="45" t="inlineStr">
        <is>
          <t>32110 (Management opérationnel) ; 32135 (Conduite projet) ; 32054 (Gestion des organisations)</t>
        </is>
      </c>
      <c r="N3327" s="50" t="inlineStr">
        <is>
          <t>NON</t>
        </is>
      </c>
      <c r="O3327" s="45" t="inlineStr"/>
    </row>
    <row r="3328" customFormat="1" s="3">
      <c r="A3328" s="45" t="n"/>
      <c r="B3328" s="46" t="inlineStr">
        <is>
          <t>32135</t>
        </is>
      </c>
      <c r="C3328" s="46">
        <f>LEFT(Tableau1[[#This Row],[Formacode]],3)</f>
        <v/>
      </c>
      <c r="D3328" s="47" t="n">
        <v>36461</v>
      </c>
      <c r="E3328" s="48">
        <f>"RNCP"&amp;D3328</f>
        <v/>
      </c>
      <c r="F3328" s="48" t="inlineStr">
        <is>
          <t>Directeur d'unité opérationnelle</t>
        </is>
      </c>
      <c r="G3328" s="49">
        <f>E3328&amp;" - "&amp;F3328</f>
        <v/>
      </c>
      <c r="H3328" s="36" t="inlineStr">
        <is>
          <t>RAS</t>
        </is>
      </c>
      <c r="I3328" s="45" t="inlineStr"/>
      <c r="J3328" s="45" t="inlineStr">
        <is>
          <t>RNCP36461</t>
        </is>
      </c>
      <c r="K3328" s="45" t="inlineStr">
        <is>
          <t>Directeur d'unité opérationnelle</t>
        </is>
      </c>
      <c r="L3328" s="45" t="inlineStr">
        <is>
          <t>02/06/2027</t>
        </is>
      </c>
      <c r="M3328" s="45" t="inlineStr">
        <is>
          <t>32054 (Gestion des organisations) ; 32154 (Encadrement management)</t>
        </is>
      </c>
      <c r="N3328" s="50" t="inlineStr">
        <is>
          <t>NON</t>
        </is>
      </c>
      <c r="O3328" s="45" t="inlineStr"/>
    </row>
    <row r="3329" customFormat="1" s="3">
      <c r="A3329" s="45" t="n"/>
      <c r="B3329" s="46" t="inlineStr">
        <is>
          <t>32135</t>
        </is>
      </c>
      <c r="C3329" s="46">
        <f>LEFT(Tableau1[[#This Row],[Formacode]],3)</f>
        <v/>
      </c>
      <c r="D3329" s="47" t="n">
        <v>36890</v>
      </c>
      <c r="E3329" s="48">
        <f>"RNCP"&amp;D3329</f>
        <v/>
      </c>
      <c r="F3329" s="48" t="inlineStr">
        <is>
          <t>Manager d'unité opérationnelle</t>
        </is>
      </c>
      <c r="G3329" s="49">
        <f>E3329&amp;" - "&amp;F3329</f>
        <v/>
      </c>
      <c r="H3329" s="36" t="inlineStr">
        <is>
          <t>RAS</t>
        </is>
      </c>
      <c r="I3329" s="45" t="inlineStr"/>
      <c r="J3329" s="45" t="inlineStr">
        <is>
          <t>RNCP36890</t>
        </is>
      </c>
      <c r="K3329" s="45" t="inlineStr">
        <is>
          <t>Manager d'unité opérationnelle</t>
        </is>
      </c>
      <c r="L3329" s="45" t="inlineStr">
        <is>
          <t>29/09/2027</t>
        </is>
      </c>
      <c r="M3329" s="45" t="inlineStr">
        <is>
          <t>32079 (Gestion performance) ; 32025 (Stratégie entreprise) ; 32154 (Encadrement management)</t>
        </is>
      </c>
      <c r="N3329" s="50" t="inlineStr">
        <is>
          <t>NON</t>
        </is>
      </c>
      <c r="O3329" s="45" t="inlineStr"/>
    </row>
    <row r="3330" customFormat="1" s="3">
      <c r="A3330" s="45" t="n"/>
      <c r="B3330" s="46" t="inlineStr">
        <is>
          <t>32135</t>
        </is>
      </c>
      <c r="C3330" s="46">
        <f>LEFT(Tableau1[[#This Row],[Formacode]],3)</f>
        <v/>
      </c>
      <c r="D3330" s="47" t="n">
        <v>37270</v>
      </c>
      <c r="E3330" s="48">
        <f>"RNCP"&amp;D3330</f>
        <v/>
      </c>
      <c r="F3330" s="48" t="inlineStr">
        <is>
          <t>Manager de programmes internationaux - humanitaire et développement</t>
        </is>
      </c>
      <c r="G3330" s="49">
        <f>E3330&amp;" - "&amp;F3330</f>
        <v/>
      </c>
      <c r="H3330" s="36" t="inlineStr">
        <is>
          <t>RAS</t>
        </is>
      </c>
      <c r="I3330" s="45" t="inlineStr"/>
      <c r="J3330" s="45" t="inlineStr">
        <is>
          <t>RNCP37270</t>
        </is>
      </c>
      <c r="K3330" s="45" t="inlineStr">
        <is>
          <t>Manager de programmes internationaux - humanitaire et développement</t>
        </is>
      </c>
      <c r="L3330" s="45" t="inlineStr">
        <is>
          <t>25/01/2028</t>
        </is>
      </c>
      <c r="M3330" s="45" t="inlineStr">
        <is>
          <t>13017 (Action humanitaire) ; 32154 (Encadrement management) ; 32005 (Stratégie internationale)</t>
        </is>
      </c>
      <c r="N3330" s="50" t="inlineStr">
        <is>
          <t>NON</t>
        </is>
      </c>
      <c r="O3330" s="45" t="inlineStr"/>
    </row>
    <row r="3331" customFormat="1" s="3">
      <c r="A3331" s="45" t="n"/>
      <c r="B3331" s="46" t="inlineStr">
        <is>
          <t>32135</t>
        </is>
      </c>
      <c r="C3331" s="46">
        <f>LEFT(Tableau1[[#This Row],[Formacode]],3)</f>
        <v/>
      </c>
      <c r="D3331" s="47" t="n">
        <v>37282</v>
      </c>
      <c r="E3331" s="48">
        <f>"RNCP"&amp;D3331</f>
        <v/>
      </c>
      <c r="F3331" s="48" t="inlineStr">
        <is>
          <t>CQP Manager d’équipe en négoce des matériaux de construction</t>
        </is>
      </c>
      <c r="G3331" s="49">
        <f>E3331&amp;" - "&amp;F3331</f>
        <v/>
      </c>
      <c r="H3331" s="36" t="inlineStr">
        <is>
          <t>RAS</t>
        </is>
      </c>
      <c r="I3331" s="45" t="inlineStr"/>
      <c r="J3331" s="45" t="inlineStr">
        <is>
          <t>RNCP37282</t>
        </is>
      </c>
      <c r="K3331" s="45" t="inlineStr">
        <is>
          <t>CQP Manager d’équipe en négoce des matériaux de construction</t>
        </is>
      </c>
      <c r="L3331" s="45" t="inlineStr">
        <is>
          <t>25/01/2028</t>
        </is>
      </c>
      <c r="M3331" s="45" t="inlineStr">
        <is>
          <t>22852 (Matériau construction) ; 31663 (Gestion stock) ; 34085 (Stratégie commerciale) ; 32154 (Encadrement management)</t>
        </is>
      </c>
      <c r="N3331" s="50" t="inlineStr">
        <is>
          <t>NON</t>
        </is>
      </c>
      <c r="O3331" s="45" t="inlineStr"/>
    </row>
    <row r="3332" customFormat="1" s="3">
      <c r="A3332" s="45" t="n"/>
      <c r="B3332" s="46" t="inlineStr">
        <is>
          <t>32135</t>
        </is>
      </c>
      <c r="C3332" s="46">
        <f>LEFT(Tableau1[[#This Row],[Formacode]],3)</f>
        <v/>
      </c>
      <c r="D3332" s="47" t="n">
        <v>37285</v>
      </c>
      <c r="E3332" s="48">
        <f>"RNCP"&amp;D3332</f>
        <v/>
      </c>
      <c r="F3332" s="48" t="inlineStr">
        <is>
          <t>CQP Chef d’agence en négoce des matériaux de construction</t>
        </is>
      </c>
      <c r="G3332" s="49">
        <f>E3332&amp;" - "&amp;F3332</f>
        <v/>
      </c>
      <c r="H3332" s="36" t="inlineStr">
        <is>
          <t>RAS</t>
        </is>
      </c>
      <c r="I3332" s="45" t="inlineStr"/>
      <c r="J3332" s="45" t="inlineStr">
        <is>
          <t>RNCP37285</t>
        </is>
      </c>
      <c r="K3332" s="45" t="inlineStr">
        <is>
          <t>CQP Chef d’agence en négoce des matériaux de construction</t>
        </is>
      </c>
      <c r="L3332" s="45" t="inlineStr">
        <is>
          <t>25/01/2028</t>
        </is>
      </c>
      <c r="M3332" s="45" t="inlineStr">
        <is>
          <t>22852 (Matériau construction) ; 32650 (Gestion budgétaire) ; 31663 (Gestion stock) ; 34085 (Stratégie commerciale) ; 32154 (Encadrement management)</t>
        </is>
      </c>
      <c r="N3332" s="50" t="inlineStr">
        <is>
          <t>NON</t>
        </is>
      </c>
      <c r="O3332" s="45" t="inlineStr"/>
    </row>
    <row r="3333" ht="28.8" customFormat="1" customHeight="1" s="3">
      <c r="A3333" s="45" t="n"/>
      <c r="B3333" s="46" t="inlineStr">
        <is>
          <t>32135</t>
        </is>
      </c>
      <c r="C3333" s="46">
        <f>LEFT(Tableau1[[#This Row],[Formacode]],3)</f>
        <v/>
      </c>
      <c r="D3333" s="47" t="n">
        <v>37375</v>
      </c>
      <c r="E3333" s="48">
        <f>"RNCP"&amp;D3333</f>
        <v/>
      </c>
      <c r="F3333" s="48" t="inlineStr">
        <is>
          <t>Brevet de technicien supérieur - Métiers de l’esthétique, de la cosmétique et de la parfumerie</t>
        </is>
      </c>
      <c r="G3333" s="49">
        <f>E3333&amp;" - "&amp;F3333</f>
        <v/>
      </c>
      <c r="H3333" s="36" t="inlineStr">
        <is>
          <t>RAS</t>
        </is>
      </c>
      <c r="I3333" s="45" t="inlineStr"/>
      <c r="J3333" s="45" t="inlineStr">
        <is>
          <t>RNCP37375</t>
        </is>
      </c>
      <c r="K3333" s="45" t="inlineStr">
        <is>
          <t>Métiers de l’esthétique, de la cosmétique et de la parfumerie</t>
        </is>
      </c>
      <c r="L3333" s="45" t="inlineStr">
        <is>
          <t>31/08/2028</t>
        </is>
      </c>
      <c r="M3333" s="45" t="inlineStr">
        <is>
          <t>42032 (Esthétique soin corporel) ; 32154 (Encadrement management) ; 22885 (Cosmétique) ; 34059 (Gestion marque) ; 44517 (Conception action formation)</t>
        </is>
      </c>
      <c r="N3333" s="50" t="inlineStr">
        <is>
          <t>NON</t>
        </is>
      </c>
      <c r="O3333" s="45" t="inlineStr"/>
    </row>
    <row r="3334" customFormat="1" s="3">
      <c r="A3334" s="45" t="n"/>
      <c r="B3334" s="46" t="inlineStr">
        <is>
          <t>32135</t>
        </is>
      </c>
      <c r="C3334" s="46">
        <f>LEFT(Tableau1[[#This Row],[Formacode]],3)</f>
        <v/>
      </c>
      <c r="D3334" s="47" t="n">
        <v>37655</v>
      </c>
      <c r="E3334" s="48">
        <f>"RNCP"&amp;D3334</f>
        <v/>
      </c>
      <c r="F3334" s="48" t="inlineStr">
        <is>
          <t>Responsable en gestion et développement d’une business unit</t>
        </is>
      </c>
      <c r="G3334" s="49">
        <f>E3334&amp;" - "&amp;F3334</f>
        <v/>
      </c>
      <c r="H3334" s="36" t="inlineStr">
        <is>
          <t>RAS</t>
        </is>
      </c>
      <c r="I3334" s="45" t="inlineStr"/>
      <c r="J3334" s="45" t="inlineStr">
        <is>
          <t>RNCP37655</t>
        </is>
      </c>
      <c r="K3334" s="45" t="inlineStr">
        <is>
          <t>Responsable en gestion et développement d’une business unit</t>
        </is>
      </c>
      <c r="L3334" s="45" t="inlineStr">
        <is>
          <t>31/05/2028</t>
        </is>
      </c>
      <c r="M3334" s="45" t="inlineStr">
        <is>
          <t>32025 (Stratégie entreprise) ; 32154 (Encadrement management) ; 34054 (Gestion commerciale achats)</t>
        </is>
      </c>
      <c r="N3334" s="50" t="inlineStr">
        <is>
          <t>NON</t>
        </is>
      </c>
      <c r="O3334" s="45" t="inlineStr"/>
    </row>
    <row r="3335" customFormat="1" s="3">
      <c r="A3335" s="51" t="n"/>
      <c r="B3335" s="52" t="inlineStr">
        <is>
          <t>32135</t>
        </is>
      </c>
      <c r="C3335" s="52">
        <f>LEFT(Tableau1[[#This Row],[Formacode]],3)</f>
        <v/>
      </c>
      <c r="D3335" s="53" t="n">
        <v>37842</v>
      </c>
      <c r="E3335" s="54">
        <f>"RNCP"&amp;D3335</f>
        <v/>
      </c>
      <c r="F3335" s="54" t="inlineStr">
        <is>
          <t>Chef de projet design d'espace et produit</t>
        </is>
      </c>
      <c r="G3335" s="55">
        <f>E3335&amp;" - "&amp;F3335</f>
        <v/>
      </c>
      <c r="H3335" s="37" t="inlineStr">
        <is>
          <t>À vérifier</t>
        </is>
      </c>
      <c r="I3335" s="51" t="inlineStr">
        <is>
          <t>Successeur déjà publié : RNCP42478 (Designer en aménagement intérieur et scénographie) — préparer la bascule de l'offre CPF | Échéance le 19/07/2026 (dans 1 j)</t>
        </is>
      </c>
      <c r="J3335" s="51" t="inlineStr">
        <is>
          <t>RNCP42478</t>
        </is>
      </c>
      <c r="K3335" s="51" t="inlineStr">
        <is>
          <t>Designer en aménagement intérieur et scénographie</t>
        </is>
      </c>
      <c r="L3335" s="51" t="inlineStr">
        <is>
          <t>19/07/2026</t>
        </is>
      </c>
      <c r="M3335" s="51" t="inlineStr">
        <is>
          <t>45015 (Architecture intérieure) ; 34597 (Marchandisage)</t>
        </is>
      </c>
      <c r="N3335" s="62" t="inlineStr">
        <is>
          <t>NON</t>
        </is>
      </c>
      <c r="O3335" s="51" t="inlineStr"/>
    </row>
    <row r="3336" customFormat="1" s="3">
      <c r="A3336" s="45" t="n"/>
      <c r="B3336" s="46" t="inlineStr">
        <is>
          <t>32135</t>
        </is>
      </c>
      <c r="C3336" s="46">
        <f>LEFT(Tableau1[[#This Row],[Formacode]],3)</f>
        <v/>
      </c>
      <c r="D3336" s="47" t="n">
        <v>38135</v>
      </c>
      <c r="E3336" s="48">
        <f>"RNCP"&amp;D3336</f>
        <v/>
      </c>
      <c r="F3336" s="48" t="inlineStr">
        <is>
          <t>Manager commercial clients grands comptes</t>
        </is>
      </c>
      <c r="G3336" s="49">
        <f>E3336&amp;" - "&amp;F3336</f>
        <v/>
      </c>
      <c r="H3336" s="36" t="inlineStr">
        <is>
          <t>RAS</t>
        </is>
      </c>
      <c r="I3336" s="45" t="inlineStr"/>
      <c r="J3336" s="45" t="inlineStr">
        <is>
          <t>RNCP38135</t>
        </is>
      </c>
      <c r="K3336" s="45" t="inlineStr">
        <is>
          <t>Manager commercial clients grands comptes</t>
        </is>
      </c>
      <c r="L3336" s="45" t="inlineStr">
        <is>
          <t>18/10/2028</t>
        </is>
      </c>
      <c r="M3336" s="45" t="inlineStr">
        <is>
          <t>34572 (Négociation grand compte) ; 32154 (Encadrement management)</t>
        </is>
      </c>
      <c r="N3336" s="50" t="inlineStr">
        <is>
          <t>NON</t>
        </is>
      </c>
      <c r="O3336" s="45" t="inlineStr"/>
    </row>
    <row r="3337" customFormat="1" s="3">
      <c r="A3337" s="45" t="n"/>
      <c r="B3337" s="46" t="inlineStr">
        <is>
          <t>32135</t>
        </is>
      </c>
      <c r="C3337" s="46">
        <f>LEFT(Tableau1[[#This Row],[Formacode]],3)</f>
        <v/>
      </c>
      <c r="D3337" s="47" t="n">
        <v>38362</v>
      </c>
      <c r="E3337" s="48">
        <f>"RNCP"&amp;D3337</f>
        <v/>
      </c>
      <c r="F3337" s="48" t="inlineStr">
        <is>
          <t>BTS - Management commercial opérationnel</t>
        </is>
      </c>
      <c r="G3337" s="49">
        <f>E3337&amp;" - "&amp;F3337</f>
        <v/>
      </c>
      <c r="H3337" s="36" t="inlineStr">
        <is>
          <t>RAS</t>
        </is>
      </c>
      <c r="I3337" s="45" t="inlineStr"/>
      <c r="J3337" s="45" t="inlineStr">
        <is>
          <t>RNCP38362</t>
        </is>
      </c>
      <c r="K3337" s="45" t="inlineStr">
        <is>
          <t>Management commercial opérationnel</t>
        </is>
      </c>
      <c r="L3337" s="45" t="inlineStr">
        <is>
          <t>31/12/2028</t>
        </is>
      </c>
      <c r="M3337" s="45" t="inlineStr">
        <is>
          <t>34054 (Gestion commerciale achats) ; 32154 (Encadrement management)</t>
        </is>
      </c>
      <c r="N3337" s="50" t="inlineStr">
        <is>
          <t>NON</t>
        </is>
      </c>
      <c r="O3337" s="45" t="inlineStr"/>
    </row>
    <row r="3338" customFormat="1" s="3">
      <c r="A3338" s="45" t="n"/>
      <c r="B3338" s="46" t="inlineStr">
        <is>
          <t>32135</t>
        </is>
      </c>
      <c r="C3338" s="46">
        <f>LEFT(Tableau1[[#This Row],[Formacode]],3)</f>
        <v/>
      </c>
      <c r="D3338" s="47" t="n">
        <v>38374</v>
      </c>
      <c r="E3338" s="48">
        <f>"RNCP"&amp;D3338</f>
        <v/>
      </c>
      <c r="F3338" s="48" t="inlineStr">
        <is>
          <t>TP - Conducteur d'équipements agroalimentaires</t>
        </is>
      </c>
      <c r="G3338" s="49">
        <f>E3338&amp;" - "&amp;F3338</f>
        <v/>
      </c>
      <c r="H3338" s="36" t="inlineStr">
        <is>
          <t>RAS</t>
        </is>
      </c>
      <c r="I3338" s="45" t="inlineStr"/>
      <c r="J3338" s="45" t="inlineStr">
        <is>
          <t>RNCP38374</t>
        </is>
      </c>
      <c r="K3338" s="45" t="inlineStr">
        <is>
          <t>Conducteur d'équipements agroalimentaires</t>
        </is>
      </c>
      <c r="L3338" s="45" t="inlineStr">
        <is>
          <t>22/12/2028</t>
        </is>
      </c>
      <c r="M3338" s="45" t="inlineStr">
        <is>
          <t>21546 (Méthode haccp) ; 21547 (Bonnes pratiques hygiène agroalimentaire) ; 21575 (Conditionnement agroalimentaire) ; 32154 (Encadrement management) ; 32062 (Recherche développement)</t>
        </is>
      </c>
      <c r="N3338" s="50" t="inlineStr">
        <is>
          <t>NON</t>
        </is>
      </c>
      <c r="O3338" s="45" t="inlineStr"/>
    </row>
    <row r="3339" customFormat="1" s="3">
      <c r="A3339" s="45" t="n"/>
      <c r="B3339" s="46" t="inlineStr">
        <is>
          <t>32135</t>
        </is>
      </c>
      <c r="C3339" s="46">
        <f>LEFT(Tableau1[[#This Row],[Formacode]],3)</f>
        <v/>
      </c>
      <c r="D3339" s="47" t="n">
        <v>38439</v>
      </c>
      <c r="E3339" s="48">
        <f>"RNCP"&amp;D3339</f>
        <v/>
      </c>
      <c r="F3339" s="48" t="inlineStr">
        <is>
          <t>Responsable d'un centre de profit</t>
        </is>
      </c>
      <c r="G3339" s="49">
        <f>E3339&amp;" - "&amp;F3339</f>
        <v/>
      </c>
      <c r="H3339" s="36" t="inlineStr">
        <is>
          <t>RAS</t>
        </is>
      </c>
      <c r="I3339" s="45" t="inlineStr"/>
      <c r="J3339" s="45" t="inlineStr">
        <is>
          <t>RNCP38439</t>
        </is>
      </c>
      <c r="K3339" s="45" t="inlineStr">
        <is>
          <t>Responsable d'un centre de profit</t>
        </is>
      </c>
      <c r="L3339" s="45" t="inlineStr">
        <is>
          <t>21/12/2028</t>
        </is>
      </c>
      <c r="M3339" s="45" t="inlineStr">
        <is>
          <t>32024 (Gestion centre profit) ; 32154 (Encadrement management)</t>
        </is>
      </c>
      <c r="N3339" s="50" t="inlineStr">
        <is>
          <t>NON</t>
        </is>
      </c>
      <c r="O3339" s="45" t="inlineStr"/>
    </row>
    <row r="3340" customFormat="1" s="3">
      <c r="A3340" s="45" t="n"/>
      <c r="B3340" s="46" t="inlineStr">
        <is>
          <t>32135</t>
        </is>
      </c>
      <c r="C3340" s="46">
        <f>LEFT(Tableau1[[#This Row],[Formacode]],3)</f>
        <v/>
      </c>
      <c r="D3340" s="47" t="n">
        <v>38786</v>
      </c>
      <c r="E3340" s="48">
        <f>"RNCP"&amp;D3340</f>
        <v/>
      </c>
      <c r="F3340" s="48" t="inlineStr">
        <is>
          <t>CQP Responsable d'équipe</t>
        </is>
      </c>
      <c r="G3340" s="49">
        <f>E3340&amp;" - "&amp;F3340</f>
        <v/>
      </c>
      <c r="H3340" s="36" t="inlineStr">
        <is>
          <t>RAS</t>
        </is>
      </c>
      <c r="I3340" s="45" t="inlineStr"/>
      <c r="J3340" s="45" t="inlineStr">
        <is>
          <t>RNCP38786</t>
        </is>
      </c>
      <c r="K3340" s="45" t="inlineStr">
        <is>
          <t>CQP Responsable d'équipe</t>
        </is>
      </c>
      <c r="L3340" s="45" t="inlineStr">
        <is>
          <t>27/03/2028</t>
        </is>
      </c>
      <c r="M3340" s="45" t="inlineStr">
        <is>
          <t>32154 (Encadrement management)</t>
        </is>
      </c>
      <c r="N3340" s="50" t="inlineStr">
        <is>
          <t>NON</t>
        </is>
      </c>
      <c r="O3340" s="45" t="inlineStr"/>
    </row>
    <row r="3341" customFormat="1" s="3">
      <c r="A3341" s="45" t="n"/>
      <c r="B3341" s="46" t="inlineStr">
        <is>
          <t>32135</t>
        </is>
      </c>
      <c r="C3341" s="46">
        <f>LEFT(Tableau1[[#This Row],[Formacode]],3)</f>
        <v/>
      </c>
      <c r="D3341" s="47" t="n">
        <v>39094</v>
      </c>
      <c r="E3341" s="48">
        <f>"RNCP"&amp;D3341</f>
        <v/>
      </c>
      <c r="F3341" s="48" t="inlineStr">
        <is>
          <t>Manager de l’innovation et du développement entrepreneurial (MS)</t>
        </is>
      </c>
      <c r="G3341" s="49">
        <f>E3341&amp;" - "&amp;F3341</f>
        <v/>
      </c>
      <c r="H3341" s="36" t="inlineStr">
        <is>
          <t>RAS</t>
        </is>
      </c>
      <c r="I3341" s="45" t="inlineStr"/>
      <c r="J3341" s="45" t="inlineStr">
        <is>
          <t>RNCP39094</t>
        </is>
      </c>
      <c r="K3341" s="45" t="inlineStr">
        <is>
          <t>Manager de l’innovation et du développement entrepreneurial (MS)</t>
        </is>
      </c>
      <c r="L3341" s="45" t="inlineStr">
        <is>
          <t>31/05/2029</t>
        </is>
      </c>
      <c r="M3341" s="45" t="inlineStr">
        <is>
          <t>32135 (Conduite projet) ; 32070 (Innovation entreprise) ; 32025 (Stratégie entreprise)</t>
        </is>
      </c>
      <c r="N3341" s="50" t="inlineStr">
        <is>
          <t>NON</t>
        </is>
      </c>
      <c r="O3341" s="45" t="inlineStr"/>
    </row>
    <row r="3342" customFormat="1" s="3">
      <c r="A3342" s="45" t="n"/>
      <c r="B3342" s="46" t="inlineStr">
        <is>
          <t>32135</t>
        </is>
      </c>
      <c r="C3342" s="46">
        <f>LEFT(Tableau1[[#This Row],[Formacode]],3)</f>
        <v/>
      </c>
      <c r="D3342" s="47" t="n">
        <v>39136</v>
      </c>
      <c r="E3342" s="48">
        <f>"RNCP"&amp;D3342</f>
        <v/>
      </c>
      <c r="F3342" s="48" t="inlineStr">
        <is>
          <t>Grade_Master - Diplôme des Instituts d’Études Politiques – Sciences Po</t>
        </is>
      </c>
      <c r="G3342" s="49">
        <f>E3342&amp;" - "&amp;F3342</f>
        <v/>
      </c>
      <c r="H3342" s="36" t="inlineStr">
        <is>
          <t>RAS</t>
        </is>
      </c>
      <c r="I3342" s="45" t="inlineStr"/>
      <c r="J3342" s="45" t="inlineStr">
        <is>
          <t>RNCP39136</t>
        </is>
      </c>
      <c r="K3342" s="45" t="inlineStr">
        <is>
          <t>Diplôme des Instituts d’Études Politiques – Sciences Po</t>
        </is>
      </c>
      <c r="L3342" s="45" t="inlineStr">
        <is>
          <t>14/04/2029</t>
        </is>
      </c>
      <c r="M3342" s="45" t="inlineStr">
        <is>
          <t>13154 (Économie) ; 13054 (Science politique) ; 46354 (Information - Communication numérique) ; 32154 (Encadrement management) ; 13254 (Droit)</t>
        </is>
      </c>
      <c r="N3342" s="50" t="inlineStr">
        <is>
          <t>NON</t>
        </is>
      </c>
      <c r="O3342" s="45" t="inlineStr"/>
    </row>
    <row r="3343" customFormat="1" s="3">
      <c r="A3343" s="51" t="n"/>
      <c r="B3343" s="52" t="inlineStr">
        <is>
          <t>32135</t>
        </is>
      </c>
      <c r="C3343" s="52">
        <f>LEFT(Tableau1[[#This Row],[Formacode]],3)</f>
        <v/>
      </c>
      <c r="D3343" s="53" t="n">
        <v>39160</v>
      </c>
      <c r="E3343" s="54">
        <f>"RNCP"&amp;D3343</f>
        <v/>
      </c>
      <c r="F3343" s="54" t="inlineStr">
        <is>
          <t>Diplôme visé grade de master - Programme Grande Ecole</t>
        </is>
      </c>
      <c r="G3343" s="55">
        <f>E3343&amp;" - "&amp;F3343</f>
        <v/>
      </c>
      <c r="H3343" s="37" t="inlineStr">
        <is>
          <t>À vérifier</t>
        </is>
      </c>
      <c r="I3343" s="51" t="inlineStr">
        <is>
          <t>Échéance le 31/08/2026 (dans 44 j)</t>
        </is>
      </c>
      <c r="J3343" s="51" t="inlineStr">
        <is>
          <t>RNCP39160</t>
        </is>
      </c>
      <c r="K3343" s="51" t="inlineStr">
        <is>
          <t>Programme Grande Ecole</t>
        </is>
      </c>
      <c r="L3343" s="51" t="inlineStr">
        <is>
          <t>31/08/2026</t>
        </is>
      </c>
      <c r="M3343" s="51" t="inlineStr">
        <is>
          <t>32025 (Stratégie entreprise) ; 32008 (Responsabilité sociétale entreprise) ; 32047 (Création entreprise) ; 32654 (Gestion financière comptabilité) ; 32154 (Encadrement management)</t>
        </is>
      </c>
      <c r="N3343" s="62" t="inlineStr">
        <is>
          <t>NON</t>
        </is>
      </c>
      <c r="O3343" s="51" t="inlineStr"/>
    </row>
    <row r="3344" customFormat="1" s="3">
      <c r="A3344" s="45" t="n"/>
      <c r="B3344" s="46" t="inlineStr">
        <is>
          <t>32135</t>
        </is>
      </c>
      <c r="C3344" s="46">
        <f>LEFT(Tableau1[[#This Row],[Formacode]],3)</f>
        <v/>
      </c>
      <c r="D3344" s="47" t="n">
        <v>39354</v>
      </c>
      <c r="E3344" s="48">
        <f>"RNCP"&amp;D3344</f>
        <v/>
      </c>
      <c r="F3344" s="48" t="inlineStr">
        <is>
          <t>Manager du développement d'entreprise et commercial</t>
        </is>
      </c>
      <c r="G3344" s="49">
        <f>E3344&amp;" - "&amp;F3344</f>
        <v/>
      </c>
      <c r="H3344" s="36" t="inlineStr">
        <is>
          <t>RAS</t>
        </is>
      </c>
      <c r="I3344" s="45" t="inlineStr"/>
      <c r="J3344" s="45" t="inlineStr">
        <is>
          <t>RNCP39354</t>
        </is>
      </c>
      <c r="K3344" s="45" t="inlineStr">
        <is>
          <t>Manager du développement d'entreprise et commercial</t>
        </is>
      </c>
      <c r="L3344" s="45" t="inlineStr">
        <is>
          <t>19/07/2027</t>
        </is>
      </c>
      <c r="M3344" s="45" t="inlineStr">
        <is>
          <t>34085 (Stratégie commerciale) ; 32025 (Stratégie entreprise) ; 32024 (Gestion centre profit) ; 32154 (Encadrement management)</t>
        </is>
      </c>
      <c r="N3344" s="50" t="inlineStr">
        <is>
          <t>NON</t>
        </is>
      </c>
      <c r="O3344" s="45" t="inlineStr"/>
    </row>
    <row r="3345" customFormat="1" s="3">
      <c r="A3345" s="45" t="n"/>
      <c r="B3345" s="46" t="inlineStr">
        <is>
          <t>32135</t>
        </is>
      </c>
      <c r="C3345" s="46">
        <f>LEFT(Tableau1[[#This Row],[Formacode]],3)</f>
        <v/>
      </c>
      <c r="D3345" s="47" t="n">
        <v>39366</v>
      </c>
      <c r="E3345" s="48">
        <f>"RNCP"&amp;D3345</f>
        <v/>
      </c>
      <c r="F3345" s="48" t="inlineStr">
        <is>
          <t>CQP Manager commercial cuisines et/ou aménagement intérieur</t>
        </is>
      </c>
      <c r="G3345" s="49">
        <f>E3345&amp;" - "&amp;F3345</f>
        <v/>
      </c>
      <c r="H3345" s="36" t="inlineStr">
        <is>
          <t>RAS</t>
        </is>
      </c>
      <c r="I3345" s="45" t="inlineStr"/>
      <c r="J3345" s="45" t="inlineStr">
        <is>
          <t>RNCP39366</t>
        </is>
      </c>
      <c r="K3345" s="45" t="inlineStr">
        <is>
          <t>CQP Manager commercial cuisines et/ou aménagement intérieur</t>
        </is>
      </c>
      <c r="L3345" s="45" t="inlineStr">
        <is>
          <t>19/07/2029</t>
        </is>
      </c>
      <c r="M3345" s="45" t="inlineStr">
        <is>
          <t>34561 (Force vente) ; 34536 (Vente équipement maison) ; 32154 (Encadrement management)</t>
        </is>
      </c>
      <c r="N3345" s="50" t="inlineStr">
        <is>
          <t>NON</t>
        </is>
      </c>
      <c r="O3345" s="45" t="inlineStr"/>
    </row>
    <row r="3346" customFormat="1" s="3">
      <c r="A3346" s="45" t="n"/>
      <c r="B3346" s="46" t="inlineStr">
        <is>
          <t>32135</t>
        </is>
      </c>
      <c r="C3346" s="46">
        <f>LEFT(Tableau1[[#This Row],[Formacode]],3)</f>
        <v/>
      </c>
      <c r="D3346" s="47" t="n">
        <v>39386</v>
      </c>
      <c r="E3346" s="48">
        <f>"RNCP"&amp;D3346</f>
        <v/>
      </c>
      <c r="F3346" s="48" t="inlineStr">
        <is>
          <t>Manager de projets nationaux et internationaux des organisations</t>
        </is>
      </c>
      <c r="G3346" s="49">
        <f>E3346&amp;" - "&amp;F3346</f>
        <v/>
      </c>
      <c r="H3346" s="36" t="inlineStr">
        <is>
          <t>RAS</t>
        </is>
      </c>
      <c r="I3346" s="45" t="inlineStr"/>
      <c r="J3346" s="45" t="inlineStr">
        <is>
          <t>RNCP39386</t>
        </is>
      </c>
      <c r="K3346" s="45" t="inlineStr">
        <is>
          <t>Manager de projets nationaux et internationaux des organisations</t>
        </is>
      </c>
      <c r="L3346" s="45" t="inlineStr">
        <is>
          <t>19/07/2028</t>
        </is>
      </c>
      <c r="M3346" s="45" t="inlineStr">
        <is>
          <t>32136 (Conduite projet international) ; 13175 (Économie sociale) ; 13017 (Action humanitaire)</t>
        </is>
      </c>
      <c r="N3346" s="50" t="inlineStr">
        <is>
          <t>NON</t>
        </is>
      </c>
      <c r="O3346" s="45" t="inlineStr"/>
    </row>
    <row r="3347" customFormat="1" s="3">
      <c r="A3347" s="45" t="n"/>
      <c r="B3347" s="46" t="inlineStr">
        <is>
          <t>32135</t>
        </is>
      </c>
      <c r="C3347" s="46">
        <f>LEFT(Tableau1[[#This Row],[Formacode]],3)</f>
        <v/>
      </c>
      <c r="D3347" s="47" t="n">
        <v>39748</v>
      </c>
      <c r="E3347" s="48">
        <f>"RNCP"&amp;D3347</f>
        <v/>
      </c>
      <c r="F3347" s="48" t="inlineStr">
        <is>
          <t>Chargé de projet énergie et bâtiment durables</t>
        </is>
      </c>
      <c r="G3347" s="49">
        <f>E3347&amp;" - "&amp;F3347</f>
        <v/>
      </c>
      <c r="H3347" s="36" t="inlineStr">
        <is>
          <t>RAS</t>
        </is>
      </c>
      <c r="I3347" s="45" t="inlineStr"/>
      <c r="J3347" s="45" t="inlineStr">
        <is>
          <t>RNCP39748</t>
        </is>
      </c>
      <c r="K3347" s="45" t="inlineStr">
        <is>
          <t>Chargé de projet énergie et bâtiment durables</t>
        </is>
      </c>
      <c r="L3347" s="45" t="inlineStr">
        <is>
          <t>31/10/2027</t>
        </is>
      </c>
      <c r="M3347" s="45" t="inlineStr">
        <is>
          <t>32135 (Conduite projet) ; 24170 (Conseil énergie) ; 22411 (Enveloppe bâtiment) ; 22485 (Rénovation bâtiment) ; 24147 (Énergie renouvelable)</t>
        </is>
      </c>
      <c r="N3347" s="50" t="inlineStr">
        <is>
          <t>NON</t>
        </is>
      </c>
      <c r="O3347" s="45" t="inlineStr"/>
    </row>
    <row r="3348" customFormat="1" s="3">
      <c r="A3348" s="51" t="n"/>
      <c r="B3348" s="52" t="inlineStr">
        <is>
          <t>32135</t>
        </is>
      </c>
      <c r="C3348" s="52">
        <f>LEFT(Tableau1[[#This Row],[Formacode]],3)</f>
        <v/>
      </c>
      <c r="D3348" s="53" t="n">
        <v>39763</v>
      </c>
      <c r="E3348" s="54">
        <f>"RNCP"&amp;D3348</f>
        <v/>
      </c>
      <c r="F3348" s="54" t="inlineStr">
        <is>
          <t>Manager de la performance financière</t>
        </is>
      </c>
      <c r="G3348" s="55">
        <f>E3348&amp;" - "&amp;F3348</f>
        <v/>
      </c>
      <c r="H3348" s="37" t="inlineStr">
        <is>
          <t>À vérifier</t>
        </is>
      </c>
      <c r="I3348" s="51" t="inlineStr">
        <is>
          <t>Échéance le 31/10/2026 (dans 105 j)</t>
        </is>
      </c>
      <c r="J3348" s="51" t="inlineStr">
        <is>
          <t>RNCP39763</t>
        </is>
      </c>
      <c r="K3348" s="51" t="inlineStr">
        <is>
          <t>Manager de la performance financière</t>
        </is>
      </c>
      <c r="L3348" s="51" t="inlineStr">
        <is>
          <t>31/10/2026</t>
        </is>
      </c>
      <c r="M3348" s="51" t="inlineStr">
        <is>
          <t>32154 (Encadrement management) ; 32079 (Gestion performance) ; 32652 (Contrôle gestion) ; 32098 (Audit entreprise)</t>
        </is>
      </c>
      <c r="N3348" s="62" t="inlineStr">
        <is>
          <t>NON</t>
        </is>
      </c>
      <c r="O3348" s="51" t="inlineStr"/>
    </row>
    <row r="3349" customFormat="1" s="3">
      <c r="A3349" s="45" t="n"/>
      <c r="B3349" s="46" t="inlineStr">
        <is>
          <t>32135</t>
        </is>
      </c>
      <c r="C3349" s="46">
        <f>LEFT(Tableau1[[#This Row],[Formacode]],3)</f>
        <v/>
      </c>
      <c r="D3349" s="47" t="n">
        <v>39787</v>
      </c>
      <c r="E3349" s="48">
        <f>"RNCP"&amp;D3349</f>
        <v/>
      </c>
      <c r="F3349" s="48" t="inlineStr">
        <is>
          <t>Directeur de la performance commerciale</t>
        </is>
      </c>
      <c r="G3349" s="49">
        <f>E3349&amp;" - "&amp;F3349</f>
        <v/>
      </c>
      <c r="H3349" s="36" t="inlineStr">
        <is>
          <t>RAS</t>
        </is>
      </c>
      <c r="I3349" s="45" t="inlineStr"/>
      <c r="J3349" s="45" t="inlineStr">
        <is>
          <t>RNCP39787</t>
        </is>
      </c>
      <c r="K3349" s="45" t="inlineStr">
        <is>
          <t>Directeur de la performance commerciale</t>
        </is>
      </c>
      <c r="L3349" s="45" t="inlineStr">
        <is>
          <t>31/10/2029</t>
        </is>
      </c>
      <c r="M3349" s="45" t="inlineStr">
        <is>
          <t>32079 (Gestion performance) ; 32154 (Encadrement management) ; 34085 (Stratégie commerciale)</t>
        </is>
      </c>
      <c r="N3349" s="50" t="inlineStr">
        <is>
          <t>NON</t>
        </is>
      </c>
      <c r="O3349" s="45" t="inlineStr"/>
    </row>
    <row r="3350" customFormat="1" s="3">
      <c r="A3350" s="45" t="n"/>
      <c r="B3350" s="46" t="inlineStr">
        <is>
          <t>32135</t>
        </is>
      </c>
      <c r="C3350" s="46">
        <f>LEFT(Tableau1[[#This Row],[Formacode]],3)</f>
        <v/>
      </c>
      <c r="D3350" s="47" t="n">
        <v>39853</v>
      </c>
      <c r="E3350" s="48">
        <f>"RNCP"&amp;D3350</f>
        <v/>
      </c>
      <c r="F3350" s="48" t="inlineStr">
        <is>
          <t>Expert en relations et coopérations internationales</t>
        </is>
      </c>
      <c r="G3350" s="49">
        <f>E3350&amp;" - "&amp;F3350</f>
        <v/>
      </c>
      <c r="H3350" s="36" t="inlineStr">
        <is>
          <t>RAS</t>
        </is>
      </c>
      <c r="I3350" s="45" t="inlineStr"/>
      <c r="J3350" s="45" t="inlineStr">
        <is>
          <t>RNCP39853</t>
        </is>
      </c>
      <c r="K3350" s="45" t="inlineStr">
        <is>
          <t>Expert en relations et coopérations internationales</t>
        </is>
      </c>
      <c r="L3350" s="45" t="inlineStr">
        <is>
          <t>28/11/2029</t>
        </is>
      </c>
      <c r="M3350" s="45" t="inlineStr">
        <is>
          <t>13027 (Politique publique) ; 32136 (Conduite projet international) ; 13121 (Gestion publique) ; 42803 (Sécurité publique)</t>
        </is>
      </c>
      <c r="N3350" s="50" t="inlineStr">
        <is>
          <t>NON</t>
        </is>
      </c>
      <c r="O3350" s="45" t="inlineStr"/>
    </row>
    <row r="3351" customFormat="1" s="3">
      <c r="A3351" s="45" t="n"/>
      <c r="B3351" s="46" t="inlineStr">
        <is>
          <t>32135</t>
        </is>
      </c>
      <c r="C3351" s="46">
        <f>LEFT(Tableau1[[#This Row],[Formacode]],3)</f>
        <v/>
      </c>
      <c r="D3351" s="47" t="n">
        <v>39864</v>
      </c>
      <c r="E3351" s="48">
        <f>"RNCP"&amp;D3351</f>
        <v/>
      </c>
      <c r="F3351" s="48" t="inlineStr">
        <is>
          <t>Manager du développement des ressources humaines</t>
        </is>
      </c>
      <c r="G3351" s="49">
        <f>E3351&amp;" - "&amp;F3351</f>
        <v/>
      </c>
      <c r="H3351" s="36" t="inlineStr">
        <is>
          <t>RAS</t>
        </is>
      </c>
      <c r="I3351" s="45" t="inlineStr"/>
      <c r="J3351" s="45" t="inlineStr">
        <is>
          <t>RNCP39864</t>
        </is>
      </c>
      <c r="K3351" s="45" t="inlineStr">
        <is>
          <t>Manager du développement des ressources humaines</t>
        </is>
      </c>
      <c r="L3351" s="45" t="inlineStr">
        <is>
          <t>28/11/2027</t>
        </is>
      </c>
      <c r="M3351" s="45" t="inlineStr">
        <is>
          <t>33054 (Gestion ressources humaines) ; 32154 (Encadrement management)</t>
        </is>
      </c>
      <c r="N3351" s="50" t="inlineStr">
        <is>
          <t>NON</t>
        </is>
      </c>
      <c r="O3351" s="45" t="inlineStr"/>
    </row>
    <row r="3352" customFormat="1" s="3">
      <c r="A3352" s="45" t="n"/>
      <c r="B3352" s="46" t="inlineStr">
        <is>
          <t>32135</t>
        </is>
      </c>
      <c r="C3352" s="46">
        <f>LEFT(Tableau1[[#This Row],[Formacode]],3)</f>
        <v/>
      </c>
      <c r="D3352" s="47" t="n">
        <v>39867</v>
      </c>
      <c r="E3352" s="48">
        <f>"RNCP"&amp;D3352</f>
        <v/>
      </c>
      <c r="F3352" s="48" t="inlineStr">
        <is>
          <t>Expert analyste en relations internationales, intelligence stratégique et diplomatique</t>
        </is>
      </c>
      <c r="G3352" s="49">
        <f>E3352&amp;" - "&amp;F3352</f>
        <v/>
      </c>
      <c r="H3352" s="36" t="inlineStr">
        <is>
          <t>RAS</t>
        </is>
      </c>
      <c r="I3352" s="45" t="inlineStr"/>
      <c r="J3352" s="45" t="inlineStr">
        <is>
          <t>RNCP39867</t>
        </is>
      </c>
      <c r="K3352" s="45" t="inlineStr">
        <is>
          <t>Expert analyste en relations internationales, intelligence stratégique et diplomatique</t>
        </is>
      </c>
      <c r="L3352" s="45" t="inlineStr">
        <is>
          <t>28/11/2029</t>
        </is>
      </c>
      <c r="M3352" s="45" t="inlineStr">
        <is>
          <t>13183 (Économie internationale) ; 13138 (Analyse économique) ; 13036 (Politique internationale) ; 32136 (Conduite projet international) ; 14297 (Criminologie)</t>
        </is>
      </c>
      <c r="N3352" s="50" t="inlineStr">
        <is>
          <t>NON</t>
        </is>
      </c>
      <c r="O3352" s="45" t="inlineStr"/>
    </row>
    <row r="3353" customFormat="1" s="3">
      <c r="A3353" s="45" t="n"/>
      <c r="B3353" s="46" t="inlineStr">
        <is>
          <t>32135</t>
        </is>
      </c>
      <c r="C3353" s="46">
        <f>LEFT(Tableau1[[#This Row],[Formacode]],3)</f>
        <v/>
      </c>
      <c r="D3353" s="47" t="n">
        <v>39879</v>
      </c>
      <c r="E3353" s="48">
        <f>"RNCP"&amp;D3353</f>
        <v/>
      </c>
      <c r="F3353" s="48" t="inlineStr">
        <is>
          <t>Manager des institutions et des affaires publiques</t>
        </is>
      </c>
      <c r="G3353" s="49">
        <f>E3353&amp;" - "&amp;F3353</f>
        <v/>
      </c>
      <c r="H3353" s="36" t="inlineStr">
        <is>
          <t>RAS</t>
        </is>
      </c>
      <c r="I3353" s="45" t="inlineStr"/>
      <c r="J3353" s="45" t="inlineStr">
        <is>
          <t>RNCP39879</t>
        </is>
      </c>
      <c r="K3353" s="45" t="inlineStr">
        <is>
          <t>Manager des institutions et des affaires publiques</t>
        </is>
      </c>
      <c r="L3353" s="45" t="inlineStr">
        <is>
          <t>28/11/2029</t>
        </is>
      </c>
      <c r="M3353" s="45" t="inlineStr">
        <is>
          <t>13121 (Gestion publique) ; 13027 (Politique publique) ; 46355 (Relations publiques) ; 32136 (Conduite projet international)</t>
        </is>
      </c>
      <c r="N3353" s="50" t="inlineStr">
        <is>
          <t>NON</t>
        </is>
      </c>
      <c r="O3353" s="45" t="inlineStr"/>
    </row>
    <row r="3354" customFormat="1" s="3">
      <c r="A3354" s="45" t="n"/>
      <c r="B3354" s="46" t="inlineStr">
        <is>
          <t>32135</t>
        </is>
      </c>
      <c r="C3354" s="46">
        <f>LEFT(Tableau1[[#This Row],[Formacode]],3)</f>
        <v/>
      </c>
      <c r="D3354" s="47" t="n">
        <v>39972</v>
      </c>
      <c r="E3354" s="48">
        <f>"RNCP"&amp;D3354</f>
        <v/>
      </c>
      <c r="F3354" s="48" t="inlineStr">
        <is>
          <t>CQP Responsable d'équipe du secteur alimentaire</t>
        </is>
      </c>
      <c r="G3354" s="49">
        <f>E3354&amp;" - "&amp;F3354</f>
        <v/>
      </c>
      <c r="H3354" s="36" t="inlineStr">
        <is>
          <t>RAS</t>
        </is>
      </c>
      <c r="I3354" s="45" t="inlineStr"/>
      <c r="J3354" s="45" t="inlineStr">
        <is>
          <t>RNCP39972</t>
        </is>
      </c>
      <c r="K3354" s="45" t="inlineStr">
        <is>
          <t>CQP Responsable d'équipe du secteur alimentaire</t>
        </is>
      </c>
      <c r="L3354" s="45" t="inlineStr">
        <is>
          <t>18/12/2029</t>
        </is>
      </c>
      <c r="M3354" s="45" t="inlineStr">
        <is>
          <t>32154 (Encadrement management) ; 21554 (Agroalimentaire)</t>
        </is>
      </c>
      <c r="N3354" s="50" t="inlineStr">
        <is>
          <t>NON</t>
        </is>
      </c>
      <c r="O3354" s="45" t="inlineStr"/>
    </row>
    <row r="3355" customFormat="1" s="3">
      <c r="A3355" s="45" t="n"/>
      <c r="B3355" s="46" t="inlineStr">
        <is>
          <t>32135</t>
        </is>
      </c>
      <c r="C3355" s="46">
        <f>LEFT(Tableau1[[#This Row],[Formacode]],3)</f>
        <v/>
      </c>
      <c r="D3355" s="47" t="n">
        <v>39993</v>
      </c>
      <c r="E3355" s="48">
        <f>"RNCP"&amp;D3355</f>
        <v/>
      </c>
      <c r="F3355" s="48" t="inlineStr">
        <is>
          <t>Manager en projets internationaux</t>
        </is>
      </c>
      <c r="G3355" s="49">
        <f>E3355&amp;" - "&amp;F3355</f>
        <v/>
      </c>
      <c r="H3355" s="36" t="inlineStr">
        <is>
          <t>RAS</t>
        </is>
      </c>
      <c r="I3355" s="45" t="inlineStr"/>
      <c r="J3355" s="45" t="inlineStr">
        <is>
          <t>RNCP39993</t>
        </is>
      </c>
      <c r="K3355" s="45" t="inlineStr">
        <is>
          <t>Manager en projets internationaux</t>
        </is>
      </c>
      <c r="L3355" s="45" t="inlineStr">
        <is>
          <t>18/12/2029</t>
        </is>
      </c>
      <c r="M3355" s="45" t="inlineStr">
        <is>
          <t>32136 (Conduite projet international)</t>
        </is>
      </c>
      <c r="N3355" s="50" t="inlineStr">
        <is>
          <t>NON</t>
        </is>
      </c>
      <c r="O3355" s="45" t="inlineStr"/>
    </row>
    <row r="3356" customFormat="1" s="3">
      <c r="A3356" s="45" t="n"/>
      <c r="B3356" s="46" t="inlineStr">
        <is>
          <t>32135</t>
        </is>
      </c>
      <c r="C3356" s="46">
        <f>LEFT(Tableau1[[#This Row],[Formacode]],3)</f>
        <v/>
      </c>
      <c r="D3356" s="47" t="n">
        <v>39994</v>
      </c>
      <c r="E3356" s="48">
        <f>"RNCP"&amp;D3356</f>
        <v/>
      </c>
      <c r="F3356" s="48" t="inlineStr">
        <is>
          <t>Manager des transformations des organisations</t>
        </is>
      </c>
      <c r="G3356" s="49">
        <f>E3356&amp;" - "&amp;F3356</f>
        <v/>
      </c>
      <c r="H3356" s="36" t="inlineStr">
        <is>
          <t>RAS</t>
        </is>
      </c>
      <c r="I3356" s="45" t="inlineStr"/>
      <c r="J3356" s="45" t="inlineStr">
        <is>
          <t>RNCP39994</t>
        </is>
      </c>
      <c r="K3356" s="45" t="inlineStr">
        <is>
          <t>Manager des transformations des organisations</t>
        </is>
      </c>
      <c r="L3356" s="45" t="inlineStr">
        <is>
          <t>18/12/2027</t>
        </is>
      </c>
      <c r="M3356" s="45" t="inlineStr">
        <is>
          <t>32025 (Stratégie entreprise) ; 32079 (Gestion performance) ; 32154 (Encadrement management)</t>
        </is>
      </c>
      <c r="N3356" s="50" t="inlineStr">
        <is>
          <t>NON</t>
        </is>
      </c>
      <c r="O3356" s="45" t="inlineStr"/>
    </row>
    <row r="3357" customFormat="1" s="3">
      <c r="A3357" s="45" t="n"/>
      <c r="B3357" s="46" t="inlineStr">
        <is>
          <t>32135</t>
        </is>
      </c>
      <c r="C3357" s="46">
        <f>LEFT(Tableau1[[#This Row],[Formacode]],3)</f>
        <v/>
      </c>
      <c r="D3357" s="47" t="n">
        <v>40169</v>
      </c>
      <c r="E3357" s="48">
        <f>"RNCP"&amp;D3357</f>
        <v/>
      </c>
      <c r="F3357" s="48" t="inlineStr">
        <is>
          <t>CQP Responsable de conseillers techniques en élevage</t>
        </is>
      </c>
      <c r="G3357" s="49">
        <f>E3357&amp;" - "&amp;F3357</f>
        <v/>
      </c>
      <c r="H3357" s="36" t="inlineStr">
        <is>
          <t>RAS</t>
        </is>
      </c>
      <c r="I3357" s="45" t="inlineStr"/>
      <c r="J3357" s="45" t="inlineStr">
        <is>
          <t>RNCP40169</t>
        </is>
      </c>
      <c r="K3357" s="45" t="inlineStr">
        <is>
          <t>CQP Responsable de conseillers techniques en élevage</t>
        </is>
      </c>
      <c r="L3357" s="45" t="inlineStr">
        <is>
          <t>31/01/2030</t>
        </is>
      </c>
      <c r="M3357" s="45" t="inlineStr">
        <is>
          <t>21056 (Élevage) ; 32068 (Coordination travail) ; 32154 (Encadrement management)</t>
        </is>
      </c>
      <c r="N3357" s="50" t="inlineStr">
        <is>
          <t>NON</t>
        </is>
      </c>
      <c r="O3357" s="45" t="inlineStr"/>
    </row>
    <row r="3358" customFormat="1" s="3">
      <c r="A3358" s="45" t="n"/>
      <c r="B3358" s="46" t="inlineStr">
        <is>
          <t>32135</t>
        </is>
      </c>
      <c r="C3358" s="46">
        <f>LEFT(Tableau1[[#This Row],[Formacode]],3)</f>
        <v/>
      </c>
      <c r="D3358" s="47" t="n">
        <v>40175</v>
      </c>
      <c r="E3358" s="48">
        <f>"RNCP"&amp;D3358</f>
        <v/>
      </c>
      <c r="F3358" s="48" t="inlineStr">
        <is>
          <t>Analyste en stratégie internationale</t>
        </is>
      </c>
      <c r="G3358" s="49">
        <f>E3358&amp;" - "&amp;F3358</f>
        <v/>
      </c>
      <c r="H3358" s="36" t="inlineStr">
        <is>
          <t>RAS</t>
        </is>
      </c>
      <c r="I3358" s="45" t="inlineStr"/>
      <c r="J3358" s="45" t="inlineStr">
        <is>
          <t>RNCP40175</t>
        </is>
      </c>
      <c r="K3358" s="45" t="inlineStr">
        <is>
          <t>Analyste en stratégie internationale</t>
        </is>
      </c>
      <c r="L3358" s="45" t="inlineStr">
        <is>
          <t>31/01/2030</t>
        </is>
      </c>
      <c r="M3358" s="45" t="inlineStr">
        <is>
          <t>32005 (Stratégie internationale) ; 33036 (Stratégie sociale entreprise) ; 32136 (Conduite projet international)</t>
        </is>
      </c>
      <c r="N3358" s="50" t="inlineStr">
        <is>
          <t>NON</t>
        </is>
      </c>
      <c r="O3358" s="45" t="inlineStr"/>
    </row>
    <row r="3359" customFormat="1" s="3">
      <c r="A3359" s="45" t="n"/>
      <c r="B3359" s="46" t="inlineStr">
        <is>
          <t>32135</t>
        </is>
      </c>
      <c r="C3359" s="46">
        <f>LEFT(Tableau1[[#This Row],[Formacode]],3)</f>
        <v/>
      </c>
      <c r="D3359" s="47" t="n">
        <v>40352</v>
      </c>
      <c r="E3359" s="48">
        <f>"RNCP"&amp;D3359</f>
        <v/>
      </c>
      <c r="F3359" s="48" t="inlineStr">
        <is>
          <t>Manager du développement international</t>
        </is>
      </c>
      <c r="G3359" s="49">
        <f>E3359&amp;" - "&amp;F3359</f>
        <v/>
      </c>
      <c r="H3359" s="36" t="inlineStr">
        <is>
          <t>RAS</t>
        </is>
      </c>
      <c r="I3359" s="45" t="inlineStr"/>
      <c r="J3359" s="45" t="inlineStr">
        <is>
          <t>RNCP40352</t>
        </is>
      </c>
      <c r="K3359" s="45" t="inlineStr">
        <is>
          <t>Manager du développement international</t>
        </is>
      </c>
      <c r="L3359" s="45" t="inlineStr">
        <is>
          <t>28/03/2030</t>
        </is>
      </c>
      <c r="M3359" s="45" t="inlineStr">
        <is>
          <t>32005 (Stratégie internationale) ; 32006 (Gestion entreprise internationale) ; 34254 (Commerce international) ; 32136 (Conduite projet international)</t>
        </is>
      </c>
      <c r="N3359" s="50" t="inlineStr">
        <is>
          <t>NON</t>
        </is>
      </c>
      <c r="O3359" s="45" t="inlineStr"/>
    </row>
    <row r="3360" customFormat="1" s="3">
      <c r="A3360" s="45" t="n"/>
      <c r="B3360" s="46" t="inlineStr">
        <is>
          <t>32135</t>
        </is>
      </c>
      <c r="C3360" s="46">
        <f>LEFT(Tableau1[[#This Row],[Formacode]],3)</f>
        <v/>
      </c>
      <c r="D3360" s="47" t="n">
        <v>40362</v>
      </c>
      <c r="E3360" s="48">
        <f>"RNCP"&amp;D3360</f>
        <v/>
      </c>
      <c r="F3360" s="48" t="inlineStr">
        <is>
          <t>Consultant en management de projets</t>
        </is>
      </c>
      <c r="G3360" s="49">
        <f>E3360&amp;" - "&amp;F3360</f>
        <v/>
      </c>
      <c r="H3360" s="36" t="inlineStr">
        <is>
          <t>RAS</t>
        </is>
      </c>
      <c r="I3360" s="45" t="inlineStr"/>
      <c r="J3360" s="45" t="inlineStr">
        <is>
          <t>RNCP40362</t>
        </is>
      </c>
      <c r="K3360" s="45" t="inlineStr">
        <is>
          <t>Consultant en management de projets</t>
        </is>
      </c>
      <c r="L3360" s="45" t="inlineStr">
        <is>
          <t>28/03/2028</t>
        </is>
      </c>
      <c r="M3360" s="45" t="inlineStr">
        <is>
          <t>32135 (Conduite projet) ; 32145 (Management transversal) ; 32025 (Stratégie entreprise)</t>
        </is>
      </c>
      <c r="N3360" s="50" t="inlineStr">
        <is>
          <t>NON</t>
        </is>
      </c>
      <c r="O3360" s="45" t="inlineStr"/>
    </row>
    <row r="3361" customFormat="1" s="3">
      <c r="A3361" s="45" t="n"/>
      <c r="B3361" s="46" t="inlineStr">
        <is>
          <t>32135</t>
        </is>
      </c>
      <c r="C3361" s="46">
        <f>LEFT(Tableau1[[#This Row],[Formacode]],3)</f>
        <v/>
      </c>
      <c r="D3361" s="47" t="n">
        <v>41000</v>
      </c>
      <c r="E3361" s="48">
        <f>"RNCP"&amp;D3361</f>
        <v/>
      </c>
      <c r="F3361" s="48" t="inlineStr">
        <is>
          <t>BTS - Management opérationnel de la sécurité</t>
        </is>
      </c>
      <c r="G3361" s="49">
        <f>E3361&amp;" - "&amp;F3361</f>
        <v/>
      </c>
      <c r="H3361" s="36" t="inlineStr">
        <is>
          <t>RAS</t>
        </is>
      </c>
      <c r="I3361" s="45" t="inlineStr"/>
      <c r="J3361" s="45" t="inlineStr">
        <is>
          <t>RNCP41000</t>
        </is>
      </c>
      <c r="K3361" s="45" t="inlineStr">
        <is>
          <t>Management opérationnel de la sécurité</t>
        </is>
      </c>
      <c r="L3361" s="45" t="inlineStr">
        <is>
          <t>31/08/2030</t>
        </is>
      </c>
      <c r="M3361" s="45" t="inlineStr">
        <is>
          <t>42854 (Prévention sécurité) ; 32154 (Encadrement management)</t>
        </is>
      </c>
      <c r="N3361" s="50" t="inlineStr">
        <is>
          <t>NON</t>
        </is>
      </c>
      <c r="O3361" s="45" t="inlineStr"/>
    </row>
    <row r="3362" customFormat="1" s="3">
      <c r="A3362" s="45" t="n"/>
      <c r="B3362" s="46" t="inlineStr">
        <is>
          <t>32135</t>
        </is>
      </c>
      <c r="C3362" s="46">
        <f>LEFT(Tableau1[[#This Row],[Formacode]],3)</f>
        <v/>
      </c>
      <c r="D3362" s="47" t="n">
        <v>41102</v>
      </c>
      <c r="E3362" s="48">
        <f>"RNCP"&amp;D3362</f>
        <v/>
      </c>
      <c r="F3362" s="48" t="inlineStr">
        <is>
          <t>Expert en stratégie d'innovation durable par le design (MS)</t>
        </is>
      </c>
      <c r="G3362" s="49">
        <f>E3362&amp;" - "&amp;F3362</f>
        <v/>
      </c>
      <c r="H3362" s="36" t="inlineStr">
        <is>
          <t>RAS</t>
        </is>
      </c>
      <c r="I3362" s="45" t="inlineStr"/>
      <c r="J3362" s="45" t="inlineStr">
        <is>
          <t>RNCP41102</t>
        </is>
      </c>
      <c r="K3362" s="45" t="inlineStr">
        <is>
          <t>Expert en stratégie d'innovation durable par le design (MS)</t>
        </is>
      </c>
      <c r="L3362" s="45" t="inlineStr">
        <is>
          <t>18/07/2030</t>
        </is>
      </c>
      <c r="M3362" s="45" t="inlineStr">
        <is>
          <t>32135 (Conduite projet) ; 32070 (Innovation entreprise) ; 32025 (Stratégie entreprise) ; 12522 (Développement durable)</t>
        </is>
      </c>
      <c r="N3362" s="50" t="inlineStr">
        <is>
          <t>NON</t>
        </is>
      </c>
      <c r="O3362" s="45" t="inlineStr"/>
    </row>
    <row r="3363" customFormat="1" s="3">
      <c r="A3363" s="45" t="n"/>
      <c r="B3363" s="46" t="inlineStr">
        <is>
          <t>32135</t>
        </is>
      </c>
      <c r="C3363" s="46">
        <f>LEFT(Tableau1[[#This Row],[Formacode]],3)</f>
        <v/>
      </c>
      <c r="D3363" s="47" t="n">
        <v>41124</v>
      </c>
      <c r="E3363" s="48">
        <f>"RNCP"&amp;D3363</f>
        <v/>
      </c>
      <c r="F3363" s="48" t="inlineStr">
        <is>
          <t>Coordonnateur de projet de solidarités</t>
        </is>
      </c>
      <c r="G3363" s="49">
        <f>E3363&amp;" - "&amp;F3363</f>
        <v/>
      </c>
      <c r="H3363" s="36" t="inlineStr">
        <is>
          <t>RAS</t>
        </is>
      </c>
      <c r="I3363" s="45" t="inlineStr"/>
      <c r="J3363" s="45" t="inlineStr">
        <is>
          <t>RNCP41124</t>
        </is>
      </c>
      <c r="K3363" s="45" t="inlineStr">
        <is>
          <t>Coordonnateur de projet de solidarités</t>
        </is>
      </c>
      <c r="L3363" s="45" t="inlineStr">
        <is>
          <t>18/07/2030</t>
        </is>
      </c>
      <c r="M3363" s="45" t="inlineStr">
        <is>
          <t>13175 (Économie sociale) ; 12523 (Développement local) ; 13016 (Aide développement) ; 32135 (Conduite projet)</t>
        </is>
      </c>
      <c r="N3363" s="50" t="inlineStr">
        <is>
          <t>NON</t>
        </is>
      </c>
      <c r="O3363" s="45" t="inlineStr"/>
    </row>
    <row r="3364" customFormat="1" s="3">
      <c r="A3364" s="45" t="n"/>
      <c r="B3364" s="46" t="inlineStr">
        <is>
          <t>32135</t>
        </is>
      </c>
      <c r="C3364" s="46">
        <f>LEFT(Tableau1[[#This Row],[Formacode]],3)</f>
        <v/>
      </c>
      <c r="D3364" s="47" t="n">
        <v>41296</v>
      </c>
      <c r="E3364" s="48">
        <f>"RNCP"&amp;D3364</f>
        <v/>
      </c>
      <c r="F3364" s="48" t="inlineStr">
        <is>
          <t>Manager en organisation de solidarité</t>
        </is>
      </c>
      <c r="G3364" s="49">
        <f>E3364&amp;" - "&amp;F3364</f>
        <v/>
      </c>
      <c r="H3364" s="36" t="inlineStr">
        <is>
          <t>RAS</t>
        </is>
      </c>
      <c r="I3364" s="45" t="inlineStr"/>
      <c r="J3364" s="45" t="inlineStr">
        <is>
          <t>RNCP41296</t>
        </is>
      </c>
      <c r="K3364" s="45" t="inlineStr">
        <is>
          <t>Manager en organisation de solidarité</t>
        </is>
      </c>
      <c r="L3364" s="45" t="inlineStr">
        <is>
          <t>24/09/2028</t>
        </is>
      </c>
      <c r="M3364" s="45" t="inlineStr">
        <is>
          <t>32135 (Conduite projet) ; 44056 (Travail social en réseau)</t>
        </is>
      </c>
      <c r="N3364" s="50" t="inlineStr">
        <is>
          <t>NON</t>
        </is>
      </c>
      <c r="O3364" s="45" t="inlineStr"/>
    </row>
    <row r="3365" customFormat="1" s="3">
      <c r="A3365" s="45" t="n"/>
      <c r="B3365" s="46" t="inlineStr">
        <is>
          <t>32135</t>
        </is>
      </c>
      <c r="C3365" s="46">
        <f>LEFT(Tableau1[[#This Row],[Formacode]],3)</f>
        <v/>
      </c>
      <c r="D3365" s="47" t="n">
        <v>41386</v>
      </c>
      <c r="E3365" s="48">
        <f>"RNCP"&amp;D3365</f>
        <v/>
      </c>
      <c r="F3365" s="48" t="inlineStr">
        <is>
          <t>Grade_Master - Créateur industriel</t>
        </is>
      </c>
      <c r="G3365" s="49">
        <f>E3365&amp;" - "&amp;F3365</f>
        <v/>
      </c>
      <c r="H3365" s="36" t="inlineStr">
        <is>
          <t>RAS</t>
        </is>
      </c>
      <c r="I3365" s="45" t="inlineStr"/>
      <c r="J3365" s="45" t="inlineStr">
        <is>
          <t>RNCP41386</t>
        </is>
      </c>
      <c r="K3365" s="45" t="inlineStr">
        <is>
          <t>Créateur industriel</t>
        </is>
      </c>
      <c r="L3365" s="45" t="inlineStr">
        <is>
          <t>28/08/2030</t>
        </is>
      </c>
      <c r="M3365" s="45" t="inlineStr">
        <is>
          <t>45006 (Esthétique industrielle) ; 32135 (Conduite projet) ; 32070 (Innovation entreprise) ; 13027 (Politique publique) ; 13175 (Économie sociale)</t>
        </is>
      </c>
      <c r="N3365" s="50" t="inlineStr">
        <is>
          <t>NON</t>
        </is>
      </c>
      <c r="O3365" s="45" t="inlineStr"/>
    </row>
    <row r="3366" customFormat="1" s="3">
      <c r="A3366" s="45" t="n"/>
      <c r="B3366" s="46" t="inlineStr">
        <is>
          <t>32135</t>
        </is>
      </c>
      <c r="C3366" s="46">
        <f>LEFT(Tableau1[[#This Row],[Formacode]],3)</f>
        <v/>
      </c>
      <c r="D3366" s="47" t="n">
        <v>41728</v>
      </c>
      <c r="E3366" s="48">
        <f>"RNCP"&amp;D3366</f>
        <v/>
      </c>
      <c r="F3366" s="48" t="inlineStr">
        <is>
          <t>Coordinateur de projets à impact social et environnemental</t>
        </is>
      </c>
      <c r="G3366" s="49">
        <f>E3366&amp;" - "&amp;F3366</f>
        <v/>
      </c>
      <c r="H3366" s="36" t="inlineStr">
        <is>
          <t>RAS</t>
        </is>
      </c>
      <c r="I3366" s="45" t="inlineStr"/>
      <c r="J3366" s="45" t="inlineStr">
        <is>
          <t>RNCP41728</t>
        </is>
      </c>
      <c r="K3366" s="45" t="inlineStr">
        <is>
          <t>Coordinateur de projets à impact social et environnemental</t>
        </is>
      </c>
      <c r="L3366" s="45" t="inlineStr">
        <is>
          <t>27/11/2028</t>
        </is>
      </c>
      <c r="M3366" s="45" t="inlineStr">
        <is>
          <t>32135 (Conduite projet) ; 12523 (Développement local) ; 13175 (Économie sociale) ; 12578 (Animation environnement)</t>
        </is>
      </c>
      <c r="N3366" s="50" t="inlineStr">
        <is>
          <t>NON</t>
        </is>
      </c>
      <c r="O3366" s="45" t="inlineStr"/>
    </row>
    <row r="3367" customFormat="1" s="3">
      <c r="A3367" s="45" t="n"/>
      <c r="B3367" s="46" t="inlineStr">
        <is>
          <t>32135</t>
        </is>
      </c>
      <c r="C3367" s="46">
        <f>LEFT(Tableau1[[#This Row],[Formacode]],3)</f>
        <v/>
      </c>
      <c r="D3367" s="47" t="n">
        <v>41809</v>
      </c>
      <c r="E3367" s="48">
        <f>"RNCP"&amp;D3367</f>
        <v/>
      </c>
      <c r="F3367" s="48" t="inlineStr">
        <is>
          <t>Manager de la stratégie marketing digital</t>
        </is>
      </c>
      <c r="G3367" s="49">
        <f>E3367&amp;" - "&amp;F3367</f>
        <v/>
      </c>
      <c r="H3367" s="36" t="inlineStr">
        <is>
          <t>RAS</t>
        </is>
      </c>
      <c r="I3367" s="45" t="inlineStr"/>
      <c r="J3367" s="45" t="inlineStr">
        <is>
          <t>RNCP41809</t>
        </is>
      </c>
      <c r="K3367" s="45" t="inlineStr">
        <is>
          <t>Manager de la stratégie marketing digital</t>
        </is>
      </c>
      <c r="L3367" s="45" t="inlineStr">
        <is>
          <t>18/12/2028</t>
        </is>
      </c>
      <c r="M3367" s="45" t="inlineStr">
        <is>
          <t>46301 (Communication entreprise) ; 15004 (Communication professionnelle) ; 32154 (Encadrement management) ; 34052 (Marketing)</t>
        </is>
      </c>
      <c r="N3367" s="50" t="inlineStr">
        <is>
          <t>NON</t>
        </is>
      </c>
      <c r="O3367" s="45" t="inlineStr"/>
    </row>
    <row r="3368" customFormat="1" s="3">
      <c r="A3368" s="63" t="n"/>
      <c r="B3368" s="64" t="inlineStr">
        <is>
          <t>32140</t>
        </is>
      </c>
      <c r="C3368" s="64">
        <f>LEFT(Tableau1[[#This Row],[Formacode]],3)</f>
        <v/>
      </c>
      <c r="D3368" s="65" t="n">
        <v>35233</v>
      </c>
      <c r="E3368" s="66">
        <f>"RNCP"&amp;D3368</f>
        <v/>
      </c>
      <c r="F3368" s="66" t="inlineStr">
        <is>
          <t>TP - Assistant manager d’unité marchande</t>
        </is>
      </c>
      <c r="G3368" s="67">
        <f>E3368&amp;" - "&amp;F3368</f>
        <v/>
      </c>
      <c r="H3368" s="38" t="inlineStr">
        <is>
          <t>Expiré / remplacé</t>
        </is>
      </c>
      <c r="I3368" s="63" t="inlineStr">
        <is>
          <t>Fiche inactive — remplacée par RNCP41852 (Assistant manager d’unité marchande)</t>
        </is>
      </c>
      <c r="J3368" s="63" t="inlineStr">
        <is>
          <t>RNCP41852</t>
        </is>
      </c>
      <c r="K3368" s="63" t="inlineStr">
        <is>
          <t>Assistant manager d’unité marchande</t>
        </is>
      </c>
      <c r="L3368" s="63" t="inlineStr">
        <is>
          <t>16/02/2026</t>
        </is>
      </c>
      <c r="M3368" s="63" t="inlineStr">
        <is>
          <t>34566 (Vente distribution) ; 32154 (Encadrement management)</t>
        </is>
      </c>
      <c r="N3368" s="68" t="inlineStr">
        <is>
          <t>NON</t>
        </is>
      </c>
      <c r="O3368" s="63" t="inlineStr"/>
    </row>
    <row r="3369" customFormat="1" s="3">
      <c r="A3369" s="45" t="n"/>
      <c r="B3369" s="46" t="inlineStr">
        <is>
          <t>32140</t>
        </is>
      </c>
      <c r="C3369" s="46">
        <f>LEFT(Tableau1[[#This Row],[Formacode]],3)</f>
        <v/>
      </c>
      <c r="D3369" s="47" t="n">
        <v>36461</v>
      </c>
      <c r="E3369" s="48">
        <f>"RNCP"&amp;D3369</f>
        <v/>
      </c>
      <c r="F3369" s="48" t="inlineStr">
        <is>
          <t>Directeur d'unité opérationnelle</t>
        </is>
      </c>
      <c r="G3369" s="49">
        <f>E3369&amp;" - "&amp;F3369</f>
        <v/>
      </c>
      <c r="H3369" s="36" t="inlineStr">
        <is>
          <t>RAS</t>
        </is>
      </c>
      <c r="I3369" s="45" t="inlineStr"/>
      <c r="J3369" s="45" t="inlineStr">
        <is>
          <t>RNCP36461</t>
        </is>
      </c>
      <c r="K3369" s="45" t="inlineStr">
        <is>
          <t>Directeur d'unité opérationnelle</t>
        </is>
      </c>
      <c r="L3369" s="45" t="inlineStr">
        <is>
          <t>02/06/2027</t>
        </is>
      </c>
      <c r="M3369" s="45" t="inlineStr">
        <is>
          <t>32054 (Gestion des organisations) ; 32154 (Encadrement management)</t>
        </is>
      </c>
      <c r="N3369" s="50" t="inlineStr">
        <is>
          <t>NON</t>
        </is>
      </c>
      <c r="O3369" s="45" t="inlineStr"/>
    </row>
    <row r="3370" customFormat="1" s="3">
      <c r="A3370" s="45" t="n"/>
      <c r="B3370" s="46" t="inlineStr">
        <is>
          <t>32140</t>
        </is>
      </c>
      <c r="C3370" s="46">
        <f>LEFT(Tableau1[[#This Row],[Formacode]],3)</f>
        <v/>
      </c>
      <c r="D3370" s="47" t="n">
        <v>36890</v>
      </c>
      <c r="E3370" s="48">
        <f>"RNCP"&amp;D3370</f>
        <v/>
      </c>
      <c r="F3370" s="48" t="inlineStr">
        <is>
          <t>Manager d'unité opérationnelle</t>
        </is>
      </c>
      <c r="G3370" s="49">
        <f>E3370&amp;" - "&amp;F3370</f>
        <v/>
      </c>
      <c r="H3370" s="36" t="inlineStr">
        <is>
          <t>RAS</t>
        </is>
      </c>
      <c r="I3370" s="45" t="inlineStr"/>
      <c r="J3370" s="45" t="inlineStr">
        <is>
          <t>RNCP36890</t>
        </is>
      </c>
      <c r="K3370" s="45" t="inlineStr">
        <is>
          <t>Manager d'unité opérationnelle</t>
        </is>
      </c>
      <c r="L3370" s="45" t="inlineStr">
        <is>
          <t>29/09/2027</t>
        </is>
      </c>
      <c r="M3370" s="45" t="inlineStr">
        <is>
          <t>32079 (Gestion performance) ; 32025 (Stratégie entreprise) ; 32154 (Encadrement management)</t>
        </is>
      </c>
      <c r="N3370" s="50" t="inlineStr">
        <is>
          <t>NON</t>
        </is>
      </c>
      <c r="O3370" s="45" t="inlineStr"/>
    </row>
    <row r="3371" customFormat="1" s="3">
      <c r="A3371" s="45" t="n"/>
      <c r="B3371" s="46" t="inlineStr">
        <is>
          <t>32140</t>
        </is>
      </c>
      <c r="C3371" s="46">
        <f>LEFT(Tableau1[[#This Row],[Formacode]],3)</f>
        <v/>
      </c>
      <c r="D3371" s="47" t="n">
        <v>37270</v>
      </c>
      <c r="E3371" s="48">
        <f>"RNCP"&amp;D3371</f>
        <v/>
      </c>
      <c r="F3371" s="48" t="inlineStr">
        <is>
          <t>Manager de programmes internationaux - humanitaire et développement</t>
        </is>
      </c>
      <c r="G3371" s="49">
        <f>E3371&amp;" - "&amp;F3371</f>
        <v/>
      </c>
      <c r="H3371" s="36" t="inlineStr">
        <is>
          <t>RAS</t>
        </is>
      </c>
      <c r="I3371" s="45" t="inlineStr"/>
      <c r="J3371" s="45" t="inlineStr">
        <is>
          <t>RNCP37270</t>
        </is>
      </c>
      <c r="K3371" s="45" t="inlineStr">
        <is>
          <t>Manager de programmes internationaux - humanitaire et développement</t>
        </is>
      </c>
      <c r="L3371" s="45" t="inlineStr">
        <is>
          <t>25/01/2028</t>
        </is>
      </c>
      <c r="M3371" s="45" t="inlineStr">
        <is>
          <t>13017 (Action humanitaire) ; 32154 (Encadrement management) ; 32005 (Stratégie internationale)</t>
        </is>
      </c>
      <c r="N3371" s="50" t="inlineStr">
        <is>
          <t>NON</t>
        </is>
      </c>
      <c r="O3371" s="45" t="inlineStr"/>
    </row>
    <row r="3372" customFormat="1" s="3">
      <c r="A3372" s="45" t="n"/>
      <c r="B3372" s="46" t="inlineStr">
        <is>
          <t>32140</t>
        </is>
      </c>
      <c r="C3372" s="46">
        <f>LEFT(Tableau1[[#This Row],[Formacode]],3)</f>
        <v/>
      </c>
      <c r="D3372" s="47" t="n">
        <v>37282</v>
      </c>
      <c r="E3372" s="48">
        <f>"RNCP"&amp;D3372</f>
        <v/>
      </c>
      <c r="F3372" s="48" t="inlineStr">
        <is>
          <t>CQP Manager d’équipe en négoce des matériaux de construction</t>
        </is>
      </c>
      <c r="G3372" s="49">
        <f>E3372&amp;" - "&amp;F3372</f>
        <v/>
      </c>
      <c r="H3372" s="36" t="inlineStr">
        <is>
          <t>RAS</t>
        </is>
      </c>
      <c r="I3372" s="45" t="inlineStr"/>
      <c r="J3372" s="45" t="inlineStr">
        <is>
          <t>RNCP37282</t>
        </is>
      </c>
      <c r="K3372" s="45" t="inlineStr">
        <is>
          <t>CQP Manager d’équipe en négoce des matériaux de construction</t>
        </is>
      </c>
      <c r="L3372" s="45" t="inlineStr">
        <is>
          <t>25/01/2028</t>
        </is>
      </c>
      <c r="M3372" s="45" t="inlineStr">
        <is>
          <t>22852 (Matériau construction) ; 31663 (Gestion stock) ; 34085 (Stratégie commerciale) ; 32154 (Encadrement management)</t>
        </is>
      </c>
      <c r="N3372" s="50" t="inlineStr">
        <is>
          <t>NON</t>
        </is>
      </c>
      <c r="O3372" s="45" t="inlineStr"/>
    </row>
    <row r="3373" customFormat="1" s="3">
      <c r="A3373" s="45" t="n"/>
      <c r="B3373" s="46" t="inlineStr">
        <is>
          <t>32140</t>
        </is>
      </c>
      <c r="C3373" s="46">
        <f>LEFT(Tableau1[[#This Row],[Formacode]],3)</f>
        <v/>
      </c>
      <c r="D3373" s="47" t="n">
        <v>37285</v>
      </c>
      <c r="E3373" s="48">
        <f>"RNCP"&amp;D3373</f>
        <v/>
      </c>
      <c r="F3373" s="48" t="inlineStr">
        <is>
          <t>CQP Chef d’agence en négoce des matériaux de construction</t>
        </is>
      </c>
      <c r="G3373" s="49">
        <f>E3373&amp;" - "&amp;F3373</f>
        <v/>
      </c>
      <c r="H3373" s="36" t="inlineStr">
        <is>
          <t>RAS</t>
        </is>
      </c>
      <c r="I3373" s="45" t="inlineStr"/>
      <c r="J3373" s="45" t="inlineStr">
        <is>
          <t>RNCP37285</t>
        </is>
      </c>
      <c r="K3373" s="45" t="inlineStr">
        <is>
          <t>CQP Chef d’agence en négoce des matériaux de construction</t>
        </is>
      </c>
      <c r="L3373" s="45" t="inlineStr">
        <is>
          <t>25/01/2028</t>
        </is>
      </c>
      <c r="M3373" s="45" t="inlineStr">
        <is>
          <t>22852 (Matériau construction) ; 32650 (Gestion budgétaire) ; 31663 (Gestion stock) ; 34085 (Stratégie commerciale) ; 32154 (Encadrement management)</t>
        </is>
      </c>
      <c r="N3373" s="50" t="inlineStr">
        <is>
          <t>NON</t>
        </is>
      </c>
      <c r="O3373" s="45" t="inlineStr"/>
    </row>
    <row r="3374" ht="28.8" customFormat="1" customHeight="1" s="3">
      <c r="A3374" s="45" t="n"/>
      <c r="B3374" s="46" t="inlineStr">
        <is>
          <t>32140</t>
        </is>
      </c>
      <c r="C3374" s="46">
        <f>LEFT(Tableau1[[#This Row],[Formacode]],3)</f>
        <v/>
      </c>
      <c r="D3374" s="47" t="n">
        <v>37375</v>
      </c>
      <c r="E3374" s="48">
        <f>"RNCP"&amp;D3374</f>
        <v/>
      </c>
      <c r="F3374" s="48" t="inlineStr">
        <is>
          <t>Brevet de technicien supérieur - Métiers de l’esthétique, de la cosmétique et de la parfumerie</t>
        </is>
      </c>
      <c r="G3374" s="49">
        <f>E3374&amp;" - "&amp;F3374</f>
        <v/>
      </c>
      <c r="H3374" s="36" t="inlineStr">
        <is>
          <t>RAS</t>
        </is>
      </c>
      <c r="I3374" s="45" t="inlineStr"/>
      <c r="J3374" s="45" t="inlineStr">
        <is>
          <t>RNCP37375</t>
        </is>
      </c>
      <c r="K3374" s="45" t="inlineStr">
        <is>
          <t>Métiers de l’esthétique, de la cosmétique et de la parfumerie</t>
        </is>
      </c>
      <c r="L3374" s="45" t="inlineStr">
        <is>
          <t>31/08/2028</t>
        </is>
      </c>
      <c r="M3374" s="45" t="inlineStr">
        <is>
          <t>42032 (Esthétique soin corporel) ; 32154 (Encadrement management) ; 22885 (Cosmétique) ; 34059 (Gestion marque) ; 44517 (Conception action formation)</t>
        </is>
      </c>
      <c r="N3374" s="50" t="inlineStr">
        <is>
          <t>NON</t>
        </is>
      </c>
      <c r="O3374" s="45" t="inlineStr"/>
    </row>
    <row r="3375" customFormat="1" s="3">
      <c r="A3375" s="45" t="n"/>
      <c r="B3375" s="46" t="inlineStr">
        <is>
          <t>32140</t>
        </is>
      </c>
      <c r="C3375" s="46">
        <f>LEFT(Tableau1[[#This Row],[Formacode]],3)</f>
        <v/>
      </c>
      <c r="D3375" s="47" t="n">
        <v>37655</v>
      </c>
      <c r="E3375" s="48">
        <f>"RNCP"&amp;D3375</f>
        <v/>
      </c>
      <c r="F3375" s="48" t="inlineStr">
        <is>
          <t>Responsable en gestion et développement d’une business unit</t>
        </is>
      </c>
      <c r="G3375" s="49">
        <f>E3375&amp;" - "&amp;F3375</f>
        <v/>
      </c>
      <c r="H3375" s="36" t="inlineStr">
        <is>
          <t>RAS</t>
        </is>
      </c>
      <c r="I3375" s="45" t="inlineStr"/>
      <c r="J3375" s="45" t="inlineStr">
        <is>
          <t>RNCP37655</t>
        </is>
      </c>
      <c r="K3375" s="45" t="inlineStr">
        <is>
          <t>Responsable en gestion et développement d’une business unit</t>
        </is>
      </c>
      <c r="L3375" s="45" t="inlineStr">
        <is>
          <t>31/05/2028</t>
        </is>
      </c>
      <c r="M3375" s="45" t="inlineStr">
        <is>
          <t>32025 (Stratégie entreprise) ; 32154 (Encadrement management) ; 34054 (Gestion commerciale achats)</t>
        </is>
      </c>
      <c r="N3375" s="50" t="inlineStr">
        <is>
          <t>NON</t>
        </is>
      </c>
      <c r="O3375" s="45" t="inlineStr"/>
    </row>
    <row r="3376" customFormat="1" s="3">
      <c r="A3376" s="45" t="n"/>
      <c r="B3376" s="46" t="inlineStr">
        <is>
          <t>32140</t>
        </is>
      </c>
      <c r="C3376" s="46">
        <f>LEFT(Tableau1[[#This Row],[Formacode]],3)</f>
        <v/>
      </c>
      <c r="D3376" s="47" t="n">
        <v>38135</v>
      </c>
      <c r="E3376" s="48">
        <f>"RNCP"&amp;D3376</f>
        <v/>
      </c>
      <c r="F3376" s="48" t="inlineStr">
        <is>
          <t>Manager commercial clients grands comptes</t>
        </is>
      </c>
      <c r="G3376" s="49">
        <f>E3376&amp;" - "&amp;F3376</f>
        <v/>
      </c>
      <c r="H3376" s="36" t="inlineStr">
        <is>
          <t>RAS</t>
        </is>
      </c>
      <c r="I3376" s="45" t="inlineStr"/>
      <c r="J3376" s="45" t="inlineStr">
        <is>
          <t>RNCP38135</t>
        </is>
      </c>
      <c r="K3376" s="45" t="inlineStr">
        <is>
          <t>Manager commercial clients grands comptes</t>
        </is>
      </c>
      <c r="L3376" s="45" t="inlineStr">
        <is>
          <t>18/10/2028</t>
        </is>
      </c>
      <c r="M3376" s="45" t="inlineStr">
        <is>
          <t>34572 (Négociation grand compte) ; 32154 (Encadrement management)</t>
        </is>
      </c>
      <c r="N3376" s="50" t="inlineStr">
        <is>
          <t>NON</t>
        </is>
      </c>
      <c r="O3376" s="45" t="inlineStr"/>
    </row>
    <row r="3377" customFormat="1" s="3">
      <c r="A3377" s="45" t="n"/>
      <c r="B3377" s="46" t="inlineStr">
        <is>
          <t>32140</t>
        </is>
      </c>
      <c r="C3377" s="46">
        <f>LEFT(Tableau1[[#This Row],[Formacode]],3)</f>
        <v/>
      </c>
      <c r="D3377" s="47" t="n">
        <v>38362</v>
      </c>
      <c r="E3377" s="48">
        <f>"RNCP"&amp;D3377</f>
        <v/>
      </c>
      <c r="F3377" s="48" t="inlineStr">
        <is>
          <t>BTS - Management commercial opérationnel</t>
        </is>
      </c>
      <c r="G3377" s="49">
        <f>E3377&amp;" - "&amp;F3377</f>
        <v/>
      </c>
      <c r="H3377" s="36" t="inlineStr">
        <is>
          <t>RAS</t>
        </is>
      </c>
      <c r="I3377" s="45" t="inlineStr"/>
      <c r="J3377" s="45" t="inlineStr">
        <is>
          <t>RNCP38362</t>
        </is>
      </c>
      <c r="K3377" s="45" t="inlineStr">
        <is>
          <t>Management commercial opérationnel</t>
        </is>
      </c>
      <c r="L3377" s="45" t="inlineStr">
        <is>
          <t>31/12/2028</t>
        </is>
      </c>
      <c r="M3377" s="45" t="inlineStr">
        <is>
          <t>34054 (Gestion commerciale achats) ; 32154 (Encadrement management)</t>
        </is>
      </c>
      <c r="N3377" s="50" t="inlineStr">
        <is>
          <t>NON</t>
        </is>
      </c>
      <c r="O3377" s="45" t="inlineStr"/>
    </row>
    <row r="3378" customFormat="1" s="3">
      <c r="A3378" s="45" t="n"/>
      <c r="B3378" s="46" t="inlineStr">
        <is>
          <t>32140</t>
        </is>
      </c>
      <c r="C3378" s="46">
        <f>LEFT(Tableau1[[#This Row],[Formacode]],3)</f>
        <v/>
      </c>
      <c r="D3378" s="47" t="n">
        <v>38374</v>
      </c>
      <c r="E3378" s="48">
        <f>"RNCP"&amp;D3378</f>
        <v/>
      </c>
      <c r="F3378" s="48" t="inlineStr">
        <is>
          <t>TP - Conducteur d'équipements agroalimentaires</t>
        </is>
      </c>
      <c r="G3378" s="49">
        <f>E3378&amp;" - "&amp;F3378</f>
        <v/>
      </c>
      <c r="H3378" s="36" t="inlineStr">
        <is>
          <t>RAS</t>
        </is>
      </c>
      <c r="I3378" s="45" t="inlineStr"/>
      <c r="J3378" s="45" t="inlineStr">
        <is>
          <t>RNCP38374</t>
        </is>
      </c>
      <c r="K3378" s="45" t="inlineStr">
        <is>
          <t>Conducteur d'équipements agroalimentaires</t>
        </is>
      </c>
      <c r="L3378" s="45" t="inlineStr">
        <is>
          <t>22/12/2028</t>
        </is>
      </c>
      <c r="M3378" s="45" t="inlineStr">
        <is>
          <t>21546 (Méthode haccp) ; 21547 (Bonnes pratiques hygiène agroalimentaire) ; 21575 (Conditionnement agroalimentaire) ; 32154 (Encadrement management) ; 32062 (Recherche développement)</t>
        </is>
      </c>
      <c r="N3378" s="50" t="inlineStr">
        <is>
          <t>NON</t>
        </is>
      </c>
      <c r="O3378" s="45" t="inlineStr"/>
    </row>
    <row r="3379" customFormat="1" s="3">
      <c r="A3379" s="45" t="n"/>
      <c r="B3379" s="46" t="inlineStr">
        <is>
          <t>32140</t>
        </is>
      </c>
      <c r="C3379" s="46">
        <f>LEFT(Tableau1[[#This Row],[Formacode]],3)</f>
        <v/>
      </c>
      <c r="D3379" s="47" t="n">
        <v>38439</v>
      </c>
      <c r="E3379" s="48">
        <f>"RNCP"&amp;D3379</f>
        <v/>
      </c>
      <c r="F3379" s="48" t="inlineStr">
        <is>
          <t>Responsable d'un centre de profit</t>
        </is>
      </c>
      <c r="G3379" s="49">
        <f>E3379&amp;" - "&amp;F3379</f>
        <v/>
      </c>
      <c r="H3379" s="36" t="inlineStr">
        <is>
          <t>RAS</t>
        </is>
      </c>
      <c r="I3379" s="45" t="inlineStr"/>
      <c r="J3379" s="45" t="inlineStr">
        <is>
          <t>RNCP38439</t>
        </is>
      </c>
      <c r="K3379" s="45" t="inlineStr">
        <is>
          <t>Responsable d'un centre de profit</t>
        </is>
      </c>
      <c r="L3379" s="45" t="inlineStr">
        <is>
          <t>21/12/2028</t>
        </is>
      </c>
      <c r="M3379" s="45" t="inlineStr">
        <is>
          <t>32024 (Gestion centre profit) ; 32154 (Encadrement management)</t>
        </is>
      </c>
      <c r="N3379" s="50" t="inlineStr">
        <is>
          <t>NON</t>
        </is>
      </c>
      <c r="O3379" s="45" t="inlineStr"/>
    </row>
    <row r="3380" customFormat="1" s="3">
      <c r="A3380" s="45" t="n"/>
      <c r="B3380" s="46" t="inlineStr">
        <is>
          <t>32140</t>
        </is>
      </c>
      <c r="C3380" s="46">
        <f>LEFT(Tableau1[[#This Row],[Formacode]],3)</f>
        <v/>
      </c>
      <c r="D3380" s="47" t="n">
        <v>38786</v>
      </c>
      <c r="E3380" s="48">
        <f>"RNCP"&amp;D3380</f>
        <v/>
      </c>
      <c r="F3380" s="48" t="inlineStr">
        <is>
          <t>CQP Responsable d'équipe</t>
        </is>
      </c>
      <c r="G3380" s="49">
        <f>E3380&amp;" - "&amp;F3380</f>
        <v/>
      </c>
      <c r="H3380" s="36" t="inlineStr">
        <is>
          <t>RAS</t>
        </is>
      </c>
      <c r="I3380" s="45" t="inlineStr"/>
      <c r="J3380" s="45" t="inlineStr">
        <is>
          <t>RNCP38786</t>
        </is>
      </c>
      <c r="K3380" s="45" t="inlineStr">
        <is>
          <t>CQP Responsable d'équipe</t>
        </is>
      </c>
      <c r="L3380" s="45" t="inlineStr">
        <is>
          <t>27/03/2028</t>
        </is>
      </c>
      <c r="M3380" s="45" t="inlineStr">
        <is>
          <t>32154 (Encadrement management)</t>
        </is>
      </c>
      <c r="N3380" s="50" t="inlineStr">
        <is>
          <t>NON</t>
        </is>
      </c>
      <c r="O3380" s="45" t="inlineStr"/>
    </row>
    <row r="3381" customFormat="1" s="3">
      <c r="A3381" s="45" t="n"/>
      <c r="B3381" s="46" t="inlineStr">
        <is>
          <t>32140</t>
        </is>
      </c>
      <c r="C3381" s="46">
        <f>LEFT(Tableau1[[#This Row],[Formacode]],3)</f>
        <v/>
      </c>
      <c r="D3381" s="47" t="n">
        <v>39136</v>
      </c>
      <c r="E3381" s="48">
        <f>"RNCP"&amp;D3381</f>
        <v/>
      </c>
      <c r="F3381" s="48" t="inlineStr">
        <is>
          <t>Grade_Master - Diplôme des Instituts d’Études Politiques – Sciences Po</t>
        </is>
      </c>
      <c r="G3381" s="49">
        <f>E3381&amp;" - "&amp;F3381</f>
        <v/>
      </c>
      <c r="H3381" s="36" t="inlineStr">
        <is>
          <t>RAS</t>
        </is>
      </c>
      <c r="I3381" s="45" t="inlineStr"/>
      <c r="J3381" s="45" t="inlineStr">
        <is>
          <t>RNCP39136</t>
        </is>
      </c>
      <c r="K3381" s="45" t="inlineStr">
        <is>
          <t>Diplôme des Instituts d’Études Politiques – Sciences Po</t>
        </is>
      </c>
      <c r="L3381" s="45" t="inlineStr">
        <is>
          <t>14/04/2029</t>
        </is>
      </c>
      <c r="M3381" s="45" t="inlineStr">
        <is>
          <t>13154 (Économie) ; 13054 (Science politique) ; 46354 (Information - Communication numérique) ; 32154 (Encadrement management) ; 13254 (Droit)</t>
        </is>
      </c>
      <c r="N3381" s="50" t="inlineStr">
        <is>
          <t>NON</t>
        </is>
      </c>
      <c r="O3381" s="45" t="inlineStr"/>
    </row>
    <row r="3382" customFormat="1" s="3">
      <c r="A3382" s="51" t="n"/>
      <c r="B3382" s="52" t="inlineStr">
        <is>
          <t>32140</t>
        </is>
      </c>
      <c r="C3382" s="52">
        <f>LEFT(Tableau1[[#This Row],[Formacode]],3)</f>
        <v/>
      </c>
      <c r="D3382" s="53" t="n">
        <v>39160</v>
      </c>
      <c r="E3382" s="54">
        <f>"RNCP"&amp;D3382</f>
        <v/>
      </c>
      <c r="F3382" s="54" t="inlineStr">
        <is>
          <t>Diplôme visé grade de master - Programme Grande Ecole</t>
        </is>
      </c>
      <c r="G3382" s="55">
        <f>E3382&amp;" - "&amp;F3382</f>
        <v/>
      </c>
      <c r="H3382" s="37" t="inlineStr">
        <is>
          <t>À vérifier</t>
        </is>
      </c>
      <c r="I3382" s="51" t="inlineStr">
        <is>
          <t>Échéance le 31/08/2026 (dans 44 j)</t>
        </is>
      </c>
      <c r="J3382" s="51" t="inlineStr">
        <is>
          <t>RNCP39160</t>
        </is>
      </c>
      <c r="K3382" s="51" t="inlineStr">
        <is>
          <t>Programme Grande Ecole</t>
        </is>
      </c>
      <c r="L3382" s="51" t="inlineStr">
        <is>
          <t>31/08/2026</t>
        </is>
      </c>
      <c r="M3382" s="51" t="inlineStr">
        <is>
          <t>32025 (Stratégie entreprise) ; 32008 (Responsabilité sociétale entreprise) ; 32047 (Création entreprise) ; 32654 (Gestion financière comptabilité) ; 32154 (Encadrement management)</t>
        </is>
      </c>
      <c r="N3382" s="62" t="inlineStr">
        <is>
          <t>NON</t>
        </is>
      </c>
      <c r="O3382" s="51" t="inlineStr"/>
    </row>
    <row r="3383" customFormat="1" s="3">
      <c r="A3383" s="45" t="n"/>
      <c r="B3383" s="46" t="inlineStr">
        <is>
          <t>32140</t>
        </is>
      </c>
      <c r="C3383" s="46">
        <f>LEFT(Tableau1[[#This Row],[Formacode]],3)</f>
        <v/>
      </c>
      <c r="D3383" s="47" t="n">
        <v>39354</v>
      </c>
      <c r="E3383" s="48">
        <f>"RNCP"&amp;D3383</f>
        <v/>
      </c>
      <c r="F3383" s="48" t="inlineStr">
        <is>
          <t>Manager du développement d'entreprise et commercial</t>
        </is>
      </c>
      <c r="G3383" s="49">
        <f>E3383&amp;" - "&amp;F3383</f>
        <v/>
      </c>
      <c r="H3383" s="36" t="inlineStr">
        <is>
          <t>RAS</t>
        </is>
      </c>
      <c r="I3383" s="45" t="inlineStr"/>
      <c r="J3383" s="45" t="inlineStr">
        <is>
          <t>RNCP39354</t>
        </is>
      </c>
      <c r="K3383" s="45" t="inlineStr">
        <is>
          <t>Manager du développement d'entreprise et commercial</t>
        </is>
      </c>
      <c r="L3383" s="45" t="inlineStr">
        <is>
          <t>19/07/2027</t>
        </is>
      </c>
      <c r="M3383" s="45" t="inlineStr">
        <is>
          <t>34085 (Stratégie commerciale) ; 32025 (Stratégie entreprise) ; 32024 (Gestion centre profit) ; 32154 (Encadrement management)</t>
        </is>
      </c>
      <c r="N3383" s="50" t="inlineStr">
        <is>
          <t>NON</t>
        </is>
      </c>
      <c r="O3383" s="45" t="inlineStr"/>
    </row>
    <row r="3384" customFormat="1" s="3">
      <c r="A3384" s="45" t="n"/>
      <c r="B3384" s="46" t="inlineStr">
        <is>
          <t>32140</t>
        </is>
      </c>
      <c r="C3384" s="46">
        <f>LEFT(Tableau1[[#This Row],[Formacode]],3)</f>
        <v/>
      </c>
      <c r="D3384" s="47" t="n">
        <v>39366</v>
      </c>
      <c r="E3384" s="48">
        <f>"RNCP"&amp;D3384</f>
        <v/>
      </c>
      <c r="F3384" s="48" t="inlineStr">
        <is>
          <t>CQP Manager commercial cuisines et/ou aménagement intérieur</t>
        </is>
      </c>
      <c r="G3384" s="49">
        <f>E3384&amp;" - "&amp;F3384</f>
        <v/>
      </c>
      <c r="H3384" s="36" t="inlineStr">
        <is>
          <t>RAS</t>
        </is>
      </c>
      <c r="I3384" s="45" t="inlineStr"/>
      <c r="J3384" s="45" t="inlineStr">
        <is>
          <t>RNCP39366</t>
        </is>
      </c>
      <c r="K3384" s="45" t="inlineStr">
        <is>
          <t>CQP Manager commercial cuisines et/ou aménagement intérieur</t>
        </is>
      </c>
      <c r="L3384" s="45" t="inlineStr">
        <is>
          <t>19/07/2029</t>
        </is>
      </c>
      <c r="M3384" s="45" t="inlineStr">
        <is>
          <t>34561 (Force vente) ; 34536 (Vente équipement maison) ; 32154 (Encadrement management)</t>
        </is>
      </c>
      <c r="N3384" s="50" t="inlineStr">
        <is>
          <t>NON</t>
        </is>
      </c>
      <c r="O3384" s="45" t="inlineStr"/>
    </row>
    <row r="3385" customFormat="1" s="3">
      <c r="A3385" s="51" t="n"/>
      <c r="B3385" s="52" t="inlineStr">
        <is>
          <t>32140</t>
        </is>
      </c>
      <c r="C3385" s="52">
        <f>LEFT(Tableau1[[#This Row],[Formacode]],3)</f>
        <v/>
      </c>
      <c r="D3385" s="53" t="n">
        <v>39763</v>
      </c>
      <c r="E3385" s="54">
        <f>"RNCP"&amp;D3385</f>
        <v/>
      </c>
      <c r="F3385" s="54" t="inlineStr">
        <is>
          <t>Manager de la performance financière</t>
        </is>
      </c>
      <c r="G3385" s="55">
        <f>E3385&amp;" - "&amp;F3385</f>
        <v/>
      </c>
      <c r="H3385" s="37" t="inlineStr">
        <is>
          <t>À vérifier</t>
        </is>
      </c>
      <c r="I3385" s="51" t="inlineStr">
        <is>
          <t>Échéance le 31/10/2026 (dans 105 j)</t>
        </is>
      </c>
      <c r="J3385" s="51" t="inlineStr">
        <is>
          <t>RNCP39763</t>
        </is>
      </c>
      <c r="K3385" s="51" t="inlineStr">
        <is>
          <t>Manager de la performance financière</t>
        </is>
      </c>
      <c r="L3385" s="51" t="inlineStr">
        <is>
          <t>31/10/2026</t>
        </is>
      </c>
      <c r="M3385" s="51" t="inlineStr">
        <is>
          <t>32154 (Encadrement management) ; 32079 (Gestion performance) ; 32652 (Contrôle gestion) ; 32098 (Audit entreprise)</t>
        </is>
      </c>
      <c r="N3385" s="62" t="inlineStr">
        <is>
          <t>NON</t>
        </is>
      </c>
      <c r="O3385" s="51" t="inlineStr"/>
    </row>
    <row r="3386" customFormat="1" s="3">
      <c r="A3386" s="45" t="n"/>
      <c r="B3386" s="46" t="inlineStr">
        <is>
          <t>32140</t>
        </is>
      </c>
      <c r="C3386" s="46">
        <f>LEFT(Tableau1[[#This Row],[Formacode]],3)</f>
        <v/>
      </c>
      <c r="D3386" s="47" t="n">
        <v>39787</v>
      </c>
      <c r="E3386" s="48">
        <f>"RNCP"&amp;D3386</f>
        <v/>
      </c>
      <c r="F3386" s="48" t="inlineStr">
        <is>
          <t>Directeur de la performance commerciale</t>
        </is>
      </c>
      <c r="G3386" s="49">
        <f>E3386&amp;" - "&amp;F3386</f>
        <v/>
      </c>
      <c r="H3386" s="36" t="inlineStr">
        <is>
          <t>RAS</t>
        </is>
      </c>
      <c r="I3386" s="45" t="inlineStr"/>
      <c r="J3386" s="45" t="inlineStr">
        <is>
          <t>RNCP39787</t>
        </is>
      </c>
      <c r="K3386" s="45" t="inlineStr">
        <is>
          <t>Directeur de la performance commerciale</t>
        </is>
      </c>
      <c r="L3386" s="45" t="inlineStr">
        <is>
          <t>31/10/2029</t>
        </is>
      </c>
      <c r="M3386" s="45" t="inlineStr">
        <is>
          <t>32079 (Gestion performance) ; 32154 (Encadrement management) ; 34085 (Stratégie commerciale)</t>
        </is>
      </c>
      <c r="N3386" s="50" t="inlineStr">
        <is>
          <t>NON</t>
        </is>
      </c>
      <c r="O3386" s="45" t="inlineStr"/>
    </row>
    <row r="3387" customFormat="1" s="3">
      <c r="A3387" s="45" t="n"/>
      <c r="B3387" s="46" t="inlineStr">
        <is>
          <t>32140</t>
        </is>
      </c>
      <c r="C3387" s="46">
        <f>LEFT(Tableau1[[#This Row],[Formacode]],3)</f>
        <v/>
      </c>
      <c r="D3387" s="47" t="n">
        <v>39864</v>
      </c>
      <c r="E3387" s="48">
        <f>"RNCP"&amp;D3387</f>
        <v/>
      </c>
      <c r="F3387" s="48" t="inlineStr">
        <is>
          <t>Manager du développement des ressources humaines</t>
        </is>
      </c>
      <c r="G3387" s="49">
        <f>E3387&amp;" - "&amp;F3387</f>
        <v/>
      </c>
      <c r="H3387" s="36" t="inlineStr">
        <is>
          <t>RAS</t>
        </is>
      </c>
      <c r="I3387" s="45" t="inlineStr"/>
      <c r="J3387" s="45" t="inlineStr">
        <is>
          <t>RNCP39864</t>
        </is>
      </c>
      <c r="K3387" s="45" t="inlineStr">
        <is>
          <t>Manager du développement des ressources humaines</t>
        </is>
      </c>
      <c r="L3387" s="45" t="inlineStr">
        <is>
          <t>28/11/2027</t>
        </is>
      </c>
      <c r="M3387" s="45" t="inlineStr">
        <is>
          <t>33054 (Gestion ressources humaines) ; 32154 (Encadrement management)</t>
        </is>
      </c>
      <c r="N3387" s="50" t="inlineStr">
        <is>
          <t>NON</t>
        </is>
      </c>
      <c r="O3387" s="45" t="inlineStr"/>
    </row>
    <row r="3388" customFormat="1" s="3">
      <c r="A3388" s="45" t="n"/>
      <c r="B3388" s="46" t="inlineStr">
        <is>
          <t>32140</t>
        </is>
      </c>
      <c r="C3388" s="46">
        <f>LEFT(Tableau1[[#This Row],[Formacode]],3)</f>
        <v/>
      </c>
      <c r="D3388" s="47" t="n">
        <v>39972</v>
      </c>
      <c r="E3388" s="48">
        <f>"RNCP"&amp;D3388</f>
        <v/>
      </c>
      <c r="F3388" s="48" t="inlineStr">
        <is>
          <t>CQP Responsable d'équipe du secteur alimentaire</t>
        </is>
      </c>
      <c r="G3388" s="49">
        <f>E3388&amp;" - "&amp;F3388</f>
        <v/>
      </c>
      <c r="H3388" s="36" t="inlineStr">
        <is>
          <t>RAS</t>
        </is>
      </c>
      <c r="I3388" s="45" t="inlineStr"/>
      <c r="J3388" s="45" t="inlineStr">
        <is>
          <t>RNCP39972</t>
        </is>
      </c>
      <c r="K3388" s="45" t="inlineStr">
        <is>
          <t>CQP Responsable d'équipe du secteur alimentaire</t>
        </is>
      </c>
      <c r="L3388" s="45" t="inlineStr">
        <is>
          <t>18/12/2029</t>
        </is>
      </c>
      <c r="M3388" s="45" t="inlineStr">
        <is>
          <t>32154 (Encadrement management) ; 21554 (Agroalimentaire)</t>
        </is>
      </c>
      <c r="N3388" s="50" t="inlineStr">
        <is>
          <t>NON</t>
        </is>
      </c>
      <c r="O3388" s="45" t="inlineStr"/>
    </row>
    <row r="3389" customFormat="1" s="3">
      <c r="A3389" s="45" t="n"/>
      <c r="B3389" s="46" t="inlineStr">
        <is>
          <t>32140</t>
        </is>
      </c>
      <c r="C3389" s="46">
        <f>LEFT(Tableau1[[#This Row],[Formacode]],3)</f>
        <v/>
      </c>
      <c r="D3389" s="47" t="n">
        <v>39994</v>
      </c>
      <c r="E3389" s="48">
        <f>"RNCP"&amp;D3389</f>
        <v/>
      </c>
      <c r="F3389" s="48" t="inlineStr">
        <is>
          <t>Manager des transformations des organisations</t>
        </is>
      </c>
      <c r="G3389" s="49">
        <f>E3389&amp;" - "&amp;F3389</f>
        <v/>
      </c>
      <c r="H3389" s="36" t="inlineStr">
        <is>
          <t>RAS</t>
        </is>
      </c>
      <c r="I3389" s="45" t="inlineStr"/>
      <c r="J3389" s="45" t="inlineStr">
        <is>
          <t>RNCP39994</t>
        </is>
      </c>
      <c r="K3389" s="45" t="inlineStr">
        <is>
          <t>Manager des transformations des organisations</t>
        </is>
      </c>
      <c r="L3389" s="45" t="inlineStr">
        <is>
          <t>18/12/2027</t>
        </is>
      </c>
      <c r="M3389" s="45" t="inlineStr">
        <is>
          <t>32025 (Stratégie entreprise) ; 32079 (Gestion performance) ; 32154 (Encadrement management)</t>
        </is>
      </c>
      <c r="N3389" s="50" t="inlineStr">
        <is>
          <t>NON</t>
        </is>
      </c>
      <c r="O3389" s="45" t="inlineStr"/>
    </row>
    <row r="3390" customFormat="1" s="3">
      <c r="A3390" s="45" t="n"/>
      <c r="B3390" s="46" t="inlineStr">
        <is>
          <t>32140</t>
        </is>
      </c>
      <c r="C3390" s="46">
        <f>LEFT(Tableau1[[#This Row],[Formacode]],3)</f>
        <v/>
      </c>
      <c r="D3390" s="47" t="n">
        <v>40169</v>
      </c>
      <c r="E3390" s="48">
        <f>"RNCP"&amp;D3390</f>
        <v/>
      </c>
      <c r="F3390" s="48" t="inlineStr">
        <is>
          <t>CQP Responsable de conseillers techniques en élevage</t>
        </is>
      </c>
      <c r="G3390" s="49">
        <f>E3390&amp;" - "&amp;F3390</f>
        <v/>
      </c>
      <c r="H3390" s="36" t="inlineStr">
        <is>
          <t>RAS</t>
        </is>
      </c>
      <c r="I3390" s="45" t="inlineStr"/>
      <c r="J3390" s="45" t="inlineStr">
        <is>
          <t>RNCP40169</t>
        </is>
      </c>
      <c r="K3390" s="45" t="inlineStr">
        <is>
          <t>CQP Responsable de conseillers techniques en élevage</t>
        </is>
      </c>
      <c r="L3390" s="45" t="inlineStr">
        <is>
          <t>31/01/2030</t>
        </is>
      </c>
      <c r="M3390" s="45" t="inlineStr">
        <is>
          <t>21056 (Élevage) ; 32068 (Coordination travail) ; 32154 (Encadrement management)</t>
        </is>
      </c>
      <c r="N3390" s="50" t="inlineStr">
        <is>
          <t>NON</t>
        </is>
      </c>
      <c r="O3390" s="45" t="inlineStr"/>
    </row>
    <row r="3391" customFormat="1" s="3">
      <c r="A3391" s="45" t="n"/>
      <c r="B3391" s="46" t="inlineStr">
        <is>
          <t>32140</t>
        </is>
      </c>
      <c r="C3391" s="46">
        <f>LEFT(Tableau1[[#This Row],[Formacode]],3)</f>
        <v/>
      </c>
      <c r="D3391" s="47" t="n">
        <v>41000</v>
      </c>
      <c r="E3391" s="48">
        <f>"RNCP"&amp;D3391</f>
        <v/>
      </c>
      <c r="F3391" s="48" t="inlineStr">
        <is>
          <t>BTS - Management opérationnel de la sécurité</t>
        </is>
      </c>
      <c r="G3391" s="49">
        <f>E3391&amp;" - "&amp;F3391</f>
        <v/>
      </c>
      <c r="H3391" s="36" t="inlineStr">
        <is>
          <t>RAS</t>
        </is>
      </c>
      <c r="I3391" s="45" t="inlineStr"/>
      <c r="J3391" s="45" t="inlineStr">
        <is>
          <t>RNCP41000</t>
        </is>
      </c>
      <c r="K3391" s="45" t="inlineStr">
        <is>
          <t>Management opérationnel de la sécurité</t>
        </is>
      </c>
      <c r="L3391" s="45" t="inlineStr">
        <is>
          <t>31/08/2030</t>
        </is>
      </c>
      <c r="M3391" s="45" t="inlineStr">
        <is>
          <t>42854 (Prévention sécurité) ; 32154 (Encadrement management)</t>
        </is>
      </c>
      <c r="N3391" s="50" t="inlineStr">
        <is>
          <t>NON</t>
        </is>
      </c>
      <c r="O3391" s="45" t="inlineStr"/>
    </row>
    <row r="3392" customFormat="1" s="3">
      <c r="A3392" s="45" t="n"/>
      <c r="B3392" s="46" t="inlineStr">
        <is>
          <t>32140</t>
        </is>
      </c>
      <c r="C3392" s="46">
        <f>LEFT(Tableau1[[#This Row],[Formacode]],3)</f>
        <v/>
      </c>
      <c r="D3392" s="47" t="n">
        <v>41809</v>
      </c>
      <c r="E3392" s="48">
        <f>"RNCP"&amp;D3392</f>
        <v/>
      </c>
      <c r="F3392" s="48" t="inlineStr">
        <is>
          <t>Manager de la stratégie marketing digital</t>
        </is>
      </c>
      <c r="G3392" s="49">
        <f>E3392&amp;" - "&amp;F3392</f>
        <v/>
      </c>
      <c r="H3392" s="36" t="inlineStr">
        <is>
          <t>RAS</t>
        </is>
      </c>
      <c r="I3392" s="45" t="inlineStr"/>
      <c r="J3392" s="45" t="inlineStr">
        <is>
          <t>RNCP41809</t>
        </is>
      </c>
      <c r="K3392" s="45" t="inlineStr">
        <is>
          <t>Manager de la stratégie marketing digital</t>
        </is>
      </c>
      <c r="L3392" s="45" t="inlineStr">
        <is>
          <t>18/12/2028</t>
        </is>
      </c>
      <c r="M3392" s="45" t="inlineStr">
        <is>
          <t>46301 (Communication entreprise) ; 15004 (Communication professionnelle) ; 32154 (Encadrement management) ; 34052 (Marketing)</t>
        </is>
      </c>
      <c r="N3392" s="50" t="inlineStr">
        <is>
          <t>NON</t>
        </is>
      </c>
      <c r="O3392" s="45" t="inlineStr"/>
    </row>
    <row r="3393" customFormat="1" s="3">
      <c r="A3393" s="63" t="n"/>
      <c r="B3393" s="64" t="inlineStr">
        <is>
          <t>32142</t>
        </is>
      </c>
      <c r="C3393" s="64">
        <f>LEFT(Tableau1[[#This Row],[Formacode]],3)</f>
        <v/>
      </c>
      <c r="D3393" s="65" t="n">
        <v>35233</v>
      </c>
      <c r="E3393" s="66">
        <f>"RNCP"&amp;D3393</f>
        <v/>
      </c>
      <c r="F3393" s="66" t="inlineStr">
        <is>
          <t>TP - Assistant manager d’unité marchande</t>
        </is>
      </c>
      <c r="G3393" s="67">
        <f>E3393&amp;" - "&amp;F3393</f>
        <v/>
      </c>
      <c r="H3393" s="38" t="inlineStr">
        <is>
          <t>Expiré / remplacé</t>
        </is>
      </c>
      <c r="I3393" s="63" t="inlineStr">
        <is>
          <t>Fiche inactive — remplacée par RNCP41852 (Assistant manager d’unité marchande)</t>
        </is>
      </c>
      <c r="J3393" s="63" t="inlineStr">
        <is>
          <t>RNCP41852</t>
        </is>
      </c>
      <c r="K3393" s="63" t="inlineStr">
        <is>
          <t>Assistant manager d’unité marchande</t>
        </is>
      </c>
      <c r="L3393" s="63" t="inlineStr">
        <is>
          <t>16/02/2026</t>
        </is>
      </c>
      <c r="M3393" s="63" t="inlineStr">
        <is>
          <t>34566 (Vente distribution) ; 32154 (Encadrement management)</t>
        </is>
      </c>
      <c r="N3393" s="68" t="inlineStr">
        <is>
          <t>NON</t>
        </is>
      </c>
      <c r="O3393" s="63" t="inlineStr"/>
    </row>
    <row r="3394" customFormat="1" s="3">
      <c r="A3394" s="45" t="n"/>
      <c r="B3394" s="46" t="inlineStr">
        <is>
          <t>32142</t>
        </is>
      </c>
      <c r="C3394" s="46">
        <f>LEFT(Tableau1[[#This Row],[Formacode]],3)</f>
        <v/>
      </c>
      <c r="D3394" s="47" t="n">
        <v>36461</v>
      </c>
      <c r="E3394" s="48">
        <f>"RNCP"&amp;D3394</f>
        <v/>
      </c>
      <c r="F3394" s="48" t="inlineStr">
        <is>
          <t>Directeur d'unité opérationnelle</t>
        </is>
      </c>
      <c r="G3394" s="49">
        <f>E3394&amp;" - "&amp;F3394</f>
        <v/>
      </c>
      <c r="H3394" s="36" t="inlineStr">
        <is>
          <t>RAS</t>
        </is>
      </c>
      <c r="I3394" s="45" t="inlineStr"/>
      <c r="J3394" s="45" t="inlineStr">
        <is>
          <t>RNCP36461</t>
        </is>
      </c>
      <c r="K3394" s="45" t="inlineStr">
        <is>
          <t>Directeur d'unité opérationnelle</t>
        </is>
      </c>
      <c r="L3394" s="45" t="inlineStr">
        <is>
          <t>02/06/2027</t>
        </is>
      </c>
      <c r="M3394" s="45" t="inlineStr">
        <is>
          <t>32054 (Gestion des organisations) ; 32154 (Encadrement management)</t>
        </is>
      </c>
      <c r="N3394" s="50" t="inlineStr">
        <is>
          <t>NON</t>
        </is>
      </c>
      <c r="O3394" s="45" t="inlineStr"/>
    </row>
    <row r="3395" customFormat="1" s="3">
      <c r="A3395" s="45" t="n"/>
      <c r="B3395" s="46" t="inlineStr">
        <is>
          <t>32142</t>
        </is>
      </c>
      <c r="C3395" s="46">
        <f>LEFT(Tableau1[[#This Row],[Formacode]],3)</f>
        <v/>
      </c>
      <c r="D3395" s="47" t="n">
        <v>36890</v>
      </c>
      <c r="E3395" s="48">
        <f>"RNCP"&amp;D3395</f>
        <v/>
      </c>
      <c r="F3395" s="48" t="inlineStr">
        <is>
          <t>Manager d'unité opérationnelle</t>
        </is>
      </c>
      <c r="G3395" s="49">
        <f>E3395&amp;" - "&amp;F3395</f>
        <v/>
      </c>
      <c r="H3395" s="36" t="inlineStr">
        <is>
          <t>RAS</t>
        </is>
      </c>
      <c r="I3395" s="45" t="inlineStr"/>
      <c r="J3395" s="45" t="inlineStr">
        <is>
          <t>RNCP36890</t>
        </is>
      </c>
      <c r="K3395" s="45" t="inlineStr">
        <is>
          <t>Manager d'unité opérationnelle</t>
        </is>
      </c>
      <c r="L3395" s="45" t="inlineStr">
        <is>
          <t>29/09/2027</t>
        </is>
      </c>
      <c r="M3395" s="45" t="inlineStr">
        <is>
          <t>32079 (Gestion performance) ; 32025 (Stratégie entreprise) ; 32154 (Encadrement management)</t>
        </is>
      </c>
      <c r="N3395" s="50" t="inlineStr">
        <is>
          <t>NON</t>
        </is>
      </c>
      <c r="O3395" s="45" t="inlineStr"/>
    </row>
    <row r="3396" customFormat="1" s="3">
      <c r="A3396" s="45" t="n"/>
      <c r="B3396" s="46" t="inlineStr">
        <is>
          <t>32142</t>
        </is>
      </c>
      <c r="C3396" s="46">
        <f>LEFT(Tableau1[[#This Row],[Formacode]],3)</f>
        <v/>
      </c>
      <c r="D3396" s="47" t="n">
        <v>37270</v>
      </c>
      <c r="E3396" s="48">
        <f>"RNCP"&amp;D3396</f>
        <v/>
      </c>
      <c r="F3396" s="48" t="inlineStr">
        <is>
          <t>Manager de programmes internationaux - humanitaire et développement</t>
        </is>
      </c>
      <c r="G3396" s="49">
        <f>E3396&amp;" - "&amp;F3396</f>
        <v/>
      </c>
      <c r="H3396" s="36" t="inlineStr">
        <is>
          <t>RAS</t>
        </is>
      </c>
      <c r="I3396" s="45" t="inlineStr"/>
      <c r="J3396" s="45" t="inlineStr">
        <is>
          <t>RNCP37270</t>
        </is>
      </c>
      <c r="K3396" s="45" t="inlineStr">
        <is>
          <t>Manager de programmes internationaux - humanitaire et développement</t>
        </is>
      </c>
      <c r="L3396" s="45" t="inlineStr">
        <is>
          <t>25/01/2028</t>
        </is>
      </c>
      <c r="M3396" s="45" t="inlineStr">
        <is>
          <t>13017 (Action humanitaire) ; 32154 (Encadrement management) ; 32005 (Stratégie internationale)</t>
        </is>
      </c>
      <c r="N3396" s="50" t="inlineStr">
        <is>
          <t>NON</t>
        </is>
      </c>
      <c r="O3396" s="45" t="inlineStr"/>
    </row>
    <row r="3397" customFormat="1" s="3">
      <c r="A3397" s="45" t="n"/>
      <c r="B3397" s="46" t="inlineStr">
        <is>
          <t>32142</t>
        </is>
      </c>
      <c r="C3397" s="46">
        <f>LEFT(Tableau1[[#This Row],[Formacode]],3)</f>
        <v/>
      </c>
      <c r="D3397" s="47" t="n">
        <v>37282</v>
      </c>
      <c r="E3397" s="48">
        <f>"RNCP"&amp;D3397</f>
        <v/>
      </c>
      <c r="F3397" s="48" t="inlineStr">
        <is>
          <t>CQP Manager d’équipe en négoce des matériaux de construction</t>
        </is>
      </c>
      <c r="G3397" s="49">
        <f>E3397&amp;" - "&amp;F3397</f>
        <v/>
      </c>
      <c r="H3397" s="36" t="inlineStr">
        <is>
          <t>RAS</t>
        </is>
      </c>
      <c r="I3397" s="45" t="inlineStr"/>
      <c r="J3397" s="45" t="inlineStr">
        <is>
          <t>RNCP37282</t>
        </is>
      </c>
      <c r="K3397" s="45" t="inlineStr">
        <is>
          <t>CQP Manager d’équipe en négoce des matériaux de construction</t>
        </is>
      </c>
      <c r="L3397" s="45" t="inlineStr">
        <is>
          <t>25/01/2028</t>
        </is>
      </c>
      <c r="M3397" s="45" t="inlineStr">
        <is>
          <t>22852 (Matériau construction) ; 31663 (Gestion stock) ; 34085 (Stratégie commerciale) ; 32154 (Encadrement management)</t>
        </is>
      </c>
      <c r="N3397" s="50" t="inlineStr">
        <is>
          <t>NON</t>
        </is>
      </c>
      <c r="O3397" s="45" t="inlineStr"/>
    </row>
    <row r="3398" customFormat="1" s="3">
      <c r="A3398" s="45" t="n"/>
      <c r="B3398" s="46" t="inlineStr">
        <is>
          <t>32142</t>
        </is>
      </c>
      <c r="C3398" s="46">
        <f>LEFT(Tableau1[[#This Row],[Formacode]],3)</f>
        <v/>
      </c>
      <c r="D3398" s="47" t="n">
        <v>37285</v>
      </c>
      <c r="E3398" s="48">
        <f>"RNCP"&amp;D3398</f>
        <v/>
      </c>
      <c r="F3398" s="48" t="inlineStr">
        <is>
          <t>CQP Chef d’agence en négoce des matériaux de construction</t>
        </is>
      </c>
      <c r="G3398" s="49">
        <f>E3398&amp;" - "&amp;F3398</f>
        <v/>
      </c>
      <c r="H3398" s="36" t="inlineStr">
        <is>
          <t>RAS</t>
        </is>
      </c>
      <c r="I3398" s="45" t="inlineStr"/>
      <c r="J3398" s="45" t="inlineStr">
        <is>
          <t>RNCP37285</t>
        </is>
      </c>
      <c r="K3398" s="45" t="inlineStr">
        <is>
          <t>CQP Chef d’agence en négoce des matériaux de construction</t>
        </is>
      </c>
      <c r="L3398" s="45" t="inlineStr">
        <is>
          <t>25/01/2028</t>
        </is>
      </c>
      <c r="M3398" s="45" t="inlineStr">
        <is>
          <t>22852 (Matériau construction) ; 32650 (Gestion budgétaire) ; 31663 (Gestion stock) ; 34085 (Stratégie commerciale) ; 32154 (Encadrement management)</t>
        </is>
      </c>
      <c r="N3398" s="50" t="inlineStr">
        <is>
          <t>NON</t>
        </is>
      </c>
      <c r="O3398" s="45" t="inlineStr"/>
    </row>
    <row r="3399" ht="28.8" customFormat="1" customHeight="1" s="3">
      <c r="A3399" s="45" t="n"/>
      <c r="B3399" s="46" t="inlineStr">
        <is>
          <t>32142</t>
        </is>
      </c>
      <c r="C3399" s="46">
        <f>LEFT(Tableau1[[#This Row],[Formacode]],3)</f>
        <v/>
      </c>
      <c r="D3399" s="47" t="n">
        <v>37375</v>
      </c>
      <c r="E3399" s="48">
        <f>"RNCP"&amp;D3399</f>
        <v/>
      </c>
      <c r="F3399" s="48" t="inlineStr">
        <is>
          <t>Brevet de technicien supérieur - Métiers de l’esthétique, de la cosmétique et de la parfumerie</t>
        </is>
      </c>
      <c r="G3399" s="49">
        <f>E3399&amp;" - "&amp;F3399</f>
        <v/>
      </c>
      <c r="H3399" s="36" t="inlineStr">
        <is>
          <t>RAS</t>
        </is>
      </c>
      <c r="I3399" s="45" t="inlineStr"/>
      <c r="J3399" s="45" t="inlineStr">
        <is>
          <t>RNCP37375</t>
        </is>
      </c>
      <c r="K3399" s="45" t="inlineStr">
        <is>
          <t>Métiers de l’esthétique, de la cosmétique et de la parfumerie</t>
        </is>
      </c>
      <c r="L3399" s="45" t="inlineStr">
        <is>
          <t>31/08/2028</t>
        </is>
      </c>
      <c r="M3399" s="45" t="inlineStr">
        <is>
          <t>42032 (Esthétique soin corporel) ; 32154 (Encadrement management) ; 22885 (Cosmétique) ; 34059 (Gestion marque) ; 44517 (Conception action formation)</t>
        </is>
      </c>
      <c r="N3399" s="50" t="inlineStr">
        <is>
          <t>NON</t>
        </is>
      </c>
      <c r="O3399" s="45" t="inlineStr"/>
    </row>
    <row r="3400" customFormat="1" s="3">
      <c r="A3400" s="45" t="n"/>
      <c r="B3400" s="46" t="inlineStr">
        <is>
          <t>32142</t>
        </is>
      </c>
      <c r="C3400" s="46">
        <f>LEFT(Tableau1[[#This Row],[Formacode]],3)</f>
        <v/>
      </c>
      <c r="D3400" s="47" t="n">
        <v>37655</v>
      </c>
      <c r="E3400" s="48">
        <f>"RNCP"&amp;D3400</f>
        <v/>
      </c>
      <c r="F3400" s="48" t="inlineStr">
        <is>
          <t>Responsable en gestion et développement d’une business unit</t>
        </is>
      </c>
      <c r="G3400" s="49">
        <f>E3400&amp;" - "&amp;F3400</f>
        <v/>
      </c>
      <c r="H3400" s="36" t="inlineStr">
        <is>
          <t>RAS</t>
        </is>
      </c>
      <c r="I3400" s="45" t="inlineStr"/>
      <c r="J3400" s="45" t="inlineStr">
        <is>
          <t>RNCP37655</t>
        </is>
      </c>
      <c r="K3400" s="45" t="inlineStr">
        <is>
          <t>Responsable en gestion et développement d’une business unit</t>
        </is>
      </c>
      <c r="L3400" s="45" t="inlineStr">
        <is>
          <t>31/05/2028</t>
        </is>
      </c>
      <c r="M3400" s="45" t="inlineStr">
        <is>
          <t>32025 (Stratégie entreprise) ; 32154 (Encadrement management) ; 34054 (Gestion commerciale achats)</t>
        </is>
      </c>
      <c r="N3400" s="50" t="inlineStr">
        <is>
          <t>NON</t>
        </is>
      </c>
      <c r="O3400" s="45" t="inlineStr"/>
    </row>
    <row r="3401" customFormat="1" s="3">
      <c r="A3401" s="45" t="n"/>
      <c r="B3401" s="46" t="inlineStr">
        <is>
          <t>32142</t>
        </is>
      </c>
      <c r="C3401" s="46">
        <f>LEFT(Tableau1[[#This Row],[Formacode]],3)</f>
        <v/>
      </c>
      <c r="D3401" s="47" t="n">
        <v>38135</v>
      </c>
      <c r="E3401" s="48">
        <f>"RNCP"&amp;D3401</f>
        <v/>
      </c>
      <c r="F3401" s="48" t="inlineStr">
        <is>
          <t>Manager commercial clients grands comptes</t>
        </is>
      </c>
      <c r="G3401" s="49">
        <f>E3401&amp;" - "&amp;F3401</f>
        <v/>
      </c>
      <c r="H3401" s="36" t="inlineStr">
        <is>
          <t>RAS</t>
        </is>
      </c>
      <c r="I3401" s="45" t="inlineStr"/>
      <c r="J3401" s="45" t="inlineStr">
        <is>
          <t>RNCP38135</t>
        </is>
      </c>
      <c r="K3401" s="45" t="inlineStr">
        <is>
          <t>Manager commercial clients grands comptes</t>
        </is>
      </c>
      <c r="L3401" s="45" t="inlineStr">
        <is>
          <t>18/10/2028</t>
        </is>
      </c>
      <c r="M3401" s="45" t="inlineStr">
        <is>
          <t>34572 (Négociation grand compte) ; 32154 (Encadrement management)</t>
        </is>
      </c>
      <c r="N3401" s="50" t="inlineStr">
        <is>
          <t>NON</t>
        </is>
      </c>
      <c r="O3401" s="45" t="inlineStr"/>
    </row>
    <row r="3402" customFormat="1" s="3">
      <c r="A3402" s="45" t="n"/>
      <c r="B3402" s="46" t="inlineStr">
        <is>
          <t>32142</t>
        </is>
      </c>
      <c r="C3402" s="46">
        <f>LEFT(Tableau1[[#This Row],[Formacode]],3)</f>
        <v/>
      </c>
      <c r="D3402" s="47" t="n">
        <v>38362</v>
      </c>
      <c r="E3402" s="48">
        <f>"RNCP"&amp;D3402</f>
        <v/>
      </c>
      <c r="F3402" s="48" t="inlineStr">
        <is>
          <t>BTS - Management commercial opérationnel</t>
        </is>
      </c>
      <c r="G3402" s="49">
        <f>E3402&amp;" - "&amp;F3402</f>
        <v/>
      </c>
      <c r="H3402" s="36" t="inlineStr">
        <is>
          <t>RAS</t>
        </is>
      </c>
      <c r="I3402" s="45" t="inlineStr"/>
      <c r="J3402" s="45" t="inlineStr">
        <is>
          <t>RNCP38362</t>
        </is>
      </c>
      <c r="K3402" s="45" t="inlineStr">
        <is>
          <t>Management commercial opérationnel</t>
        </is>
      </c>
      <c r="L3402" s="45" t="inlineStr">
        <is>
          <t>31/12/2028</t>
        </is>
      </c>
      <c r="M3402" s="45" t="inlineStr">
        <is>
          <t>34054 (Gestion commerciale achats) ; 32154 (Encadrement management)</t>
        </is>
      </c>
      <c r="N3402" s="50" t="inlineStr">
        <is>
          <t>NON</t>
        </is>
      </c>
      <c r="O3402" s="45" t="inlineStr"/>
    </row>
    <row r="3403" customFormat="1" s="3">
      <c r="A3403" s="45" t="n"/>
      <c r="B3403" s="46" t="inlineStr">
        <is>
          <t>32142</t>
        </is>
      </c>
      <c r="C3403" s="46">
        <f>LEFT(Tableau1[[#This Row],[Formacode]],3)</f>
        <v/>
      </c>
      <c r="D3403" s="47" t="n">
        <v>38364</v>
      </c>
      <c r="E3403" s="48">
        <f>"RNCP"&amp;D3403</f>
        <v/>
      </c>
      <c r="F3403" s="48" t="inlineStr">
        <is>
          <t>BTS - Support à l'action managériale</t>
        </is>
      </c>
      <c r="G3403" s="49">
        <f>E3403&amp;" - "&amp;F3403</f>
        <v/>
      </c>
      <c r="H3403" s="36" t="inlineStr">
        <is>
          <t>RAS</t>
        </is>
      </c>
      <c r="I3403" s="45" t="inlineStr"/>
      <c r="J3403" s="45" t="inlineStr">
        <is>
          <t>RNCP38364</t>
        </is>
      </c>
      <c r="K3403" s="45" t="inlineStr">
        <is>
          <t>Support à l'action managériale</t>
        </is>
      </c>
      <c r="L3403" s="45" t="inlineStr">
        <is>
          <t>31/12/2027</t>
        </is>
      </c>
      <c r="M3403" s="45" t="inlineStr">
        <is>
          <t>32139 (Management situationnel) ; 32142 (Management participatif) ; 32145 (Management transversal)</t>
        </is>
      </c>
      <c r="N3403" s="50" t="inlineStr">
        <is>
          <t>NON</t>
        </is>
      </c>
      <c r="O3403" s="45" t="inlineStr"/>
    </row>
    <row r="3404" customFormat="1" s="3">
      <c r="A3404" s="45" t="n"/>
      <c r="B3404" s="46" t="inlineStr">
        <is>
          <t>32142</t>
        </is>
      </c>
      <c r="C3404" s="46">
        <f>LEFT(Tableau1[[#This Row],[Formacode]],3)</f>
        <v/>
      </c>
      <c r="D3404" s="47" t="n">
        <v>38374</v>
      </c>
      <c r="E3404" s="48">
        <f>"RNCP"&amp;D3404</f>
        <v/>
      </c>
      <c r="F3404" s="48" t="inlineStr">
        <is>
          <t>TP - Conducteur d'équipements agroalimentaires</t>
        </is>
      </c>
      <c r="G3404" s="49">
        <f>E3404&amp;" - "&amp;F3404</f>
        <v/>
      </c>
      <c r="H3404" s="36" t="inlineStr">
        <is>
          <t>RAS</t>
        </is>
      </c>
      <c r="I3404" s="45" t="inlineStr"/>
      <c r="J3404" s="45" t="inlineStr">
        <is>
          <t>RNCP38374</t>
        </is>
      </c>
      <c r="K3404" s="45" t="inlineStr">
        <is>
          <t>Conducteur d'équipements agroalimentaires</t>
        </is>
      </c>
      <c r="L3404" s="45" t="inlineStr">
        <is>
          <t>22/12/2028</t>
        </is>
      </c>
      <c r="M3404" s="45" t="inlineStr">
        <is>
          <t>21546 (Méthode haccp) ; 21547 (Bonnes pratiques hygiène agroalimentaire) ; 21575 (Conditionnement agroalimentaire) ; 32154 (Encadrement management) ; 32062 (Recherche développement)</t>
        </is>
      </c>
      <c r="N3404" s="50" t="inlineStr">
        <is>
          <t>NON</t>
        </is>
      </c>
      <c r="O3404" s="45" t="inlineStr"/>
    </row>
    <row r="3405" customFormat="1" s="3">
      <c r="A3405" s="45" t="n"/>
      <c r="B3405" s="46" t="inlineStr">
        <is>
          <t>32142</t>
        </is>
      </c>
      <c r="C3405" s="46">
        <f>LEFT(Tableau1[[#This Row],[Formacode]],3)</f>
        <v/>
      </c>
      <c r="D3405" s="47" t="n">
        <v>38439</v>
      </c>
      <c r="E3405" s="48">
        <f>"RNCP"&amp;D3405</f>
        <v/>
      </c>
      <c r="F3405" s="48" t="inlineStr">
        <is>
          <t>Responsable d'un centre de profit</t>
        </is>
      </c>
      <c r="G3405" s="49">
        <f>E3405&amp;" - "&amp;F3405</f>
        <v/>
      </c>
      <c r="H3405" s="36" t="inlineStr">
        <is>
          <t>RAS</t>
        </is>
      </c>
      <c r="I3405" s="45" t="inlineStr"/>
      <c r="J3405" s="45" t="inlineStr">
        <is>
          <t>RNCP38439</t>
        </is>
      </c>
      <c r="K3405" s="45" t="inlineStr">
        <is>
          <t>Responsable d'un centre de profit</t>
        </is>
      </c>
      <c r="L3405" s="45" t="inlineStr">
        <is>
          <t>21/12/2028</t>
        </is>
      </c>
      <c r="M3405" s="45" t="inlineStr">
        <is>
          <t>32024 (Gestion centre profit) ; 32154 (Encadrement management)</t>
        </is>
      </c>
      <c r="N3405" s="50" t="inlineStr">
        <is>
          <t>NON</t>
        </is>
      </c>
      <c r="O3405" s="45" t="inlineStr"/>
    </row>
    <row r="3406" customFormat="1" s="3">
      <c r="A3406" s="45" t="n"/>
      <c r="B3406" s="46" t="inlineStr">
        <is>
          <t>32142</t>
        </is>
      </c>
      <c r="C3406" s="46">
        <f>LEFT(Tableau1[[#This Row],[Formacode]],3)</f>
        <v/>
      </c>
      <c r="D3406" s="47" t="n">
        <v>38786</v>
      </c>
      <c r="E3406" s="48">
        <f>"RNCP"&amp;D3406</f>
        <v/>
      </c>
      <c r="F3406" s="48" t="inlineStr">
        <is>
          <t>CQP Responsable d'équipe</t>
        </is>
      </c>
      <c r="G3406" s="49">
        <f>E3406&amp;" - "&amp;F3406</f>
        <v/>
      </c>
      <c r="H3406" s="36" t="inlineStr">
        <is>
          <t>RAS</t>
        </is>
      </c>
      <c r="I3406" s="45" t="inlineStr"/>
      <c r="J3406" s="45" t="inlineStr">
        <is>
          <t>RNCP38786</t>
        </is>
      </c>
      <c r="K3406" s="45" t="inlineStr">
        <is>
          <t>CQP Responsable d'équipe</t>
        </is>
      </c>
      <c r="L3406" s="45" t="inlineStr">
        <is>
          <t>27/03/2028</t>
        </is>
      </c>
      <c r="M3406" s="45" t="inlineStr">
        <is>
          <t>32154 (Encadrement management)</t>
        </is>
      </c>
      <c r="N3406" s="50" t="inlineStr">
        <is>
          <t>NON</t>
        </is>
      </c>
      <c r="O3406" s="45" t="inlineStr"/>
    </row>
    <row r="3407" customFormat="1" s="3">
      <c r="A3407" s="45" t="n"/>
      <c r="B3407" s="46" t="inlineStr">
        <is>
          <t>32142</t>
        </is>
      </c>
      <c r="C3407" s="46">
        <f>LEFT(Tableau1[[#This Row],[Formacode]],3)</f>
        <v/>
      </c>
      <c r="D3407" s="47" t="n">
        <v>39136</v>
      </c>
      <c r="E3407" s="48">
        <f>"RNCP"&amp;D3407</f>
        <v/>
      </c>
      <c r="F3407" s="48" t="inlineStr">
        <is>
          <t>Grade_Master - Diplôme des Instituts d’Études Politiques – Sciences Po</t>
        </is>
      </c>
      <c r="G3407" s="49">
        <f>E3407&amp;" - "&amp;F3407</f>
        <v/>
      </c>
      <c r="H3407" s="36" t="inlineStr">
        <is>
          <t>RAS</t>
        </is>
      </c>
      <c r="I3407" s="45" t="inlineStr"/>
      <c r="J3407" s="45" t="inlineStr">
        <is>
          <t>RNCP39136</t>
        </is>
      </c>
      <c r="K3407" s="45" t="inlineStr">
        <is>
          <t>Diplôme des Instituts d’Études Politiques – Sciences Po</t>
        </is>
      </c>
      <c r="L3407" s="45" t="inlineStr">
        <is>
          <t>14/04/2029</t>
        </is>
      </c>
      <c r="M3407" s="45" t="inlineStr">
        <is>
          <t>13154 (Économie) ; 13054 (Science politique) ; 46354 (Information - Communication numérique) ; 32154 (Encadrement management) ; 13254 (Droit)</t>
        </is>
      </c>
      <c r="N3407" s="50" t="inlineStr">
        <is>
          <t>NON</t>
        </is>
      </c>
      <c r="O3407" s="45" t="inlineStr"/>
    </row>
    <row r="3408" customFormat="1" s="3">
      <c r="A3408" s="51" t="n"/>
      <c r="B3408" s="52" t="inlineStr">
        <is>
          <t>32142</t>
        </is>
      </c>
      <c r="C3408" s="52">
        <f>LEFT(Tableau1[[#This Row],[Formacode]],3)</f>
        <v/>
      </c>
      <c r="D3408" s="53" t="n">
        <v>39160</v>
      </c>
      <c r="E3408" s="54">
        <f>"RNCP"&amp;D3408</f>
        <v/>
      </c>
      <c r="F3408" s="54" t="inlineStr">
        <is>
          <t>Diplôme visé grade de master - Programme Grande Ecole</t>
        </is>
      </c>
      <c r="G3408" s="55">
        <f>E3408&amp;" - "&amp;F3408</f>
        <v/>
      </c>
      <c r="H3408" s="37" t="inlineStr">
        <is>
          <t>À vérifier</t>
        </is>
      </c>
      <c r="I3408" s="51" t="inlineStr">
        <is>
          <t>Échéance le 31/08/2026 (dans 44 j)</t>
        </is>
      </c>
      <c r="J3408" s="51" t="inlineStr">
        <is>
          <t>RNCP39160</t>
        </is>
      </c>
      <c r="K3408" s="51" t="inlineStr">
        <is>
          <t>Programme Grande Ecole</t>
        </is>
      </c>
      <c r="L3408" s="51" t="inlineStr">
        <is>
          <t>31/08/2026</t>
        </is>
      </c>
      <c r="M3408" s="51" t="inlineStr">
        <is>
          <t>32025 (Stratégie entreprise) ; 32008 (Responsabilité sociétale entreprise) ; 32047 (Création entreprise) ; 32654 (Gestion financière comptabilité) ; 32154 (Encadrement management)</t>
        </is>
      </c>
      <c r="N3408" s="62" t="inlineStr">
        <is>
          <t>NON</t>
        </is>
      </c>
      <c r="O3408" s="51" t="inlineStr"/>
    </row>
    <row r="3409" customFormat="1" s="3">
      <c r="A3409" s="45" t="n"/>
      <c r="B3409" s="46" t="inlineStr">
        <is>
          <t>32142</t>
        </is>
      </c>
      <c r="C3409" s="46">
        <f>LEFT(Tableau1[[#This Row],[Formacode]],3)</f>
        <v/>
      </c>
      <c r="D3409" s="47" t="n">
        <v>39354</v>
      </c>
      <c r="E3409" s="48">
        <f>"RNCP"&amp;D3409</f>
        <v/>
      </c>
      <c r="F3409" s="48" t="inlineStr">
        <is>
          <t>Manager du développement d'entreprise et commercial</t>
        </is>
      </c>
      <c r="G3409" s="49">
        <f>E3409&amp;" - "&amp;F3409</f>
        <v/>
      </c>
      <c r="H3409" s="36" t="inlineStr">
        <is>
          <t>RAS</t>
        </is>
      </c>
      <c r="I3409" s="45" t="inlineStr"/>
      <c r="J3409" s="45" t="inlineStr">
        <is>
          <t>RNCP39354</t>
        </is>
      </c>
      <c r="K3409" s="45" t="inlineStr">
        <is>
          <t>Manager du développement d'entreprise et commercial</t>
        </is>
      </c>
      <c r="L3409" s="45" t="inlineStr">
        <is>
          <t>19/07/2027</t>
        </is>
      </c>
      <c r="M3409" s="45" t="inlineStr">
        <is>
          <t>34085 (Stratégie commerciale) ; 32025 (Stratégie entreprise) ; 32024 (Gestion centre profit) ; 32154 (Encadrement management)</t>
        </is>
      </c>
      <c r="N3409" s="50" t="inlineStr">
        <is>
          <t>NON</t>
        </is>
      </c>
      <c r="O3409" s="45" t="inlineStr"/>
    </row>
    <row r="3410" customFormat="1" s="3">
      <c r="A3410" s="45" t="n"/>
      <c r="B3410" s="46" t="inlineStr">
        <is>
          <t>32142</t>
        </is>
      </c>
      <c r="C3410" s="46">
        <f>LEFT(Tableau1[[#This Row],[Formacode]],3)</f>
        <v/>
      </c>
      <c r="D3410" s="47" t="n">
        <v>39366</v>
      </c>
      <c r="E3410" s="48">
        <f>"RNCP"&amp;D3410</f>
        <v/>
      </c>
      <c r="F3410" s="48" t="inlineStr">
        <is>
          <t>CQP Manager commercial cuisines et/ou aménagement intérieur</t>
        </is>
      </c>
      <c r="G3410" s="49">
        <f>E3410&amp;" - "&amp;F3410</f>
        <v/>
      </c>
      <c r="H3410" s="36" t="inlineStr">
        <is>
          <t>RAS</t>
        </is>
      </c>
      <c r="I3410" s="45" t="inlineStr"/>
      <c r="J3410" s="45" t="inlineStr">
        <is>
          <t>RNCP39366</t>
        </is>
      </c>
      <c r="K3410" s="45" t="inlineStr">
        <is>
          <t>CQP Manager commercial cuisines et/ou aménagement intérieur</t>
        </is>
      </c>
      <c r="L3410" s="45" t="inlineStr">
        <is>
          <t>19/07/2029</t>
        </is>
      </c>
      <c r="M3410" s="45" t="inlineStr">
        <is>
          <t>34561 (Force vente) ; 34536 (Vente équipement maison) ; 32154 (Encadrement management)</t>
        </is>
      </c>
      <c r="N3410" s="50" t="inlineStr">
        <is>
          <t>NON</t>
        </is>
      </c>
      <c r="O3410" s="45" t="inlineStr"/>
    </row>
    <row r="3411" customFormat="1" s="3">
      <c r="A3411" s="51" t="n"/>
      <c r="B3411" s="52" t="inlineStr">
        <is>
          <t>32142</t>
        </is>
      </c>
      <c r="C3411" s="52">
        <f>LEFT(Tableau1[[#This Row],[Formacode]],3)</f>
        <v/>
      </c>
      <c r="D3411" s="53" t="n">
        <v>39763</v>
      </c>
      <c r="E3411" s="54">
        <f>"RNCP"&amp;D3411</f>
        <v/>
      </c>
      <c r="F3411" s="54" t="inlineStr">
        <is>
          <t>Manager de la performance financière</t>
        </is>
      </c>
      <c r="G3411" s="55">
        <f>E3411&amp;" - "&amp;F3411</f>
        <v/>
      </c>
      <c r="H3411" s="37" t="inlineStr">
        <is>
          <t>À vérifier</t>
        </is>
      </c>
      <c r="I3411" s="51" t="inlineStr">
        <is>
          <t>Échéance le 31/10/2026 (dans 105 j)</t>
        </is>
      </c>
      <c r="J3411" s="51" t="inlineStr">
        <is>
          <t>RNCP39763</t>
        </is>
      </c>
      <c r="K3411" s="51" t="inlineStr">
        <is>
          <t>Manager de la performance financière</t>
        </is>
      </c>
      <c r="L3411" s="51" t="inlineStr">
        <is>
          <t>31/10/2026</t>
        </is>
      </c>
      <c r="M3411" s="51" t="inlineStr">
        <is>
          <t>32154 (Encadrement management) ; 32079 (Gestion performance) ; 32652 (Contrôle gestion) ; 32098 (Audit entreprise)</t>
        </is>
      </c>
      <c r="N3411" s="62" t="inlineStr">
        <is>
          <t>NON</t>
        </is>
      </c>
      <c r="O3411" s="51" t="inlineStr"/>
    </row>
    <row r="3412" customFormat="1" s="3">
      <c r="A3412" s="45" t="n"/>
      <c r="B3412" s="46" t="inlineStr">
        <is>
          <t>32142</t>
        </is>
      </c>
      <c r="C3412" s="46">
        <f>LEFT(Tableau1[[#This Row],[Formacode]],3)</f>
        <v/>
      </c>
      <c r="D3412" s="47" t="n">
        <v>39787</v>
      </c>
      <c r="E3412" s="48">
        <f>"RNCP"&amp;D3412</f>
        <v/>
      </c>
      <c r="F3412" s="48" t="inlineStr">
        <is>
          <t>Directeur de la performance commerciale</t>
        </is>
      </c>
      <c r="G3412" s="49">
        <f>E3412&amp;" - "&amp;F3412</f>
        <v/>
      </c>
      <c r="H3412" s="36" t="inlineStr">
        <is>
          <t>RAS</t>
        </is>
      </c>
      <c r="I3412" s="45" t="inlineStr"/>
      <c r="J3412" s="45" t="inlineStr">
        <is>
          <t>RNCP39787</t>
        </is>
      </c>
      <c r="K3412" s="45" t="inlineStr">
        <is>
          <t>Directeur de la performance commerciale</t>
        </is>
      </c>
      <c r="L3412" s="45" t="inlineStr">
        <is>
          <t>31/10/2029</t>
        </is>
      </c>
      <c r="M3412" s="45" t="inlineStr">
        <is>
          <t>32079 (Gestion performance) ; 32154 (Encadrement management) ; 34085 (Stratégie commerciale)</t>
        </is>
      </c>
      <c r="N3412" s="50" t="inlineStr">
        <is>
          <t>NON</t>
        </is>
      </c>
      <c r="O3412" s="45" t="inlineStr"/>
    </row>
    <row r="3413" customFormat="1" s="3">
      <c r="A3413" s="45" t="n"/>
      <c r="B3413" s="46" t="inlineStr">
        <is>
          <t>32142</t>
        </is>
      </c>
      <c r="C3413" s="46">
        <f>LEFT(Tableau1[[#This Row],[Formacode]],3)</f>
        <v/>
      </c>
      <c r="D3413" s="47" t="n">
        <v>39864</v>
      </c>
      <c r="E3413" s="48">
        <f>"RNCP"&amp;D3413</f>
        <v/>
      </c>
      <c r="F3413" s="48" t="inlineStr">
        <is>
          <t>Manager du développement des ressources humaines</t>
        </is>
      </c>
      <c r="G3413" s="49">
        <f>E3413&amp;" - "&amp;F3413</f>
        <v/>
      </c>
      <c r="H3413" s="36" t="inlineStr">
        <is>
          <t>RAS</t>
        </is>
      </c>
      <c r="I3413" s="45" t="inlineStr"/>
      <c r="J3413" s="45" t="inlineStr">
        <is>
          <t>RNCP39864</t>
        </is>
      </c>
      <c r="K3413" s="45" t="inlineStr">
        <is>
          <t>Manager du développement des ressources humaines</t>
        </is>
      </c>
      <c r="L3413" s="45" t="inlineStr">
        <is>
          <t>28/11/2027</t>
        </is>
      </c>
      <c r="M3413" s="45" t="inlineStr">
        <is>
          <t>33054 (Gestion ressources humaines) ; 32154 (Encadrement management)</t>
        </is>
      </c>
      <c r="N3413" s="50" t="inlineStr">
        <is>
          <t>NON</t>
        </is>
      </c>
      <c r="O3413" s="45" t="inlineStr"/>
    </row>
    <row r="3414" customFormat="1" s="3">
      <c r="A3414" s="45" t="n"/>
      <c r="B3414" s="46" t="inlineStr">
        <is>
          <t>32142</t>
        </is>
      </c>
      <c r="C3414" s="46">
        <f>LEFT(Tableau1[[#This Row],[Formacode]],3)</f>
        <v/>
      </c>
      <c r="D3414" s="47" t="n">
        <v>39972</v>
      </c>
      <c r="E3414" s="48">
        <f>"RNCP"&amp;D3414</f>
        <v/>
      </c>
      <c r="F3414" s="48" t="inlineStr">
        <is>
          <t>CQP Responsable d'équipe du secteur alimentaire</t>
        </is>
      </c>
      <c r="G3414" s="49">
        <f>E3414&amp;" - "&amp;F3414</f>
        <v/>
      </c>
      <c r="H3414" s="36" t="inlineStr">
        <is>
          <t>RAS</t>
        </is>
      </c>
      <c r="I3414" s="45" t="inlineStr"/>
      <c r="J3414" s="45" t="inlineStr">
        <is>
          <t>RNCP39972</t>
        </is>
      </c>
      <c r="K3414" s="45" t="inlineStr">
        <is>
          <t>CQP Responsable d'équipe du secteur alimentaire</t>
        </is>
      </c>
      <c r="L3414" s="45" t="inlineStr">
        <is>
          <t>18/12/2029</t>
        </is>
      </c>
      <c r="M3414" s="45" t="inlineStr">
        <is>
          <t>32154 (Encadrement management) ; 21554 (Agroalimentaire)</t>
        </is>
      </c>
      <c r="N3414" s="50" t="inlineStr">
        <is>
          <t>NON</t>
        </is>
      </c>
      <c r="O3414" s="45" t="inlineStr"/>
    </row>
    <row r="3415" customFormat="1" s="3">
      <c r="A3415" s="45" t="n"/>
      <c r="B3415" s="46" t="inlineStr">
        <is>
          <t>32142</t>
        </is>
      </c>
      <c r="C3415" s="46">
        <f>LEFT(Tableau1[[#This Row],[Formacode]],3)</f>
        <v/>
      </c>
      <c r="D3415" s="47" t="n">
        <v>39994</v>
      </c>
      <c r="E3415" s="48">
        <f>"RNCP"&amp;D3415</f>
        <v/>
      </c>
      <c r="F3415" s="48" t="inlineStr">
        <is>
          <t>Manager des transformations des organisations</t>
        </is>
      </c>
      <c r="G3415" s="49">
        <f>E3415&amp;" - "&amp;F3415</f>
        <v/>
      </c>
      <c r="H3415" s="36" t="inlineStr">
        <is>
          <t>RAS</t>
        </is>
      </c>
      <c r="I3415" s="45" t="inlineStr"/>
      <c r="J3415" s="45" t="inlineStr">
        <is>
          <t>RNCP39994</t>
        </is>
      </c>
      <c r="K3415" s="45" t="inlineStr">
        <is>
          <t>Manager des transformations des organisations</t>
        </is>
      </c>
      <c r="L3415" s="45" t="inlineStr">
        <is>
          <t>18/12/2027</t>
        </is>
      </c>
      <c r="M3415" s="45" t="inlineStr">
        <is>
          <t>32025 (Stratégie entreprise) ; 32079 (Gestion performance) ; 32154 (Encadrement management)</t>
        </is>
      </c>
      <c r="N3415" s="50" t="inlineStr">
        <is>
          <t>NON</t>
        </is>
      </c>
      <c r="O3415" s="45" t="inlineStr"/>
    </row>
    <row r="3416" customFormat="1" s="3">
      <c r="A3416" s="45" t="n"/>
      <c r="B3416" s="46" t="inlineStr">
        <is>
          <t>32142</t>
        </is>
      </c>
      <c r="C3416" s="46">
        <f>LEFT(Tableau1[[#This Row],[Formacode]],3)</f>
        <v/>
      </c>
      <c r="D3416" s="47" t="n">
        <v>40169</v>
      </c>
      <c r="E3416" s="48">
        <f>"RNCP"&amp;D3416</f>
        <v/>
      </c>
      <c r="F3416" s="48" t="inlineStr">
        <is>
          <t>CQP Responsable de conseillers techniques en élevage</t>
        </is>
      </c>
      <c r="G3416" s="49">
        <f>E3416&amp;" - "&amp;F3416</f>
        <v/>
      </c>
      <c r="H3416" s="36" t="inlineStr">
        <is>
          <t>RAS</t>
        </is>
      </c>
      <c r="I3416" s="45" t="inlineStr"/>
      <c r="J3416" s="45" t="inlineStr">
        <is>
          <t>RNCP40169</t>
        </is>
      </c>
      <c r="K3416" s="45" t="inlineStr">
        <is>
          <t>CQP Responsable de conseillers techniques en élevage</t>
        </is>
      </c>
      <c r="L3416" s="45" t="inlineStr">
        <is>
          <t>31/01/2030</t>
        </is>
      </c>
      <c r="M3416" s="45" t="inlineStr">
        <is>
          <t>21056 (Élevage) ; 32068 (Coordination travail) ; 32154 (Encadrement management)</t>
        </is>
      </c>
      <c r="N3416" s="50" t="inlineStr">
        <is>
          <t>NON</t>
        </is>
      </c>
      <c r="O3416" s="45" t="inlineStr"/>
    </row>
    <row r="3417" customFormat="1" s="3">
      <c r="A3417" s="45" t="n"/>
      <c r="B3417" s="46" t="inlineStr">
        <is>
          <t>32142</t>
        </is>
      </c>
      <c r="C3417" s="46">
        <f>LEFT(Tableau1[[#This Row],[Formacode]],3)</f>
        <v/>
      </c>
      <c r="D3417" s="47" t="n">
        <v>41000</v>
      </c>
      <c r="E3417" s="48">
        <f>"RNCP"&amp;D3417</f>
        <v/>
      </c>
      <c r="F3417" s="48" t="inlineStr">
        <is>
          <t>BTS - Management opérationnel de la sécurité</t>
        </is>
      </c>
      <c r="G3417" s="49">
        <f>E3417&amp;" - "&amp;F3417</f>
        <v/>
      </c>
      <c r="H3417" s="36" t="inlineStr">
        <is>
          <t>RAS</t>
        </is>
      </c>
      <c r="I3417" s="45" t="inlineStr"/>
      <c r="J3417" s="45" t="inlineStr">
        <is>
          <t>RNCP41000</t>
        </is>
      </c>
      <c r="K3417" s="45" t="inlineStr">
        <is>
          <t>Management opérationnel de la sécurité</t>
        </is>
      </c>
      <c r="L3417" s="45" t="inlineStr">
        <is>
          <t>31/08/2030</t>
        </is>
      </c>
      <c r="M3417" s="45" t="inlineStr">
        <is>
          <t>42854 (Prévention sécurité) ; 32154 (Encadrement management)</t>
        </is>
      </c>
      <c r="N3417" s="50" t="inlineStr">
        <is>
          <t>NON</t>
        </is>
      </c>
      <c r="O3417" s="45" t="inlineStr"/>
    </row>
    <row r="3418" customFormat="1" s="3">
      <c r="A3418" s="45" t="n"/>
      <c r="B3418" s="46" t="inlineStr">
        <is>
          <t>32142</t>
        </is>
      </c>
      <c r="C3418" s="46">
        <f>LEFT(Tableau1[[#This Row],[Formacode]],3)</f>
        <v/>
      </c>
      <c r="D3418" s="47" t="n">
        <v>41809</v>
      </c>
      <c r="E3418" s="48">
        <f>"RNCP"&amp;D3418</f>
        <v/>
      </c>
      <c r="F3418" s="48" t="inlineStr">
        <is>
          <t>Manager de la stratégie marketing digital</t>
        </is>
      </c>
      <c r="G3418" s="49">
        <f>E3418&amp;" - "&amp;F3418</f>
        <v/>
      </c>
      <c r="H3418" s="36" t="inlineStr">
        <is>
          <t>RAS</t>
        </is>
      </c>
      <c r="I3418" s="45" t="inlineStr"/>
      <c r="J3418" s="45" t="inlineStr">
        <is>
          <t>RNCP41809</t>
        </is>
      </c>
      <c r="K3418" s="45" t="inlineStr">
        <is>
          <t>Manager de la stratégie marketing digital</t>
        </is>
      </c>
      <c r="L3418" s="45" t="inlineStr">
        <is>
          <t>18/12/2028</t>
        </is>
      </c>
      <c r="M3418" s="45" t="inlineStr">
        <is>
          <t>46301 (Communication entreprise) ; 15004 (Communication professionnelle) ; 32154 (Encadrement management) ; 34052 (Marketing)</t>
        </is>
      </c>
      <c r="N3418" s="50" t="inlineStr">
        <is>
          <t>NON</t>
        </is>
      </c>
      <c r="O3418" s="45" t="inlineStr"/>
    </row>
    <row r="3419" customFormat="1" s="3">
      <c r="A3419" s="63" t="n"/>
      <c r="B3419" s="64" t="inlineStr">
        <is>
          <t>32145</t>
        </is>
      </c>
      <c r="C3419" s="64">
        <f>LEFT(Tableau1[[#This Row],[Formacode]],3)</f>
        <v/>
      </c>
      <c r="D3419" s="65" t="n">
        <v>35233</v>
      </c>
      <c r="E3419" s="66">
        <f>"RNCP"&amp;D3419</f>
        <v/>
      </c>
      <c r="F3419" s="66" t="inlineStr">
        <is>
          <t>TP - Assistant manager d’unité marchande</t>
        </is>
      </c>
      <c r="G3419" s="67">
        <f>E3419&amp;" - "&amp;F3419</f>
        <v/>
      </c>
      <c r="H3419" s="38" t="inlineStr">
        <is>
          <t>Expiré / remplacé</t>
        </is>
      </c>
      <c r="I3419" s="63" t="inlineStr">
        <is>
          <t>Fiche inactive — remplacée par RNCP41852 (Assistant manager d’unité marchande)</t>
        </is>
      </c>
      <c r="J3419" s="63" t="inlineStr">
        <is>
          <t>RNCP41852</t>
        </is>
      </c>
      <c r="K3419" s="63" t="inlineStr">
        <is>
          <t>Assistant manager d’unité marchande</t>
        </is>
      </c>
      <c r="L3419" s="63" t="inlineStr">
        <is>
          <t>16/02/2026</t>
        </is>
      </c>
      <c r="M3419" s="63" t="inlineStr">
        <is>
          <t>34566 (Vente distribution) ; 32154 (Encadrement management)</t>
        </is>
      </c>
      <c r="N3419" s="68" t="inlineStr">
        <is>
          <t>NON</t>
        </is>
      </c>
      <c r="O3419" s="63" t="inlineStr"/>
    </row>
    <row r="3420" customFormat="1" s="3">
      <c r="A3420" s="63" t="n"/>
      <c r="B3420" s="64" t="inlineStr">
        <is>
          <t>32145</t>
        </is>
      </c>
      <c r="C3420" s="64">
        <f>LEFT(Tableau1[[#This Row],[Formacode]],3)</f>
        <v/>
      </c>
      <c r="D3420" s="65" t="n">
        <v>35590</v>
      </c>
      <c r="E3420" s="66">
        <f>"RNCP"&amp;D3420</f>
        <v/>
      </c>
      <c r="F3420" s="66" t="inlineStr">
        <is>
          <t>Manager de l'habitat social et durable</t>
        </is>
      </c>
      <c r="G3420" s="67">
        <f>E3420&amp;" - "&amp;F3420</f>
        <v/>
      </c>
      <c r="H3420" s="38" t="inlineStr">
        <is>
          <t>Expiré / remplacé</t>
        </is>
      </c>
      <c r="I3420" s="63" t="inlineStr">
        <is>
          <t>Fiche inactive — remplacée par RNCP42170 (Manager de projet immobilier durable)</t>
        </is>
      </c>
      <c r="J3420" s="63" t="inlineStr">
        <is>
          <t>RNCP42170</t>
        </is>
      </c>
      <c r="K3420" s="63" t="inlineStr">
        <is>
          <t>Manager de projet immobilier durable</t>
        </is>
      </c>
      <c r="L3420" s="63" t="inlineStr">
        <is>
          <t>19/05/2026</t>
        </is>
      </c>
      <c r="M3420" s="63" t="inlineStr">
        <is>
          <t>42154 (Immobilier) ; 22250 (Éco-construction) ; 32145 (Management transversal) ; 12554 (Environnement aménagement)</t>
        </is>
      </c>
      <c r="N3420" s="68" t="inlineStr">
        <is>
          <t>NON</t>
        </is>
      </c>
      <c r="O3420" s="63" t="inlineStr"/>
    </row>
    <row r="3421" customFormat="1" s="3">
      <c r="A3421" s="45" t="n"/>
      <c r="B3421" s="46" t="inlineStr">
        <is>
          <t>32145</t>
        </is>
      </c>
      <c r="C3421" s="46">
        <f>LEFT(Tableau1[[#This Row],[Formacode]],3)</f>
        <v/>
      </c>
      <c r="D3421" s="47" t="n">
        <v>36419</v>
      </c>
      <c r="E3421" s="48">
        <f>"RNCP"&amp;D3421</f>
        <v/>
      </c>
      <c r="F3421" s="48" t="inlineStr">
        <is>
          <t>DipViGrM - Programme Grande Ecole</t>
        </is>
      </c>
      <c r="G3421" s="49">
        <f>E3421&amp;" - "&amp;F3421</f>
        <v/>
      </c>
      <c r="H3421" s="36" t="inlineStr">
        <is>
          <t>RAS</t>
        </is>
      </c>
      <c r="I3421" s="45" t="inlineStr"/>
      <c r="J3421" s="45" t="inlineStr">
        <is>
          <t>RNCP36419</t>
        </is>
      </c>
      <c r="K3421" s="45" t="inlineStr">
        <is>
          <t>Programme Grande Ecole</t>
        </is>
      </c>
      <c r="L3421" s="45" t="inlineStr">
        <is>
          <t>31/08/2027</t>
        </is>
      </c>
      <c r="M3421" s="45" t="inlineStr">
        <is>
          <t>32094 (Gestion PME PMI) ; 32145 (Management transversal) ; 32025 (Stratégie entreprise) ; 32024 (Gestion centre profit)</t>
        </is>
      </c>
      <c r="N3421" s="50" t="inlineStr">
        <is>
          <t>NON</t>
        </is>
      </c>
      <c r="O3421" s="45" t="inlineStr"/>
    </row>
    <row r="3422" customFormat="1" s="3">
      <c r="A3422" s="45" t="n"/>
      <c r="B3422" s="46" t="inlineStr">
        <is>
          <t>32145</t>
        </is>
      </c>
      <c r="C3422" s="46">
        <f>LEFT(Tableau1[[#This Row],[Formacode]],3)</f>
        <v/>
      </c>
      <c r="D3422" s="47" t="n">
        <v>36461</v>
      </c>
      <c r="E3422" s="48">
        <f>"RNCP"&amp;D3422</f>
        <v/>
      </c>
      <c r="F3422" s="48" t="inlineStr">
        <is>
          <t>Directeur d'unité opérationnelle</t>
        </is>
      </c>
      <c r="G3422" s="49">
        <f>E3422&amp;" - "&amp;F3422</f>
        <v/>
      </c>
      <c r="H3422" s="36" t="inlineStr">
        <is>
          <t>RAS</t>
        </is>
      </c>
      <c r="I3422" s="45" t="inlineStr"/>
      <c r="J3422" s="45" t="inlineStr">
        <is>
          <t>RNCP36461</t>
        </is>
      </c>
      <c r="K3422" s="45" t="inlineStr">
        <is>
          <t>Directeur d'unité opérationnelle</t>
        </is>
      </c>
      <c r="L3422" s="45" t="inlineStr">
        <is>
          <t>02/06/2027</t>
        </is>
      </c>
      <c r="M3422" s="45" t="inlineStr">
        <is>
          <t>32054 (Gestion des organisations) ; 32154 (Encadrement management)</t>
        </is>
      </c>
      <c r="N3422" s="50" t="inlineStr">
        <is>
          <t>NON</t>
        </is>
      </c>
      <c r="O3422" s="45" t="inlineStr"/>
    </row>
    <row r="3423" customFormat="1" s="3">
      <c r="A3423" s="45" t="n"/>
      <c r="B3423" s="46" t="inlineStr">
        <is>
          <t>32145</t>
        </is>
      </c>
      <c r="C3423" s="46">
        <f>LEFT(Tableau1[[#This Row],[Formacode]],3)</f>
        <v/>
      </c>
      <c r="D3423" s="47" t="n">
        <v>36890</v>
      </c>
      <c r="E3423" s="48">
        <f>"RNCP"&amp;D3423</f>
        <v/>
      </c>
      <c r="F3423" s="48" t="inlineStr">
        <is>
          <t>Manager d'unité opérationnelle</t>
        </is>
      </c>
      <c r="G3423" s="49">
        <f>E3423&amp;" - "&amp;F3423</f>
        <v/>
      </c>
      <c r="H3423" s="36" t="inlineStr">
        <is>
          <t>RAS</t>
        </is>
      </c>
      <c r="I3423" s="45" t="inlineStr"/>
      <c r="J3423" s="45" t="inlineStr">
        <is>
          <t>RNCP36890</t>
        </is>
      </c>
      <c r="K3423" s="45" t="inlineStr">
        <is>
          <t>Manager d'unité opérationnelle</t>
        </is>
      </c>
      <c r="L3423" s="45" t="inlineStr">
        <is>
          <t>29/09/2027</t>
        </is>
      </c>
      <c r="M3423" s="45" t="inlineStr">
        <is>
          <t>32079 (Gestion performance) ; 32025 (Stratégie entreprise) ; 32154 (Encadrement management)</t>
        </is>
      </c>
      <c r="N3423" s="50" t="inlineStr">
        <is>
          <t>NON</t>
        </is>
      </c>
      <c r="O3423" s="45" t="inlineStr"/>
    </row>
    <row r="3424" customFormat="1" s="3">
      <c r="A3424" s="45" t="n"/>
      <c r="B3424" s="46" t="inlineStr">
        <is>
          <t>32145</t>
        </is>
      </c>
      <c r="C3424" s="46">
        <f>LEFT(Tableau1[[#This Row],[Formacode]],3)</f>
        <v/>
      </c>
      <c r="D3424" s="47" t="n">
        <v>37270</v>
      </c>
      <c r="E3424" s="48">
        <f>"RNCP"&amp;D3424</f>
        <v/>
      </c>
      <c r="F3424" s="48" t="inlineStr">
        <is>
          <t>Manager de programmes internationaux - humanitaire et développement</t>
        </is>
      </c>
      <c r="G3424" s="49">
        <f>E3424&amp;" - "&amp;F3424</f>
        <v/>
      </c>
      <c r="H3424" s="36" t="inlineStr">
        <is>
          <t>RAS</t>
        </is>
      </c>
      <c r="I3424" s="45" t="inlineStr"/>
      <c r="J3424" s="45" t="inlineStr">
        <is>
          <t>RNCP37270</t>
        </is>
      </c>
      <c r="K3424" s="45" t="inlineStr">
        <is>
          <t>Manager de programmes internationaux - humanitaire et développement</t>
        </is>
      </c>
      <c r="L3424" s="45" t="inlineStr">
        <is>
          <t>25/01/2028</t>
        </is>
      </c>
      <c r="M3424" s="45" t="inlineStr">
        <is>
          <t>13017 (Action humanitaire) ; 32154 (Encadrement management) ; 32005 (Stratégie internationale)</t>
        </is>
      </c>
      <c r="N3424" s="50" t="inlineStr">
        <is>
          <t>NON</t>
        </is>
      </c>
      <c r="O3424" s="45" t="inlineStr"/>
    </row>
    <row r="3425" customFormat="1" s="3">
      <c r="A3425" s="45" t="n"/>
      <c r="B3425" s="46" t="inlineStr">
        <is>
          <t>32145</t>
        </is>
      </c>
      <c r="C3425" s="46">
        <f>LEFT(Tableau1[[#This Row],[Formacode]],3)</f>
        <v/>
      </c>
      <c r="D3425" s="47" t="n">
        <v>37282</v>
      </c>
      <c r="E3425" s="48">
        <f>"RNCP"&amp;D3425</f>
        <v/>
      </c>
      <c r="F3425" s="48" t="inlineStr">
        <is>
          <t>CQP Manager d’équipe en négoce des matériaux de construction</t>
        </is>
      </c>
      <c r="G3425" s="49">
        <f>E3425&amp;" - "&amp;F3425</f>
        <v/>
      </c>
      <c r="H3425" s="36" t="inlineStr">
        <is>
          <t>RAS</t>
        </is>
      </c>
      <c r="I3425" s="45" t="inlineStr"/>
      <c r="J3425" s="45" t="inlineStr">
        <is>
          <t>RNCP37282</t>
        </is>
      </c>
      <c r="K3425" s="45" t="inlineStr">
        <is>
          <t>CQP Manager d’équipe en négoce des matériaux de construction</t>
        </is>
      </c>
      <c r="L3425" s="45" t="inlineStr">
        <is>
          <t>25/01/2028</t>
        </is>
      </c>
      <c r="M3425" s="45" t="inlineStr">
        <is>
          <t>22852 (Matériau construction) ; 31663 (Gestion stock) ; 34085 (Stratégie commerciale) ; 32154 (Encadrement management)</t>
        </is>
      </c>
      <c r="N3425" s="50" t="inlineStr">
        <is>
          <t>NON</t>
        </is>
      </c>
      <c r="O3425" s="45" t="inlineStr"/>
    </row>
    <row r="3426" customFormat="1" s="3">
      <c r="A3426" s="45" t="n"/>
      <c r="B3426" s="46" t="inlineStr">
        <is>
          <t>32145</t>
        </is>
      </c>
      <c r="C3426" s="46">
        <f>LEFT(Tableau1[[#This Row],[Formacode]],3)</f>
        <v/>
      </c>
      <c r="D3426" s="47" t="n">
        <v>37285</v>
      </c>
      <c r="E3426" s="48">
        <f>"RNCP"&amp;D3426</f>
        <v/>
      </c>
      <c r="F3426" s="48" t="inlineStr">
        <is>
          <t>CQP Chef d’agence en négoce des matériaux de construction</t>
        </is>
      </c>
      <c r="G3426" s="49">
        <f>E3426&amp;" - "&amp;F3426</f>
        <v/>
      </c>
      <c r="H3426" s="36" t="inlineStr">
        <is>
          <t>RAS</t>
        </is>
      </c>
      <c r="I3426" s="45" t="inlineStr"/>
      <c r="J3426" s="45" t="inlineStr">
        <is>
          <t>RNCP37285</t>
        </is>
      </c>
      <c r="K3426" s="45" t="inlineStr">
        <is>
          <t>CQP Chef d’agence en négoce des matériaux de construction</t>
        </is>
      </c>
      <c r="L3426" s="45" t="inlineStr">
        <is>
          <t>25/01/2028</t>
        </is>
      </c>
      <c r="M3426" s="45" t="inlineStr">
        <is>
          <t>22852 (Matériau construction) ; 32650 (Gestion budgétaire) ; 31663 (Gestion stock) ; 34085 (Stratégie commerciale) ; 32154 (Encadrement management)</t>
        </is>
      </c>
      <c r="N3426" s="50" t="inlineStr">
        <is>
          <t>NON</t>
        </is>
      </c>
      <c r="O3426" s="45" t="inlineStr"/>
    </row>
    <row r="3427" ht="28.8" customFormat="1" customHeight="1" s="3">
      <c r="A3427" s="45" t="n"/>
      <c r="B3427" s="46" t="inlineStr">
        <is>
          <t>32145</t>
        </is>
      </c>
      <c r="C3427" s="46">
        <f>LEFT(Tableau1[[#This Row],[Formacode]],3)</f>
        <v/>
      </c>
      <c r="D3427" s="47" t="n">
        <v>37375</v>
      </c>
      <c r="E3427" s="48">
        <f>"RNCP"&amp;D3427</f>
        <v/>
      </c>
      <c r="F3427" s="48" t="inlineStr">
        <is>
          <t>Brevet de technicien supérieur - Métiers de l’esthétique, de la cosmétique et de la parfumerie</t>
        </is>
      </c>
      <c r="G3427" s="49">
        <f>E3427&amp;" - "&amp;F3427</f>
        <v/>
      </c>
      <c r="H3427" s="36" t="inlineStr">
        <is>
          <t>RAS</t>
        </is>
      </c>
      <c r="I3427" s="45" t="inlineStr"/>
      <c r="J3427" s="45" t="inlineStr">
        <is>
          <t>RNCP37375</t>
        </is>
      </c>
      <c r="K3427" s="45" t="inlineStr">
        <is>
          <t>Métiers de l’esthétique, de la cosmétique et de la parfumerie</t>
        </is>
      </c>
      <c r="L3427" s="45" t="inlineStr">
        <is>
          <t>31/08/2028</t>
        </is>
      </c>
      <c r="M3427" s="45" t="inlineStr">
        <is>
          <t>42032 (Esthétique soin corporel) ; 32154 (Encadrement management) ; 22885 (Cosmétique) ; 34059 (Gestion marque) ; 44517 (Conception action formation)</t>
        </is>
      </c>
      <c r="N3427" s="50" t="inlineStr">
        <is>
          <t>NON</t>
        </is>
      </c>
      <c r="O3427" s="45" t="inlineStr"/>
    </row>
    <row r="3428" customFormat="1" s="3">
      <c r="A3428" s="63" t="n"/>
      <c r="B3428" s="64" t="inlineStr">
        <is>
          <t>32145</t>
        </is>
      </c>
      <c r="C3428" s="64">
        <f>LEFT(Tableau1[[#This Row],[Formacode]],3)</f>
        <v/>
      </c>
      <c r="D3428" s="65" t="n">
        <v>37635</v>
      </c>
      <c r="E3428" s="66">
        <f>"RNCP"&amp;D3428</f>
        <v/>
      </c>
      <c r="F3428" s="66" t="inlineStr">
        <is>
          <t>Manager de commerce et de centre de profit</t>
        </is>
      </c>
      <c r="G3428" s="67">
        <f>E3428&amp;" - "&amp;F3428</f>
        <v/>
      </c>
      <c r="H3428" s="38" t="inlineStr">
        <is>
          <t>Expiré / remplacé</t>
        </is>
      </c>
      <c r="I3428" s="63" t="inlineStr">
        <is>
          <t>Fiche inactive — remplacée par RNCP42321 (Manager de commerce et de centre de profit)</t>
        </is>
      </c>
      <c r="J3428" s="63" t="inlineStr">
        <is>
          <t>RNCP42321</t>
        </is>
      </c>
      <c r="K3428" s="63" t="inlineStr">
        <is>
          <t>Manager de commerce et de centre de profit</t>
        </is>
      </c>
      <c r="L3428" s="63" t="inlineStr">
        <is>
          <t>31/05/2026</t>
        </is>
      </c>
      <c r="M3428" s="63" t="inlineStr">
        <is>
          <t>32024 (Gestion centre profit) ; 32145 (Management transversal) ; 32079 (Gestion performance) ; 32025 (Stratégie entreprise) ; 34554 (Commerce)</t>
        </is>
      </c>
      <c r="N3428" s="68" t="inlineStr">
        <is>
          <t>NON</t>
        </is>
      </c>
      <c r="O3428" s="63" t="inlineStr"/>
    </row>
    <row r="3429" customFormat="1" s="3">
      <c r="A3429" s="45" t="n"/>
      <c r="B3429" s="46" t="inlineStr">
        <is>
          <t>32145</t>
        </is>
      </c>
      <c r="C3429" s="46">
        <f>LEFT(Tableau1[[#This Row],[Formacode]],3)</f>
        <v/>
      </c>
      <c r="D3429" s="47" t="n">
        <v>37655</v>
      </c>
      <c r="E3429" s="48">
        <f>"RNCP"&amp;D3429</f>
        <v/>
      </c>
      <c r="F3429" s="48" t="inlineStr">
        <is>
          <t>Responsable en gestion et développement d’une business unit</t>
        </is>
      </c>
      <c r="G3429" s="49">
        <f>E3429&amp;" - "&amp;F3429</f>
        <v/>
      </c>
      <c r="H3429" s="36" t="inlineStr">
        <is>
          <t>RAS</t>
        </is>
      </c>
      <c r="I3429" s="45" t="inlineStr"/>
      <c r="J3429" s="45" t="inlineStr">
        <is>
          <t>RNCP37655</t>
        </is>
      </c>
      <c r="K3429" s="45" t="inlineStr">
        <is>
          <t>Responsable en gestion et développement d’une business unit</t>
        </is>
      </c>
      <c r="L3429" s="45" t="inlineStr">
        <is>
          <t>31/05/2028</t>
        </is>
      </c>
      <c r="M3429" s="45" t="inlineStr">
        <is>
          <t>32025 (Stratégie entreprise) ; 32154 (Encadrement management) ; 34054 (Gestion commerciale achats)</t>
        </is>
      </c>
      <c r="N3429" s="50" t="inlineStr">
        <is>
          <t>NON</t>
        </is>
      </c>
      <c r="O3429" s="45" t="inlineStr"/>
    </row>
    <row r="3430" customFormat="1" s="3">
      <c r="A3430" s="45" t="n"/>
      <c r="B3430" s="46" t="inlineStr">
        <is>
          <t>32145</t>
        </is>
      </c>
      <c r="C3430" s="46">
        <f>LEFT(Tableau1[[#This Row],[Formacode]],3)</f>
        <v/>
      </c>
      <c r="D3430" s="47" t="n">
        <v>37683</v>
      </c>
      <c r="E3430" s="48">
        <f>"RNCP"&amp;D3430</f>
        <v/>
      </c>
      <c r="F3430" s="48" t="inlineStr">
        <is>
          <t>DipViGrM - Programme grande école</t>
        </is>
      </c>
      <c r="G3430" s="49">
        <f>E3430&amp;" - "&amp;F3430</f>
        <v/>
      </c>
      <c r="H3430" s="36" t="inlineStr">
        <is>
          <t>RAS</t>
        </is>
      </c>
      <c r="I3430" s="45" t="inlineStr"/>
      <c r="J3430" s="45" t="inlineStr">
        <is>
          <t>RNCP37683</t>
        </is>
      </c>
      <c r="K3430" s="45" t="inlineStr">
        <is>
          <t>Programme grande école</t>
        </is>
      </c>
      <c r="L3430" s="45" t="inlineStr">
        <is>
          <t>31/08/2028</t>
        </is>
      </c>
      <c r="M3430" s="45" t="inlineStr">
        <is>
          <t>32654 (Gestion financière comptabilité) ; 32145 (Management transversal) ; 34054 (Gestion commerciale achats) ; 32006 (Gestion entreprise internationale)</t>
        </is>
      </c>
      <c r="N3430" s="50" t="inlineStr">
        <is>
          <t>NON</t>
        </is>
      </c>
      <c r="O3430" s="45" t="inlineStr"/>
    </row>
    <row r="3431" customFormat="1" s="3">
      <c r="A3431" s="45" t="n"/>
      <c r="B3431" s="46" t="inlineStr">
        <is>
          <t>32145</t>
        </is>
      </c>
      <c r="C3431" s="46">
        <f>LEFT(Tableau1[[#This Row],[Formacode]],3)</f>
        <v/>
      </c>
      <c r="D3431" s="47" t="n">
        <v>38135</v>
      </c>
      <c r="E3431" s="48">
        <f>"RNCP"&amp;D3431</f>
        <v/>
      </c>
      <c r="F3431" s="48" t="inlineStr">
        <is>
          <t>Manager commercial clients grands comptes</t>
        </is>
      </c>
      <c r="G3431" s="49">
        <f>E3431&amp;" - "&amp;F3431</f>
        <v/>
      </c>
      <c r="H3431" s="36" t="inlineStr">
        <is>
          <t>RAS</t>
        </is>
      </c>
      <c r="I3431" s="45" t="inlineStr"/>
      <c r="J3431" s="45" t="inlineStr">
        <is>
          <t>RNCP38135</t>
        </is>
      </c>
      <c r="K3431" s="45" t="inlineStr">
        <is>
          <t>Manager commercial clients grands comptes</t>
        </is>
      </c>
      <c r="L3431" s="45" t="inlineStr">
        <is>
          <t>18/10/2028</t>
        </is>
      </c>
      <c r="M3431" s="45" t="inlineStr">
        <is>
          <t>34572 (Négociation grand compte) ; 32154 (Encadrement management)</t>
        </is>
      </c>
      <c r="N3431" s="50" t="inlineStr">
        <is>
          <t>NON</t>
        </is>
      </c>
      <c r="O3431" s="45" t="inlineStr"/>
    </row>
    <row r="3432" customFormat="1" s="3">
      <c r="A3432" s="45" t="n"/>
      <c r="B3432" s="46" t="inlineStr">
        <is>
          <t>32145</t>
        </is>
      </c>
      <c r="C3432" s="46">
        <f>LEFT(Tableau1[[#This Row],[Formacode]],3)</f>
        <v/>
      </c>
      <c r="D3432" s="47" t="n">
        <v>38362</v>
      </c>
      <c r="E3432" s="48">
        <f>"RNCP"&amp;D3432</f>
        <v/>
      </c>
      <c r="F3432" s="48" t="inlineStr">
        <is>
          <t>BTS - Management commercial opérationnel</t>
        </is>
      </c>
      <c r="G3432" s="49">
        <f>E3432&amp;" - "&amp;F3432</f>
        <v/>
      </c>
      <c r="H3432" s="36" t="inlineStr">
        <is>
          <t>RAS</t>
        </is>
      </c>
      <c r="I3432" s="45" t="inlineStr"/>
      <c r="J3432" s="45" t="inlineStr">
        <is>
          <t>RNCP38362</t>
        </is>
      </c>
      <c r="K3432" s="45" t="inlineStr">
        <is>
          <t>Management commercial opérationnel</t>
        </is>
      </c>
      <c r="L3432" s="45" t="inlineStr">
        <is>
          <t>31/12/2028</t>
        </is>
      </c>
      <c r="M3432" s="45" t="inlineStr">
        <is>
          <t>34054 (Gestion commerciale achats) ; 32154 (Encadrement management)</t>
        </is>
      </c>
      <c r="N3432" s="50" t="inlineStr">
        <is>
          <t>NON</t>
        </is>
      </c>
      <c r="O3432" s="45" t="inlineStr"/>
    </row>
    <row r="3433" customFormat="1" s="3">
      <c r="A3433" s="45" t="n"/>
      <c r="B3433" s="46" t="inlineStr">
        <is>
          <t>32145</t>
        </is>
      </c>
      <c r="C3433" s="46">
        <f>LEFT(Tableau1[[#This Row],[Formacode]],3)</f>
        <v/>
      </c>
      <c r="D3433" s="47" t="n">
        <v>38364</v>
      </c>
      <c r="E3433" s="48">
        <f>"RNCP"&amp;D3433</f>
        <v/>
      </c>
      <c r="F3433" s="48" t="inlineStr">
        <is>
          <t>BTS - Support à l'action managériale</t>
        </is>
      </c>
      <c r="G3433" s="49">
        <f>E3433&amp;" - "&amp;F3433</f>
        <v/>
      </c>
      <c r="H3433" s="36" t="inlineStr">
        <is>
          <t>RAS</t>
        </is>
      </c>
      <c r="I3433" s="45" t="inlineStr"/>
      <c r="J3433" s="45" t="inlineStr">
        <is>
          <t>RNCP38364</t>
        </is>
      </c>
      <c r="K3433" s="45" t="inlineStr">
        <is>
          <t>Support à l'action managériale</t>
        </is>
      </c>
      <c r="L3433" s="45" t="inlineStr">
        <is>
          <t>31/12/2027</t>
        </is>
      </c>
      <c r="M3433" s="45" t="inlineStr">
        <is>
          <t>32139 (Management situationnel) ; 32142 (Management participatif) ; 32145 (Management transversal)</t>
        </is>
      </c>
      <c r="N3433" s="50" t="inlineStr">
        <is>
          <t>NON</t>
        </is>
      </c>
      <c r="O3433" s="45" t="inlineStr"/>
    </row>
    <row r="3434" customFormat="1" s="3">
      <c r="A3434" s="45" t="n"/>
      <c r="B3434" s="46" t="inlineStr">
        <is>
          <t>32145</t>
        </is>
      </c>
      <c r="C3434" s="46">
        <f>LEFT(Tableau1[[#This Row],[Formacode]],3)</f>
        <v/>
      </c>
      <c r="D3434" s="47" t="n">
        <v>38374</v>
      </c>
      <c r="E3434" s="48">
        <f>"RNCP"&amp;D3434</f>
        <v/>
      </c>
      <c r="F3434" s="48" t="inlineStr">
        <is>
          <t>TP - Conducteur d'équipements agroalimentaires</t>
        </is>
      </c>
      <c r="G3434" s="49">
        <f>E3434&amp;" - "&amp;F3434</f>
        <v/>
      </c>
      <c r="H3434" s="36" t="inlineStr">
        <is>
          <t>RAS</t>
        </is>
      </c>
      <c r="I3434" s="45" t="inlineStr"/>
      <c r="J3434" s="45" t="inlineStr">
        <is>
          <t>RNCP38374</t>
        </is>
      </c>
      <c r="K3434" s="45" t="inlineStr">
        <is>
          <t>Conducteur d'équipements agroalimentaires</t>
        </is>
      </c>
      <c r="L3434" s="45" t="inlineStr">
        <is>
          <t>22/12/2028</t>
        </is>
      </c>
      <c r="M3434" s="45" t="inlineStr">
        <is>
          <t>21546 (Méthode haccp) ; 21547 (Bonnes pratiques hygiène agroalimentaire) ; 21575 (Conditionnement agroalimentaire) ; 32154 (Encadrement management) ; 32062 (Recherche développement)</t>
        </is>
      </c>
      <c r="N3434" s="50" t="inlineStr">
        <is>
          <t>NON</t>
        </is>
      </c>
      <c r="O3434" s="45" t="inlineStr"/>
    </row>
    <row r="3435" customFormat="1" s="3">
      <c r="A3435" s="45" t="n"/>
      <c r="B3435" s="46" t="inlineStr">
        <is>
          <t>32145</t>
        </is>
      </c>
      <c r="C3435" s="46">
        <f>LEFT(Tableau1[[#This Row],[Formacode]],3)</f>
        <v/>
      </c>
      <c r="D3435" s="47" t="n">
        <v>38439</v>
      </c>
      <c r="E3435" s="48">
        <f>"RNCP"&amp;D3435</f>
        <v/>
      </c>
      <c r="F3435" s="48" t="inlineStr">
        <is>
          <t>Responsable d'un centre de profit</t>
        </is>
      </c>
      <c r="G3435" s="49">
        <f>E3435&amp;" - "&amp;F3435</f>
        <v/>
      </c>
      <c r="H3435" s="36" t="inlineStr">
        <is>
          <t>RAS</t>
        </is>
      </c>
      <c r="I3435" s="45" t="inlineStr"/>
      <c r="J3435" s="45" t="inlineStr">
        <is>
          <t>RNCP38439</t>
        </is>
      </c>
      <c r="K3435" s="45" t="inlineStr">
        <is>
          <t>Responsable d'un centre de profit</t>
        </is>
      </c>
      <c r="L3435" s="45" t="inlineStr">
        <is>
          <t>21/12/2028</t>
        </is>
      </c>
      <c r="M3435" s="45" t="inlineStr">
        <is>
          <t>32024 (Gestion centre profit) ; 32154 (Encadrement management)</t>
        </is>
      </c>
      <c r="N3435" s="50" t="inlineStr">
        <is>
          <t>NON</t>
        </is>
      </c>
      <c r="O3435" s="45" t="inlineStr"/>
    </row>
    <row r="3436" customFormat="1" s="3">
      <c r="A3436" s="45" t="n"/>
      <c r="B3436" s="46" t="inlineStr">
        <is>
          <t>32145</t>
        </is>
      </c>
      <c r="C3436" s="46">
        <f>LEFT(Tableau1[[#This Row],[Formacode]],3)</f>
        <v/>
      </c>
      <c r="D3436" s="47" t="n">
        <v>38786</v>
      </c>
      <c r="E3436" s="48">
        <f>"RNCP"&amp;D3436</f>
        <v/>
      </c>
      <c r="F3436" s="48" t="inlineStr">
        <is>
          <t>CQP Responsable d'équipe</t>
        </is>
      </c>
      <c r="G3436" s="49">
        <f>E3436&amp;" - "&amp;F3436</f>
        <v/>
      </c>
      <c r="H3436" s="36" t="inlineStr">
        <is>
          <t>RAS</t>
        </is>
      </c>
      <c r="I3436" s="45" t="inlineStr"/>
      <c r="J3436" s="45" t="inlineStr">
        <is>
          <t>RNCP38786</t>
        </is>
      </c>
      <c r="K3436" s="45" t="inlineStr">
        <is>
          <t>CQP Responsable d'équipe</t>
        </is>
      </c>
      <c r="L3436" s="45" t="inlineStr">
        <is>
          <t>27/03/2028</t>
        </is>
      </c>
      <c r="M3436" s="45" t="inlineStr">
        <is>
          <t>32154 (Encadrement management)</t>
        </is>
      </c>
      <c r="N3436" s="50" t="inlineStr">
        <is>
          <t>NON</t>
        </is>
      </c>
      <c r="O3436" s="45" t="inlineStr"/>
    </row>
    <row r="3437" customFormat="1" s="3">
      <c r="A3437" s="45" t="n"/>
      <c r="B3437" s="46" t="inlineStr">
        <is>
          <t>32145</t>
        </is>
      </c>
      <c r="C3437" s="46">
        <f>LEFT(Tableau1[[#This Row],[Formacode]],3)</f>
        <v/>
      </c>
      <c r="D3437" s="47" t="n">
        <v>39135</v>
      </c>
      <c r="E3437" s="48">
        <f>"RNCP"&amp;D3437</f>
        <v/>
      </c>
      <c r="F3437" s="48" t="inlineStr">
        <is>
          <t>DIPLOVIS - Gestion et Développement Commercial</t>
        </is>
      </c>
      <c r="G3437" s="49">
        <f>E3437&amp;" - "&amp;F3437</f>
        <v/>
      </c>
      <c r="H3437" s="36" t="inlineStr">
        <is>
          <t>RAS</t>
        </is>
      </c>
      <c r="I3437" s="45" t="inlineStr"/>
      <c r="J3437" s="45" t="inlineStr">
        <is>
          <t>RNCP39135</t>
        </is>
      </c>
      <c r="K3437" s="45" t="inlineStr">
        <is>
          <t>Gestion et Développement Commercial</t>
        </is>
      </c>
      <c r="L3437" s="45" t="inlineStr">
        <is>
          <t>31/08/2027</t>
        </is>
      </c>
      <c r="M3437" s="45" t="inlineStr">
        <is>
          <t>32079 (Gestion performance) ; 32094 (Gestion PME PMI) ; 32145 (Management transversal) ; 34085 (Stratégie commerciale) ; 34076 (Gestion relation client)</t>
        </is>
      </c>
      <c r="N3437" s="50" t="inlineStr">
        <is>
          <t>NON</t>
        </is>
      </c>
      <c r="O3437" s="45" t="inlineStr"/>
    </row>
    <row r="3438" customFormat="1" s="3">
      <c r="A3438" s="45" t="n"/>
      <c r="B3438" s="46" t="inlineStr">
        <is>
          <t>32145</t>
        </is>
      </c>
      <c r="C3438" s="46">
        <f>LEFT(Tableau1[[#This Row],[Formacode]],3)</f>
        <v/>
      </c>
      <c r="D3438" s="47" t="n">
        <v>39136</v>
      </c>
      <c r="E3438" s="48">
        <f>"RNCP"&amp;D3438</f>
        <v/>
      </c>
      <c r="F3438" s="48" t="inlineStr">
        <is>
          <t>Grade_Master - Diplôme des Instituts d’Études Politiques – Sciences Po</t>
        </is>
      </c>
      <c r="G3438" s="49">
        <f>E3438&amp;" - "&amp;F3438</f>
        <v/>
      </c>
      <c r="H3438" s="36" t="inlineStr">
        <is>
          <t>RAS</t>
        </is>
      </c>
      <c r="I3438" s="45" t="inlineStr"/>
      <c r="J3438" s="45" t="inlineStr">
        <is>
          <t>RNCP39136</t>
        </is>
      </c>
      <c r="K3438" s="45" t="inlineStr">
        <is>
          <t>Diplôme des Instituts d’Études Politiques – Sciences Po</t>
        </is>
      </c>
      <c r="L3438" s="45" t="inlineStr">
        <is>
          <t>14/04/2029</t>
        </is>
      </c>
      <c r="M3438" s="45" t="inlineStr">
        <is>
          <t>13154 (Économie) ; 13054 (Science politique) ; 46354 (Information - Communication numérique) ; 32154 (Encadrement management) ; 13254 (Droit)</t>
        </is>
      </c>
      <c r="N3438" s="50" t="inlineStr">
        <is>
          <t>NON</t>
        </is>
      </c>
      <c r="O3438" s="45" t="inlineStr"/>
    </row>
    <row r="3439" customFormat="1" s="3">
      <c r="A3439" s="51" t="n"/>
      <c r="B3439" s="52" t="inlineStr">
        <is>
          <t>32145</t>
        </is>
      </c>
      <c r="C3439" s="52">
        <f>LEFT(Tableau1[[#This Row],[Formacode]],3)</f>
        <v/>
      </c>
      <c r="D3439" s="53" t="n">
        <v>39160</v>
      </c>
      <c r="E3439" s="54">
        <f>"RNCP"&amp;D3439</f>
        <v/>
      </c>
      <c r="F3439" s="54" t="inlineStr">
        <is>
          <t>Diplôme visé grade de master - Programme Grande Ecole</t>
        </is>
      </c>
      <c r="G3439" s="55">
        <f>E3439&amp;" - "&amp;F3439</f>
        <v/>
      </c>
      <c r="H3439" s="37" t="inlineStr">
        <is>
          <t>À vérifier</t>
        </is>
      </c>
      <c r="I3439" s="51" t="inlineStr">
        <is>
          <t>Échéance le 31/08/2026 (dans 44 j)</t>
        </is>
      </c>
      <c r="J3439" s="51" t="inlineStr">
        <is>
          <t>RNCP39160</t>
        </is>
      </c>
      <c r="K3439" s="51" t="inlineStr">
        <is>
          <t>Programme Grande Ecole</t>
        </is>
      </c>
      <c r="L3439" s="51" t="inlineStr">
        <is>
          <t>31/08/2026</t>
        </is>
      </c>
      <c r="M3439" s="51" t="inlineStr">
        <is>
          <t>32025 (Stratégie entreprise) ; 32008 (Responsabilité sociétale entreprise) ; 32047 (Création entreprise) ; 32654 (Gestion financière comptabilité) ; 32154 (Encadrement management)</t>
        </is>
      </c>
      <c r="N3439" s="62" t="inlineStr">
        <is>
          <t>NON</t>
        </is>
      </c>
      <c r="O3439" s="51" t="inlineStr"/>
    </row>
    <row r="3440" customFormat="1" s="3">
      <c r="A3440" s="45" t="n"/>
      <c r="B3440" s="46" t="inlineStr">
        <is>
          <t>32145</t>
        </is>
      </c>
      <c r="C3440" s="46">
        <f>LEFT(Tableau1[[#This Row],[Formacode]],3)</f>
        <v/>
      </c>
      <c r="D3440" s="47" t="n">
        <v>39354</v>
      </c>
      <c r="E3440" s="48">
        <f>"RNCP"&amp;D3440</f>
        <v/>
      </c>
      <c r="F3440" s="48" t="inlineStr">
        <is>
          <t>Manager du développement d'entreprise et commercial</t>
        </is>
      </c>
      <c r="G3440" s="49">
        <f>E3440&amp;" - "&amp;F3440</f>
        <v/>
      </c>
      <c r="H3440" s="36" t="inlineStr">
        <is>
          <t>RAS</t>
        </is>
      </c>
      <c r="I3440" s="45" t="inlineStr"/>
      <c r="J3440" s="45" t="inlineStr">
        <is>
          <t>RNCP39354</t>
        </is>
      </c>
      <c r="K3440" s="45" t="inlineStr">
        <is>
          <t>Manager du développement d'entreprise et commercial</t>
        </is>
      </c>
      <c r="L3440" s="45" t="inlineStr">
        <is>
          <t>19/07/2027</t>
        </is>
      </c>
      <c r="M3440" s="45" t="inlineStr">
        <is>
          <t>34085 (Stratégie commerciale) ; 32025 (Stratégie entreprise) ; 32024 (Gestion centre profit) ; 32154 (Encadrement management)</t>
        </is>
      </c>
      <c r="N3440" s="50" t="inlineStr">
        <is>
          <t>NON</t>
        </is>
      </c>
      <c r="O3440" s="45" t="inlineStr"/>
    </row>
    <row r="3441" customFormat="1" s="3">
      <c r="A3441" s="45" t="n"/>
      <c r="B3441" s="46" t="inlineStr">
        <is>
          <t>32145</t>
        </is>
      </c>
      <c r="C3441" s="46">
        <f>LEFT(Tableau1[[#This Row],[Formacode]],3)</f>
        <v/>
      </c>
      <c r="D3441" s="47" t="n">
        <v>39366</v>
      </c>
      <c r="E3441" s="48">
        <f>"RNCP"&amp;D3441</f>
        <v/>
      </c>
      <c r="F3441" s="48" t="inlineStr">
        <is>
          <t>CQP Manager commercial cuisines et/ou aménagement intérieur</t>
        </is>
      </c>
      <c r="G3441" s="49">
        <f>E3441&amp;" - "&amp;F3441</f>
        <v/>
      </c>
      <c r="H3441" s="36" t="inlineStr">
        <is>
          <t>RAS</t>
        </is>
      </c>
      <c r="I3441" s="45" t="inlineStr"/>
      <c r="J3441" s="45" t="inlineStr">
        <is>
          <t>RNCP39366</t>
        </is>
      </c>
      <c r="K3441" s="45" t="inlineStr">
        <is>
          <t>CQP Manager commercial cuisines et/ou aménagement intérieur</t>
        </is>
      </c>
      <c r="L3441" s="45" t="inlineStr">
        <is>
          <t>19/07/2029</t>
        </is>
      </c>
      <c r="M3441" s="45" t="inlineStr">
        <is>
          <t>34561 (Force vente) ; 34536 (Vente équipement maison) ; 32154 (Encadrement management)</t>
        </is>
      </c>
      <c r="N3441" s="50" t="inlineStr">
        <is>
          <t>NON</t>
        </is>
      </c>
      <c r="O3441" s="45" t="inlineStr"/>
    </row>
    <row r="3442" customFormat="1" s="3">
      <c r="A3442" s="51" t="n"/>
      <c r="B3442" s="52" t="inlineStr">
        <is>
          <t>32145</t>
        </is>
      </c>
      <c r="C3442" s="52">
        <f>LEFT(Tableau1[[#This Row],[Formacode]],3)</f>
        <v/>
      </c>
      <c r="D3442" s="53" t="n">
        <v>39763</v>
      </c>
      <c r="E3442" s="54">
        <f>"RNCP"&amp;D3442</f>
        <v/>
      </c>
      <c r="F3442" s="54" t="inlineStr">
        <is>
          <t>Manager de la performance financière</t>
        </is>
      </c>
      <c r="G3442" s="55">
        <f>E3442&amp;" - "&amp;F3442</f>
        <v/>
      </c>
      <c r="H3442" s="37" t="inlineStr">
        <is>
          <t>À vérifier</t>
        </is>
      </c>
      <c r="I3442" s="51" t="inlineStr">
        <is>
          <t>Échéance le 31/10/2026 (dans 105 j)</t>
        </is>
      </c>
      <c r="J3442" s="51" t="inlineStr">
        <is>
          <t>RNCP39763</t>
        </is>
      </c>
      <c r="K3442" s="51" t="inlineStr">
        <is>
          <t>Manager de la performance financière</t>
        </is>
      </c>
      <c r="L3442" s="51" t="inlineStr">
        <is>
          <t>31/10/2026</t>
        </is>
      </c>
      <c r="M3442" s="51" t="inlineStr">
        <is>
          <t>32154 (Encadrement management) ; 32079 (Gestion performance) ; 32652 (Contrôle gestion) ; 32098 (Audit entreprise)</t>
        </is>
      </c>
      <c r="N3442" s="62" t="inlineStr">
        <is>
          <t>NON</t>
        </is>
      </c>
      <c r="O3442" s="51" t="inlineStr"/>
    </row>
    <row r="3443" customFormat="1" s="3">
      <c r="A3443" s="45" t="n"/>
      <c r="B3443" s="46" t="inlineStr">
        <is>
          <t>32145</t>
        </is>
      </c>
      <c r="C3443" s="46">
        <f>LEFT(Tableau1[[#This Row],[Formacode]],3)</f>
        <v/>
      </c>
      <c r="D3443" s="47" t="n">
        <v>39787</v>
      </c>
      <c r="E3443" s="48">
        <f>"RNCP"&amp;D3443</f>
        <v/>
      </c>
      <c r="F3443" s="48" t="inlineStr">
        <is>
          <t>Directeur de la performance commerciale</t>
        </is>
      </c>
      <c r="G3443" s="49">
        <f>E3443&amp;" - "&amp;F3443</f>
        <v/>
      </c>
      <c r="H3443" s="36" t="inlineStr">
        <is>
          <t>RAS</t>
        </is>
      </c>
      <c r="I3443" s="45" t="inlineStr"/>
      <c r="J3443" s="45" t="inlineStr">
        <is>
          <t>RNCP39787</t>
        </is>
      </c>
      <c r="K3443" s="45" t="inlineStr">
        <is>
          <t>Directeur de la performance commerciale</t>
        </is>
      </c>
      <c r="L3443" s="45" t="inlineStr">
        <is>
          <t>31/10/2029</t>
        </is>
      </c>
      <c r="M3443" s="45" t="inlineStr">
        <is>
          <t>32079 (Gestion performance) ; 32154 (Encadrement management) ; 34085 (Stratégie commerciale)</t>
        </is>
      </c>
      <c r="N3443" s="50" t="inlineStr">
        <is>
          <t>NON</t>
        </is>
      </c>
      <c r="O3443" s="45" t="inlineStr"/>
    </row>
    <row r="3444" customFormat="1" s="3">
      <c r="A3444" s="45" t="n"/>
      <c r="B3444" s="46" t="inlineStr">
        <is>
          <t>32145</t>
        </is>
      </c>
      <c r="C3444" s="46">
        <f>LEFT(Tableau1[[#This Row],[Formacode]],3)</f>
        <v/>
      </c>
      <c r="D3444" s="47" t="n">
        <v>39864</v>
      </c>
      <c r="E3444" s="48">
        <f>"RNCP"&amp;D3444</f>
        <v/>
      </c>
      <c r="F3444" s="48" t="inlineStr">
        <is>
          <t>Manager du développement des ressources humaines</t>
        </is>
      </c>
      <c r="G3444" s="49">
        <f>E3444&amp;" - "&amp;F3444</f>
        <v/>
      </c>
      <c r="H3444" s="36" t="inlineStr">
        <is>
          <t>RAS</t>
        </is>
      </c>
      <c r="I3444" s="45" t="inlineStr"/>
      <c r="J3444" s="45" t="inlineStr">
        <is>
          <t>RNCP39864</t>
        </is>
      </c>
      <c r="K3444" s="45" t="inlineStr">
        <is>
          <t>Manager du développement des ressources humaines</t>
        </is>
      </c>
      <c r="L3444" s="45" t="inlineStr">
        <is>
          <t>28/11/2027</t>
        </is>
      </c>
      <c r="M3444" s="45" t="inlineStr">
        <is>
          <t>33054 (Gestion ressources humaines) ; 32154 (Encadrement management)</t>
        </is>
      </c>
      <c r="N3444" s="50" t="inlineStr">
        <is>
          <t>NON</t>
        </is>
      </c>
      <c r="O3444" s="45" t="inlineStr"/>
    </row>
    <row r="3445" customFormat="1" s="3">
      <c r="A3445" s="45" t="n"/>
      <c r="B3445" s="46" t="inlineStr">
        <is>
          <t>32145</t>
        </is>
      </c>
      <c r="C3445" s="46">
        <f>LEFT(Tableau1[[#This Row],[Formacode]],3)</f>
        <v/>
      </c>
      <c r="D3445" s="47" t="n">
        <v>39972</v>
      </c>
      <c r="E3445" s="48">
        <f>"RNCP"&amp;D3445</f>
        <v/>
      </c>
      <c r="F3445" s="48" t="inlineStr">
        <is>
          <t>CQP Responsable d'équipe du secteur alimentaire</t>
        </is>
      </c>
      <c r="G3445" s="49">
        <f>E3445&amp;" - "&amp;F3445</f>
        <v/>
      </c>
      <c r="H3445" s="36" t="inlineStr">
        <is>
          <t>RAS</t>
        </is>
      </c>
      <c r="I3445" s="45" t="inlineStr"/>
      <c r="J3445" s="45" t="inlineStr">
        <is>
          <t>RNCP39972</t>
        </is>
      </c>
      <c r="K3445" s="45" t="inlineStr">
        <is>
          <t>CQP Responsable d'équipe du secteur alimentaire</t>
        </is>
      </c>
      <c r="L3445" s="45" t="inlineStr">
        <is>
          <t>18/12/2029</t>
        </is>
      </c>
      <c r="M3445" s="45" t="inlineStr">
        <is>
          <t>32154 (Encadrement management) ; 21554 (Agroalimentaire)</t>
        </is>
      </c>
      <c r="N3445" s="50" t="inlineStr">
        <is>
          <t>NON</t>
        </is>
      </c>
      <c r="O3445" s="45" t="inlineStr"/>
    </row>
    <row r="3446" customFormat="1" s="3">
      <c r="A3446" s="45" t="n"/>
      <c r="B3446" s="46" t="inlineStr">
        <is>
          <t>32145</t>
        </is>
      </c>
      <c r="C3446" s="46">
        <f>LEFT(Tableau1[[#This Row],[Formacode]],3)</f>
        <v/>
      </c>
      <c r="D3446" s="47" t="n">
        <v>39994</v>
      </c>
      <c r="E3446" s="48">
        <f>"RNCP"&amp;D3446</f>
        <v/>
      </c>
      <c r="F3446" s="48" t="inlineStr">
        <is>
          <t>Manager des transformations des organisations</t>
        </is>
      </c>
      <c r="G3446" s="49">
        <f>E3446&amp;" - "&amp;F3446</f>
        <v/>
      </c>
      <c r="H3446" s="36" t="inlineStr">
        <is>
          <t>RAS</t>
        </is>
      </c>
      <c r="I3446" s="45" t="inlineStr"/>
      <c r="J3446" s="45" t="inlineStr">
        <is>
          <t>RNCP39994</t>
        </is>
      </c>
      <c r="K3446" s="45" t="inlineStr">
        <is>
          <t>Manager des transformations des organisations</t>
        </is>
      </c>
      <c r="L3446" s="45" t="inlineStr">
        <is>
          <t>18/12/2027</t>
        </is>
      </c>
      <c r="M3446" s="45" t="inlineStr">
        <is>
          <t>32025 (Stratégie entreprise) ; 32079 (Gestion performance) ; 32154 (Encadrement management)</t>
        </is>
      </c>
      <c r="N3446" s="50" t="inlineStr">
        <is>
          <t>NON</t>
        </is>
      </c>
      <c r="O3446" s="45" t="inlineStr"/>
    </row>
    <row r="3447" customFormat="1" s="3">
      <c r="A3447" s="45" t="n"/>
      <c r="B3447" s="46" t="inlineStr">
        <is>
          <t>32145</t>
        </is>
      </c>
      <c r="C3447" s="46">
        <f>LEFT(Tableau1[[#This Row],[Formacode]],3)</f>
        <v/>
      </c>
      <c r="D3447" s="47" t="n">
        <v>40169</v>
      </c>
      <c r="E3447" s="48">
        <f>"RNCP"&amp;D3447</f>
        <v/>
      </c>
      <c r="F3447" s="48" t="inlineStr">
        <is>
          <t>CQP Responsable de conseillers techniques en élevage</t>
        </is>
      </c>
      <c r="G3447" s="49">
        <f>E3447&amp;" - "&amp;F3447</f>
        <v/>
      </c>
      <c r="H3447" s="36" t="inlineStr">
        <is>
          <t>RAS</t>
        </is>
      </c>
      <c r="I3447" s="45" t="inlineStr"/>
      <c r="J3447" s="45" t="inlineStr">
        <is>
          <t>RNCP40169</t>
        </is>
      </c>
      <c r="K3447" s="45" t="inlineStr">
        <is>
          <t>CQP Responsable de conseillers techniques en élevage</t>
        </is>
      </c>
      <c r="L3447" s="45" t="inlineStr">
        <is>
          <t>31/01/2030</t>
        </is>
      </c>
      <c r="M3447" s="45" t="inlineStr">
        <is>
          <t>21056 (Élevage) ; 32068 (Coordination travail) ; 32154 (Encadrement management)</t>
        </is>
      </c>
      <c r="N3447" s="50" t="inlineStr">
        <is>
          <t>NON</t>
        </is>
      </c>
      <c r="O3447" s="45" t="inlineStr"/>
    </row>
    <row r="3448" customFormat="1" s="3">
      <c r="A3448" s="45" t="n"/>
      <c r="B3448" s="46" t="inlineStr">
        <is>
          <t>32145</t>
        </is>
      </c>
      <c r="C3448" s="46">
        <f>LEFT(Tableau1[[#This Row],[Formacode]],3)</f>
        <v/>
      </c>
      <c r="D3448" s="47" t="n">
        <v>40359</v>
      </c>
      <c r="E3448" s="48">
        <f>"RNCP"&amp;D3448</f>
        <v/>
      </c>
      <c r="F3448" s="48" t="inlineStr">
        <is>
          <t>Manager du développement commercial</t>
        </is>
      </c>
      <c r="G3448" s="49">
        <f>E3448&amp;" - "&amp;F3448</f>
        <v/>
      </c>
      <c r="H3448" s="36" t="inlineStr">
        <is>
          <t>RAS</t>
        </is>
      </c>
      <c r="I3448" s="45" t="inlineStr"/>
      <c r="J3448" s="45" t="inlineStr">
        <is>
          <t>RNCP40359</t>
        </is>
      </c>
      <c r="K3448" s="45" t="inlineStr">
        <is>
          <t>Manager du développement commercial</t>
        </is>
      </c>
      <c r="L3448" s="45" t="inlineStr">
        <is>
          <t>28/03/2028</t>
        </is>
      </c>
      <c r="M3448" s="45" t="inlineStr">
        <is>
          <t>34085 (Stratégie commerciale) ; 34554 (Commerce) ; 32145 (Management transversal)</t>
        </is>
      </c>
      <c r="N3448" s="50" t="inlineStr">
        <is>
          <t>NON</t>
        </is>
      </c>
      <c r="O3448" s="45" t="inlineStr"/>
    </row>
    <row r="3449" customFormat="1" s="3">
      <c r="A3449" s="45" t="n"/>
      <c r="B3449" s="46" t="inlineStr">
        <is>
          <t>32145</t>
        </is>
      </c>
      <c r="C3449" s="46">
        <f>LEFT(Tableau1[[#This Row],[Formacode]],3)</f>
        <v/>
      </c>
      <c r="D3449" s="47" t="n">
        <v>40360</v>
      </c>
      <c r="E3449" s="48">
        <f>"RNCP"&amp;D3449</f>
        <v/>
      </c>
      <c r="F3449" s="48" t="inlineStr">
        <is>
          <t>Manager marketing et communication</t>
        </is>
      </c>
      <c r="G3449" s="49">
        <f>E3449&amp;" - "&amp;F3449</f>
        <v/>
      </c>
      <c r="H3449" s="36" t="inlineStr">
        <is>
          <t>RAS</t>
        </is>
      </c>
      <c r="I3449" s="45" t="inlineStr"/>
      <c r="J3449" s="45" t="inlineStr">
        <is>
          <t>RNCP40360</t>
        </is>
      </c>
      <c r="K3449" s="45" t="inlineStr">
        <is>
          <t>Manager marketing et communication</t>
        </is>
      </c>
      <c r="L3449" s="45" t="inlineStr">
        <is>
          <t>28/03/2028</t>
        </is>
      </c>
      <c r="M3449" s="45" t="inlineStr">
        <is>
          <t>34052 (Marketing) ; 34085 (Stratégie commerciale) ; 32145 (Management transversal)</t>
        </is>
      </c>
      <c r="N3449" s="50" t="inlineStr">
        <is>
          <t>NON</t>
        </is>
      </c>
      <c r="O3449" s="45" t="inlineStr"/>
    </row>
    <row r="3450" customFormat="1" s="3">
      <c r="A3450" s="45" t="n"/>
      <c r="B3450" s="46" t="inlineStr">
        <is>
          <t>32145</t>
        </is>
      </c>
      <c r="C3450" s="46">
        <f>LEFT(Tableau1[[#This Row],[Formacode]],3)</f>
        <v/>
      </c>
      <c r="D3450" s="47" t="n">
        <v>40362</v>
      </c>
      <c r="E3450" s="48">
        <f>"RNCP"&amp;D3450</f>
        <v/>
      </c>
      <c r="F3450" s="48" t="inlineStr">
        <is>
          <t>Consultant en management de projets</t>
        </is>
      </c>
      <c r="G3450" s="49">
        <f>E3450&amp;" - "&amp;F3450</f>
        <v/>
      </c>
      <c r="H3450" s="36" t="inlineStr">
        <is>
          <t>RAS</t>
        </is>
      </c>
      <c r="I3450" s="45" t="inlineStr"/>
      <c r="J3450" s="45" t="inlineStr">
        <is>
          <t>RNCP40362</t>
        </is>
      </c>
      <c r="K3450" s="45" t="inlineStr">
        <is>
          <t>Consultant en management de projets</t>
        </is>
      </c>
      <c r="L3450" s="45" t="inlineStr">
        <is>
          <t>28/03/2028</t>
        </is>
      </c>
      <c r="M3450" s="45" t="inlineStr">
        <is>
          <t>32135 (Conduite projet) ; 32145 (Management transversal) ; 32025 (Stratégie entreprise)</t>
        </is>
      </c>
      <c r="N3450" s="50" t="inlineStr">
        <is>
          <t>NON</t>
        </is>
      </c>
      <c r="O3450" s="45" t="inlineStr"/>
    </row>
    <row r="3451" customFormat="1" s="3">
      <c r="A3451" s="45" t="n"/>
      <c r="B3451" s="46" t="inlineStr">
        <is>
          <t>32145</t>
        </is>
      </c>
      <c r="C3451" s="46">
        <f>LEFT(Tableau1[[#This Row],[Formacode]],3)</f>
        <v/>
      </c>
      <c r="D3451" s="47" t="n">
        <v>41000</v>
      </c>
      <c r="E3451" s="48">
        <f>"RNCP"&amp;D3451</f>
        <v/>
      </c>
      <c r="F3451" s="48" t="inlineStr">
        <is>
          <t>BTS - Management opérationnel de la sécurité</t>
        </is>
      </c>
      <c r="G3451" s="49">
        <f>E3451&amp;" - "&amp;F3451</f>
        <v/>
      </c>
      <c r="H3451" s="36" t="inlineStr">
        <is>
          <t>RAS</t>
        </is>
      </c>
      <c r="I3451" s="45" t="inlineStr"/>
      <c r="J3451" s="45" t="inlineStr">
        <is>
          <t>RNCP41000</t>
        </is>
      </c>
      <c r="K3451" s="45" t="inlineStr">
        <is>
          <t>Management opérationnel de la sécurité</t>
        </is>
      </c>
      <c r="L3451" s="45" t="inlineStr">
        <is>
          <t>31/08/2030</t>
        </is>
      </c>
      <c r="M3451" s="45" t="inlineStr">
        <is>
          <t>42854 (Prévention sécurité) ; 32154 (Encadrement management)</t>
        </is>
      </c>
      <c r="N3451" s="50" t="inlineStr">
        <is>
          <t>NON</t>
        </is>
      </c>
      <c r="O3451" s="45" t="inlineStr"/>
    </row>
    <row r="3452" customFormat="1" s="3">
      <c r="A3452" s="45" t="n"/>
      <c r="B3452" s="46" t="inlineStr">
        <is>
          <t>32145</t>
        </is>
      </c>
      <c r="C3452" s="46">
        <f>LEFT(Tableau1[[#This Row],[Formacode]],3)</f>
        <v/>
      </c>
      <c r="D3452" s="47" t="n">
        <v>41809</v>
      </c>
      <c r="E3452" s="48">
        <f>"RNCP"&amp;D3452</f>
        <v/>
      </c>
      <c r="F3452" s="48" t="inlineStr">
        <is>
          <t>Manager de la stratégie marketing digital</t>
        </is>
      </c>
      <c r="G3452" s="49">
        <f>E3452&amp;" - "&amp;F3452</f>
        <v/>
      </c>
      <c r="H3452" s="36" t="inlineStr">
        <is>
          <t>RAS</t>
        </is>
      </c>
      <c r="I3452" s="45" t="inlineStr"/>
      <c r="J3452" s="45" t="inlineStr">
        <is>
          <t>RNCP41809</t>
        </is>
      </c>
      <c r="K3452" s="45" t="inlineStr">
        <is>
          <t>Manager de la stratégie marketing digital</t>
        </is>
      </c>
      <c r="L3452" s="45" t="inlineStr">
        <is>
          <t>18/12/2028</t>
        </is>
      </c>
      <c r="M3452" s="45" t="inlineStr">
        <is>
          <t>46301 (Communication entreprise) ; 15004 (Communication professionnelle) ; 32154 (Encadrement management) ; 34052 (Marketing)</t>
        </is>
      </c>
      <c r="N3452" s="50" t="inlineStr">
        <is>
          <t>NON</t>
        </is>
      </c>
      <c r="O3452" s="45" t="inlineStr"/>
    </row>
    <row r="3453" customFormat="1" s="3">
      <c r="A3453" s="63" t="n"/>
      <c r="B3453" s="64" t="inlineStr">
        <is>
          <t>32150</t>
        </is>
      </c>
      <c r="C3453" s="64">
        <f>LEFT(Tableau1[[#This Row],[Formacode]],3)</f>
        <v/>
      </c>
      <c r="D3453" s="65" t="n">
        <v>35233</v>
      </c>
      <c r="E3453" s="66">
        <f>"RNCP"&amp;D3453</f>
        <v/>
      </c>
      <c r="F3453" s="66" t="inlineStr">
        <is>
          <t>TP - Assistant manager d’unité marchande</t>
        </is>
      </c>
      <c r="G3453" s="67">
        <f>E3453&amp;" - "&amp;F3453</f>
        <v/>
      </c>
      <c r="H3453" s="38" t="inlineStr">
        <is>
          <t>Expiré / remplacé</t>
        </is>
      </c>
      <c r="I3453" s="63" t="inlineStr">
        <is>
          <t>Fiche inactive — remplacée par RNCP41852 (Assistant manager d’unité marchande)</t>
        </is>
      </c>
      <c r="J3453" s="63" t="inlineStr">
        <is>
          <t>RNCP41852</t>
        </is>
      </c>
      <c r="K3453" s="63" t="inlineStr">
        <is>
          <t>Assistant manager d’unité marchande</t>
        </is>
      </c>
      <c r="L3453" s="63" t="inlineStr">
        <is>
          <t>16/02/2026</t>
        </is>
      </c>
      <c r="M3453" s="63" t="inlineStr">
        <is>
          <t>34566 (Vente distribution) ; 32154 (Encadrement management)</t>
        </is>
      </c>
      <c r="N3453" s="68" t="inlineStr">
        <is>
          <t>NON</t>
        </is>
      </c>
      <c r="O3453" s="63" t="inlineStr"/>
    </row>
    <row r="3454" customFormat="1" s="3">
      <c r="A3454" s="45" t="n"/>
      <c r="B3454" s="46" t="inlineStr">
        <is>
          <t>32150</t>
        </is>
      </c>
      <c r="C3454" s="46">
        <f>LEFT(Tableau1[[#This Row],[Formacode]],3)</f>
        <v/>
      </c>
      <c r="D3454" s="47" t="n">
        <v>36461</v>
      </c>
      <c r="E3454" s="48">
        <f>"RNCP"&amp;D3454</f>
        <v/>
      </c>
      <c r="F3454" s="48" t="inlineStr">
        <is>
          <t>Directeur d'unité opérationnelle</t>
        </is>
      </c>
      <c r="G3454" s="49">
        <f>E3454&amp;" - "&amp;F3454</f>
        <v/>
      </c>
      <c r="H3454" s="36" t="inlineStr">
        <is>
          <t>RAS</t>
        </is>
      </c>
      <c r="I3454" s="45" t="inlineStr"/>
      <c r="J3454" s="45" t="inlineStr">
        <is>
          <t>RNCP36461</t>
        </is>
      </c>
      <c r="K3454" s="45" t="inlineStr">
        <is>
          <t>Directeur d'unité opérationnelle</t>
        </is>
      </c>
      <c r="L3454" s="45" t="inlineStr">
        <is>
          <t>02/06/2027</t>
        </is>
      </c>
      <c r="M3454" s="45" t="inlineStr">
        <is>
          <t>32054 (Gestion des organisations) ; 32154 (Encadrement management)</t>
        </is>
      </c>
      <c r="N3454" s="50" t="inlineStr">
        <is>
          <t>NON</t>
        </is>
      </c>
      <c r="O3454" s="45" t="inlineStr"/>
    </row>
    <row r="3455" customFormat="1" s="3">
      <c r="A3455" s="45" t="n"/>
      <c r="B3455" s="46" t="inlineStr">
        <is>
          <t>32150</t>
        </is>
      </c>
      <c r="C3455" s="46">
        <f>LEFT(Tableau1[[#This Row],[Formacode]],3)</f>
        <v/>
      </c>
      <c r="D3455" s="47" t="n">
        <v>36890</v>
      </c>
      <c r="E3455" s="48">
        <f>"RNCP"&amp;D3455</f>
        <v/>
      </c>
      <c r="F3455" s="48" t="inlineStr">
        <is>
          <t>Manager d'unité opérationnelle</t>
        </is>
      </c>
      <c r="G3455" s="49">
        <f>E3455&amp;" - "&amp;F3455</f>
        <v/>
      </c>
      <c r="H3455" s="36" t="inlineStr">
        <is>
          <t>RAS</t>
        </is>
      </c>
      <c r="I3455" s="45" t="inlineStr"/>
      <c r="J3455" s="45" t="inlineStr">
        <is>
          <t>RNCP36890</t>
        </is>
      </c>
      <c r="K3455" s="45" t="inlineStr">
        <is>
          <t>Manager d'unité opérationnelle</t>
        </is>
      </c>
      <c r="L3455" s="45" t="inlineStr">
        <is>
          <t>29/09/2027</t>
        </is>
      </c>
      <c r="M3455" s="45" t="inlineStr">
        <is>
          <t>32079 (Gestion performance) ; 32025 (Stratégie entreprise) ; 32154 (Encadrement management)</t>
        </is>
      </c>
      <c r="N3455" s="50" t="inlineStr">
        <is>
          <t>NON</t>
        </is>
      </c>
      <c r="O3455" s="45" t="inlineStr"/>
    </row>
    <row r="3456" customFormat="1" s="3">
      <c r="A3456" s="45" t="n"/>
      <c r="B3456" s="46" t="inlineStr">
        <is>
          <t>32150</t>
        </is>
      </c>
      <c r="C3456" s="46">
        <f>LEFT(Tableau1[[#This Row],[Formacode]],3)</f>
        <v/>
      </c>
      <c r="D3456" s="47" t="n">
        <v>37270</v>
      </c>
      <c r="E3456" s="48">
        <f>"RNCP"&amp;D3456</f>
        <v/>
      </c>
      <c r="F3456" s="48" t="inlineStr">
        <is>
          <t>Manager de programmes internationaux - humanitaire et développement</t>
        </is>
      </c>
      <c r="G3456" s="49">
        <f>E3456&amp;" - "&amp;F3456</f>
        <v/>
      </c>
      <c r="H3456" s="36" t="inlineStr">
        <is>
          <t>RAS</t>
        </is>
      </c>
      <c r="I3456" s="45" t="inlineStr"/>
      <c r="J3456" s="45" t="inlineStr">
        <is>
          <t>RNCP37270</t>
        </is>
      </c>
      <c r="K3456" s="45" t="inlineStr">
        <is>
          <t>Manager de programmes internationaux - humanitaire et développement</t>
        </is>
      </c>
      <c r="L3456" s="45" t="inlineStr">
        <is>
          <t>25/01/2028</t>
        </is>
      </c>
      <c r="M3456" s="45" t="inlineStr">
        <is>
          <t>13017 (Action humanitaire) ; 32154 (Encadrement management) ; 32005 (Stratégie internationale)</t>
        </is>
      </c>
      <c r="N3456" s="50" t="inlineStr">
        <is>
          <t>NON</t>
        </is>
      </c>
      <c r="O3456" s="45" t="inlineStr"/>
    </row>
    <row r="3457" customFormat="1" s="3">
      <c r="A3457" s="45" t="n"/>
      <c r="B3457" s="46" t="inlineStr">
        <is>
          <t>32150</t>
        </is>
      </c>
      <c r="C3457" s="46">
        <f>LEFT(Tableau1[[#This Row],[Formacode]],3)</f>
        <v/>
      </c>
      <c r="D3457" s="47" t="n">
        <v>37282</v>
      </c>
      <c r="E3457" s="48">
        <f>"RNCP"&amp;D3457</f>
        <v/>
      </c>
      <c r="F3457" s="48" t="inlineStr">
        <is>
          <t>CQP Manager d’équipe en négoce des matériaux de construction</t>
        </is>
      </c>
      <c r="G3457" s="49">
        <f>E3457&amp;" - "&amp;F3457</f>
        <v/>
      </c>
      <c r="H3457" s="36" t="inlineStr">
        <is>
          <t>RAS</t>
        </is>
      </c>
      <c r="I3457" s="45" t="inlineStr"/>
      <c r="J3457" s="45" t="inlineStr">
        <is>
          <t>RNCP37282</t>
        </is>
      </c>
      <c r="K3457" s="45" t="inlineStr">
        <is>
          <t>CQP Manager d’équipe en négoce des matériaux de construction</t>
        </is>
      </c>
      <c r="L3457" s="45" t="inlineStr">
        <is>
          <t>25/01/2028</t>
        </is>
      </c>
      <c r="M3457" s="45" t="inlineStr">
        <is>
          <t>22852 (Matériau construction) ; 31663 (Gestion stock) ; 34085 (Stratégie commerciale) ; 32154 (Encadrement management)</t>
        </is>
      </c>
      <c r="N3457" s="50" t="inlineStr">
        <is>
          <t>NON</t>
        </is>
      </c>
      <c r="O3457" s="45" t="inlineStr"/>
    </row>
    <row r="3458" customFormat="1" s="3">
      <c r="A3458" s="45" t="n"/>
      <c r="B3458" s="46" t="inlineStr">
        <is>
          <t>32150</t>
        </is>
      </c>
      <c r="C3458" s="46">
        <f>LEFT(Tableau1[[#This Row],[Formacode]],3)</f>
        <v/>
      </c>
      <c r="D3458" s="47" t="n">
        <v>37285</v>
      </c>
      <c r="E3458" s="48">
        <f>"RNCP"&amp;D3458</f>
        <v/>
      </c>
      <c r="F3458" s="48" t="inlineStr">
        <is>
          <t>CQP Chef d’agence en négoce des matériaux de construction</t>
        </is>
      </c>
      <c r="G3458" s="49">
        <f>E3458&amp;" - "&amp;F3458</f>
        <v/>
      </c>
      <c r="H3458" s="36" t="inlineStr">
        <is>
          <t>RAS</t>
        </is>
      </c>
      <c r="I3458" s="45" t="inlineStr"/>
      <c r="J3458" s="45" t="inlineStr">
        <is>
          <t>RNCP37285</t>
        </is>
      </c>
      <c r="K3458" s="45" t="inlineStr">
        <is>
          <t>CQP Chef d’agence en négoce des matériaux de construction</t>
        </is>
      </c>
      <c r="L3458" s="45" t="inlineStr">
        <is>
          <t>25/01/2028</t>
        </is>
      </c>
      <c r="M3458" s="45" t="inlineStr">
        <is>
          <t>22852 (Matériau construction) ; 32650 (Gestion budgétaire) ; 31663 (Gestion stock) ; 34085 (Stratégie commerciale) ; 32154 (Encadrement management)</t>
        </is>
      </c>
      <c r="N3458" s="50" t="inlineStr">
        <is>
          <t>NON</t>
        </is>
      </c>
      <c r="O3458" s="45" t="inlineStr"/>
    </row>
    <row r="3459" ht="28.8" customFormat="1" customHeight="1" s="3">
      <c r="A3459" s="45" t="n"/>
      <c r="B3459" s="46" t="inlineStr">
        <is>
          <t>32150</t>
        </is>
      </c>
      <c r="C3459" s="46">
        <f>LEFT(Tableau1[[#This Row],[Formacode]],3)</f>
        <v/>
      </c>
      <c r="D3459" s="47" t="n">
        <v>37375</v>
      </c>
      <c r="E3459" s="48">
        <f>"RNCP"&amp;D3459</f>
        <v/>
      </c>
      <c r="F3459" s="48" t="inlineStr">
        <is>
          <t>Brevet de technicien supérieur - Métiers de l’esthétique, de la cosmétique et de la parfumerie</t>
        </is>
      </c>
      <c r="G3459" s="49">
        <f>E3459&amp;" - "&amp;F3459</f>
        <v/>
      </c>
      <c r="H3459" s="36" t="inlineStr">
        <is>
          <t>RAS</t>
        </is>
      </c>
      <c r="I3459" s="45" t="inlineStr"/>
      <c r="J3459" s="45" t="inlineStr">
        <is>
          <t>RNCP37375</t>
        </is>
      </c>
      <c r="K3459" s="45" t="inlineStr">
        <is>
          <t>Métiers de l’esthétique, de la cosmétique et de la parfumerie</t>
        </is>
      </c>
      <c r="L3459" s="45" t="inlineStr">
        <is>
          <t>31/08/2028</t>
        </is>
      </c>
      <c r="M3459" s="45" t="inlineStr">
        <is>
          <t>42032 (Esthétique soin corporel) ; 32154 (Encadrement management) ; 22885 (Cosmétique) ; 34059 (Gestion marque) ; 44517 (Conception action formation)</t>
        </is>
      </c>
      <c r="N3459" s="50" t="inlineStr">
        <is>
          <t>NON</t>
        </is>
      </c>
      <c r="O3459" s="45" t="inlineStr"/>
    </row>
    <row r="3460" customFormat="1" s="3">
      <c r="A3460" s="45" t="n"/>
      <c r="B3460" s="46" t="inlineStr">
        <is>
          <t>32150</t>
        </is>
      </c>
      <c r="C3460" s="46">
        <f>LEFT(Tableau1[[#This Row],[Formacode]],3)</f>
        <v/>
      </c>
      <c r="D3460" s="47" t="n">
        <v>37655</v>
      </c>
      <c r="E3460" s="48">
        <f>"RNCP"&amp;D3460</f>
        <v/>
      </c>
      <c r="F3460" s="48" t="inlineStr">
        <is>
          <t>Responsable en gestion et développement d’une business unit</t>
        </is>
      </c>
      <c r="G3460" s="49">
        <f>E3460&amp;" - "&amp;F3460</f>
        <v/>
      </c>
      <c r="H3460" s="36" t="inlineStr">
        <is>
          <t>RAS</t>
        </is>
      </c>
      <c r="I3460" s="45" t="inlineStr"/>
      <c r="J3460" s="45" t="inlineStr">
        <is>
          <t>RNCP37655</t>
        </is>
      </c>
      <c r="K3460" s="45" t="inlineStr">
        <is>
          <t>Responsable en gestion et développement d’une business unit</t>
        </is>
      </c>
      <c r="L3460" s="45" t="inlineStr">
        <is>
          <t>31/05/2028</t>
        </is>
      </c>
      <c r="M3460" s="45" t="inlineStr">
        <is>
          <t>32025 (Stratégie entreprise) ; 32154 (Encadrement management) ; 34054 (Gestion commerciale achats)</t>
        </is>
      </c>
      <c r="N3460" s="50" t="inlineStr">
        <is>
          <t>NON</t>
        </is>
      </c>
      <c r="O3460" s="45" t="inlineStr"/>
    </row>
    <row r="3461" customFormat="1" s="3">
      <c r="A3461" s="51" t="n"/>
      <c r="B3461" s="52" t="inlineStr">
        <is>
          <t>32150</t>
        </is>
      </c>
      <c r="C3461" s="52">
        <f>LEFT(Tableau1[[#This Row],[Formacode]],3)</f>
        <v/>
      </c>
      <c r="D3461" s="53" t="n">
        <v>37799</v>
      </c>
      <c r="E3461" s="54">
        <f>"RNCP"&amp;D3461</f>
        <v/>
      </c>
      <c r="F3461" s="54" t="inlineStr">
        <is>
          <t>Coach professionnel</t>
        </is>
      </c>
      <c r="G3461" s="55">
        <f>E3461&amp;" - "&amp;F3461</f>
        <v/>
      </c>
      <c r="H3461" s="37" t="inlineStr">
        <is>
          <t>À vérifier</t>
        </is>
      </c>
      <c r="I3461" s="51" t="inlineStr">
        <is>
          <t>Successeur déjà publié : RNCP42477 (Coach professionnel) — préparer la bascule de l'offre CPF | Échéance le 19/07/2026 (dans 1 j)</t>
        </is>
      </c>
      <c r="J3461" s="51" t="inlineStr">
        <is>
          <t>RNCP42477</t>
        </is>
      </c>
      <c r="K3461" s="51" t="inlineStr">
        <is>
          <t>Coach professionnel</t>
        </is>
      </c>
      <c r="L3461" s="51" t="inlineStr">
        <is>
          <t>19/07/2026</t>
        </is>
      </c>
      <c r="M3461" s="51" t="inlineStr">
        <is>
          <t>32150 (Coaching entreprise) ; 44517 (Conception action formation) ; 32043 (Conseil entreprise)</t>
        </is>
      </c>
      <c r="N3461" s="62" t="inlineStr">
        <is>
          <t>NON</t>
        </is>
      </c>
      <c r="O3461" s="51" t="inlineStr"/>
    </row>
    <row r="3462" customFormat="1" s="3">
      <c r="A3462" s="45" t="n"/>
      <c r="B3462" s="46" t="inlineStr">
        <is>
          <t>32150</t>
        </is>
      </c>
      <c r="C3462" s="46">
        <f>LEFT(Tableau1[[#This Row],[Formacode]],3)</f>
        <v/>
      </c>
      <c r="D3462" s="47" t="n">
        <v>38135</v>
      </c>
      <c r="E3462" s="48">
        <f>"RNCP"&amp;D3462</f>
        <v/>
      </c>
      <c r="F3462" s="48" t="inlineStr">
        <is>
          <t>Manager commercial clients grands comptes</t>
        </is>
      </c>
      <c r="G3462" s="49">
        <f>E3462&amp;" - "&amp;F3462</f>
        <v/>
      </c>
      <c r="H3462" s="36" t="inlineStr">
        <is>
          <t>RAS</t>
        </is>
      </c>
      <c r="I3462" s="45" t="inlineStr"/>
      <c r="J3462" s="45" t="inlineStr">
        <is>
          <t>RNCP38135</t>
        </is>
      </c>
      <c r="K3462" s="45" t="inlineStr">
        <is>
          <t>Manager commercial clients grands comptes</t>
        </is>
      </c>
      <c r="L3462" s="45" t="inlineStr">
        <is>
          <t>18/10/2028</t>
        </is>
      </c>
      <c r="M3462" s="45" t="inlineStr">
        <is>
          <t>34572 (Négociation grand compte) ; 32154 (Encadrement management)</t>
        </is>
      </c>
      <c r="N3462" s="50" t="inlineStr">
        <is>
          <t>NON</t>
        </is>
      </c>
      <c r="O3462" s="45" t="inlineStr"/>
    </row>
    <row r="3463" customFormat="1" s="3">
      <c r="A3463" s="45" t="n"/>
      <c r="B3463" s="46" t="inlineStr">
        <is>
          <t>32150</t>
        </is>
      </c>
      <c r="C3463" s="46">
        <f>LEFT(Tableau1[[#This Row],[Formacode]],3)</f>
        <v/>
      </c>
      <c r="D3463" s="47" t="n">
        <v>38362</v>
      </c>
      <c r="E3463" s="48">
        <f>"RNCP"&amp;D3463</f>
        <v/>
      </c>
      <c r="F3463" s="48" t="inlineStr">
        <is>
          <t>BTS - Management commercial opérationnel</t>
        </is>
      </c>
      <c r="G3463" s="49">
        <f>E3463&amp;" - "&amp;F3463</f>
        <v/>
      </c>
      <c r="H3463" s="36" t="inlineStr">
        <is>
          <t>RAS</t>
        </is>
      </c>
      <c r="I3463" s="45" t="inlineStr"/>
      <c r="J3463" s="45" t="inlineStr">
        <is>
          <t>RNCP38362</t>
        </is>
      </c>
      <c r="K3463" s="45" t="inlineStr">
        <is>
          <t>Management commercial opérationnel</t>
        </is>
      </c>
      <c r="L3463" s="45" t="inlineStr">
        <is>
          <t>31/12/2028</t>
        </is>
      </c>
      <c r="M3463" s="45" t="inlineStr">
        <is>
          <t>34054 (Gestion commerciale achats) ; 32154 (Encadrement management)</t>
        </is>
      </c>
      <c r="N3463" s="50" t="inlineStr">
        <is>
          <t>NON</t>
        </is>
      </c>
      <c r="O3463" s="45" t="inlineStr"/>
    </row>
    <row r="3464" customFormat="1" s="3">
      <c r="A3464" s="45" t="n"/>
      <c r="B3464" s="46" t="inlineStr">
        <is>
          <t>32150</t>
        </is>
      </c>
      <c r="C3464" s="46">
        <f>LEFT(Tableau1[[#This Row],[Formacode]],3)</f>
        <v/>
      </c>
      <c r="D3464" s="47" t="n">
        <v>38374</v>
      </c>
      <c r="E3464" s="48">
        <f>"RNCP"&amp;D3464</f>
        <v/>
      </c>
      <c r="F3464" s="48" t="inlineStr">
        <is>
          <t>TP - Conducteur d'équipements agroalimentaires</t>
        </is>
      </c>
      <c r="G3464" s="49">
        <f>E3464&amp;" - "&amp;F3464</f>
        <v/>
      </c>
      <c r="H3464" s="36" t="inlineStr">
        <is>
          <t>RAS</t>
        </is>
      </c>
      <c r="I3464" s="45" t="inlineStr"/>
      <c r="J3464" s="45" t="inlineStr">
        <is>
          <t>RNCP38374</t>
        </is>
      </c>
      <c r="K3464" s="45" t="inlineStr">
        <is>
          <t>Conducteur d'équipements agroalimentaires</t>
        </is>
      </c>
      <c r="L3464" s="45" t="inlineStr">
        <is>
          <t>22/12/2028</t>
        </is>
      </c>
      <c r="M3464" s="45" t="inlineStr">
        <is>
          <t>21546 (Méthode haccp) ; 21547 (Bonnes pratiques hygiène agroalimentaire) ; 21575 (Conditionnement agroalimentaire) ; 32154 (Encadrement management) ; 32062 (Recherche développement)</t>
        </is>
      </c>
      <c r="N3464" s="50" t="inlineStr">
        <is>
          <t>NON</t>
        </is>
      </c>
      <c r="O3464" s="45" t="inlineStr"/>
    </row>
    <row r="3465" customFormat="1" s="3">
      <c r="A3465" s="45" t="n"/>
      <c r="B3465" s="46" t="inlineStr">
        <is>
          <t>32150</t>
        </is>
      </c>
      <c r="C3465" s="46">
        <f>LEFT(Tableau1[[#This Row],[Formacode]],3)</f>
        <v/>
      </c>
      <c r="D3465" s="47" t="n">
        <v>38439</v>
      </c>
      <c r="E3465" s="48">
        <f>"RNCP"&amp;D3465</f>
        <v/>
      </c>
      <c r="F3465" s="48" t="inlineStr">
        <is>
          <t>Responsable d'un centre de profit</t>
        </is>
      </c>
      <c r="G3465" s="49">
        <f>E3465&amp;" - "&amp;F3465</f>
        <v/>
      </c>
      <c r="H3465" s="36" t="inlineStr">
        <is>
          <t>RAS</t>
        </is>
      </c>
      <c r="I3465" s="45" t="inlineStr"/>
      <c r="J3465" s="45" t="inlineStr">
        <is>
          <t>RNCP38439</t>
        </is>
      </c>
      <c r="K3465" s="45" t="inlineStr">
        <is>
          <t>Responsable d'un centre de profit</t>
        </is>
      </c>
      <c r="L3465" s="45" t="inlineStr">
        <is>
          <t>21/12/2028</t>
        </is>
      </c>
      <c r="M3465" s="45" t="inlineStr">
        <is>
          <t>32024 (Gestion centre profit) ; 32154 (Encadrement management)</t>
        </is>
      </c>
      <c r="N3465" s="50" t="inlineStr">
        <is>
          <t>NON</t>
        </is>
      </c>
      <c r="O3465" s="45" t="inlineStr"/>
    </row>
    <row r="3466" customFormat="1" s="3">
      <c r="A3466" s="45" t="n"/>
      <c r="B3466" s="46" t="inlineStr">
        <is>
          <t>32150</t>
        </is>
      </c>
      <c r="C3466" s="46">
        <f>LEFT(Tableau1[[#This Row],[Formacode]],3)</f>
        <v/>
      </c>
      <c r="D3466" s="47" t="n">
        <v>38786</v>
      </c>
      <c r="E3466" s="48">
        <f>"RNCP"&amp;D3466</f>
        <v/>
      </c>
      <c r="F3466" s="48" t="inlineStr">
        <is>
          <t>CQP Responsable d'équipe</t>
        </is>
      </c>
      <c r="G3466" s="49">
        <f>E3466&amp;" - "&amp;F3466</f>
        <v/>
      </c>
      <c r="H3466" s="36" t="inlineStr">
        <is>
          <t>RAS</t>
        </is>
      </c>
      <c r="I3466" s="45" t="inlineStr"/>
      <c r="J3466" s="45" t="inlineStr">
        <is>
          <t>RNCP38786</t>
        </is>
      </c>
      <c r="K3466" s="45" t="inlineStr">
        <is>
          <t>CQP Responsable d'équipe</t>
        </is>
      </c>
      <c r="L3466" s="45" t="inlineStr">
        <is>
          <t>27/03/2028</t>
        </is>
      </c>
      <c r="M3466" s="45" t="inlineStr">
        <is>
          <t>32154 (Encadrement management)</t>
        </is>
      </c>
      <c r="N3466" s="50" t="inlineStr">
        <is>
          <t>NON</t>
        </is>
      </c>
      <c r="O3466" s="45" t="inlineStr"/>
    </row>
    <row r="3467" customFormat="1" s="3">
      <c r="A3467" s="45" t="n"/>
      <c r="B3467" s="46" t="inlineStr">
        <is>
          <t>32150</t>
        </is>
      </c>
      <c r="C3467" s="46">
        <f>LEFT(Tableau1[[#This Row],[Formacode]],3)</f>
        <v/>
      </c>
      <c r="D3467" s="47" t="n">
        <v>39136</v>
      </c>
      <c r="E3467" s="48">
        <f>"RNCP"&amp;D3467</f>
        <v/>
      </c>
      <c r="F3467" s="48" t="inlineStr">
        <is>
          <t>Grade_Master - Diplôme des Instituts d’Études Politiques – Sciences Po</t>
        </is>
      </c>
      <c r="G3467" s="49">
        <f>E3467&amp;" - "&amp;F3467</f>
        <v/>
      </c>
      <c r="H3467" s="36" t="inlineStr">
        <is>
          <t>RAS</t>
        </is>
      </c>
      <c r="I3467" s="45" t="inlineStr"/>
      <c r="J3467" s="45" t="inlineStr">
        <is>
          <t>RNCP39136</t>
        </is>
      </c>
      <c r="K3467" s="45" t="inlineStr">
        <is>
          <t>Diplôme des Instituts d’Études Politiques – Sciences Po</t>
        </is>
      </c>
      <c r="L3467" s="45" t="inlineStr">
        <is>
          <t>14/04/2029</t>
        </is>
      </c>
      <c r="M3467" s="45" t="inlineStr">
        <is>
          <t>13154 (Économie) ; 13054 (Science politique) ; 46354 (Information - Communication numérique) ; 32154 (Encadrement management) ; 13254 (Droit)</t>
        </is>
      </c>
      <c r="N3467" s="50" t="inlineStr">
        <is>
          <t>NON</t>
        </is>
      </c>
      <c r="O3467" s="45" t="inlineStr"/>
    </row>
    <row r="3468" customFormat="1" s="3">
      <c r="A3468" s="51" t="n"/>
      <c r="B3468" s="52" t="inlineStr">
        <is>
          <t>32150</t>
        </is>
      </c>
      <c r="C3468" s="52">
        <f>LEFT(Tableau1[[#This Row],[Formacode]],3)</f>
        <v/>
      </c>
      <c r="D3468" s="53" t="n">
        <v>39160</v>
      </c>
      <c r="E3468" s="54">
        <f>"RNCP"&amp;D3468</f>
        <v/>
      </c>
      <c r="F3468" s="54" t="inlineStr">
        <is>
          <t>Diplôme visé grade de master - Programme Grande Ecole</t>
        </is>
      </c>
      <c r="G3468" s="55">
        <f>E3468&amp;" - "&amp;F3468</f>
        <v/>
      </c>
      <c r="H3468" s="37" t="inlineStr">
        <is>
          <t>À vérifier</t>
        </is>
      </c>
      <c r="I3468" s="51" t="inlineStr">
        <is>
          <t>Échéance le 31/08/2026 (dans 44 j)</t>
        </is>
      </c>
      <c r="J3468" s="51" t="inlineStr">
        <is>
          <t>RNCP39160</t>
        </is>
      </c>
      <c r="K3468" s="51" t="inlineStr">
        <is>
          <t>Programme Grande Ecole</t>
        </is>
      </c>
      <c r="L3468" s="51" t="inlineStr">
        <is>
          <t>31/08/2026</t>
        </is>
      </c>
      <c r="M3468" s="51" t="inlineStr">
        <is>
          <t>32025 (Stratégie entreprise) ; 32008 (Responsabilité sociétale entreprise) ; 32047 (Création entreprise) ; 32654 (Gestion financière comptabilité) ; 32154 (Encadrement management)</t>
        </is>
      </c>
      <c r="N3468" s="62" t="inlineStr">
        <is>
          <t>NON</t>
        </is>
      </c>
      <c r="O3468" s="51" t="inlineStr"/>
    </row>
    <row r="3469" customFormat="1" s="3">
      <c r="A3469" s="45" t="n"/>
      <c r="B3469" s="46" t="inlineStr">
        <is>
          <t>32150</t>
        </is>
      </c>
      <c r="C3469" s="46">
        <f>LEFT(Tableau1[[#This Row],[Formacode]],3)</f>
        <v/>
      </c>
      <c r="D3469" s="47" t="n">
        <v>39354</v>
      </c>
      <c r="E3469" s="48">
        <f>"RNCP"&amp;D3469</f>
        <v/>
      </c>
      <c r="F3469" s="48" t="inlineStr">
        <is>
          <t>Manager du développement d'entreprise et commercial</t>
        </is>
      </c>
      <c r="G3469" s="49">
        <f>E3469&amp;" - "&amp;F3469</f>
        <v/>
      </c>
      <c r="H3469" s="36" t="inlineStr">
        <is>
          <t>RAS</t>
        </is>
      </c>
      <c r="I3469" s="45" t="inlineStr"/>
      <c r="J3469" s="45" t="inlineStr">
        <is>
          <t>RNCP39354</t>
        </is>
      </c>
      <c r="K3469" s="45" t="inlineStr">
        <is>
          <t>Manager du développement d'entreprise et commercial</t>
        </is>
      </c>
      <c r="L3469" s="45" t="inlineStr">
        <is>
          <t>19/07/2027</t>
        </is>
      </c>
      <c r="M3469" s="45" t="inlineStr">
        <is>
          <t>34085 (Stratégie commerciale) ; 32025 (Stratégie entreprise) ; 32024 (Gestion centre profit) ; 32154 (Encadrement management)</t>
        </is>
      </c>
      <c r="N3469" s="50" t="inlineStr">
        <is>
          <t>NON</t>
        </is>
      </c>
      <c r="O3469" s="45" t="inlineStr"/>
    </row>
    <row r="3470" customFormat="1" s="3">
      <c r="A3470" s="45" t="n"/>
      <c r="B3470" s="46" t="inlineStr">
        <is>
          <t>32150</t>
        </is>
      </c>
      <c r="C3470" s="46">
        <f>LEFT(Tableau1[[#This Row],[Formacode]],3)</f>
        <v/>
      </c>
      <c r="D3470" s="47" t="n">
        <v>39366</v>
      </c>
      <c r="E3470" s="48">
        <f>"RNCP"&amp;D3470</f>
        <v/>
      </c>
      <c r="F3470" s="48" t="inlineStr">
        <is>
          <t>CQP Manager commercial cuisines et/ou aménagement intérieur</t>
        </is>
      </c>
      <c r="G3470" s="49">
        <f>E3470&amp;" - "&amp;F3470</f>
        <v/>
      </c>
      <c r="H3470" s="36" t="inlineStr">
        <is>
          <t>RAS</t>
        </is>
      </c>
      <c r="I3470" s="45" t="inlineStr"/>
      <c r="J3470" s="45" t="inlineStr">
        <is>
          <t>RNCP39366</t>
        </is>
      </c>
      <c r="K3470" s="45" t="inlineStr">
        <is>
          <t>CQP Manager commercial cuisines et/ou aménagement intérieur</t>
        </is>
      </c>
      <c r="L3470" s="45" t="inlineStr">
        <is>
          <t>19/07/2029</t>
        </is>
      </c>
      <c r="M3470" s="45" t="inlineStr">
        <is>
          <t>34561 (Force vente) ; 34536 (Vente équipement maison) ; 32154 (Encadrement management)</t>
        </is>
      </c>
      <c r="N3470" s="50" t="inlineStr">
        <is>
          <t>NON</t>
        </is>
      </c>
      <c r="O3470" s="45" t="inlineStr"/>
    </row>
    <row r="3471" customFormat="1" s="3">
      <c r="A3471" s="45" t="n"/>
      <c r="B3471" s="46" t="inlineStr">
        <is>
          <t>32150</t>
        </is>
      </c>
      <c r="C3471" s="46">
        <f>LEFT(Tableau1[[#This Row],[Formacode]],3)</f>
        <v/>
      </c>
      <c r="D3471" s="47" t="n">
        <v>39614</v>
      </c>
      <c r="E3471" s="48">
        <f>"RNCP"&amp;D3471</f>
        <v/>
      </c>
      <c r="F3471" s="48" t="inlineStr">
        <is>
          <t>Coach professionnel</t>
        </is>
      </c>
      <c r="G3471" s="49">
        <f>E3471&amp;" - "&amp;F3471</f>
        <v/>
      </c>
      <c r="H3471" s="36" t="inlineStr">
        <is>
          <t>RAS</t>
        </is>
      </c>
      <c r="I3471" s="45" t="inlineStr"/>
      <c r="J3471" s="45" t="inlineStr">
        <is>
          <t>RNCP39614</t>
        </is>
      </c>
      <c r="K3471" s="45" t="inlineStr">
        <is>
          <t>Coach professionnel</t>
        </is>
      </c>
      <c r="L3471" s="45" t="inlineStr">
        <is>
          <t>01/10/2027</t>
        </is>
      </c>
      <c r="M3471" s="45" t="inlineStr">
        <is>
          <t>32150 (Coaching entreprise)</t>
        </is>
      </c>
      <c r="N3471" s="50" t="inlineStr">
        <is>
          <t>NON</t>
        </is>
      </c>
      <c r="O3471" s="45" t="inlineStr"/>
    </row>
    <row r="3472" customFormat="1" s="3">
      <c r="A3472" s="51" t="n"/>
      <c r="B3472" s="52" t="inlineStr">
        <is>
          <t>32150</t>
        </is>
      </c>
      <c r="C3472" s="52">
        <f>LEFT(Tableau1[[#This Row],[Formacode]],3)</f>
        <v/>
      </c>
      <c r="D3472" s="53" t="n">
        <v>39763</v>
      </c>
      <c r="E3472" s="54">
        <f>"RNCP"&amp;D3472</f>
        <v/>
      </c>
      <c r="F3472" s="54" t="inlineStr">
        <is>
          <t>Manager de la performance financière</t>
        </is>
      </c>
      <c r="G3472" s="55">
        <f>E3472&amp;" - "&amp;F3472</f>
        <v/>
      </c>
      <c r="H3472" s="37" t="inlineStr">
        <is>
          <t>À vérifier</t>
        </is>
      </c>
      <c r="I3472" s="51" t="inlineStr">
        <is>
          <t>Échéance le 31/10/2026 (dans 105 j)</t>
        </is>
      </c>
      <c r="J3472" s="51" t="inlineStr">
        <is>
          <t>RNCP39763</t>
        </is>
      </c>
      <c r="K3472" s="51" t="inlineStr">
        <is>
          <t>Manager de la performance financière</t>
        </is>
      </c>
      <c r="L3472" s="51" t="inlineStr">
        <is>
          <t>31/10/2026</t>
        </is>
      </c>
      <c r="M3472" s="51" t="inlineStr">
        <is>
          <t>32154 (Encadrement management) ; 32079 (Gestion performance) ; 32652 (Contrôle gestion) ; 32098 (Audit entreprise)</t>
        </is>
      </c>
      <c r="N3472" s="62" t="inlineStr">
        <is>
          <t>NON</t>
        </is>
      </c>
      <c r="O3472" s="51" t="inlineStr"/>
    </row>
    <row r="3473" customFormat="1" s="3">
      <c r="A3473" s="51" t="n"/>
      <c r="B3473" s="52" t="inlineStr">
        <is>
          <t>32150</t>
        </is>
      </c>
      <c r="C3473" s="52">
        <f>LEFT(Tableau1[[#This Row],[Formacode]],3)</f>
        <v/>
      </c>
      <c r="D3473" s="53" t="n">
        <v>39786</v>
      </c>
      <c r="E3473" s="54">
        <f>"RNCP"&amp;D3473</f>
        <v/>
      </c>
      <c r="F3473" s="54" t="inlineStr">
        <is>
          <t>Coach professionnel</t>
        </is>
      </c>
      <c r="G3473" s="55">
        <f>E3473&amp;" - "&amp;F3473</f>
        <v/>
      </c>
      <c r="H3473" s="37" t="inlineStr">
        <is>
          <t>À vérifier</t>
        </is>
      </c>
      <c r="I3473" s="51" t="inlineStr">
        <is>
          <t>Successeur déjà publié : RNCP42473 (Coach professionnel) — préparer la bascule de l'offre CPF | Échéance le 31/10/2026 (dans 105 j)</t>
        </is>
      </c>
      <c r="J3473" s="51" t="inlineStr">
        <is>
          <t>RNCP42473</t>
        </is>
      </c>
      <c r="K3473" s="51" t="inlineStr">
        <is>
          <t>Coach professionnel</t>
        </is>
      </c>
      <c r="L3473" s="51" t="inlineStr">
        <is>
          <t>31/10/2026</t>
        </is>
      </c>
      <c r="M3473" s="51" t="inlineStr">
        <is>
          <t>32150 (Coaching entreprise) ; 32043 (Conseil entreprise)</t>
        </is>
      </c>
      <c r="N3473" s="62" t="inlineStr">
        <is>
          <t>NON</t>
        </is>
      </c>
      <c r="O3473" s="51" t="inlineStr"/>
    </row>
    <row r="3474" customFormat="1" s="3">
      <c r="A3474" s="45" t="n"/>
      <c r="B3474" s="46" t="inlineStr">
        <is>
          <t>32150</t>
        </is>
      </c>
      <c r="C3474" s="46">
        <f>LEFT(Tableau1[[#This Row],[Formacode]],3)</f>
        <v/>
      </c>
      <c r="D3474" s="47" t="n">
        <v>39787</v>
      </c>
      <c r="E3474" s="48">
        <f>"RNCP"&amp;D3474</f>
        <v/>
      </c>
      <c r="F3474" s="48" t="inlineStr">
        <is>
          <t>Directeur de la performance commerciale</t>
        </is>
      </c>
      <c r="G3474" s="49">
        <f>E3474&amp;" - "&amp;F3474</f>
        <v/>
      </c>
      <c r="H3474" s="36" t="inlineStr">
        <is>
          <t>RAS</t>
        </is>
      </c>
      <c r="I3474" s="45" t="inlineStr"/>
      <c r="J3474" s="45" t="inlineStr">
        <is>
          <t>RNCP39787</t>
        </is>
      </c>
      <c r="K3474" s="45" t="inlineStr">
        <is>
          <t>Directeur de la performance commerciale</t>
        </is>
      </c>
      <c r="L3474" s="45" t="inlineStr">
        <is>
          <t>31/10/2029</t>
        </is>
      </c>
      <c r="M3474" s="45" t="inlineStr">
        <is>
          <t>32079 (Gestion performance) ; 32154 (Encadrement management) ; 34085 (Stratégie commerciale)</t>
        </is>
      </c>
      <c r="N3474" s="50" t="inlineStr">
        <is>
          <t>NON</t>
        </is>
      </c>
      <c r="O3474" s="45" t="inlineStr"/>
    </row>
    <row r="3475" customFormat="1" s="3">
      <c r="A3475" s="45" t="n"/>
      <c r="B3475" s="46" t="inlineStr">
        <is>
          <t>32150</t>
        </is>
      </c>
      <c r="C3475" s="46">
        <f>LEFT(Tableau1[[#This Row],[Formacode]],3)</f>
        <v/>
      </c>
      <c r="D3475" s="47" t="n">
        <v>39864</v>
      </c>
      <c r="E3475" s="48">
        <f>"RNCP"&amp;D3475</f>
        <v/>
      </c>
      <c r="F3475" s="48" t="inlineStr">
        <is>
          <t>Manager du développement des ressources humaines</t>
        </is>
      </c>
      <c r="G3475" s="49">
        <f>E3475&amp;" - "&amp;F3475</f>
        <v/>
      </c>
      <c r="H3475" s="36" t="inlineStr">
        <is>
          <t>RAS</t>
        </is>
      </c>
      <c r="I3475" s="45" t="inlineStr"/>
      <c r="J3475" s="45" t="inlineStr">
        <is>
          <t>RNCP39864</t>
        </is>
      </c>
      <c r="K3475" s="45" t="inlineStr">
        <is>
          <t>Manager du développement des ressources humaines</t>
        </is>
      </c>
      <c r="L3475" s="45" t="inlineStr">
        <is>
          <t>28/11/2027</t>
        </is>
      </c>
      <c r="M3475" s="45" t="inlineStr">
        <is>
          <t>33054 (Gestion ressources humaines) ; 32154 (Encadrement management)</t>
        </is>
      </c>
      <c r="N3475" s="50" t="inlineStr">
        <is>
          <t>NON</t>
        </is>
      </c>
      <c r="O3475" s="45" t="inlineStr"/>
    </row>
    <row r="3476" customFormat="1" s="3">
      <c r="A3476" s="45" t="n"/>
      <c r="B3476" s="46" t="inlineStr">
        <is>
          <t>32150</t>
        </is>
      </c>
      <c r="C3476" s="46">
        <f>LEFT(Tableau1[[#This Row],[Formacode]],3)</f>
        <v/>
      </c>
      <c r="D3476" s="47" t="n">
        <v>39972</v>
      </c>
      <c r="E3476" s="48">
        <f>"RNCP"&amp;D3476</f>
        <v/>
      </c>
      <c r="F3476" s="48" t="inlineStr">
        <is>
          <t>CQP Responsable d'équipe du secteur alimentaire</t>
        </is>
      </c>
      <c r="G3476" s="49">
        <f>E3476&amp;" - "&amp;F3476</f>
        <v/>
      </c>
      <c r="H3476" s="36" t="inlineStr">
        <is>
          <t>RAS</t>
        </is>
      </c>
      <c r="I3476" s="45" t="inlineStr"/>
      <c r="J3476" s="45" t="inlineStr">
        <is>
          <t>RNCP39972</t>
        </is>
      </c>
      <c r="K3476" s="45" t="inlineStr">
        <is>
          <t>CQP Responsable d'équipe du secteur alimentaire</t>
        </is>
      </c>
      <c r="L3476" s="45" t="inlineStr">
        <is>
          <t>18/12/2029</t>
        </is>
      </c>
      <c r="M3476" s="45" t="inlineStr">
        <is>
          <t>32154 (Encadrement management) ; 21554 (Agroalimentaire)</t>
        </is>
      </c>
      <c r="N3476" s="50" t="inlineStr">
        <is>
          <t>NON</t>
        </is>
      </c>
      <c r="O3476" s="45" t="inlineStr"/>
    </row>
    <row r="3477" customFormat="1" s="3">
      <c r="A3477" s="45" t="n"/>
      <c r="B3477" s="46" t="inlineStr">
        <is>
          <t>32150</t>
        </is>
      </c>
      <c r="C3477" s="46">
        <f>LEFT(Tableau1[[#This Row],[Formacode]],3)</f>
        <v/>
      </c>
      <c r="D3477" s="47" t="n">
        <v>39994</v>
      </c>
      <c r="E3477" s="48">
        <f>"RNCP"&amp;D3477</f>
        <v/>
      </c>
      <c r="F3477" s="48" t="inlineStr">
        <is>
          <t>Manager des transformations des organisations</t>
        </is>
      </c>
      <c r="G3477" s="49">
        <f>E3477&amp;" - "&amp;F3477</f>
        <v/>
      </c>
      <c r="H3477" s="36" t="inlineStr">
        <is>
          <t>RAS</t>
        </is>
      </c>
      <c r="I3477" s="45" t="inlineStr"/>
      <c r="J3477" s="45" t="inlineStr">
        <is>
          <t>RNCP39994</t>
        </is>
      </c>
      <c r="K3477" s="45" t="inlineStr">
        <is>
          <t>Manager des transformations des organisations</t>
        </is>
      </c>
      <c r="L3477" s="45" t="inlineStr">
        <is>
          <t>18/12/2027</t>
        </is>
      </c>
      <c r="M3477" s="45" t="inlineStr">
        <is>
          <t>32025 (Stratégie entreprise) ; 32079 (Gestion performance) ; 32154 (Encadrement management)</t>
        </is>
      </c>
      <c r="N3477" s="50" t="inlineStr">
        <is>
          <t>NON</t>
        </is>
      </c>
      <c r="O3477" s="45" t="inlineStr"/>
    </row>
    <row r="3478" customFormat="1" s="3">
      <c r="A3478" s="45" t="n"/>
      <c r="B3478" s="46" t="inlineStr">
        <is>
          <t>32150</t>
        </is>
      </c>
      <c r="C3478" s="46">
        <f>LEFT(Tableau1[[#This Row],[Formacode]],3)</f>
        <v/>
      </c>
      <c r="D3478" s="47" t="n">
        <v>40169</v>
      </c>
      <c r="E3478" s="48">
        <f>"RNCP"&amp;D3478</f>
        <v/>
      </c>
      <c r="F3478" s="48" t="inlineStr">
        <is>
          <t>CQP Responsable de conseillers techniques en élevage</t>
        </is>
      </c>
      <c r="G3478" s="49">
        <f>E3478&amp;" - "&amp;F3478</f>
        <v/>
      </c>
      <c r="H3478" s="36" t="inlineStr">
        <is>
          <t>RAS</t>
        </is>
      </c>
      <c r="I3478" s="45" t="inlineStr"/>
      <c r="J3478" s="45" t="inlineStr">
        <is>
          <t>RNCP40169</t>
        </is>
      </c>
      <c r="K3478" s="45" t="inlineStr">
        <is>
          <t>CQP Responsable de conseillers techniques en élevage</t>
        </is>
      </c>
      <c r="L3478" s="45" t="inlineStr">
        <is>
          <t>31/01/2030</t>
        </is>
      </c>
      <c r="M3478" s="45" t="inlineStr">
        <is>
          <t>21056 (Élevage) ; 32068 (Coordination travail) ; 32154 (Encadrement management)</t>
        </is>
      </c>
      <c r="N3478" s="50" t="inlineStr">
        <is>
          <t>NON</t>
        </is>
      </c>
      <c r="O3478" s="45" t="inlineStr"/>
    </row>
    <row r="3479" customFormat="1" s="3">
      <c r="A3479" s="45" t="n"/>
      <c r="B3479" s="46" t="inlineStr">
        <is>
          <t>32150</t>
        </is>
      </c>
      <c r="C3479" s="46">
        <f>LEFT(Tableau1[[#This Row],[Formacode]],3)</f>
        <v/>
      </c>
      <c r="D3479" s="47" t="n">
        <v>40663</v>
      </c>
      <c r="E3479" s="48">
        <f>"RNCP"&amp;D3479</f>
        <v/>
      </c>
      <c r="F3479" s="48" t="inlineStr">
        <is>
          <t>Coach professionnel</t>
        </is>
      </c>
      <c r="G3479" s="49">
        <f>E3479&amp;" - "&amp;F3479</f>
        <v/>
      </c>
      <c r="H3479" s="36" t="inlineStr">
        <is>
          <t>RAS</t>
        </is>
      </c>
      <c r="I3479" s="45" t="inlineStr"/>
      <c r="J3479" s="45" t="inlineStr">
        <is>
          <t>RNCP40663</t>
        </is>
      </c>
      <c r="K3479" s="45" t="inlineStr">
        <is>
          <t>Coach professionnel</t>
        </is>
      </c>
      <c r="L3479" s="45" t="inlineStr">
        <is>
          <t>23/05/2028</t>
        </is>
      </c>
      <c r="M3479" s="45" t="inlineStr">
        <is>
          <t>32150 (Coaching entreprise)</t>
        </is>
      </c>
      <c r="N3479" s="50" t="inlineStr">
        <is>
          <t>NON</t>
        </is>
      </c>
      <c r="O3479" s="45" t="inlineStr"/>
    </row>
    <row r="3480" customFormat="1" s="3">
      <c r="A3480" s="45" t="n"/>
      <c r="B3480" s="46" t="inlineStr">
        <is>
          <t>32150</t>
        </is>
      </c>
      <c r="C3480" s="46">
        <f>LEFT(Tableau1[[#This Row],[Formacode]],3)</f>
        <v/>
      </c>
      <c r="D3480" s="47" t="n">
        <v>41000</v>
      </c>
      <c r="E3480" s="48">
        <f>"RNCP"&amp;D3480</f>
        <v/>
      </c>
      <c r="F3480" s="48" t="inlineStr">
        <is>
          <t>BTS - Management opérationnel de la sécurité</t>
        </is>
      </c>
      <c r="G3480" s="49">
        <f>E3480&amp;" - "&amp;F3480</f>
        <v/>
      </c>
      <c r="H3480" s="36" t="inlineStr">
        <is>
          <t>RAS</t>
        </is>
      </c>
      <c r="I3480" s="45" t="inlineStr"/>
      <c r="J3480" s="45" t="inlineStr">
        <is>
          <t>RNCP41000</t>
        </is>
      </c>
      <c r="K3480" s="45" t="inlineStr">
        <is>
          <t>Management opérationnel de la sécurité</t>
        </is>
      </c>
      <c r="L3480" s="45" t="inlineStr">
        <is>
          <t>31/08/2030</t>
        </is>
      </c>
      <c r="M3480" s="45" t="inlineStr">
        <is>
          <t>42854 (Prévention sécurité) ; 32154 (Encadrement management)</t>
        </is>
      </c>
      <c r="N3480" s="50" t="inlineStr">
        <is>
          <t>NON</t>
        </is>
      </c>
      <c r="O3480" s="45" t="inlineStr"/>
    </row>
    <row r="3481" customFormat="1" s="3">
      <c r="A3481" s="45" t="n"/>
      <c r="B3481" s="46" t="inlineStr">
        <is>
          <t>32150</t>
        </is>
      </c>
      <c r="C3481" s="46">
        <f>LEFT(Tableau1[[#This Row],[Formacode]],3)</f>
        <v/>
      </c>
      <c r="D3481" s="47" t="n">
        <v>41347</v>
      </c>
      <c r="E3481" s="48">
        <f>"RNCP"&amp;D3481</f>
        <v/>
      </c>
      <c r="F3481" s="48" t="inlineStr">
        <is>
          <t>Coach Professionnel</t>
        </is>
      </c>
      <c r="G3481" s="49">
        <f>E3481&amp;" - "&amp;F3481</f>
        <v/>
      </c>
      <c r="H3481" s="36" t="inlineStr">
        <is>
          <t>RAS</t>
        </is>
      </c>
      <c r="I3481" s="45" t="inlineStr"/>
      <c r="J3481" s="45" t="inlineStr">
        <is>
          <t>RNCP41347</t>
        </is>
      </c>
      <c r="K3481" s="45" t="inlineStr">
        <is>
          <t>Coach Professionnel</t>
        </is>
      </c>
      <c r="L3481" s="45" t="inlineStr">
        <is>
          <t>24/09/2028</t>
        </is>
      </c>
      <c r="M3481" s="45" t="inlineStr">
        <is>
          <t>32150 (Coaching entreprise)</t>
        </is>
      </c>
      <c r="N3481" s="50" t="inlineStr">
        <is>
          <t>NON</t>
        </is>
      </c>
      <c r="O3481" s="45" t="inlineStr"/>
    </row>
    <row r="3482" customFormat="1" s="3">
      <c r="A3482" s="45" t="n"/>
      <c r="B3482" s="46" t="inlineStr">
        <is>
          <t>32150</t>
        </is>
      </c>
      <c r="C3482" s="46">
        <f>LEFT(Tableau1[[#This Row],[Formacode]],3)</f>
        <v/>
      </c>
      <c r="D3482" s="47" t="n">
        <v>41809</v>
      </c>
      <c r="E3482" s="48">
        <f>"RNCP"&amp;D3482</f>
        <v/>
      </c>
      <c r="F3482" s="48" t="inlineStr">
        <is>
          <t>Manager de la stratégie marketing digital</t>
        </is>
      </c>
      <c r="G3482" s="49">
        <f>E3482&amp;" - "&amp;F3482</f>
        <v/>
      </c>
      <c r="H3482" s="36" t="inlineStr">
        <is>
          <t>RAS</t>
        </is>
      </c>
      <c r="I3482" s="45" t="inlineStr"/>
      <c r="J3482" s="45" t="inlineStr">
        <is>
          <t>RNCP41809</t>
        </is>
      </c>
      <c r="K3482" s="45" t="inlineStr">
        <is>
          <t>Manager de la stratégie marketing digital</t>
        </is>
      </c>
      <c r="L3482" s="45" t="inlineStr">
        <is>
          <t>18/12/2028</t>
        </is>
      </c>
      <c r="M3482" s="45" t="inlineStr">
        <is>
          <t>46301 (Communication entreprise) ; 15004 (Communication professionnelle) ; 32154 (Encadrement management) ; 34052 (Marketing)</t>
        </is>
      </c>
      <c r="N3482" s="50" t="inlineStr">
        <is>
          <t>NON</t>
        </is>
      </c>
      <c r="O3482" s="45" t="inlineStr"/>
    </row>
    <row r="3483" customFormat="1" s="3">
      <c r="A3483" s="45" t="n"/>
      <c r="B3483" s="46" t="inlineStr">
        <is>
          <t>32602</t>
        </is>
      </c>
      <c r="C3483" s="46">
        <f>LEFT(Tableau1[[#This Row],[Formacode]],3)</f>
        <v/>
      </c>
      <c r="D3483" s="47" t="n">
        <v>37683</v>
      </c>
      <c r="E3483" s="48">
        <f>"RNCP"&amp;D3483</f>
        <v/>
      </c>
      <c r="F3483" s="48" t="inlineStr">
        <is>
          <t>DipViGrM - Programme grande école</t>
        </is>
      </c>
      <c r="G3483" s="49">
        <f>E3483&amp;" - "&amp;F3483</f>
        <v/>
      </c>
      <c r="H3483" s="36" t="inlineStr">
        <is>
          <t>RAS</t>
        </is>
      </c>
      <c r="I3483" s="45" t="inlineStr"/>
      <c r="J3483" s="45" t="inlineStr">
        <is>
          <t>RNCP37683</t>
        </is>
      </c>
      <c r="K3483" s="45" t="inlineStr">
        <is>
          <t>Programme grande école</t>
        </is>
      </c>
      <c r="L3483" s="45" t="inlineStr">
        <is>
          <t>31/08/2028</t>
        </is>
      </c>
      <c r="M3483" s="45" t="inlineStr">
        <is>
          <t>32654 (Gestion financière comptabilité) ; 32145 (Management transversal) ; 34054 (Gestion commerciale achats) ; 32006 (Gestion entreprise internationale)</t>
        </is>
      </c>
      <c r="N3483" s="50" t="inlineStr">
        <is>
          <t>NON</t>
        </is>
      </c>
      <c r="O3483" s="45" t="inlineStr"/>
    </row>
    <row r="3484" customFormat="1" s="3">
      <c r="A3484" s="45" t="n"/>
      <c r="B3484" s="46" t="inlineStr">
        <is>
          <t>32602</t>
        </is>
      </c>
      <c r="C3484" s="46">
        <f>LEFT(Tableau1[[#This Row],[Formacode]],3)</f>
        <v/>
      </c>
      <c r="D3484" s="47" t="n">
        <v>37684</v>
      </c>
      <c r="E3484" s="48">
        <f>"RNCP"&amp;D3484</f>
        <v/>
      </c>
      <c r="F3484" s="48" t="inlineStr">
        <is>
          <t>DipViGrM - Diplôme d’études supérieures spécialisées en management international</t>
        </is>
      </c>
      <c r="G3484" s="49">
        <f>E3484&amp;" - "&amp;F3484</f>
        <v/>
      </c>
      <c r="H3484" s="36" t="inlineStr">
        <is>
          <t>RAS</t>
        </is>
      </c>
      <c r="I3484" s="45" t="inlineStr"/>
      <c r="J3484" s="45" t="inlineStr">
        <is>
          <t>RNCP37684</t>
        </is>
      </c>
      <c r="K3484" s="45" t="inlineStr">
        <is>
          <t>Diplôme d’études supérieures spécialisées en management international</t>
        </is>
      </c>
      <c r="L3484" s="45" t="inlineStr">
        <is>
          <t>31/08/2027</t>
        </is>
      </c>
      <c r="M3484" s="45" t="inlineStr">
        <is>
          <t>32015 (Conduite changement) ; 32005 (Stratégie internationale) ; 32654 (Gestion financière comptabilité) ; 32023 (Prise décision)</t>
        </is>
      </c>
      <c r="N3484" s="50" t="inlineStr">
        <is>
          <t>NON</t>
        </is>
      </c>
      <c r="O3484" s="45" t="inlineStr"/>
    </row>
    <row r="3485" customFormat="1" s="3">
      <c r="A3485" s="51" t="n"/>
      <c r="B3485" s="52" t="inlineStr">
        <is>
          <t>32602</t>
        </is>
      </c>
      <c r="C3485" s="52">
        <f>LEFT(Tableau1[[#This Row],[Formacode]],3)</f>
        <v/>
      </c>
      <c r="D3485" s="53" t="n">
        <v>39160</v>
      </c>
      <c r="E3485" s="54">
        <f>"RNCP"&amp;D3485</f>
        <v/>
      </c>
      <c r="F3485" s="54" t="inlineStr">
        <is>
          <t>Diplôme visé grade de master - Programme Grande Ecole</t>
        </is>
      </c>
      <c r="G3485" s="55">
        <f>E3485&amp;" - "&amp;F3485</f>
        <v/>
      </c>
      <c r="H3485" s="37" t="inlineStr">
        <is>
          <t>À vérifier</t>
        </is>
      </c>
      <c r="I3485" s="51" t="inlineStr">
        <is>
          <t>Échéance le 31/08/2026 (dans 44 j)</t>
        </is>
      </c>
      <c r="J3485" s="51" t="inlineStr">
        <is>
          <t>RNCP39160</t>
        </is>
      </c>
      <c r="K3485" s="51" t="inlineStr">
        <is>
          <t>Programme Grande Ecole</t>
        </is>
      </c>
      <c r="L3485" s="51" t="inlineStr">
        <is>
          <t>31/08/2026</t>
        </is>
      </c>
      <c r="M3485" s="51" t="inlineStr">
        <is>
          <t>32025 (Stratégie entreprise) ; 32008 (Responsabilité sociétale entreprise) ; 32047 (Création entreprise) ; 32654 (Gestion financière comptabilité) ; 32154 (Encadrement management)</t>
        </is>
      </c>
      <c r="N3485" s="62" t="inlineStr">
        <is>
          <t>NON</t>
        </is>
      </c>
      <c r="O3485" s="51" t="inlineStr"/>
    </row>
    <row r="3486" customFormat="1" s="3">
      <c r="A3486" s="45" t="n"/>
      <c r="B3486" s="46" t="inlineStr">
        <is>
          <t>32602</t>
        </is>
      </c>
      <c r="C3486" s="46">
        <f>LEFT(Tableau1[[#This Row],[Formacode]],3)</f>
        <v/>
      </c>
      <c r="D3486" s="47" t="n">
        <v>40177</v>
      </c>
      <c r="E3486" s="48">
        <f>"RNCP"&amp;D3486</f>
        <v/>
      </c>
      <c r="F3486" s="48" t="inlineStr">
        <is>
          <t>Expert en Stratégie Financière</t>
        </is>
      </c>
      <c r="G3486" s="49">
        <f>E3486&amp;" - "&amp;F3486</f>
        <v/>
      </c>
      <c r="H3486" s="36" t="inlineStr">
        <is>
          <t>RAS</t>
        </is>
      </c>
      <c r="I3486" s="45" t="inlineStr"/>
      <c r="J3486" s="45" t="inlineStr">
        <is>
          <t>RNCP40177</t>
        </is>
      </c>
      <c r="K3486" s="45" t="inlineStr">
        <is>
          <t>Expert en Stratégie Financière</t>
        </is>
      </c>
      <c r="L3486" s="45" t="inlineStr">
        <is>
          <t>31/01/2030</t>
        </is>
      </c>
      <c r="M3486" s="45" t="inlineStr">
        <is>
          <t>32626 (Analyse financière) ; 32611 (Trésorerie) ; 32602 (Gestion risque financier)</t>
        </is>
      </c>
      <c r="N3486" s="50" t="inlineStr">
        <is>
          <t>NON</t>
        </is>
      </c>
      <c r="O3486" s="45" t="inlineStr"/>
    </row>
    <row r="3487" customFormat="1" s="3">
      <c r="A3487" s="45" t="n"/>
      <c r="B3487" s="46" t="inlineStr">
        <is>
          <t>32602</t>
        </is>
      </c>
      <c r="C3487" s="46">
        <f>LEFT(Tableau1[[#This Row],[Formacode]],3)</f>
        <v/>
      </c>
      <c r="D3487" s="47" t="n">
        <v>40565</v>
      </c>
      <c r="E3487" s="48">
        <f>"RNCP"&amp;D3487</f>
        <v/>
      </c>
      <c r="F3487" s="48" t="inlineStr">
        <is>
          <t>CQP Administrateur de production cinéma - audiovisuel</t>
        </is>
      </c>
      <c r="G3487" s="49">
        <f>E3487&amp;" - "&amp;F3487</f>
        <v/>
      </c>
      <c r="H3487" s="36" t="inlineStr">
        <is>
          <t>RAS</t>
        </is>
      </c>
      <c r="I3487" s="45" t="inlineStr"/>
      <c r="J3487" s="45" t="inlineStr">
        <is>
          <t>RNCP40565</t>
        </is>
      </c>
      <c r="K3487" s="45" t="inlineStr">
        <is>
          <t>CQP Administrateur de production cinéma - audiovisuel</t>
        </is>
      </c>
      <c r="L3487" s="45" t="inlineStr">
        <is>
          <t>30/04/2030</t>
        </is>
      </c>
      <c r="M3487" s="45" t="inlineStr">
        <is>
          <t>46264 (Conception réalisation audiovisuelle) ; 46274 (Cinéma) ; 32654 (Gestion financière comptabilité)</t>
        </is>
      </c>
      <c r="N3487" s="50" t="inlineStr">
        <is>
          <t>NON</t>
        </is>
      </c>
      <c r="O3487" s="45" t="inlineStr"/>
    </row>
    <row r="3488" customFormat="1" s="3">
      <c r="A3488" s="45" t="n"/>
      <c r="B3488" s="46" t="inlineStr">
        <is>
          <t>32602</t>
        </is>
      </c>
      <c r="C3488" s="46">
        <f>LEFT(Tableau1[[#This Row],[Formacode]],3)</f>
        <v/>
      </c>
      <c r="D3488" s="47" t="n">
        <v>41053</v>
      </c>
      <c r="E3488" s="48">
        <f>"RNCP"&amp;D3488</f>
        <v/>
      </c>
      <c r="F3488" s="48" t="inlineStr">
        <is>
          <t>DipViGrM - EM Normandie - Programme Grande Ecole</t>
        </is>
      </c>
      <c r="G3488" s="49">
        <f>E3488&amp;" - "&amp;F3488</f>
        <v/>
      </c>
      <c r="H3488" s="36" t="inlineStr">
        <is>
          <t>RAS</t>
        </is>
      </c>
      <c r="I3488" s="45" t="inlineStr"/>
      <c r="J3488" s="45" t="inlineStr">
        <is>
          <t>RNCP41053</t>
        </is>
      </c>
      <c r="K3488" s="45" t="inlineStr">
        <is>
          <t>EM Normandie - Programme Grande Ecole</t>
        </is>
      </c>
      <c r="L3488" s="45" t="inlineStr">
        <is>
          <t>31/08/2030</t>
        </is>
      </c>
      <c r="M3488" s="45" t="inlineStr">
        <is>
          <t>32025 (Stratégie entreprise) ; 32654 (Gestion financière comptabilité) ; 34052 (Marketing)</t>
        </is>
      </c>
      <c r="N3488" s="50" t="inlineStr">
        <is>
          <t>NON</t>
        </is>
      </c>
      <c r="O3488" s="45" t="inlineStr"/>
    </row>
    <row r="3489" customFormat="1" s="3">
      <c r="A3489" s="45" t="n"/>
      <c r="B3489" s="46" t="inlineStr">
        <is>
          <t>32623</t>
        </is>
      </c>
      <c r="C3489" s="46">
        <f>LEFT(Tableau1[[#This Row],[Formacode]],3)</f>
        <v/>
      </c>
      <c r="D3489" s="47" t="n">
        <v>36596</v>
      </c>
      <c r="E3489" s="48">
        <f>"RNCP"&amp;D3489</f>
        <v/>
      </c>
      <c r="F3489" s="48" t="inlineStr">
        <is>
          <t>Expert financier</t>
        </is>
      </c>
      <c r="G3489" s="49">
        <f>E3489&amp;" - "&amp;F3489</f>
        <v/>
      </c>
      <c r="H3489" s="36" t="inlineStr">
        <is>
          <t>RAS</t>
        </is>
      </c>
      <c r="I3489" s="45" t="inlineStr"/>
      <c r="J3489" s="45" t="inlineStr">
        <is>
          <t>RNCP36596</t>
        </is>
      </c>
      <c r="K3489" s="45" t="inlineStr">
        <is>
          <t>Expert financier</t>
        </is>
      </c>
      <c r="L3489" s="45" t="inlineStr">
        <is>
          <t>01/07/2027</t>
        </is>
      </c>
      <c r="M3489" s="45" t="inlineStr">
        <is>
          <t>32626 (Analyse financière) ; 32663 (Comptabilité) ; 32632 (Consolidation comptable) ; 32652 (Contrôle gestion) ; 32623 (Financement entreprise)</t>
        </is>
      </c>
      <c r="N3489" s="50" t="inlineStr">
        <is>
          <t>NON</t>
        </is>
      </c>
      <c r="O3489" s="45" t="inlineStr"/>
    </row>
    <row r="3490" customFormat="1" s="3">
      <c r="A3490" s="45" t="n"/>
      <c r="B3490" s="46" t="inlineStr">
        <is>
          <t>32623</t>
        </is>
      </c>
      <c r="C3490" s="46">
        <f>LEFT(Tableau1[[#This Row],[Formacode]],3)</f>
        <v/>
      </c>
      <c r="D3490" s="47" t="n">
        <v>37683</v>
      </c>
      <c r="E3490" s="48">
        <f>"RNCP"&amp;D3490</f>
        <v/>
      </c>
      <c r="F3490" s="48" t="inlineStr">
        <is>
          <t>DipViGrM - Programme grande école</t>
        </is>
      </c>
      <c r="G3490" s="49">
        <f>E3490&amp;" - "&amp;F3490</f>
        <v/>
      </c>
      <c r="H3490" s="36" t="inlineStr">
        <is>
          <t>RAS</t>
        </is>
      </c>
      <c r="I3490" s="45" t="inlineStr"/>
      <c r="J3490" s="45" t="inlineStr">
        <is>
          <t>RNCP37683</t>
        </is>
      </c>
      <c r="K3490" s="45" t="inlineStr">
        <is>
          <t>Programme grande école</t>
        </is>
      </c>
      <c r="L3490" s="45" t="inlineStr">
        <is>
          <t>31/08/2028</t>
        </is>
      </c>
      <c r="M3490" s="45" t="inlineStr">
        <is>
          <t>32654 (Gestion financière comptabilité) ; 32145 (Management transversal) ; 34054 (Gestion commerciale achats) ; 32006 (Gestion entreprise internationale)</t>
        </is>
      </c>
      <c r="N3490" s="50" t="inlineStr">
        <is>
          <t>NON</t>
        </is>
      </c>
      <c r="O3490" s="45" t="inlineStr"/>
    </row>
    <row r="3491" customFormat="1" s="3">
      <c r="A3491" s="45" t="n"/>
      <c r="B3491" s="46" t="inlineStr">
        <is>
          <t>32623</t>
        </is>
      </c>
      <c r="C3491" s="46">
        <f>LEFT(Tableau1[[#This Row],[Formacode]],3)</f>
        <v/>
      </c>
      <c r="D3491" s="47" t="n">
        <v>37684</v>
      </c>
      <c r="E3491" s="48">
        <f>"RNCP"&amp;D3491</f>
        <v/>
      </c>
      <c r="F3491" s="48" t="inlineStr">
        <is>
          <t>DipViGrM - Diplôme d’études supérieures spécialisées en management international</t>
        </is>
      </c>
      <c r="G3491" s="49">
        <f>E3491&amp;" - "&amp;F3491</f>
        <v/>
      </c>
      <c r="H3491" s="36" t="inlineStr">
        <is>
          <t>RAS</t>
        </is>
      </c>
      <c r="I3491" s="45" t="inlineStr"/>
      <c r="J3491" s="45" t="inlineStr">
        <is>
          <t>RNCP37684</t>
        </is>
      </c>
      <c r="K3491" s="45" t="inlineStr">
        <is>
          <t>Diplôme d’études supérieures spécialisées en management international</t>
        </is>
      </c>
      <c r="L3491" s="45" t="inlineStr">
        <is>
          <t>31/08/2027</t>
        </is>
      </c>
      <c r="M3491" s="45" t="inlineStr">
        <is>
          <t>32015 (Conduite changement) ; 32005 (Stratégie internationale) ; 32654 (Gestion financière comptabilité) ; 32023 (Prise décision)</t>
        </is>
      </c>
      <c r="N3491" s="50" t="inlineStr">
        <is>
          <t>NON</t>
        </is>
      </c>
      <c r="O3491" s="45" t="inlineStr"/>
    </row>
    <row r="3492" customFormat="1" s="3">
      <c r="A3492" s="45" t="n"/>
      <c r="B3492" s="46" t="inlineStr">
        <is>
          <t>32623</t>
        </is>
      </c>
      <c r="C3492" s="46">
        <f>LEFT(Tableau1[[#This Row],[Formacode]],3)</f>
        <v/>
      </c>
      <c r="D3492" s="47" t="n">
        <v>38236</v>
      </c>
      <c r="E3492" s="48">
        <f>"RNCP"&amp;D3492</f>
        <v/>
      </c>
      <c r="F3492" s="48" t="inlineStr">
        <is>
          <t>Directeur financier</t>
        </is>
      </c>
      <c r="G3492" s="49">
        <f>E3492&amp;" - "&amp;F3492</f>
        <v/>
      </c>
      <c r="H3492" s="36" t="inlineStr">
        <is>
          <t>RAS</t>
        </is>
      </c>
      <c r="I3492" s="45" t="inlineStr"/>
      <c r="J3492" s="45" t="inlineStr">
        <is>
          <t>RNCP38236</t>
        </is>
      </c>
      <c r="K3492" s="45" t="inlineStr">
        <is>
          <t>Directeur financier</t>
        </is>
      </c>
      <c r="L3492" s="45" t="inlineStr">
        <is>
          <t>15/11/2028</t>
        </is>
      </c>
      <c r="M3492" s="45" t="inlineStr">
        <is>
          <t>32626 (Analyse financière) ; 32623 (Financement entreprise) ; 41023 (Marché financier)</t>
        </is>
      </c>
      <c r="N3492" s="50" t="inlineStr">
        <is>
          <t>NON</t>
        </is>
      </c>
      <c r="O3492" s="45" t="inlineStr"/>
    </row>
    <row r="3493" customFormat="1" s="3">
      <c r="A3493" s="51" t="n"/>
      <c r="B3493" s="52" t="inlineStr">
        <is>
          <t>32623</t>
        </is>
      </c>
      <c r="C3493" s="52">
        <f>LEFT(Tableau1[[#This Row],[Formacode]],3)</f>
        <v/>
      </c>
      <c r="D3493" s="53" t="n">
        <v>39160</v>
      </c>
      <c r="E3493" s="54">
        <f>"RNCP"&amp;D3493</f>
        <v/>
      </c>
      <c r="F3493" s="54" t="inlineStr">
        <is>
          <t>Diplôme visé grade de master - Programme Grande Ecole</t>
        </is>
      </c>
      <c r="G3493" s="55">
        <f>E3493&amp;" - "&amp;F3493</f>
        <v/>
      </c>
      <c r="H3493" s="37" t="inlineStr">
        <is>
          <t>À vérifier</t>
        </is>
      </c>
      <c r="I3493" s="51" t="inlineStr">
        <is>
          <t>Échéance le 31/08/2026 (dans 44 j)</t>
        </is>
      </c>
      <c r="J3493" s="51" t="inlineStr">
        <is>
          <t>RNCP39160</t>
        </is>
      </c>
      <c r="K3493" s="51" t="inlineStr">
        <is>
          <t>Programme Grande Ecole</t>
        </is>
      </c>
      <c r="L3493" s="51" t="inlineStr">
        <is>
          <t>31/08/2026</t>
        </is>
      </c>
      <c r="M3493" s="51" t="inlineStr">
        <is>
          <t>32025 (Stratégie entreprise) ; 32008 (Responsabilité sociétale entreprise) ; 32047 (Création entreprise) ; 32654 (Gestion financière comptabilité) ; 32154 (Encadrement management)</t>
        </is>
      </c>
      <c r="N3493" s="62" t="inlineStr">
        <is>
          <t>NON</t>
        </is>
      </c>
      <c r="O3493" s="51" t="inlineStr"/>
    </row>
    <row r="3494" customFormat="1" s="3">
      <c r="A3494" s="45" t="n"/>
      <c r="B3494" s="46" t="inlineStr">
        <is>
          <t>32623</t>
        </is>
      </c>
      <c r="C3494" s="46">
        <f>LEFT(Tableau1[[#This Row],[Formacode]],3)</f>
        <v/>
      </c>
      <c r="D3494" s="47" t="n">
        <v>39875</v>
      </c>
      <c r="E3494" s="48">
        <f>"RNCP"&amp;D3494</f>
        <v/>
      </c>
      <c r="F3494" s="48" t="inlineStr">
        <is>
          <t>Responsable en Gestion Financière</t>
        </is>
      </c>
      <c r="G3494" s="49">
        <f>E3494&amp;" - "&amp;F3494</f>
        <v/>
      </c>
      <c r="H3494" s="36" t="inlineStr">
        <is>
          <t>RAS</t>
        </is>
      </c>
      <c r="I3494" s="45" t="inlineStr"/>
      <c r="J3494" s="45" t="inlineStr">
        <is>
          <t>RNCP39875</t>
        </is>
      </c>
      <c r="K3494" s="45" t="inlineStr">
        <is>
          <t>Responsable en Gestion Financière</t>
        </is>
      </c>
      <c r="L3494" s="45" t="inlineStr">
        <is>
          <t>28/11/2027</t>
        </is>
      </c>
      <c r="M3494" s="45" t="inlineStr">
        <is>
          <t>32626 (Analyse financière) ; 32650 (Gestion budgétaire) ; 32623 (Financement entreprise)</t>
        </is>
      </c>
      <c r="N3494" s="50" t="inlineStr">
        <is>
          <t>NON</t>
        </is>
      </c>
      <c r="O3494" s="45" t="inlineStr"/>
    </row>
    <row r="3495" customFormat="1" s="3">
      <c r="A3495" s="51" t="n"/>
      <c r="B3495" s="52" t="inlineStr">
        <is>
          <t>32623</t>
        </is>
      </c>
      <c r="C3495" s="52">
        <f>LEFT(Tableau1[[#This Row],[Formacode]],3)</f>
        <v/>
      </c>
      <c r="D3495" s="53" t="n">
        <v>39973</v>
      </c>
      <c r="E3495" s="54">
        <f>"RNCP"&amp;D3495</f>
        <v/>
      </c>
      <c r="F3495" s="54" t="inlineStr">
        <is>
          <t>Gestionnaire comptable et financier</t>
        </is>
      </c>
      <c r="G3495" s="55">
        <f>E3495&amp;" - "&amp;F3495</f>
        <v/>
      </c>
      <c r="H3495" s="37" t="inlineStr">
        <is>
          <t>À vérifier</t>
        </is>
      </c>
      <c r="I3495" s="51" t="inlineStr">
        <is>
          <t>Échéance le 18/12/2026 (dans 153 j)</t>
        </is>
      </c>
      <c r="J3495" s="51" t="inlineStr">
        <is>
          <t>RNCP39973</t>
        </is>
      </c>
      <c r="K3495" s="51" t="inlineStr">
        <is>
          <t>Gestionnaire comptable et financier</t>
        </is>
      </c>
      <c r="L3495" s="51" t="inlineStr">
        <is>
          <t>18/12/2026</t>
        </is>
      </c>
      <c r="M3495" s="51" t="inlineStr">
        <is>
          <t>32663 (Comptabilité) ; 32652 (Contrôle gestion) ; 32611 (Trésorerie)</t>
        </is>
      </c>
      <c r="N3495" s="62" t="inlineStr">
        <is>
          <t>NON</t>
        </is>
      </c>
      <c r="O3495" s="51" t="inlineStr"/>
    </row>
    <row r="3496" customFormat="1" s="3">
      <c r="A3496" s="45" t="n"/>
      <c r="B3496" s="46" t="inlineStr">
        <is>
          <t>32623</t>
        </is>
      </c>
      <c r="C3496" s="46">
        <f>LEFT(Tableau1[[#This Row],[Formacode]],3)</f>
        <v/>
      </c>
      <c r="D3496" s="47" t="n">
        <v>40177</v>
      </c>
      <c r="E3496" s="48">
        <f>"RNCP"&amp;D3496</f>
        <v/>
      </c>
      <c r="F3496" s="48" t="inlineStr">
        <is>
          <t>Expert en Stratégie Financière</t>
        </is>
      </c>
      <c r="G3496" s="49">
        <f>E3496&amp;" - "&amp;F3496</f>
        <v/>
      </c>
      <c r="H3496" s="36" t="inlineStr">
        <is>
          <t>RAS</t>
        </is>
      </c>
      <c r="I3496" s="45" t="inlineStr"/>
      <c r="J3496" s="45" t="inlineStr">
        <is>
          <t>RNCP40177</t>
        </is>
      </c>
      <c r="K3496" s="45" t="inlineStr">
        <is>
          <t>Expert en Stratégie Financière</t>
        </is>
      </c>
      <c r="L3496" s="45" t="inlineStr">
        <is>
          <t>31/01/2030</t>
        </is>
      </c>
      <c r="M3496" s="45" t="inlineStr">
        <is>
          <t>32626 (Analyse financière) ; 32611 (Trésorerie) ; 32602 (Gestion risque financier)</t>
        </is>
      </c>
      <c r="N3496" s="50" t="inlineStr">
        <is>
          <t>NON</t>
        </is>
      </c>
      <c r="O3496" s="45" t="inlineStr"/>
    </row>
    <row r="3497" customFormat="1" s="3">
      <c r="A3497" s="45" t="n"/>
      <c r="B3497" s="46" t="inlineStr">
        <is>
          <t>32623</t>
        </is>
      </c>
      <c r="C3497" s="46">
        <f>LEFT(Tableau1[[#This Row],[Formacode]],3)</f>
        <v/>
      </c>
      <c r="D3497" s="47" t="n">
        <v>40368</v>
      </c>
      <c r="E3497" s="48">
        <f>"RNCP"&amp;D3497</f>
        <v/>
      </c>
      <c r="F3497" s="48" t="inlineStr">
        <is>
          <t>Manager financier</t>
        </is>
      </c>
      <c r="G3497" s="49">
        <f>E3497&amp;" - "&amp;F3497</f>
        <v/>
      </c>
      <c r="H3497" s="36" t="inlineStr">
        <is>
          <t>RAS</t>
        </is>
      </c>
      <c r="I3497" s="45" t="inlineStr"/>
      <c r="J3497" s="45" t="inlineStr">
        <is>
          <t>RNCP40368</t>
        </is>
      </c>
      <c r="K3497" s="45" t="inlineStr">
        <is>
          <t>Manager financier</t>
        </is>
      </c>
      <c r="L3497" s="45" t="inlineStr">
        <is>
          <t>28/03/2028</t>
        </is>
      </c>
      <c r="M3497" s="45" t="inlineStr">
        <is>
          <t>32632 (Consolidation comptable) ; 32623 (Financement entreprise)</t>
        </is>
      </c>
      <c r="N3497" s="50" t="inlineStr">
        <is>
          <t>NON</t>
        </is>
      </c>
      <c r="O3497" s="45" t="inlineStr"/>
    </row>
    <row r="3498" customFormat="1" s="3">
      <c r="A3498" s="45" t="n"/>
      <c r="B3498" s="46" t="inlineStr">
        <is>
          <t>32623</t>
        </is>
      </c>
      <c r="C3498" s="46">
        <f>LEFT(Tableau1[[#This Row],[Formacode]],3)</f>
        <v/>
      </c>
      <c r="D3498" s="47" t="n">
        <v>40565</v>
      </c>
      <c r="E3498" s="48">
        <f>"RNCP"&amp;D3498</f>
        <v/>
      </c>
      <c r="F3498" s="48" t="inlineStr">
        <is>
          <t>CQP Administrateur de production cinéma - audiovisuel</t>
        </is>
      </c>
      <c r="G3498" s="49">
        <f>E3498&amp;" - "&amp;F3498</f>
        <v/>
      </c>
      <c r="H3498" s="36" t="inlineStr">
        <is>
          <t>RAS</t>
        </is>
      </c>
      <c r="I3498" s="45" t="inlineStr"/>
      <c r="J3498" s="45" t="inlineStr">
        <is>
          <t>RNCP40565</t>
        </is>
      </c>
      <c r="K3498" s="45" t="inlineStr">
        <is>
          <t>CQP Administrateur de production cinéma - audiovisuel</t>
        </is>
      </c>
      <c r="L3498" s="45" t="inlineStr">
        <is>
          <t>30/04/2030</t>
        </is>
      </c>
      <c r="M3498" s="45" t="inlineStr">
        <is>
          <t>46264 (Conception réalisation audiovisuelle) ; 46274 (Cinéma) ; 32654 (Gestion financière comptabilité)</t>
        </is>
      </c>
      <c r="N3498" s="50" t="inlineStr">
        <is>
          <t>NON</t>
        </is>
      </c>
      <c r="O3498" s="45" t="inlineStr"/>
    </row>
    <row r="3499" customFormat="1" s="3">
      <c r="A3499" s="45" t="n"/>
      <c r="B3499" s="46" t="inlineStr">
        <is>
          <t>32623</t>
        </is>
      </c>
      <c r="C3499" s="46">
        <f>LEFT(Tableau1[[#This Row],[Formacode]],3)</f>
        <v/>
      </c>
      <c r="D3499" s="47" t="n">
        <v>41053</v>
      </c>
      <c r="E3499" s="48">
        <f>"RNCP"&amp;D3499</f>
        <v/>
      </c>
      <c r="F3499" s="48" t="inlineStr">
        <is>
          <t>DipViGrM - EM Normandie - Programme Grande Ecole</t>
        </is>
      </c>
      <c r="G3499" s="49">
        <f>E3499&amp;" - "&amp;F3499</f>
        <v/>
      </c>
      <c r="H3499" s="36" t="inlineStr">
        <is>
          <t>RAS</t>
        </is>
      </c>
      <c r="I3499" s="45" t="inlineStr"/>
      <c r="J3499" s="45" t="inlineStr">
        <is>
          <t>RNCP41053</t>
        </is>
      </c>
      <c r="K3499" s="45" t="inlineStr">
        <is>
          <t>EM Normandie - Programme Grande Ecole</t>
        </is>
      </c>
      <c r="L3499" s="45" t="inlineStr">
        <is>
          <t>31/08/2030</t>
        </is>
      </c>
      <c r="M3499" s="45" t="inlineStr">
        <is>
          <t>32025 (Stratégie entreprise) ; 32654 (Gestion financière comptabilité) ; 34052 (Marketing)</t>
        </is>
      </c>
      <c r="N3499" s="50" t="inlineStr">
        <is>
          <t>NON</t>
        </is>
      </c>
      <c r="O3499" s="45" t="inlineStr"/>
    </row>
    <row r="3500" customFormat="1" s="3">
      <c r="A3500" s="45" t="n"/>
      <c r="B3500" s="46" t="inlineStr">
        <is>
          <t>32626</t>
        </is>
      </c>
      <c r="C3500" s="46">
        <f>LEFT(Tableau1[[#This Row],[Formacode]],3)</f>
        <v/>
      </c>
      <c r="D3500" s="47" t="n">
        <v>36596</v>
      </c>
      <c r="E3500" s="48">
        <f>"RNCP"&amp;D3500</f>
        <v/>
      </c>
      <c r="F3500" s="48" t="inlineStr">
        <is>
          <t>Expert financier</t>
        </is>
      </c>
      <c r="G3500" s="49">
        <f>E3500&amp;" - "&amp;F3500</f>
        <v/>
      </c>
      <c r="H3500" s="36" t="inlineStr">
        <is>
          <t>RAS</t>
        </is>
      </c>
      <c r="I3500" s="45" t="inlineStr"/>
      <c r="J3500" s="45" t="inlineStr">
        <is>
          <t>RNCP36596</t>
        </is>
      </c>
      <c r="K3500" s="45" t="inlineStr">
        <is>
          <t>Expert financier</t>
        </is>
      </c>
      <c r="L3500" s="45" t="inlineStr">
        <is>
          <t>01/07/2027</t>
        </is>
      </c>
      <c r="M3500" s="45" t="inlineStr">
        <is>
          <t>32626 (Analyse financière) ; 32663 (Comptabilité) ; 32632 (Consolidation comptable) ; 32652 (Contrôle gestion) ; 32623 (Financement entreprise)</t>
        </is>
      </c>
      <c r="N3500" s="50" t="inlineStr">
        <is>
          <t>NON</t>
        </is>
      </c>
      <c r="O3500" s="45" t="inlineStr"/>
    </row>
    <row r="3501" customFormat="1" s="3">
      <c r="A3501" s="45" t="n"/>
      <c r="B3501" s="46" t="inlineStr">
        <is>
          <t>32626</t>
        </is>
      </c>
      <c r="C3501" s="46">
        <f>LEFT(Tableau1[[#This Row],[Formacode]],3)</f>
        <v/>
      </c>
      <c r="D3501" s="47" t="n">
        <v>37683</v>
      </c>
      <c r="E3501" s="48">
        <f>"RNCP"&amp;D3501</f>
        <v/>
      </c>
      <c r="F3501" s="48" t="inlineStr">
        <is>
          <t>DipViGrM - Programme grande école</t>
        </is>
      </c>
      <c r="G3501" s="49">
        <f>E3501&amp;" - "&amp;F3501</f>
        <v/>
      </c>
      <c r="H3501" s="36" t="inlineStr">
        <is>
          <t>RAS</t>
        </is>
      </c>
      <c r="I3501" s="45" t="inlineStr"/>
      <c r="J3501" s="45" t="inlineStr">
        <is>
          <t>RNCP37683</t>
        </is>
      </c>
      <c r="K3501" s="45" t="inlineStr">
        <is>
          <t>Programme grande école</t>
        </is>
      </c>
      <c r="L3501" s="45" t="inlineStr">
        <is>
          <t>31/08/2028</t>
        </is>
      </c>
      <c r="M3501" s="45" t="inlineStr">
        <is>
          <t>32654 (Gestion financière comptabilité) ; 32145 (Management transversal) ; 34054 (Gestion commerciale achats) ; 32006 (Gestion entreprise internationale)</t>
        </is>
      </c>
      <c r="N3501" s="50" t="inlineStr">
        <is>
          <t>NON</t>
        </is>
      </c>
      <c r="O3501" s="45" t="inlineStr"/>
    </row>
    <row r="3502" customFormat="1" s="3">
      <c r="A3502" s="45" t="n"/>
      <c r="B3502" s="46" t="inlineStr">
        <is>
          <t>32626</t>
        </is>
      </c>
      <c r="C3502" s="46">
        <f>LEFT(Tableau1[[#This Row],[Formacode]],3)</f>
        <v/>
      </c>
      <c r="D3502" s="47" t="n">
        <v>37684</v>
      </c>
      <c r="E3502" s="48">
        <f>"RNCP"&amp;D3502</f>
        <v/>
      </c>
      <c r="F3502" s="48" t="inlineStr">
        <is>
          <t>DipViGrM - Diplôme d’études supérieures spécialisées en management international</t>
        </is>
      </c>
      <c r="G3502" s="49">
        <f>E3502&amp;" - "&amp;F3502</f>
        <v/>
      </c>
      <c r="H3502" s="36" t="inlineStr">
        <is>
          <t>RAS</t>
        </is>
      </c>
      <c r="I3502" s="45" t="inlineStr"/>
      <c r="J3502" s="45" t="inlineStr">
        <is>
          <t>RNCP37684</t>
        </is>
      </c>
      <c r="K3502" s="45" t="inlineStr">
        <is>
          <t>Diplôme d’études supérieures spécialisées en management international</t>
        </is>
      </c>
      <c r="L3502" s="45" t="inlineStr">
        <is>
          <t>31/08/2027</t>
        </is>
      </c>
      <c r="M3502" s="45" t="inlineStr">
        <is>
          <t>32015 (Conduite changement) ; 32005 (Stratégie internationale) ; 32654 (Gestion financière comptabilité) ; 32023 (Prise décision)</t>
        </is>
      </c>
      <c r="N3502" s="50" t="inlineStr">
        <is>
          <t>NON</t>
        </is>
      </c>
      <c r="O3502" s="45" t="inlineStr"/>
    </row>
    <row r="3503" customFormat="1" s="3">
      <c r="A3503" s="45" t="n"/>
      <c r="B3503" s="46" t="inlineStr">
        <is>
          <t>32626</t>
        </is>
      </c>
      <c r="C3503" s="46">
        <f>LEFT(Tableau1[[#This Row],[Formacode]],3)</f>
        <v/>
      </c>
      <c r="D3503" s="47" t="n">
        <v>38236</v>
      </c>
      <c r="E3503" s="48">
        <f>"RNCP"&amp;D3503</f>
        <v/>
      </c>
      <c r="F3503" s="48" t="inlineStr">
        <is>
          <t>Directeur financier</t>
        </is>
      </c>
      <c r="G3503" s="49">
        <f>E3503&amp;" - "&amp;F3503</f>
        <v/>
      </c>
      <c r="H3503" s="36" t="inlineStr">
        <is>
          <t>RAS</t>
        </is>
      </c>
      <c r="I3503" s="45" t="inlineStr"/>
      <c r="J3503" s="45" t="inlineStr">
        <is>
          <t>RNCP38236</t>
        </is>
      </c>
      <c r="K3503" s="45" t="inlineStr">
        <is>
          <t>Directeur financier</t>
        </is>
      </c>
      <c r="L3503" s="45" t="inlineStr">
        <is>
          <t>15/11/2028</t>
        </is>
      </c>
      <c r="M3503" s="45" t="inlineStr">
        <is>
          <t>32626 (Analyse financière) ; 32623 (Financement entreprise) ; 41023 (Marché financier)</t>
        </is>
      </c>
      <c r="N3503" s="50" t="inlineStr">
        <is>
          <t>NON</t>
        </is>
      </c>
      <c r="O3503" s="45" t="inlineStr"/>
    </row>
    <row r="3504" customFormat="1" s="3">
      <c r="A3504" s="51" t="n"/>
      <c r="B3504" s="52" t="inlineStr">
        <is>
          <t>32626</t>
        </is>
      </c>
      <c r="C3504" s="52">
        <f>LEFT(Tableau1[[#This Row],[Formacode]],3)</f>
        <v/>
      </c>
      <c r="D3504" s="53" t="n">
        <v>39160</v>
      </c>
      <c r="E3504" s="54">
        <f>"RNCP"&amp;D3504</f>
        <v/>
      </c>
      <c r="F3504" s="54" t="inlineStr">
        <is>
          <t>Diplôme visé grade de master - Programme Grande Ecole</t>
        </is>
      </c>
      <c r="G3504" s="55">
        <f>E3504&amp;" - "&amp;F3504</f>
        <v/>
      </c>
      <c r="H3504" s="37" t="inlineStr">
        <is>
          <t>À vérifier</t>
        </is>
      </c>
      <c r="I3504" s="51" t="inlineStr">
        <is>
          <t>Échéance le 31/08/2026 (dans 44 j)</t>
        </is>
      </c>
      <c r="J3504" s="51" t="inlineStr">
        <is>
          <t>RNCP39160</t>
        </is>
      </c>
      <c r="K3504" s="51" t="inlineStr">
        <is>
          <t>Programme Grande Ecole</t>
        </is>
      </c>
      <c r="L3504" s="51" t="inlineStr">
        <is>
          <t>31/08/2026</t>
        </is>
      </c>
      <c r="M3504" s="51" t="inlineStr">
        <is>
          <t>32025 (Stratégie entreprise) ; 32008 (Responsabilité sociétale entreprise) ; 32047 (Création entreprise) ; 32654 (Gestion financière comptabilité) ; 32154 (Encadrement management)</t>
        </is>
      </c>
      <c r="N3504" s="62" t="inlineStr">
        <is>
          <t>NON</t>
        </is>
      </c>
      <c r="O3504" s="51" t="inlineStr"/>
    </row>
    <row r="3505" customFormat="1" s="3">
      <c r="A3505" s="45" t="n"/>
      <c r="B3505" s="46" t="inlineStr">
        <is>
          <t>32626</t>
        </is>
      </c>
      <c r="C3505" s="46">
        <f>LEFT(Tableau1[[#This Row],[Formacode]],3)</f>
        <v/>
      </c>
      <c r="D3505" s="47" t="n">
        <v>39875</v>
      </c>
      <c r="E3505" s="48">
        <f>"RNCP"&amp;D3505</f>
        <v/>
      </c>
      <c r="F3505" s="48" t="inlineStr">
        <is>
          <t>Responsable en Gestion Financière</t>
        </is>
      </c>
      <c r="G3505" s="49">
        <f>E3505&amp;" - "&amp;F3505</f>
        <v/>
      </c>
      <c r="H3505" s="36" t="inlineStr">
        <is>
          <t>RAS</t>
        </is>
      </c>
      <c r="I3505" s="45" t="inlineStr"/>
      <c r="J3505" s="45" t="inlineStr">
        <is>
          <t>RNCP39875</t>
        </is>
      </c>
      <c r="K3505" s="45" t="inlineStr">
        <is>
          <t>Responsable en Gestion Financière</t>
        </is>
      </c>
      <c r="L3505" s="45" t="inlineStr">
        <is>
          <t>28/11/2027</t>
        </is>
      </c>
      <c r="M3505" s="45" t="inlineStr">
        <is>
          <t>32626 (Analyse financière) ; 32650 (Gestion budgétaire) ; 32623 (Financement entreprise)</t>
        </is>
      </c>
      <c r="N3505" s="50" t="inlineStr">
        <is>
          <t>NON</t>
        </is>
      </c>
      <c r="O3505" s="45" t="inlineStr"/>
    </row>
    <row r="3506" customFormat="1" s="3">
      <c r="A3506" s="45" t="n"/>
      <c r="B3506" s="46" t="inlineStr">
        <is>
          <t>32626</t>
        </is>
      </c>
      <c r="C3506" s="46">
        <f>LEFT(Tableau1[[#This Row],[Formacode]],3)</f>
        <v/>
      </c>
      <c r="D3506" s="47" t="n">
        <v>40177</v>
      </c>
      <c r="E3506" s="48">
        <f>"RNCP"&amp;D3506</f>
        <v/>
      </c>
      <c r="F3506" s="48" t="inlineStr">
        <is>
          <t>Expert en Stratégie Financière</t>
        </is>
      </c>
      <c r="G3506" s="49">
        <f>E3506&amp;" - "&amp;F3506</f>
        <v/>
      </c>
      <c r="H3506" s="36" t="inlineStr">
        <is>
          <t>RAS</t>
        </is>
      </c>
      <c r="I3506" s="45" t="inlineStr"/>
      <c r="J3506" s="45" t="inlineStr">
        <is>
          <t>RNCP40177</t>
        </is>
      </c>
      <c r="K3506" s="45" t="inlineStr">
        <is>
          <t>Expert en Stratégie Financière</t>
        </is>
      </c>
      <c r="L3506" s="45" t="inlineStr">
        <is>
          <t>31/01/2030</t>
        </is>
      </c>
      <c r="M3506" s="45" t="inlineStr">
        <is>
          <t>32626 (Analyse financière) ; 32611 (Trésorerie) ; 32602 (Gestion risque financier)</t>
        </is>
      </c>
      <c r="N3506" s="50" t="inlineStr">
        <is>
          <t>NON</t>
        </is>
      </c>
      <c r="O3506" s="45" t="inlineStr"/>
    </row>
    <row r="3507" customFormat="1" s="3">
      <c r="A3507" s="45" t="n"/>
      <c r="B3507" s="46" t="inlineStr">
        <is>
          <t>32626</t>
        </is>
      </c>
      <c r="C3507" s="46">
        <f>LEFT(Tableau1[[#This Row],[Formacode]],3)</f>
        <v/>
      </c>
      <c r="D3507" s="47" t="n">
        <v>40565</v>
      </c>
      <c r="E3507" s="48">
        <f>"RNCP"&amp;D3507</f>
        <v/>
      </c>
      <c r="F3507" s="48" t="inlineStr">
        <is>
          <t>CQP Administrateur de production cinéma - audiovisuel</t>
        </is>
      </c>
      <c r="G3507" s="49">
        <f>E3507&amp;" - "&amp;F3507</f>
        <v/>
      </c>
      <c r="H3507" s="36" t="inlineStr">
        <is>
          <t>RAS</t>
        </is>
      </c>
      <c r="I3507" s="45" t="inlineStr"/>
      <c r="J3507" s="45" t="inlineStr">
        <is>
          <t>RNCP40565</t>
        </is>
      </c>
      <c r="K3507" s="45" t="inlineStr">
        <is>
          <t>CQP Administrateur de production cinéma - audiovisuel</t>
        </is>
      </c>
      <c r="L3507" s="45" t="inlineStr">
        <is>
          <t>30/04/2030</t>
        </is>
      </c>
      <c r="M3507" s="45" t="inlineStr">
        <is>
          <t>46264 (Conception réalisation audiovisuelle) ; 46274 (Cinéma) ; 32654 (Gestion financière comptabilité)</t>
        </is>
      </c>
      <c r="N3507" s="50" t="inlineStr">
        <is>
          <t>NON</t>
        </is>
      </c>
      <c r="O3507" s="45" t="inlineStr"/>
    </row>
    <row r="3508" customFormat="1" s="3">
      <c r="A3508" s="45" t="n"/>
      <c r="B3508" s="46" t="inlineStr">
        <is>
          <t>32626</t>
        </is>
      </c>
      <c r="C3508" s="46">
        <f>LEFT(Tableau1[[#This Row],[Formacode]],3)</f>
        <v/>
      </c>
      <c r="D3508" s="47" t="n">
        <v>41053</v>
      </c>
      <c r="E3508" s="48">
        <f>"RNCP"&amp;D3508</f>
        <v/>
      </c>
      <c r="F3508" s="48" t="inlineStr">
        <is>
          <t>DipViGrM - EM Normandie - Programme Grande Ecole</t>
        </is>
      </c>
      <c r="G3508" s="49">
        <f>E3508&amp;" - "&amp;F3508</f>
        <v/>
      </c>
      <c r="H3508" s="36" t="inlineStr">
        <is>
          <t>RAS</t>
        </is>
      </c>
      <c r="I3508" s="45" t="inlineStr"/>
      <c r="J3508" s="45" t="inlineStr">
        <is>
          <t>RNCP41053</t>
        </is>
      </c>
      <c r="K3508" s="45" t="inlineStr">
        <is>
          <t>EM Normandie - Programme Grande Ecole</t>
        </is>
      </c>
      <c r="L3508" s="45" t="inlineStr">
        <is>
          <t>31/08/2030</t>
        </is>
      </c>
      <c r="M3508" s="45" t="inlineStr">
        <is>
          <t>32025 (Stratégie entreprise) ; 32654 (Gestion financière comptabilité) ; 34052 (Marketing)</t>
        </is>
      </c>
      <c r="N3508" s="50" t="inlineStr">
        <is>
          <t>NON</t>
        </is>
      </c>
      <c r="O3508" s="45" t="inlineStr"/>
    </row>
    <row r="3509" customFormat="1" s="3">
      <c r="A3509" s="45" t="n"/>
      <c r="B3509" s="46" t="inlineStr">
        <is>
          <t>32626</t>
        </is>
      </c>
      <c r="C3509" s="46">
        <f>LEFT(Tableau1[[#This Row],[Formacode]],3)</f>
        <v/>
      </c>
      <c r="D3509" s="47" t="n">
        <v>41492</v>
      </c>
      <c r="E3509" s="48">
        <f>"RNCP"&amp;D3509</f>
        <v/>
      </c>
      <c r="F3509" s="48" t="inlineStr">
        <is>
          <t>Responsable en comptabilité et contrôle de gestion</t>
        </is>
      </c>
      <c r="G3509" s="49">
        <f>E3509&amp;" - "&amp;F3509</f>
        <v/>
      </c>
      <c r="H3509" s="36" t="inlineStr">
        <is>
          <t>RAS</t>
        </is>
      </c>
      <c r="I3509" s="45" t="inlineStr"/>
      <c r="J3509" s="45" t="inlineStr">
        <is>
          <t>RNCP41492</t>
        </is>
      </c>
      <c r="K3509" s="45" t="inlineStr">
        <is>
          <t>Responsable en comptabilité et contrôle de gestion</t>
        </is>
      </c>
      <c r="L3509" s="45" t="inlineStr">
        <is>
          <t>27/10/2030</t>
        </is>
      </c>
      <c r="M3509" s="45" t="inlineStr">
        <is>
          <t>32626 (Analyse financière) ; 32695 (Audit comptabilité) ; 32652 (Contrôle gestion) ; 32667 (Comptabilité générale)</t>
        </is>
      </c>
      <c r="N3509" s="50" t="inlineStr">
        <is>
          <t>NON</t>
        </is>
      </c>
      <c r="O3509" s="45" t="inlineStr"/>
    </row>
    <row r="3510" customFormat="1" s="3">
      <c r="A3510" s="45" t="n"/>
      <c r="B3510" s="46" t="inlineStr">
        <is>
          <t>32632</t>
        </is>
      </c>
      <c r="C3510" s="46">
        <f>LEFT(Tableau1[[#This Row],[Formacode]],3)</f>
        <v/>
      </c>
      <c r="D3510" s="47" t="n">
        <v>36596</v>
      </c>
      <c r="E3510" s="48">
        <f>"RNCP"&amp;D3510</f>
        <v/>
      </c>
      <c r="F3510" s="48" t="inlineStr">
        <is>
          <t>Expert financier</t>
        </is>
      </c>
      <c r="G3510" s="49">
        <f>E3510&amp;" - "&amp;F3510</f>
        <v/>
      </c>
      <c r="H3510" s="36" t="inlineStr">
        <is>
          <t>RAS</t>
        </is>
      </c>
      <c r="I3510" s="45" t="inlineStr"/>
      <c r="J3510" s="45" t="inlineStr">
        <is>
          <t>RNCP36596</t>
        </is>
      </c>
      <c r="K3510" s="45" t="inlineStr">
        <is>
          <t>Expert financier</t>
        </is>
      </c>
      <c r="L3510" s="45" t="inlineStr">
        <is>
          <t>01/07/2027</t>
        </is>
      </c>
      <c r="M3510" s="45" t="inlineStr">
        <is>
          <t>32626 (Analyse financière) ; 32663 (Comptabilité) ; 32632 (Consolidation comptable) ; 32652 (Contrôle gestion) ; 32623 (Financement entreprise)</t>
        </is>
      </c>
      <c r="N3510" s="50" t="inlineStr">
        <is>
          <t>NON</t>
        </is>
      </c>
      <c r="O3510" s="45" t="inlineStr"/>
    </row>
    <row r="3511" customFormat="1" s="3">
      <c r="A3511" s="45" t="n"/>
      <c r="B3511" s="46" t="inlineStr">
        <is>
          <t>32632</t>
        </is>
      </c>
      <c r="C3511" s="46">
        <f>LEFT(Tableau1[[#This Row],[Formacode]],3)</f>
        <v/>
      </c>
      <c r="D3511" s="47" t="n">
        <v>37683</v>
      </c>
      <c r="E3511" s="48">
        <f>"RNCP"&amp;D3511</f>
        <v/>
      </c>
      <c r="F3511" s="48" t="inlineStr">
        <is>
          <t>DipViGrM - Programme grande école</t>
        </is>
      </c>
      <c r="G3511" s="49">
        <f>E3511&amp;" - "&amp;F3511</f>
        <v/>
      </c>
      <c r="H3511" s="36" t="inlineStr">
        <is>
          <t>RAS</t>
        </is>
      </c>
      <c r="I3511" s="45" t="inlineStr"/>
      <c r="J3511" s="45" t="inlineStr">
        <is>
          <t>RNCP37683</t>
        </is>
      </c>
      <c r="K3511" s="45" t="inlineStr">
        <is>
          <t>Programme grande école</t>
        </is>
      </c>
      <c r="L3511" s="45" t="inlineStr">
        <is>
          <t>31/08/2028</t>
        </is>
      </c>
      <c r="M3511" s="45" t="inlineStr">
        <is>
          <t>32654 (Gestion financière comptabilité) ; 32145 (Management transversal) ; 34054 (Gestion commerciale achats) ; 32006 (Gestion entreprise internationale)</t>
        </is>
      </c>
      <c r="N3511" s="50" t="inlineStr">
        <is>
          <t>NON</t>
        </is>
      </c>
      <c r="O3511" s="45" t="inlineStr"/>
    </row>
    <row r="3512" customFormat="1" s="3">
      <c r="A3512" s="45" t="n"/>
      <c r="B3512" s="46" t="inlineStr">
        <is>
          <t>32632</t>
        </is>
      </c>
      <c r="C3512" s="46">
        <f>LEFT(Tableau1[[#This Row],[Formacode]],3)</f>
        <v/>
      </c>
      <c r="D3512" s="47" t="n">
        <v>37684</v>
      </c>
      <c r="E3512" s="48">
        <f>"RNCP"&amp;D3512</f>
        <v/>
      </c>
      <c r="F3512" s="48" t="inlineStr">
        <is>
          <t>DipViGrM - Diplôme d’études supérieures spécialisées en management international</t>
        </is>
      </c>
      <c r="G3512" s="49">
        <f>E3512&amp;" - "&amp;F3512</f>
        <v/>
      </c>
      <c r="H3512" s="36" t="inlineStr">
        <is>
          <t>RAS</t>
        </is>
      </c>
      <c r="I3512" s="45" t="inlineStr"/>
      <c r="J3512" s="45" t="inlineStr">
        <is>
          <t>RNCP37684</t>
        </is>
      </c>
      <c r="K3512" s="45" t="inlineStr">
        <is>
          <t>Diplôme d’études supérieures spécialisées en management international</t>
        </is>
      </c>
      <c r="L3512" s="45" t="inlineStr">
        <is>
          <t>31/08/2027</t>
        </is>
      </c>
      <c r="M3512" s="45" t="inlineStr">
        <is>
          <t>32015 (Conduite changement) ; 32005 (Stratégie internationale) ; 32654 (Gestion financière comptabilité) ; 32023 (Prise décision)</t>
        </is>
      </c>
      <c r="N3512" s="50" t="inlineStr">
        <is>
          <t>NON</t>
        </is>
      </c>
      <c r="O3512" s="45" t="inlineStr"/>
    </row>
    <row r="3513" customFormat="1" s="3">
      <c r="A3513" s="51" t="n"/>
      <c r="B3513" s="52" t="inlineStr">
        <is>
          <t>32632</t>
        </is>
      </c>
      <c r="C3513" s="52">
        <f>LEFT(Tableau1[[#This Row],[Formacode]],3)</f>
        <v/>
      </c>
      <c r="D3513" s="53" t="n">
        <v>39160</v>
      </c>
      <c r="E3513" s="54">
        <f>"RNCP"&amp;D3513</f>
        <v/>
      </c>
      <c r="F3513" s="54" t="inlineStr">
        <is>
          <t>Diplôme visé grade de master - Programme Grande Ecole</t>
        </is>
      </c>
      <c r="G3513" s="55">
        <f>E3513&amp;" - "&amp;F3513</f>
        <v/>
      </c>
      <c r="H3513" s="37" t="inlineStr">
        <is>
          <t>À vérifier</t>
        </is>
      </c>
      <c r="I3513" s="51" t="inlineStr">
        <is>
          <t>Échéance le 31/08/2026 (dans 44 j)</t>
        </is>
      </c>
      <c r="J3513" s="51" t="inlineStr">
        <is>
          <t>RNCP39160</t>
        </is>
      </c>
      <c r="K3513" s="51" t="inlineStr">
        <is>
          <t>Programme Grande Ecole</t>
        </is>
      </c>
      <c r="L3513" s="51" t="inlineStr">
        <is>
          <t>31/08/2026</t>
        </is>
      </c>
      <c r="M3513" s="51" t="inlineStr">
        <is>
          <t>32025 (Stratégie entreprise) ; 32008 (Responsabilité sociétale entreprise) ; 32047 (Création entreprise) ; 32654 (Gestion financière comptabilité) ; 32154 (Encadrement management)</t>
        </is>
      </c>
      <c r="N3513" s="62" t="inlineStr">
        <is>
          <t>NON</t>
        </is>
      </c>
      <c r="O3513" s="51" t="inlineStr"/>
    </row>
    <row r="3514" customFormat="1" s="3">
      <c r="A3514" s="45" t="n"/>
      <c r="B3514" s="46" t="inlineStr">
        <is>
          <t>32632</t>
        </is>
      </c>
      <c r="C3514" s="46">
        <f>LEFT(Tableau1[[#This Row],[Formacode]],3)</f>
        <v/>
      </c>
      <c r="D3514" s="47" t="n">
        <v>40368</v>
      </c>
      <c r="E3514" s="48">
        <f>"RNCP"&amp;D3514</f>
        <v/>
      </c>
      <c r="F3514" s="48" t="inlineStr">
        <is>
          <t>Manager financier</t>
        </is>
      </c>
      <c r="G3514" s="49">
        <f>E3514&amp;" - "&amp;F3514</f>
        <v/>
      </c>
      <c r="H3514" s="36" t="inlineStr">
        <is>
          <t>RAS</t>
        </is>
      </c>
      <c r="I3514" s="45" t="inlineStr"/>
      <c r="J3514" s="45" t="inlineStr">
        <is>
          <t>RNCP40368</t>
        </is>
      </c>
      <c r="K3514" s="45" t="inlineStr">
        <is>
          <t>Manager financier</t>
        </is>
      </c>
      <c r="L3514" s="45" t="inlineStr">
        <is>
          <t>28/03/2028</t>
        </is>
      </c>
      <c r="M3514" s="45" t="inlineStr">
        <is>
          <t>32632 (Consolidation comptable) ; 32623 (Financement entreprise)</t>
        </is>
      </c>
      <c r="N3514" s="50" t="inlineStr">
        <is>
          <t>NON</t>
        </is>
      </c>
      <c r="O3514" s="45" t="inlineStr"/>
    </row>
    <row r="3515" customFormat="1" s="3">
      <c r="A3515" s="45" t="n"/>
      <c r="B3515" s="46" t="inlineStr">
        <is>
          <t>32632</t>
        </is>
      </c>
      <c r="C3515" s="46">
        <f>LEFT(Tableau1[[#This Row],[Formacode]],3)</f>
        <v/>
      </c>
      <c r="D3515" s="47" t="n">
        <v>40565</v>
      </c>
      <c r="E3515" s="48">
        <f>"RNCP"&amp;D3515</f>
        <v/>
      </c>
      <c r="F3515" s="48" t="inlineStr">
        <is>
          <t>CQP Administrateur de production cinéma - audiovisuel</t>
        </is>
      </c>
      <c r="G3515" s="49">
        <f>E3515&amp;" - "&amp;F3515</f>
        <v/>
      </c>
      <c r="H3515" s="36" t="inlineStr">
        <is>
          <t>RAS</t>
        </is>
      </c>
      <c r="I3515" s="45" t="inlineStr"/>
      <c r="J3515" s="45" t="inlineStr">
        <is>
          <t>RNCP40565</t>
        </is>
      </c>
      <c r="K3515" s="45" t="inlineStr">
        <is>
          <t>CQP Administrateur de production cinéma - audiovisuel</t>
        </is>
      </c>
      <c r="L3515" s="45" t="inlineStr">
        <is>
          <t>30/04/2030</t>
        </is>
      </c>
      <c r="M3515" s="45" t="inlineStr">
        <is>
          <t>46264 (Conception réalisation audiovisuelle) ; 46274 (Cinéma) ; 32654 (Gestion financière comptabilité)</t>
        </is>
      </c>
      <c r="N3515" s="50" t="inlineStr">
        <is>
          <t>NON</t>
        </is>
      </c>
      <c r="O3515" s="45" t="inlineStr"/>
    </row>
    <row r="3516" customFormat="1" s="3">
      <c r="A3516" s="45" t="n"/>
      <c r="B3516" s="46" t="inlineStr">
        <is>
          <t>32632</t>
        </is>
      </c>
      <c r="C3516" s="46">
        <f>LEFT(Tableau1[[#This Row],[Formacode]],3)</f>
        <v/>
      </c>
      <c r="D3516" s="47" t="n">
        <v>41053</v>
      </c>
      <c r="E3516" s="48">
        <f>"RNCP"&amp;D3516</f>
        <v/>
      </c>
      <c r="F3516" s="48" t="inlineStr">
        <is>
          <t>DipViGrM - EM Normandie - Programme Grande Ecole</t>
        </is>
      </c>
      <c r="G3516" s="49">
        <f>E3516&amp;" - "&amp;F3516</f>
        <v/>
      </c>
      <c r="H3516" s="36" t="inlineStr">
        <is>
          <t>RAS</t>
        </is>
      </c>
      <c r="I3516" s="45" t="inlineStr"/>
      <c r="J3516" s="45" t="inlineStr">
        <is>
          <t>RNCP41053</t>
        </is>
      </c>
      <c r="K3516" s="45" t="inlineStr">
        <is>
          <t>EM Normandie - Programme Grande Ecole</t>
        </is>
      </c>
      <c r="L3516" s="45" t="inlineStr">
        <is>
          <t>31/08/2030</t>
        </is>
      </c>
      <c r="M3516" s="45" t="inlineStr">
        <is>
          <t>32025 (Stratégie entreprise) ; 32654 (Gestion financière comptabilité) ; 34052 (Marketing)</t>
        </is>
      </c>
      <c r="N3516" s="50" t="inlineStr">
        <is>
          <t>NON</t>
        </is>
      </c>
      <c r="O3516" s="45" t="inlineStr"/>
    </row>
    <row r="3517" customFormat="1" s="3">
      <c r="A3517" s="45" t="n"/>
      <c r="B3517" s="46" t="inlineStr">
        <is>
          <t>32652</t>
        </is>
      </c>
      <c r="C3517" s="46">
        <f>LEFT(Tableau1[[#This Row],[Formacode]],3)</f>
        <v/>
      </c>
      <c r="D3517" s="47" t="n">
        <v>36596</v>
      </c>
      <c r="E3517" s="48">
        <f>"RNCP"&amp;D3517</f>
        <v/>
      </c>
      <c r="F3517" s="48" t="inlineStr">
        <is>
          <t>Expert financier</t>
        </is>
      </c>
      <c r="G3517" s="49">
        <f>E3517&amp;" - "&amp;F3517</f>
        <v/>
      </c>
      <c r="H3517" s="36" t="inlineStr">
        <is>
          <t>RAS</t>
        </is>
      </c>
      <c r="I3517" s="45" t="inlineStr"/>
      <c r="J3517" s="45" t="inlineStr">
        <is>
          <t>RNCP36596</t>
        </is>
      </c>
      <c r="K3517" s="45" t="inlineStr">
        <is>
          <t>Expert financier</t>
        </is>
      </c>
      <c r="L3517" s="45" t="inlineStr">
        <is>
          <t>01/07/2027</t>
        </is>
      </c>
      <c r="M3517" s="45" t="inlineStr">
        <is>
          <t>32626 (Analyse financière) ; 32663 (Comptabilité) ; 32632 (Consolidation comptable) ; 32652 (Contrôle gestion) ; 32623 (Financement entreprise)</t>
        </is>
      </c>
      <c r="N3517" s="50" t="inlineStr">
        <is>
          <t>NON</t>
        </is>
      </c>
      <c r="O3517" s="45" t="inlineStr"/>
    </row>
    <row r="3518" customFormat="1" s="3">
      <c r="A3518" s="45" t="n"/>
      <c r="B3518" s="46" t="inlineStr">
        <is>
          <t>32652</t>
        </is>
      </c>
      <c r="C3518" s="46">
        <f>LEFT(Tableau1[[#This Row],[Formacode]],3)</f>
        <v/>
      </c>
      <c r="D3518" s="47" t="n">
        <v>37285</v>
      </c>
      <c r="E3518" s="48">
        <f>"RNCP"&amp;D3518</f>
        <v/>
      </c>
      <c r="F3518" s="48" t="inlineStr">
        <is>
          <t>CQP Chef d’agence en négoce des matériaux de construction</t>
        </is>
      </c>
      <c r="G3518" s="49">
        <f>E3518&amp;" - "&amp;F3518</f>
        <v/>
      </c>
      <c r="H3518" s="36" t="inlineStr">
        <is>
          <t>RAS</t>
        </is>
      </c>
      <c r="I3518" s="45" t="inlineStr"/>
      <c r="J3518" s="45" t="inlineStr">
        <is>
          <t>RNCP37285</t>
        </is>
      </c>
      <c r="K3518" s="45" t="inlineStr">
        <is>
          <t>CQP Chef d’agence en négoce des matériaux de construction</t>
        </is>
      </c>
      <c r="L3518" s="45" t="inlineStr">
        <is>
          <t>25/01/2028</t>
        </is>
      </c>
      <c r="M3518" s="45" t="inlineStr">
        <is>
          <t>22852 (Matériau construction) ; 32650 (Gestion budgétaire) ; 31663 (Gestion stock) ; 34085 (Stratégie commerciale) ; 32154 (Encadrement management)</t>
        </is>
      </c>
      <c r="N3518" s="50" t="inlineStr">
        <is>
          <t>NON</t>
        </is>
      </c>
      <c r="O3518" s="45" t="inlineStr"/>
    </row>
    <row r="3519" customFormat="1" s="3">
      <c r="A3519" s="45" t="n"/>
      <c r="B3519" s="46" t="inlineStr">
        <is>
          <t>32652</t>
        </is>
      </c>
      <c r="C3519" s="46">
        <f>LEFT(Tableau1[[#This Row],[Formacode]],3)</f>
        <v/>
      </c>
      <c r="D3519" s="47" t="n">
        <v>37650</v>
      </c>
      <c r="E3519" s="48">
        <f>"RNCP"&amp;D3519</f>
        <v/>
      </c>
      <c r="F3519" s="48" t="inlineStr">
        <is>
          <t>Contrôleur de gestion</t>
        </is>
      </c>
      <c r="G3519" s="49">
        <f>E3519&amp;" - "&amp;F3519</f>
        <v/>
      </c>
      <c r="H3519" s="36" t="inlineStr">
        <is>
          <t>RAS</t>
        </is>
      </c>
      <c r="I3519" s="45" t="inlineStr"/>
      <c r="J3519" s="45" t="inlineStr">
        <is>
          <t>RNCP37650</t>
        </is>
      </c>
      <c r="K3519" s="45" t="inlineStr">
        <is>
          <t>Contrôleur de gestion</t>
        </is>
      </c>
      <c r="L3519" s="45" t="inlineStr">
        <is>
          <t>31/05/2028</t>
        </is>
      </c>
      <c r="M3519" s="45" t="inlineStr">
        <is>
          <t>32652 (Contrôle gestion) ; 31641 (Contrôle gestion production)</t>
        </is>
      </c>
      <c r="N3519" s="50" t="inlineStr">
        <is>
          <t>NON</t>
        </is>
      </c>
      <c r="O3519" s="45" t="inlineStr"/>
    </row>
    <row r="3520" customFormat="1" s="3">
      <c r="A3520" s="45" t="n"/>
      <c r="B3520" s="46" t="inlineStr">
        <is>
          <t>32652</t>
        </is>
      </c>
      <c r="C3520" s="46">
        <f>LEFT(Tableau1[[#This Row],[Formacode]],3)</f>
        <v/>
      </c>
      <c r="D3520" s="47" t="n">
        <v>37683</v>
      </c>
      <c r="E3520" s="48">
        <f>"RNCP"&amp;D3520</f>
        <v/>
      </c>
      <c r="F3520" s="48" t="inlineStr">
        <is>
          <t>DipViGrM - Programme grande école</t>
        </is>
      </c>
      <c r="G3520" s="49">
        <f>E3520&amp;" - "&amp;F3520</f>
        <v/>
      </c>
      <c r="H3520" s="36" t="inlineStr">
        <is>
          <t>RAS</t>
        </is>
      </c>
      <c r="I3520" s="45" t="inlineStr"/>
      <c r="J3520" s="45" t="inlineStr">
        <is>
          <t>RNCP37683</t>
        </is>
      </c>
      <c r="K3520" s="45" t="inlineStr">
        <is>
          <t>Programme grande école</t>
        </is>
      </c>
      <c r="L3520" s="45" t="inlineStr">
        <is>
          <t>31/08/2028</t>
        </is>
      </c>
      <c r="M3520" s="45" t="inlineStr">
        <is>
          <t>32654 (Gestion financière comptabilité) ; 32145 (Management transversal) ; 34054 (Gestion commerciale achats) ; 32006 (Gestion entreprise internationale)</t>
        </is>
      </c>
      <c r="N3520" s="50" t="inlineStr">
        <is>
          <t>NON</t>
        </is>
      </c>
      <c r="O3520" s="45" t="inlineStr"/>
    </row>
    <row r="3521" customFormat="1" s="3">
      <c r="A3521" s="45" t="n"/>
      <c r="B3521" s="46" t="inlineStr">
        <is>
          <t>32652</t>
        </is>
      </c>
      <c r="C3521" s="46">
        <f>LEFT(Tableau1[[#This Row],[Formacode]],3)</f>
        <v/>
      </c>
      <c r="D3521" s="47" t="n">
        <v>37684</v>
      </c>
      <c r="E3521" s="48">
        <f>"RNCP"&amp;D3521</f>
        <v/>
      </c>
      <c r="F3521" s="48" t="inlineStr">
        <is>
          <t>DipViGrM - Diplôme d’études supérieures spécialisées en management international</t>
        </is>
      </c>
      <c r="G3521" s="49">
        <f>E3521&amp;" - "&amp;F3521</f>
        <v/>
      </c>
      <c r="H3521" s="36" t="inlineStr">
        <is>
          <t>RAS</t>
        </is>
      </c>
      <c r="I3521" s="45" t="inlineStr"/>
      <c r="J3521" s="45" t="inlineStr">
        <is>
          <t>RNCP37684</t>
        </is>
      </c>
      <c r="K3521" s="45" t="inlineStr">
        <is>
          <t>Diplôme d’études supérieures spécialisées en management international</t>
        </is>
      </c>
      <c r="L3521" s="45" t="inlineStr">
        <is>
          <t>31/08/2027</t>
        </is>
      </c>
      <c r="M3521" s="45" t="inlineStr">
        <is>
          <t>32015 (Conduite changement) ; 32005 (Stratégie internationale) ; 32654 (Gestion financière comptabilité) ; 32023 (Prise décision)</t>
        </is>
      </c>
      <c r="N3521" s="50" t="inlineStr">
        <is>
          <t>NON</t>
        </is>
      </c>
      <c r="O3521" s="45" t="inlineStr"/>
    </row>
    <row r="3522" customFormat="1" s="3">
      <c r="A3522" s="51" t="n"/>
      <c r="B3522" s="52" t="inlineStr">
        <is>
          <t>32652</t>
        </is>
      </c>
      <c r="C3522" s="52">
        <f>LEFT(Tableau1[[#This Row],[Formacode]],3)</f>
        <v/>
      </c>
      <c r="D3522" s="53" t="n">
        <v>37865</v>
      </c>
      <c r="E3522" s="54">
        <f>"RNCP"&amp;D3522</f>
        <v/>
      </c>
      <c r="F3522" s="54" t="inlineStr">
        <is>
          <t>Responsable en gestion d'activité opérationnelle</t>
        </is>
      </c>
      <c r="G3522" s="55">
        <f>E3522&amp;" - "&amp;F3522</f>
        <v/>
      </c>
      <c r="H3522" s="37" t="inlineStr">
        <is>
          <t>À vérifier</t>
        </is>
      </c>
      <c r="I3522" s="51" t="inlineStr">
        <is>
          <t>Successeur déjà publié : RNCP42510 (Responsable en gestion d'activité) — préparer la bascule de l'offre CPF | Échéance le 19/07/2026 (dans 1 j)</t>
        </is>
      </c>
      <c r="J3522" s="51" t="inlineStr">
        <is>
          <t>RNCP42510</t>
        </is>
      </c>
      <c r="K3522" s="51" t="inlineStr">
        <is>
          <t>Responsable en gestion d'activité</t>
        </is>
      </c>
      <c r="L3522" s="51" t="inlineStr">
        <is>
          <t>19/07/2026</t>
        </is>
      </c>
      <c r="M3522" s="51" t="inlineStr">
        <is>
          <t>32054 (Gestion des organisations) ; 32654 (Gestion financière comptabilité)</t>
        </is>
      </c>
      <c r="N3522" s="62" t="inlineStr">
        <is>
          <t>NON</t>
        </is>
      </c>
      <c r="O3522" s="51" t="inlineStr"/>
    </row>
    <row r="3523" customFormat="1" s="3">
      <c r="A3523" s="51" t="n"/>
      <c r="B3523" s="52" t="inlineStr">
        <is>
          <t>32652</t>
        </is>
      </c>
      <c r="C3523" s="52">
        <f>LEFT(Tableau1[[#This Row],[Formacode]],3)</f>
        <v/>
      </c>
      <c r="D3523" s="53" t="n">
        <v>39160</v>
      </c>
      <c r="E3523" s="54">
        <f>"RNCP"&amp;D3523</f>
        <v/>
      </c>
      <c r="F3523" s="54" t="inlineStr">
        <is>
          <t>Diplôme visé grade de master - Programme Grande Ecole</t>
        </is>
      </c>
      <c r="G3523" s="55">
        <f>E3523&amp;" - "&amp;F3523</f>
        <v/>
      </c>
      <c r="H3523" s="37" t="inlineStr">
        <is>
          <t>À vérifier</t>
        </is>
      </c>
      <c r="I3523" s="51" t="inlineStr">
        <is>
          <t>Échéance le 31/08/2026 (dans 44 j)</t>
        </is>
      </c>
      <c r="J3523" s="51" t="inlineStr">
        <is>
          <t>RNCP39160</t>
        </is>
      </c>
      <c r="K3523" s="51" t="inlineStr">
        <is>
          <t>Programme Grande Ecole</t>
        </is>
      </c>
      <c r="L3523" s="51" t="inlineStr">
        <is>
          <t>31/08/2026</t>
        </is>
      </c>
      <c r="M3523" s="51" t="inlineStr">
        <is>
          <t>32025 (Stratégie entreprise) ; 32008 (Responsabilité sociétale entreprise) ; 32047 (Création entreprise) ; 32654 (Gestion financière comptabilité) ; 32154 (Encadrement management)</t>
        </is>
      </c>
      <c r="N3523" s="62" t="inlineStr">
        <is>
          <t>NON</t>
        </is>
      </c>
      <c r="O3523" s="51" t="inlineStr"/>
    </row>
    <row r="3524" customFormat="1" s="3">
      <c r="A3524" s="51" t="n"/>
      <c r="B3524" s="52" t="inlineStr">
        <is>
          <t>32652</t>
        </is>
      </c>
      <c r="C3524" s="52">
        <f>LEFT(Tableau1[[#This Row],[Formacode]],3)</f>
        <v/>
      </c>
      <c r="D3524" s="53" t="n">
        <v>39763</v>
      </c>
      <c r="E3524" s="54">
        <f>"RNCP"&amp;D3524</f>
        <v/>
      </c>
      <c r="F3524" s="54" t="inlineStr">
        <is>
          <t>Manager de la performance financière</t>
        </is>
      </c>
      <c r="G3524" s="55">
        <f>E3524&amp;" - "&amp;F3524</f>
        <v/>
      </c>
      <c r="H3524" s="37" t="inlineStr">
        <is>
          <t>À vérifier</t>
        </is>
      </c>
      <c r="I3524" s="51" t="inlineStr">
        <is>
          <t>Échéance le 31/10/2026 (dans 105 j)</t>
        </is>
      </c>
      <c r="J3524" s="51" t="inlineStr">
        <is>
          <t>RNCP39763</t>
        </is>
      </c>
      <c r="K3524" s="51" t="inlineStr">
        <is>
          <t>Manager de la performance financière</t>
        </is>
      </c>
      <c r="L3524" s="51" t="inlineStr">
        <is>
          <t>31/10/2026</t>
        </is>
      </c>
      <c r="M3524" s="51" t="inlineStr">
        <is>
          <t>32154 (Encadrement management) ; 32079 (Gestion performance) ; 32652 (Contrôle gestion) ; 32098 (Audit entreprise)</t>
        </is>
      </c>
      <c r="N3524" s="62" t="inlineStr">
        <is>
          <t>NON</t>
        </is>
      </c>
      <c r="O3524" s="51" t="inlineStr"/>
    </row>
    <row r="3525" customFormat="1" s="3">
      <c r="A3525" s="45" t="n"/>
      <c r="B3525" s="46" t="inlineStr">
        <is>
          <t>32652</t>
        </is>
      </c>
      <c r="C3525" s="46">
        <f>LEFT(Tableau1[[#This Row],[Formacode]],3)</f>
        <v/>
      </c>
      <c r="D3525" s="47" t="n">
        <v>39875</v>
      </c>
      <c r="E3525" s="48">
        <f>"RNCP"&amp;D3525</f>
        <v/>
      </c>
      <c r="F3525" s="48" t="inlineStr">
        <is>
          <t>Responsable en Gestion Financière</t>
        </is>
      </c>
      <c r="G3525" s="49">
        <f>E3525&amp;" - "&amp;F3525</f>
        <v/>
      </c>
      <c r="H3525" s="36" t="inlineStr">
        <is>
          <t>RAS</t>
        </is>
      </c>
      <c r="I3525" s="45" t="inlineStr"/>
      <c r="J3525" s="45" t="inlineStr">
        <is>
          <t>RNCP39875</t>
        </is>
      </c>
      <c r="K3525" s="45" t="inlineStr">
        <is>
          <t>Responsable en Gestion Financière</t>
        </is>
      </c>
      <c r="L3525" s="45" t="inlineStr">
        <is>
          <t>28/11/2027</t>
        </is>
      </c>
      <c r="M3525" s="45" t="inlineStr">
        <is>
          <t>32626 (Analyse financière) ; 32650 (Gestion budgétaire) ; 32623 (Financement entreprise)</t>
        </is>
      </c>
      <c r="N3525" s="50" t="inlineStr">
        <is>
          <t>NON</t>
        </is>
      </c>
      <c r="O3525" s="45" t="inlineStr"/>
    </row>
    <row r="3526" customFormat="1" s="3">
      <c r="A3526" s="51" t="n"/>
      <c r="B3526" s="52" t="inlineStr">
        <is>
          <t>32652</t>
        </is>
      </c>
      <c r="C3526" s="52">
        <f>LEFT(Tableau1[[#This Row],[Formacode]],3)</f>
        <v/>
      </c>
      <c r="D3526" s="53" t="n">
        <v>39973</v>
      </c>
      <c r="E3526" s="54">
        <f>"RNCP"&amp;D3526</f>
        <v/>
      </c>
      <c r="F3526" s="54" t="inlineStr">
        <is>
          <t>Gestionnaire comptable et financier</t>
        </is>
      </c>
      <c r="G3526" s="55">
        <f>E3526&amp;" - "&amp;F3526</f>
        <v/>
      </c>
      <c r="H3526" s="37" t="inlineStr">
        <is>
          <t>À vérifier</t>
        </is>
      </c>
      <c r="I3526" s="51" t="inlineStr">
        <is>
          <t>Échéance le 18/12/2026 (dans 153 j)</t>
        </is>
      </c>
      <c r="J3526" s="51" t="inlineStr">
        <is>
          <t>RNCP39973</t>
        </is>
      </c>
      <c r="K3526" s="51" t="inlineStr">
        <is>
          <t>Gestionnaire comptable et financier</t>
        </is>
      </c>
      <c r="L3526" s="51" t="inlineStr">
        <is>
          <t>18/12/2026</t>
        </is>
      </c>
      <c r="M3526" s="51" t="inlineStr">
        <is>
          <t>32663 (Comptabilité) ; 32652 (Contrôle gestion) ; 32611 (Trésorerie)</t>
        </is>
      </c>
      <c r="N3526" s="62" t="inlineStr">
        <is>
          <t>NON</t>
        </is>
      </c>
      <c r="O3526" s="51" t="inlineStr"/>
    </row>
    <row r="3527" customFormat="1" s="3">
      <c r="A3527" s="45" t="n"/>
      <c r="B3527" s="46" t="inlineStr">
        <is>
          <t>32652</t>
        </is>
      </c>
      <c r="C3527" s="46">
        <f>LEFT(Tableau1[[#This Row],[Formacode]],3)</f>
        <v/>
      </c>
      <c r="D3527" s="47" t="n">
        <v>40565</v>
      </c>
      <c r="E3527" s="48">
        <f>"RNCP"&amp;D3527</f>
        <v/>
      </c>
      <c r="F3527" s="48" t="inlineStr">
        <is>
          <t>CQP Administrateur de production cinéma - audiovisuel</t>
        </is>
      </c>
      <c r="G3527" s="49">
        <f>E3527&amp;" - "&amp;F3527</f>
        <v/>
      </c>
      <c r="H3527" s="36" t="inlineStr">
        <is>
          <t>RAS</t>
        </is>
      </c>
      <c r="I3527" s="45" t="inlineStr"/>
      <c r="J3527" s="45" t="inlineStr">
        <is>
          <t>RNCP40565</t>
        </is>
      </c>
      <c r="K3527" s="45" t="inlineStr">
        <is>
          <t>CQP Administrateur de production cinéma - audiovisuel</t>
        </is>
      </c>
      <c r="L3527" s="45" t="inlineStr">
        <is>
          <t>30/04/2030</t>
        </is>
      </c>
      <c r="M3527" s="45" t="inlineStr">
        <is>
          <t>46264 (Conception réalisation audiovisuelle) ; 46274 (Cinéma) ; 32654 (Gestion financière comptabilité)</t>
        </is>
      </c>
      <c r="N3527" s="50" t="inlineStr">
        <is>
          <t>NON</t>
        </is>
      </c>
      <c r="O3527" s="45" t="inlineStr"/>
    </row>
    <row r="3528" customFormat="1" s="3">
      <c r="A3528" s="45" t="n"/>
      <c r="B3528" s="46" t="inlineStr">
        <is>
          <t>32652</t>
        </is>
      </c>
      <c r="C3528" s="46">
        <f>LEFT(Tableau1[[#This Row],[Formacode]],3)</f>
        <v/>
      </c>
      <c r="D3528" s="47" t="n">
        <v>41053</v>
      </c>
      <c r="E3528" s="48">
        <f>"RNCP"&amp;D3528</f>
        <v/>
      </c>
      <c r="F3528" s="48" t="inlineStr">
        <is>
          <t>DipViGrM - EM Normandie - Programme Grande Ecole</t>
        </is>
      </c>
      <c r="G3528" s="49">
        <f>E3528&amp;" - "&amp;F3528</f>
        <v/>
      </c>
      <c r="H3528" s="36" t="inlineStr">
        <is>
          <t>RAS</t>
        </is>
      </c>
      <c r="I3528" s="45" t="inlineStr"/>
      <c r="J3528" s="45" t="inlineStr">
        <is>
          <t>RNCP41053</t>
        </is>
      </c>
      <c r="K3528" s="45" t="inlineStr">
        <is>
          <t>EM Normandie - Programme Grande Ecole</t>
        </is>
      </c>
      <c r="L3528" s="45" t="inlineStr">
        <is>
          <t>31/08/2030</t>
        </is>
      </c>
      <c r="M3528" s="45" t="inlineStr">
        <is>
          <t>32025 (Stratégie entreprise) ; 32654 (Gestion financière comptabilité) ; 34052 (Marketing)</t>
        </is>
      </c>
      <c r="N3528" s="50" t="inlineStr">
        <is>
          <t>NON</t>
        </is>
      </c>
      <c r="O3528" s="45" t="inlineStr"/>
    </row>
    <row r="3529" customFormat="1" s="3">
      <c r="A3529" s="45" t="n"/>
      <c r="B3529" s="46" t="inlineStr">
        <is>
          <t>32652</t>
        </is>
      </c>
      <c r="C3529" s="46">
        <f>LEFT(Tableau1[[#This Row],[Formacode]],3)</f>
        <v/>
      </c>
      <c r="D3529" s="47" t="n">
        <v>41331</v>
      </c>
      <c r="E3529" s="48">
        <f>"RNCP"&amp;D3529</f>
        <v/>
      </c>
      <c r="F3529" s="48" t="inlineStr">
        <is>
          <t>Expert en audit et contrôle</t>
        </is>
      </c>
      <c r="G3529" s="49">
        <f>E3529&amp;" - "&amp;F3529</f>
        <v/>
      </c>
      <c r="H3529" s="36" t="inlineStr">
        <is>
          <t>RAS</t>
        </is>
      </c>
      <c r="I3529" s="45" t="inlineStr"/>
      <c r="J3529" s="45" t="inlineStr">
        <is>
          <t>RNCP41331</t>
        </is>
      </c>
      <c r="K3529" s="45" t="inlineStr">
        <is>
          <t>Expert en audit et contrôle</t>
        </is>
      </c>
      <c r="L3529" s="45" t="inlineStr">
        <is>
          <t>24/09/2027</t>
        </is>
      </c>
      <c r="M3529" s="45" t="inlineStr">
        <is>
          <t>32695 (Audit comptabilité) ; 32650 (Gestion budgétaire)</t>
        </is>
      </c>
      <c r="N3529" s="50" t="inlineStr">
        <is>
          <t>NON</t>
        </is>
      </c>
      <c r="O3529" s="45" t="inlineStr"/>
    </row>
    <row r="3530" customFormat="1" s="3">
      <c r="A3530" s="45" t="n"/>
      <c r="B3530" s="46" t="inlineStr">
        <is>
          <t>32652</t>
        </is>
      </c>
      <c r="C3530" s="46">
        <f>LEFT(Tableau1[[#This Row],[Formacode]],3)</f>
        <v/>
      </c>
      <c r="D3530" s="47" t="n">
        <v>41492</v>
      </c>
      <c r="E3530" s="48">
        <f>"RNCP"&amp;D3530</f>
        <v/>
      </c>
      <c r="F3530" s="48" t="inlineStr">
        <is>
          <t>Responsable en comptabilité et contrôle de gestion</t>
        </is>
      </c>
      <c r="G3530" s="49">
        <f>E3530&amp;" - "&amp;F3530</f>
        <v/>
      </c>
      <c r="H3530" s="36" t="inlineStr">
        <is>
          <t>RAS</t>
        </is>
      </c>
      <c r="I3530" s="45" t="inlineStr"/>
      <c r="J3530" s="45" t="inlineStr">
        <is>
          <t>RNCP41492</t>
        </is>
      </c>
      <c r="K3530" s="45" t="inlineStr">
        <is>
          <t>Responsable en comptabilité et contrôle de gestion</t>
        </is>
      </c>
      <c r="L3530" s="45" t="inlineStr">
        <is>
          <t>27/10/2030</t>
        </is>
      </c>
      <c r="M3530" s="45" t="inlineStr">
        <is>
          <t>32626 (Analyse financière) ; 32695 (Audit comptabilité) ; 32652 (Contrôle gestion) ; 32667 (Comptabilité générale)</t>
        </is>
      </c>
      <c r="N3530" s="50" t="inlineStr">
        <is>
          <t>NON</t>
        </is>
      </c>
      <c r="O3530" s="45" t="inlineStr"/>
    </row>
    <row r="3531" customFormat="1" s="3">
      <c r="A3531" s="63" t="n"/>
      <c r="B3531" s="64" t="inlineStr">
        <is>
          <t>32663</t>
        </is>
      </c>
      <c r="C3531" s="64">
        <f>LEFT(Tableau1[[#This Row],[Formacode]],3)</f>
        <v/>
      </c>
      <c r="D3531" s="65" t="n">
        <v>35750</v>
      </c>
      <c r="E3531" s="66">
        <f>"RNCP"&amp;D3531</f>
        <v/>
      </c>
      <c r="F3531" s="66" t="inlineStr">
        <is>
          <t>Gestionnaire de Paie</t>
        </is>
      </c>
      <c r="G3531" s="67">
        <f>E3531&amp;" - "&amp;F3531</f>
        <v/>
      </c>
      <c r="H3531" s="38" t="inlineStr">
        <is>
          <t>Expiré / remplacé</t>
        </is>
      </c>
      <c r="I3531" s="63" t="inlineStr">
        <is>
          <t>Fiche inactive — remplacée par RNCP42350 (Gestionnaire de paie)</t>
        </is>
      </c>
      <c r="J3531" s="63" t="inlineStr">
        <is>
          <t>RNCP42350</t>
        </is>
      </c>
      <c r="K3531" s="63" t="inlineStr">
        <is>
          <t>Gestionnaire de paie</t>
        </is>
      </c>
      <c r="L3531" s="63" t="inlineStr">
        <is>
          <t>08/07/2026</t>
        </is>
      </c>
      <c r="M3531" s="63" t="inlineStr">
        <is>
          <t>32688 (Traitement paie) ; 33031 (Système rémunération)</t>
        </is>
      </c>
      <c r="N3531" s="68" t="inlineStr">
        <is>
          <t>NON</t>
        </is>
      </c>
      <c r="O3531" s="63" t="inlineStr"/>
    </row>
    <row r="3532" customFormat="1" s="3">
      <c r="A3532" s="45" t="n"/>
      <c r="B3532" s="46" t="inlineStr">
        <is>
          <t>32663</t>
        </is>
      </c>
      <c r="C3532" s="46">
        <f>LEFT(Tableau1[[#This Row],[Formacode]],3)</f>
        <v/>
      </c>
      <c r="D3532" s="47" t="n">
        <v>36596</v>
      </c>
      <c r="E3532" s="48">
        <f>"RNCP"&amp;D3532</f>
        <v/>
      </c>
      <c r="F3532" s="48" t="inlineStr">
        <is>
          <t>Expert financier</t>
        </is>
      </c>
      <c r="G3532" s="49">
        <f>E3532&amp;" - "&amp;F3532</f>
        <v/>
      </c>
      <c r="H3532" s="36" t="inlineStr">
        <is>
          <t>RAS</t>
        </is>
      </c>
      <c r="I3532" s="45" t="inlineStr"/>
      <c r="J3532" s="45" t="inlineStr">
        <is>
          <t>RNCP36596</t>
        </is>
      </c>
      <c r="K3532" s="45" t="inlineStr">
        <is>
          <t>Expert financier</t>
        </is>
      </c>
      <c r="L3532" s="45" t="inlineStr">
        <is>
          <t>01/07/2027</t>
        </is>
      </c>
      <c r="M3532" s="45" t="inlineStr">
        <is>
          <t>32626 (Analyse financière) ; 32663 (Comptabilité) ; 32632 (Consolidation comptable) ; 32652 (Contrôle gestion) ; 32623 (Financement entreprise)</t>
        </is>
      </c>
      <c r="N3532" s="50" t="inlineStr">
        <is>
          <t>NON</t>
        </is>
      </c>
      <c r="O3532" s="45" t="inlineStr"/>
    </row>
    <row r="3533" customFormat="1" s="3">
      <c r="A3533" s="45" t="n"/>
      <c r="B3533" s="46" t="inlineStr">
        <is>
          <t>32663</t>
        </is>
      </c>
      <c r="C3533" s="46">
        <f>LEFT(Tableau1[[#This Row],[Formacode]],3)</f>
        <v/>
      </c>
      <c r="D3533" s="47" t="n">
        <v>37121</v>
      </c>
      <c r="E3533" s="48">
        <f>"RNCP"&amp;D3533</f>
        <v/>
      </c>
      <c r="F3533" s="48" t="inlineStr">
        <is>
          <t>TP - Comptable assistant</t>
        </is>
      </c>
      <c r="G3533" s="49">
        <f>E3533&amp;" - "&amp;F3533</f>
        <v/>
      </c>
      <c r="H3533" s="36" t="inlineStr">
        <is>
          <t>RAS</t>
        </is>
      </c>
      <c r="I3533" s="45" t="inlineStr"/>
      <c r="J3533" s="45" t="inlineStr">
        <is>
          <t>RNCP37121</t>
        </is>
      </c>
      <c r="K3533" s="45" t="inlineStr">
        <is>
          <t>Comptable assistant</t>
        </is>
      </c>
      <c r="L3533" s="45" t="inlineStr">
        <is>
          <t>01/03/2028</t>
        </is>
      </c>
      <c r="M3533" s="45" t="inlineStr">
        <is>
          <t>32667 (Comptabilité générale) ; 35049 (Secrétariat assistanat comptabilité)</t>
        </is>
      </c>
      <c r="N3533" s="50" t="inlineStr">
        <is>
          <t>NON</t>
        </is>
      </c>
      <c r="O3533" s="45" t="inlineStr"/>
    </row>
    <row r="3534" customFormat="1" s="3">
      <c r="A3534" s="45" t="n"/>
      <c r="B3534" s="46" t="inlineStr">
        <is>
          <t>32663</t>
        </is>
      </c>
      <c r="C3534" s="46">
        <f>LEFT(Tableau1[[#This Row],[Formacode]],3)</f>
        <v/>
      </c>
      <c r="D3534" s="47" t="n">
        <v>37683</v>
      </c>
      <c r="E3534" s="48">
        <f>"RNCP"&amp;D3534</f>
        <v/>
      </c>
      <c r="F3534" s="48" t="inlineStr">
        <is>
          <t>DipViGrM - Programme grande école</t>
        </is>
      </c>
      <c r="G3534" s="49">
        <f>E3534&amp;" - "&amp;F3534</f>
        <v/>
      </c>
      <c r="H3534" s="36" t="inlineStr">
        <is>
          <t>RAS</t>
        </is>
      </c>
      <c r="I3534" s="45" t="inlineStr"/>
      <c r="J3534" s="45" t="inlineStr">
        <is>
          <t>RNCP37683</t>
        </is>
      </c>
      <c r="K3534" s="45" t="inlineStr">
        <is>
          <t>Programme grande école</t>
        </is>
      </c>
      <c r="L3534" s="45" t="inlineStr">
        <is>
          <t>31/08/2028</t>
        </is>
      </c>
      <c r="M3534" s="45" t="inlineStr">
        <is>
          <t>32654 (Gestion financière comptabilité) ; 32145 (Management transversal) ; 34054 (Gestion commerciale achats) ; 32006 (Gestion entreprise internationale)</t>
        </is>
      </c>
      <c r="N3534" s="50" t="inlineStr">
        <is>
          <t>NON</t>
        </is>
      </c>
      <c r="O3534" s="45" t="inlineStr"/>
    </row>
    <row r="3535" customFormat="1" s="3">
      <c r="A3535" s="45" t="n"/>
      <c r="B3535" s="46" t="inlineStr">
        <is>
          <t>32663</t>
        </is>
      </c>
      <c r="C3535" s="46">
        <f>LEFT(Tableau1[[#This Row],[Formacode]],3)</f>
        <v/>
      </c>
      <c r="D3535" s="47" t="n">
        <v>37684</v>
      </c>
      <c r="E3535" s="48">
        <f>"RNCP"&amp;D3535</f>
        <v/>
      </c>
      <c r="F3535" s="48" t="inlineStr">
        <is>
          <t>DipViGrM - Diplôme d’études supérieures spécialisées en management international</t>
        </is>
      </c>
      <c r="G3535" s="49">
        <f>E3535&amp;" - "&amp;F3535</f>
        <v/>
      </c>
      <c r="H3535" s="36" t="inlineStr">
        <is>
          <t>RAS</t>
        </is>
      </c>
      <c r="I3535" s="45" t="inlineStr"/>
      <c r="J3535" s="45" t="inlineStr">
        <is>
          <t>RNCP37684</t>
        </is>
      </c>
      <c r="K3535" s="45" t="inlineStr">
        <is>
          <t>Diplôme d’études supérieures spécialisées en management international</t>
        </is>
      </c>
      <c r="L3535" s="45" t="inlineStr">
        <is>
          <t>31/08/2027</t>
        </is>
      </c>
      <c r="M3535" s="45" t="inlineStr">
        <is>
          <t>32015 (Conduite changement) ; 32005 (Stratégie internationale) ; 32654 (Gestion financière comptabilité) ; 32023 (Prise décision)</t>
        </is>
      </c>
      <c r="N3535" s="50" t="inlineStr">
        <is>
          <t>NON</t>
        </is>
      </c>
      <c r="O3535" s="45" t="inlineStr"/>
    </row>
    <row r="3536" customFormat="1" s="3">
      <c r="A3536" s="45" t="n"/>
      <c r="B3536" s="46" t="inlineStr">
        <is>
          <t>32663</t>
        </is>
      </c>
      <c r="C3536" s="46">
        <f>LEFT(Tableau1[[#This Row],[Formacode]],3)</f>
        <v/>
      </c>
      <c r="D3536" s="47" t="n">
        <v>37948</v>
      </c>
      <c r="E3536" s="48">
        <f>"RNCP"&amp;D3536</f>
        <v/>
      </c>
      <c r="F3536" s="48" t="inlineStr">
        <is>
          <t>TP - Gestionnaire de paie</t>
        </is>
      </c>
      <c r="G3536" s="49">
        <f>E3536&amp;" - "&amp;F3536</f>
        <v/>
      </c>
      <c r="H3536" s="36" t="inlineStr">
        <is>
          <t>RAS</t>
        </is>
      </c>
      <c r="I3536" s="45" t="inlineStr"/>
      <c r="J3536" s="45" t="inlineStr">
        <is>
          <t>RNCP37948</t>
        </is>
      </c>
      <c r="K3536" s="45" t="inlineStr">
        <is>
          <t>Gestionnaire de paie</t>
        </is>
      </c>
      <c r="L3536" s="45" t="inlineStr">
        <is>
          <t>29/12/2028</t>
        </is>
      </c>
      <c r="M3536" s="45" t="inlineStr">
        <is>
          <t>32688 (Traitement paie)</t>
        </is>
      </c>
      <c r="N3536" s="50" t="inlineStr">
        <is>
          <t>NON</t>
        </is>
      </c>
      <c r="O3536" s="45" t="inlineStr"/>
    </row>
    <row r="3537" customFormat="1" s="3">
      <c r="A3537" s="45" t="n"/>
      <c r="B3537" s="46" t="inlineStr">
        <is>
          <t>32663</t>
        </is>
      </c>
      <c r="C3537" s="46">
        <f>LEFT(Tableau1[[#This Row],[Formacode]],3)</f>
        <v/>
      </c>
      <c r="D3537" s="47" t="n">
        <v>37949</v>
      </c>
      <c r="E3537" s="48">
        <f>"RNCP"&amp;D3537</f>
        <v/>
      </c>
      <c r="F3537" s="48" t="inlineStr">
        <is>
          <t>TP - Gestionnaire comptable et  fiscal</t>
        </is>
      </c>
      <c r="G3537" s="49">
        <f>E3537&amp;" - "&amp;F3537</f>
        <v/>
      </c>
      <c r="H3537" s="36" t="inlineStr">
        <is>
          <t>RAS</t>
        </is>
      </c>
      <c r="I3537" s="45" t="inlineStr"/>
      <c r="J3537" s="45" t="inlineStr">
        <is>
          <t>RNCP37949</t>
        </is>
      </c>
      <c r="K3537" s="45" t="inlineStr">
        <is>
          <t>Gestionnaire comptable et fiscal</t>
        </is>
      </c>
      <c r="L3537" s="45" t="inlineStr">
        <is>
          <t>01/12/2028</t>
        </is>
      </c>
      <c r="M3537" s="45" t="inlineStr">
        <is>
          <t>32663 (Comptabilité) ; 32054 (Gestion des organisations)</t>
        </is>
      </c>
      <c r="N3537" s="50" t="inlineStr">
        <is>
          <t>NON</t>
        </is>
      </c>
      <c r="O3537" s="45" t="inlineStr"/>
    </row>
    <row r="3538" customFormat="1" s="3">
      <c r="A3538" s="45" t="n"/>
      <c r="B3538" s="46" t="inlineStr">
        <is>
          <t>32663</t>
        </is>
      </c>
      <c r="C3538" s="46">
        <f>LEFT(Tableau1[[#This Row],[Formacode]],3)</f>
        <v/>
      </c>
      <c r="D3538" s="47" t="n">
        <v>38506</v>
      </c>
      <c r="E3538" s="48">
        <f>"RNCP"&amp;D3538</f>
        <v/>
      </c>
      <c r="F3538" s="48" t="inlineStr">
        <is>
          <t>Assistant de comptabilité et d'administration en PME/TPE</t>
        </is>
      </c>
      <c r="G3538" s="49">
        <f>E3538&amp;" - "&amp;F3538</f>
        <v/>
      </c>
      <c r="H3538" s="36" t="inlineStr">
        <is>
          <t>RAS</t>
        </is>
      </c>
      <c r="I3538" s="45" t="inlineStr"/>
      <c r="J3538" s="45" t="inlineStr">
        <is>
          <t>RNCP38506</t>
        </is>
      </c>
      <c r="K3538" s="45" t="inlineStr">
        <is>
          <t>Assistant de comptabilité et d'administration en PME/TPE</t>
        </is>
      </c>
      <c r="L3538" s="45" t="inlineStr">
        <is>
          <t>21/12/2028</t>
        </is>
      </c>
      <c r="M3538" s="45" t="inlineStr">
        <is>
          <t>32667 (Comptabilité générale) ; 35049 (Secrétariat assistanat comptabilité)</t>
        </is>
      </c>
      <c r="N3538" s="50" t="inlineStr">
        <is>
          <t>NON</t>
        </is>
      </c>
      <c r="O3538" s="45" t="inlineStr"/>
    </row>
    <row r="3539" customFormat="1" s="3">
      <c r="A3539" s="51" t="n"/>
      <c r="B3539" s="52" t="inlineStr">
        <is>
          <t>32663</t>
        </is>
      </c>
      <c r="C3539" s="52">
        <f>LEFT(Tableau1[[#This Row],[Formacode]],3)</f>
        <v/>
      </c>
      <c r="D3539" s="53" t="n">
        <v>38519</v>
      </c>
      <c r="E3539" s="54">
        <f>"RNCP"&amp;D3539</f>
        <v/>
      </c>
      <c r="F3539" s="54" t="inlineStr">
        <is>
          <t>Responsable paie et audit social</t>
        </is>
      </c>
      <c r="G3539" s="55">
        <f>E3539&amp;" - "&amp;F3539</f>
        <v/>
      </c>
      <c r="H3539" s="37" t="inlineStr">
        <is>
          <t>À vérifier</t>
        </is>
      </c>
      <c r="I3539" s="51" t="inlineStr">
        <is>
          <t>Échéance le 21/12/2026 (dans 156 j)</t>
        </is>
      </c>
      <c r="J3539" s="51" t="inlineStr">
        <is>
          <t>RNCP38519</t>
        </is>
      </c>
      <c r="K3539" s="51" t="inlineStr">
        <is>
          <t>Responsable paie et audit social</t>
        </is>
      </c>
      <c r="L3539" s="51" t="inlineStr">
        <is>
          <t>21/12/2026</t>
        </is>
      </c>
      <c r="M3539" s="51" t="inlineStr">
        <is>
          <t>32688 (Traitement paie) ; 33052 (Administration personnel) ; 33035 (Audit ressources humaines)</t>
        </is>
      </c>
      <c r="N3539" s="62" t="inlineStr">
        <is>
          <t>NON</t>
        </is>
      </c>
      <c r="O3539" s="51" t="inlineStr"/>
    </row>
    <row r="3540" customFormat="1" s="3">
      <c r="A3540" s="45" t="n"/>
      <c r="B3540" s="46" t="inlineStr">
        <is>
          <t>32663</t>
        </is>
      </c>
      <c r="C3540" s="46">
        <f>LEFT(Tableau1[[#This Row],[Formacode]],3)</f>
        <v/>
      </c>
      <c r="D3540" s="47" t="n">
        <v>39159</v>
      </c>
      <c r="E3540" s="48">
        <f>"RNCP"&amp;D3540</f>
        <v/>
      </c>
      <c r="F3540" s="48" t="inlineStr">
        <is>
          <t>BTS - Comptabilité et Gestion</t>
        </is>
      </c>
      <c r="G3540" s="49">
        <f>E3540&amp;" - "&amp;F3540</f>
        <v/>
      </c>
      <c r="H3540" s="36" t="inlineStr">
        <is>
          <t>RAS</t>
        </is>
      </c>
      <c r="I3540" s="45" t="inlineStr"/>
      <c r="J3540" s="45" t="inlineStr">
        <is>
          <t>RNCP39159</t>
        </is>
      </c>
      <c r="K3540" s="45" t="inlineStr">
        <is>
          <t>Comptabilité et Gestion</t>
        </is>
      </c>
      <c r="L3540" s="45" t="inlineStr">
        <is>
          <t>31/08/2029</t>
        </is>
      </c>
      <c r="M3540" s="45" t="inlineStr">
        <is>
          <t>32663 (Comptabilité)</t>
        </is>
      </c>
      <c r="N3540" s="50" t="inlineStr">
        <is>
          <t>NON</t>
        </is>
      </c>
      <c r="O3540" s="45" t="inlineStr"/>
    </row>
    <row r="3541" customFormat="1" s="3">
      <c r="A3541" s="51" t="n"/>
      <c r="B3541" s="52" t="inlineStr">
        <is>
          <t>32663</t>
        </is>
      </c>
      <c r="C3541" s="52">
        <f>LEFT(Tableau1[[#This Row],[Formacode]],3)</f>
        <v/>
      </c>
      <c r="D3541" s="53" t="n">
        <v>39160</v>
      </c>
      <c r="E3541" s="54">
        <f>"RNCP"&amp;D3541</f>
        <v/>
      </c>
      <c r="F3541" s="54" t="inlineStr">
        <is>
          <t>Diplôme visé grade de master - Programme Grande Ecole</t>
        </is>
      </c>
      <c r="G3541" s="55">
        <f>E3541&amp;" - "&amp;F3541</f>
        <v/>
      </c>
      <c r="H3541" s="37" t="inlineStr">
        <is>
          <t>À vérifier</t>
        </is>
      </c>
      <c r="I3541" s="51" t="inlineStr">
        <is>
          <t>Échéance le 31/08/2026 (dans 44 j)</t>
        </is>
      </c>
      <c r="J3541" s="51" t="inlineStr">
        <is>
          <t>RNCP39160</t>
        </is>
      </c>
      <c r="K3541" s="51" t="inlineStr">
        <is>
          <t>Programme Grande Ecole</t>
        </is>
      </c>
      <c r="L3541" s="51" t="inlineStr">
        <is>
          <t>31/08/2026</t>
        </is>
      </c>
      <c r="M3541" s="51" t="inlineStr">
        <is>
          <t>32025 (Stratégie entreprise) ; 32008 (Responsabilité sociétale entreprise) ; 32047 (Création entreprise) ; 32654 (Gestion financière comptabilité) ; 32154 (Encadrement management)</t>
        </is>
      </c>
      <c r="N3541" s="62" t="inlineStr">
        <is>
          <t>NON</t>
        </is>
      </c>
      <c r="O3541" s="51" t="inlineStr"/>
    </row>
    <row r="3542" customFormat="1" s="3">
      <c r="A3542" s="45" t="n"/>
      <c r="B3542" s="46" t="inlineStr">
        <is>
          <t>32663</t>
        </is>
      </c>
      <c r="C3542" s="46">
        <f>LEFT(Tableau1[[#This Row],[Formacode]],3)</f>
        <v/>
      </c>
      <c r="D3542" s="47" t="n">
        <v>39361</v>
      </c>
      <c r="E3542" s="48">
        <f>"RNCP"&amp;D3542</f>
        <v/>
      </c>
      <c r="F3542" s="48" t="inlineStr">
        <is>
          <t>Collaborateur comptable</t>
        </is>
      </c>
      <c r="G3542" s="49">
        <f>E3542&amp;" - "&amp;F3542</f>
        <v/>
      </c>
      <c r="H3542" s="36" t="inlineStr">
        <is>
          <t>RAS</t>
        </is>
      </c>
      <c r="I3542" s="45" t="inlineStr"/>
      <c r="J3542" s="45" t="inlineStr">
        <is>
          <t>RNCP39361</t>
        </is>
      </c>
      <c r="K3542" s="45" t="inlineStr">
        <is>
          <t>Collaborateur comptable</t>
        </is>
      </c>
      <c r="L3542" s="45" t="inlineStr">
        <is>
          <t>19/07/2028</t>
        </is>
      </c>
      <c r="M3542" s="45" t="inlineStr">
        <is>
          <t>32663 (Comptabilité)</t>
        </is>
      </c>
      <c r="N3542" s="50" t="inlineStr">
        <is>
          <t>NON</t>
        </is>
      </c>
      <c r="O3542" s="45" t="inlineStr"/>
    </row>
    <row r="3543" customFormat="1" s="3">
      <c r="A3543" s="51" t="n"/>
      <c r="B3543" s="52" t="inlineStr">
        <is>
          <t>32663</t>
        </is>
      </c>
      <c r="C3543" s="52">
        <f>LEFT(Tableau1[[#This Row],[Formacode]],3)</f>
        <v/>
      </c>
      <c r="D3543" s="53" t="n">
        <v>39973</v>
      </c>
      <c r="E3543" s="54">
        <f>"RNCP"&amp;D3543</f>
        <v/>
      </c>
      <c r="F3543" s="54" t="inlineStr">
        <is>
          <t>Gestionnaire comptable et financier</t>
        </is>
      </c>
      <c r="G3543" s="55">
        <f>E3543&amp;" - "&amp;F3543</f>
        <v/>
      </c>
      <c r="H3543" s="37" t="inlineStr">
        <is>
          <t>À vérifier</t>
        </is>
      </c>
      <c r="I3543" s="51" t="inlineStr">
        <is>
          <t>Échéance le 18/12/2026 (dans 153 j)</t>
        </is>
      </c>
      <c r="J3543" s="51" t="inlineStr">
        <is>
          <t>RNCP39973</t>
        </is>
      </c>
      <c r="K3543" s="51" t="inlineStr">
        <is>
          <t>Gestionnaire comptable et financier</t>
        </is>
      </c>
      <c r="L3543" s="51" t="inlineStr">
        <is>
          <t>18/12/2026</t>
        </is>
      </c>
      <c r="M3543" s="51" t="inlineStr">
        <is>
          <t>32663 (Comptabilité) ; 32652 (Contrôle gestion) ; 32611 (Trésorerie)</t>
        </is>
      </c>
      <c r="N3543" s="62" t="inlineStr">
        <is>
          <t>NON</t>
        </is>
      </c>
      <c r="O3543" s="51" t="inlineStr"/>
    </row>
    <row r="3544" customFormat="1" s="3">
      <c r="A3544" s="45" t="n"/>
      <c r="B3544" s="46" t="inlineStr">
        <is>
          <t>32663</t>
        </is>
      </c>
      <c r="C3544" s="46">
        <f>LEFT(Tableau1[[#This Row],[Formacode]],3)</f>
        <v/>
      </c>
      <c r="D3544" s="47" t="n">
        <v>40565</v>
      </c>
      <c r="E3544" s="48">
        <f>"RNCP"&amp;D3544</f>
        <v/>
      </c>
      <c r="F3544" s="48" t="inlineStr">
        <is>
          <t>CQP Administrateur de production cinéma - audiovisuel</t>
        </is>
      </c>
      <c r="G3544" s="49">
        <f>E3544&amp;" - "&amp;F3544</f>
        <v/>
      </c>
      <c r="H3544" s="36" t="inlineStr">
        <is>
          <t>RAS</t>
        </is>
      </c>
      <c r="I3544" s="45" t="inlineStr"/>
      <c r="J3544" s="45" t="inlineStr">
        <is>
          <t>RNCP40565</t>
        </is>
      </c>
      <c r="K3544" s="45" t="inlineStr">
        <is>
          <t>CQP Administrateur de production cinéma - audiovisuel</t>
        </is>
      </c>
      <c r="L3544" s="45" t="inlineStr">
        <is>
          <t>30/04/2030</t>
        </is>
      </c>
      <c r="M3544" s="45" t="inlineStr">
        <is>
          <t>46264 (Conception réalisation audiovisuelle) ; 46274 (Cinéma) ; 32654 (Gestion financière comptabilité)</t>
        </is>
      </c>
      <c r="N3544" s="50" t="inlineStr">
        <is>
          <t>NON</t>
        </is>
      </c>
      <c r="O3544" s="45" t="inlineStr"/>
    </row>
    <row r="3545" customFormat="1" s="3">
      <c r="A3545" s="45" t="n"/>
      <c r="B3545" s="46" t="inlineStr">
        <is>
          <t>32663</t>
        </is>
      </c>
      <c r="C3545" s="46">
        <f>LEFT(Tableau1[[#This Row],[Formacode]],3)</f>
        <v/>
      </c>
      <c r="D3545" s="47" t="n">
        <v>40670</v>
      </c>
      <c r="E3545" s="48">
        <f>"RNCP"&amp;D3545</f>
        <v/>
      </c>
      <c r="F3545" s="48" t="inlineStr">
        <is>
          <t>Collaborateur paie</t>
        </is>
      </c>
      <c r="G3545" s="49">
        <f>E3545&amp;" - "&amp;F3545</f>
        <v/>
      </c>
      <c r="H3545" s="36" t="inlineStr">
        <is>
          <t>RAS</t>
        </is>
      </c>
      <c r="I3545" s="45" t="inlineStr"/>
      <c r="J3545" s="45" t="inlineStr">
        <is>
          <t>RNCP40670</t>
        </is>
      </c>
      <c r="K3545" s="45" t="inlineStr">
        <is>
          <t>Collaborateur paie</t>
        </is>
      </c>
      <c r="L3545" s="45" t="inlineStr">
        <is>
          <t>23/05/2030</t>
        </is>
      </c>
      <c r="M3545" s="45" t="inlineStr">
        <is>
          <t>32688 (Traitement paie) ; 33031 (Système rémunération)</t>
        </is>
      </c>
      <c r="N3545" s="50" t="inlineStr">
        <is>
          <t>NON</t>
        </is>
      </c>
      <c r="O3545" s="45" t="inlineStr"/>
    </row>
    <row r="3546" customFormat="1" s="3">
      <c r="A3546" s="45" t="n"/>
      <c r="B3546" s="46" t="inlineStr">
        <is>
          <t>32663</t>
        </is>
      </c>
      <c r="C3546" s="46">
        <f>LEFT(Tableau1[[#This Row],[Formacode]],3)</f>
        <v/>
      </c>
      <c r="D3546" s="47" t="n">
        <v>41053</v>
      </c>
      <c r="E3546" s="48">
        <f>"RNCP"&amp;D3546</f>
        <v/>
      </c>
      <c r="F3546" s="48" t="inlineStr">
        <is>
          <t>DipViGrM - EM Normandie - Programme Grande Ecole</t>
        </is>
      </c>
      <c r="G3546" s="49">
        <f>E3546&amp;" - "&amp;F3546</f>
        <v/>
      </c>
      <c r="H3546" s="36" t="inlineStr">
        <is>
          <t>RAS</t>
        </is>
      </c>
      <c r="I3546" s="45" t="inlineStr"/>
      <c r="J3546" s="45" t="inlineStr">
        <is>
          <t>RNCP41053</t>
        </is>
      </c>
      <c r="K3546" s="45" t="inlineStr">
        <is>
          <t>EM Normandie - Programme Grande Ecole</t>
        </is>
      </c>
      <c r="L3546" s="45" t="inlineStr">
        <is>
          <t>31/08/2030</t>
        </is>
      </c>
      <c r="M3546" s="45" t="inlineStr">
        <is>
          <t>32025 (Stratégie entreprise) ; 32654 (Gestion financière comptabilité) ; 34052 (Marketing)</t>
        </is>
      </c>
      <c r="N3546" s="50" t="inlineStr">
        <is>
          <t>NON</t>
        </is>
      </c>
      <c r="O3546" s="45" t="inlineStr"/>
    </row>
    <row r="3547" customFormat="1" s="3">
      <c r="A3547" s="45" t="n"/>
      <c r="B3547" s="46" t="inlineStr">
        <is>
          <t>32663</t>
        </is>
      </c>
      <c r="C3547" s="46">
        <f>LEFT(Tableau1[[#This Row],[Formacode]],3)</f>
        <v/>
      </c>
      <c r="D3547" s="47" t="n">
        <v>41331</v>
      </c>
      <c r="E3547" s="48">
        <f>"RNCP"&amp;D3547</f>
        <v/>
      </c>
      <c r="F3547" s="48" t="inlineStr">
        <is>
          <t>Expert en audit et contrôle</t>
        </is>
      </c>
      <c r="G3547" s="49">
        <f>E3547&amp;" - "&amp;F3547</f>
        <v/>
      </c>
      <c r="H3547" s="36" t="inlineStr">
        <is>
          <t>RAS</t>
        </is>
      </c>
      <c r="I3547" s="45" t="inlineStr"/>
      <c r="J3547" s="45" t="inlineStr">
        <is>
          <t>RNCP41331</t>
        </is>
      </c>
      <c r="K3547" s="45" t="inlineStr">
        <is>
          <t>Expert en audit et contrôle</t>
        </is>
      </c>
      <c r="L3547" s="45" t="inlineStr">
        <is>
          <t>24/09/2027</t>
        </is>
      </c>
      <c r="M3547" s="45" t="inlineStr">
        <is>
          <t>32695 (Audit comptabilité) ; 32650 (Gestion budgétaire)</t>
        </is>
      </c>
      <c r="N3547" s="50" t="inlineStr">
        <is>
          <t>NON</t>
        </is>
      </c>
      <c r="O3547" s="45" t="inlineStr"/>
    </row>
    <row r="3548" customFormat="1" s="3">
      <c r="A3548" s="45" t="n"/>
      <c r="B3548" s="46" t="inlineStr">
        <is>
          <t>32663</t>
        </is>
      </c>
      <c r="C3548" s="46">
        <f>LEFT(Tableau1[[#This Row],[Formacode]],3)</f>
        <v/>
      </c>
      <c r="D3548" s="47" t="n">
        <v>41441</v>
      </c>
      <c r="E3548" s="48">
        <f>"RNCP"&amp;D3548</f>
        <v/>
      </c>
      <c r="F3548" s="48" t="inlineStr">
        <is>
          <t>Responsable paie et administration du personnel</t>
        </is>
      </c>
      <c r="G3548" s="49">
        <f>E3548&amp;" - "&amp;F3548</f>
        <v/>
      </c>
      <c r="H3548" s="36" t="inlineStr">
        <is>
          <t>RAS</t>
        </is>
      </c>
      <c r="I3548" s="45" t="inlineStr"/>
      <c r="J3548" s="45" t="inlineStr">
        <is>
          <t>RNCP41441</t>
        </is>
      </c>
      <c r="K3548" s="45" t="inlineStr">
        <is>
          <t>Responsable paie et administration du personnel</t>
        </is>
      </c>
      <c r="L3548" s="45" t="inlineStr">
        <is>
          <t>27/10/2030</t>
        </is>
      </c>
      <c r="M3548" s="45" t="inlineStr">
        <is>
          <t>33052 (Administration personnel) ; 32688 (Traitement paie)</t>
        </is>
      </c>
      <c r="N3548" s="50" t="inlineStr">
        <is>
          <t>NON</t>
        </is>
      </c>
      <c r="O3548" s="45" t="inlineStr"/>
    </row>
    <row r="3549" customFormat="1" s="3">
      <c r="A3549" s="45" t="n"/>
      <c r="B3549" s="46" t="inlineStr">
        <is>
          <t>32663</t>
        </is>
      </c>
      <c r="C3549" s="46">
        <f>LEFT(Tableau1[[#This Row],[Formacode]],3)</f>
        <v/>
      </c>
      <c r="D3549" s="47" t="n">
        <v>41492</v>
      </c>
      <c r="E3549" s="48">
        <f>"RNCP"&amp;D3549</f>
        <v/>
      </c>
      <c r="F3549" s="48" t="inlineStr">
        <is>
          <t>Responsable en comptabilité et contrôle de gestion</t>
        </is>
      </c>
      <c r="G3549" s="49">
        <f>E3549&amp;" - "&amp;F3549</f>
        <v/>
      </c>
      <c r="H3549" s="36" t="inlineStr">
        <is>
          <t>RAS</t>
        </is>
      </c>
      <c r="I3549" s="45" t="inlineStr"/>
      <c r="J3549" s="45" t="inlineStr">
        <is>
          <t>RNCP41492</t>
        </is>
      </c>
      <c r="K3549" s="45" t="inlineStr">
        <is>
          <t>Responsable en comptabilité et contrôle de gestion</t>
        </is>
      </c>
      <c r="L3549" s="45" t="inlineStr">
        <is>
          <t>27/10/2030</t>
        </is>
      </c>
      <c r="M3549" s="45" t="inlineStr">
        <is>
          <t>32626 (Analyse financière) ; 32695 (Audit comptabilité) ; 32652 (Contrôle gestion) ; 32667 (Comptabilité générale)</t>
        </is>
      </c>
      <c r="N3549" s="50" t="inlineStr">
        <is>
          <t>NON</t>
        </is>
      </c>
      <c r="O3549" s="45" t="inlineStr"/>
    </row>
    <row r="3550" customFormat="1" s="3">
      <c r="A3550" s="63" t="n"/>
      <c r="B3550" s="64" t="inlineStr">
        <is>
          <t>33001</t>
        </is>
      </c>
      <c r="C3550" s="64">
        <f>LEFT(Tableau1[[#This Row],[Formacode]],3)</f>
        <v/>
      </c>
      <c r="D3550" s="65" t="n">
        <v>35604</v>
      </c>
      <c r="E3550" s="66">
        <f>"RNCP"&amp;D3550</f>
        <v/>
      </c>
      <c r="F3550" s="66" t="inlineStr">
        <is>
          <t>Manager du développement des ressources humaines</t>
        </is>
      </c>
      <c r="G3550" s="67">
        <f>E3550&amp;" - "&amp;F3550</f>
        <v/>
      </c>
      <c r="H3550" s="38" t="inlineStr">
        <is>
          <t>Expiré / remplacé</t>
        </is>
      </c>
      <c r="I3550" s="63" t="inlineStr">
        <is>
          <t>Fiche inactive — remplacée par RNCP42518 (Manager du développement des ressources humaines (MDRH))</t>
        </is>
      </c>
      <c r="J3550" s="63" t="inlineStr">
        <is>
          <t>RNCP42518</t>
        </is>
      </c>
      <c r="K3550" s="63" t="inlineStr">
        <is>
          <t>Manager du développement des ressources humaines (MDRH)</t>
        </is>
      </c>
      <c r="L3550" s="63" t="inlineStr">
        <is>
          <t>19/05/2026</t>
        </is>
      </c>
      <c r="M3550" s="63" t="inlineStr">
        <is>
          <t>33054 (Gestion ressources humaines)</t>
        </is>
      </c>
      <c r="N3550" s="68" t="inlineStr">
        <is>
          <t>NON</t>
        </is>
      </c>
      <c r="O3550" s="63" t="inlineStr"/>
    </row>
    <row r="3551" customFormat="1" s="3">
      <c r="A3551" s="51" t="n"/>
      <c r="B3551" s="52" t="inlineStr">
        <is>
          <t>33001</t>
        </is>
      </c>
      <c r="C3551" s="52">
        <f>LEFT(Tableau1[[#This Row],[Formacode]],3)</f>
        <v/>
      </c>
      <c r="D3551" s="53" t="n">
        <v>35878</v>
      </c>
      <c r="E3551" s="54">
        <f>"RNCP"&amp;D3551</f>
        <v/>
      </c>
      <c r="F3551" s="54" t="inlineStr">
        <is>
          <t>Chargé des ressources humaines</t>
        </is>
      </c>
      <c r="G3551" s="55">
        <f>E3551&amp;" - "&amp;F3551</f>
        <v/>
      </c>
      <c r="H3551" s="37" t="inlineStr">
        <is>
          <t>À vérifier</t>
        </is>
      </c>
      <c r="I3551" s="51" t="inlineStr">
        <is>
          <t>Successeur déjà publié : RNCP42313 (Chargé des ressources humaines) — préparer la bascule de l'offre CPF | Échéance le 15/09/2026 (dans 59 j)</t>
        </is>
      </c>
      <c r="J3551" s="51" t="inlineStr">
        <is>
          <t>RNCP42313</t>
        </is>
      </c>
      <c r="K3551" s="51" t="inlineStr">
        <is>
          <t>Chargé des ressources humaines</t>
        </is>
      </c>
      <c r="L3551" s="51" t="inlineStr">
        <is>
          <t>15/09/2026</t>
        </is>
      </c>
      <c r="M3551" s="51" t="inlineStr">
        <is>
          <t>33054 (Gestion ressources humaines)</t>
        </is>
      </c>
      <c r="N3551" s="62" t="inlineStr">
        <is>
          <t>NON</t>
        </is>
      </c>
      <c r="O3551" s="51" t="inlineStr"/>
    </row>
    <row r="3552" customFormat="1" s="3">
      <c r="A3552" s="45" t="n"/>
      <c r="B3552" s="46" t="inlineStr">
        <is>
          <t>33001</t>
        </is>
      </c>
      <c r="C3552" s="46">
        <f>LEFT(Tableau1[[#This Row],[Formacode]],3)</f>
        <v/>
      </c>
      <c r="D3552" s="47" t="n">
        <v>36143</v>
      </c>
      <c r="E3552" s="48">
        <f>"RNCP"&amp;D3552</f>
        <v/>
      </c>
      <c r="F3552" s="48" t="inlineStr">
        <is>
          <t>Chargé des ressources humaines</t>
        </is>
      </c>
      <c r="G3552" s="49">
        <f>E3552&amp;" - "&amp;F3552</f>
        <v/>
      </c>
      <c r="H3552" s="36" t="inlineStr">
        <is>
          <t>RAS</t>
        </is>
      </c>
      <c r="I3552" s="45" t="inlineStr"/>
      <c r="J3552" s="45" t="inlineStr">
        <is>
          <t>RNCP36143</t>
        </is>
      </c>
      <c r="K3552" s="45" t="inlineStr">
        <is>
          <t>Chargé des ressources humaines</t>
        </is>
      </c>
      <c r="L3552" s="45" t="inlineStr">
        <is>
          <t>26/01/2027</t>
        </is>
      </c>
      <c r="M3552" s="45" t="inlineStr">
        <is>
          <t>33054 (Gestion ressources humaines)</t>
        </is>
      </c>
      <c r="N3552" s="50" t="inlineStr">
        <is>
          <t>NON</t>
        </is>
      </c>
      <c r="O3552" s="45" t="inlineStr"/>
    </row>
    <row r="3553" customFormat="1" s="3">
      <c r="A3553" s="51" t="n"/>
      <c r="B3553" s="52" t="inlineStr">
        <is>
          <t>33001</t>
        </is>
      </c>
      <c r="C3553" s="52">
        <f>LEFT(Tableau1[[#This Row],[Formacode]],3)</f>
        <v/>
      </c>
      <c r="D3553" s="53" t="n">
        <v>37851</v>
      </c>
      <c r="E3553" s="54">
        <f>"RNCP"&amp;D3553</f>
        <v/>
      </c>
      <c r="F3553" s="54" t="inlineStr">
        <is>
          <t>Manager des ressources humaines</t>
        </is>
      </c>
      <c r="G3553" s="55">
        <f>E3553&amp;" - "&amp;F3553</f>
        <v/>
      </c>
      <c r="H3553" s="37" t="inlineStr">
        <is>
          <t>À vérifier</t>
        </is>
      </c>
      <c r="I3553" s="51" t="inlineStr">
        <is>
          <t>Échéance le 19/07/2026 (dans 1 j)</t>
        </is>
      </c>
      <c r="J3553" s="51" t="inlineStr">
        <is>
          <t>RNCP37851</t>
        </is>
      </c>
      <c r="K3553" s="51" t="inlineStr">
        <is>
          <t>Manager des ressources humaines</t>
        </is>
      </c>
      <c r="L3553" s="51" t="inlineStr">
        <is>
          <t>19/07/2026</t>
        </is>
      </c>
      <c r="M3553" s="51" t="inlineStr">
        <is>
          <t>33054 (Gestion ressources humaines)</t>
        </is>
      </c>
      <c r="N3553" s="62" t="inlineStr">
        <is>
          <t>NON</t>
        </is>
      </c>
      <c r="O3553" s="51" t="inlineStr"/>
    </row>
    <row r="3554" customFormat="1" s="3">
      <c r="A3554" s="51" t="n"/>
      <c r="B3554" s="52" t="inlineStr">
        <is>
          <t>33001</t>
        </is>
      </c>
      <c r="C3554" s="52">
        <f>LEFT(Tableau1[[#This Row],[Formacode]],3)</f>
        <v/>
      </c>
      <c r="D3554" s="53" t="n">
        <v>38241</v>
      </c>
      <c r="E3554" s="54">
        <f>"RNCP"&amp;D3554</f>
        <v/>
      </c>
      <c r="F3554" s="54" t="inlineStr">
        <is>
          <t>CQP Chargé de ressources humaines</t>
        </is>
      </c>
      <c r="G3554" s="55">
        <f>E3554&amp;" - "&amp;F3554</f>
        <v/>
      </c>
      <c r="H3554" s="37" t="inlineStr">
        <is>
          <t>À vérifier</t>
        </is>
      </c>
      <c r="I3554" s="51" t="inlineStr">
        <is>
          <t>Échéance le 15/11/2026 (dans 120 j)</t>
        </is>
      </c>
      <c r="J3554" s="51" t="inlineStr">
        <is>
          <t>RNCP38241</t>
        </is>
      </c>
      <c r="K3554" s="51" t="inlineStr">
        <is>
          <t>CQP Chargé de ressources humaines</t>
        </is>
      </c>
      <c r="L3554" s="51" t="inlineStr">
        <is>
          <t>15/11/2026</t>
        </is>
      </c>
      <c r="M3554" s="51" t="inlineStr">
        <is>
          <t>33054 (Gestion ressources humaines)</t>
        </is>
      </c>
      <c r="N3554" s="62" t="inlineStr">
        <is>
          <t>NON</t>
        </is>
      </c>
      <c r="O3554" s="51" t="inlineStr"/>
    </row>
    <row r="3555" customFormat="1" s="3">
      <c r="A3555" s="51" t="n"/>
      <c r="B3555" s="52" t="inlineStr">
        <is>
          <t>33001</t>
        </is>
      </c>
      <c r="C3555" s="52">
        <f>LEFT(Tableau1[[#This Row],[Formacode]],3)</f>
        <v/>
      </c>
      <c r="D3555" s="53" t="n">
        <v>38460</v>
      </c>
      <c r="E3555" s="54">
        <f>"RNCP"&amp;D3555</f>
        <v/>
      </c>
      <c r="F3555" s="54" t="inlineStr">
        <is>
          <t>Manager en ressources humaines</t>
        </is>
      </c>
      <c r="G3555" s="55">
        <f>E3555&amp;" - "&amp;F3555</f>
        <v/>
      </c>
      <c r="H3555" s="37" t="inlineStr">
        <is>
          <t>À vérifier</t>
        </is>
      </c>
      <c r="I3555" s="51" t="inlineStr">
        <is>
          <t>Échéance le 21/12/2026 (dans 156 j)</t>
        </is>
      </c>
      <c r="J3555" s="51" t="inlineStr">
        <is>
          <t>RNCP38460</t>
        </is>
      </c>
      <c r="K3555" s="51" t="inlineStr">
        <is>
          <t>Manager en ressources humaines</t>
        </is>
      </c>
      <c r="L3555" s="51" t="inlineStr">
        <is>
          <t>21/12/2026</t>
        </is>
      </c>
      <c r="M3555" s="51" t="inlineStr">
        <is>
          <t>33054 (Gestion ressources humaines)</t>
        </is>
      </c>
      <c r="N3555" s="62" t="inlineStr">
        <is>
          <t>NON</t>
        </is>
      </c>
      <c r="O3555" s="51" t="inlineStr"/>
    </row>
    <row r="3556" customFormat="1" s="3">
      <c r="A3556" s="51" t="n"/>
      <c r="B3556" s="52" t="inlineStr">
        <is>
          <t>33001</t>
        </is>
      </c>
      <c r="C3556" s="52">
        <f>LEFT(Tableau1[[#This Row],[Formacode]],3)</f>
        <v/>
      </c>
      <c r="D3556" s="53" t="n">
        <v>38489</v>
      </c>
      <c r="E3556" s="54">
        <f>"RNCP"&amp;D3556</f>
        <v/>
      </c>
      <c r="F3556" s="54" t="inlineStr">
        <is>
          <t>Manager des ressources humaines</t>
        </is>
      </c>
      <c r="G3556" s="55">
        <f>E3556&amp;" - "&amp;F3556</f>
        <v/>
      </c>
      <c r="H3556" s="37" t="inlineStr">
        <is>
          <t>À vérifier</t>
        </is>
      </c>
      <c r="I3556" s="51" t="inlineStr">
        <is>
          <t>Échéance le 21/12/2026 (dans 156 j)</t>
        </is>
      </c>
      <c r="J3556" s="51" t="inlineStr">
        <is>
          <t>RNCP38489</t>
        </is>
      </c>
      <c r="K3556" s="51" t="inlineStr">
        <is>
          <t>Manager des ressources humaines</t>
        </is>
      </c>
      <c r="L3556" s="51" t="inlineStr">
        <is>
          <t>21/12/2026</t>
        </is>
      </c>
      <c r="M3556" s="51" t="inlineStr">
        <is>
          <t>33054 (Gestion ressources humaines)</t>
        </is>
      </c>
      <c r="N3556" s="62" t="inlineStr">
        <is>
          <t>NON</t>
        </is>
      </c>
      <c r="O3556" s="51" t="inlineStr"/>
    </row>
    <row r="3557" customFormat="1" s="3">
      <c r="A3557" s="45" t="n"/>
      <c r="B3557" s="46" t="inlineStr">
        <is>
          <t>33001</t>
        </is>
      </c>
      <c r="C3557" s="46">
        <f>LEFT(Tableau1[[#This Row],[Formacode]],3)</f>
        <v/>
      </c>
      <c r="D3557" s="47" t="n">
        <v>38836</v>
      </c>
      <c r="E3557" s="48">
        <f>"RNCP"&amp;D3557</f>
        <v/>
      </c>
      <c r="F3557" s="48" t="inlineStr">
        <is>
          <t>Responsable du développement des ressources humaines</t>
        </is>
      </c>
      <c r="G3557" s="49">
        <f>E3557&amp;" - "&amp;F3557</f>
        <v/>
      </c>
      <c r="H3557" s="36" t="inlineStr">
        <is>
          <t>RAS</t>
        </is>
      </c>
      <c r="I3557" s="45" t="inlineStr"/>
      <c r="J3557" s="45" t="inlineStr">
        <is>
          <t>RNCP38836</t>
        </is>
      </c>
      <c r="K3557" s="45" t="inlineStr">
        <is>
          <t>Responsable du développement des ressources humaines</t>
        </is>
      </c>
      <c r="L3557" s="45" t="inlineStr">
        <is>
          <t>27/03/2029</t>
        </is>
      </c>
      <c r="M3557" s="45" t="inlineStr">
        <is>
          <t>33054 (Gestion ressources humaines)</t>
        </is>
      </c>
      <c r="N3557" s="50" t="inlineStr">
        <is>
          <t>NON</t>
        </is>
      </c>
      <c r="O3557" s="45" t="inlineStr"/>
    </row>
    <row r="3558" customFormat="1" s="3">
      <c r="A3558" s="45" t="n"/>
      <c r="B3558" s="46" t="inlineStr">
        <is>
          <t>33001</t>
        </is>
      </c>
      <c r="C3558" s="46">
        <f>LEFT(Tableau1[[#This Row],[Formacode]],3)</f>
        <v/>
      </c>
      <c r="D3558" s="47" t="n">
        <v>39364</v>
      </c>
      <c r="E3558" s="48">
        <f>"RNCP"&amp;D3558</f>
        <v/>
      </c>
      <c r="F3558" s="48" t="inlineStr">
        <is>
          <t>Manager en stratégie et développement des ressources humaines</t>
        </is>
      </c>
      <c r="G3558" s="49">
        <f>E3558&amp;" - "&amp;F3558</f>
        <v/>
      </c>
      <c r="H3558" s="36" t="inlineStr">
        <is>
          <t>RAS</t>
        </is>
      </c>
      <c r="I3558" s="45" t="inlineStr"/>
      <c r="J3558" s="45" t="inlineStr">
        <is>
          <t>RNCP39364</t>
        </is>
      </c>
      <c r="K3558" s="45" t="inlineStr">
        <is>
          <t>Manager en stratégie et développement des ressources humaines</t>
        </is>
      </c>
      <c r="L3558" s="45" t="inlineStr">
        <is>
          <t>19/07/2028</t>
        </is>
      </c>
      <c r="M3558" s="45" t="inlineStr">
        <is>
          <t>33054 (Gestion ressources humaines) ; 32025 (Stratégie entreprise)</t>
        </is>
      </c>
      <c r="N3558" s="50" t="inlineStr">
        <is>
          <t>NON</t>
        </is>
      </c>
      <c r="O3558" s="45" t="inlineStr"/>
    </row>
    <row r="3559" customFormat="1" s="3">
      <c r="A3559" s="45" t="n"/>
      <c r="B3559" s="46" t="inlineStr">
        <is>
          <t>33001</t>
        </is>
      </c>
      <c r="C3559" s="46">
        <f>LEFT(Tableau1[[#This Row],[Formacode]],3)</f>
        <v/>
      </c>
      <c r="D3559" s="47" t="n">
        <v>39864</v>
      </c>
      <c r="E3559" s="48">
        <f>"RNCP"&amp;D3559</f>
        <v/>
      </c>
      <c r="F3559" s="48" t="inlineStr">
        <is>
          <t>Manager du développement des ressources humaines</t>
        </is>
      </c>
      <c r="G3559" s="49">
        <f>E3559&amp;" - "&amp;F3559</f>
        <v/>
      </c>
      <c r="H3559" s="36" t="inlineStr">
        <is>
          <t>RAS</t>
        </is>
      </c>
      <c r="I3559" s="45" t="inlineStr"/>
      <c r="J3559" s="45" t="inlineStr">
        <is>
          <t>RNCP39864</t>
        </is>
      </c>
      <c r="K3559" s="45" t="inlineStr">
        <is>
          <t>Manager du développement des ressources humaines</t>
        </is>
      </c>
      <c r="L3559" s="45" t="inlineStr">
        <is>
          <t>28/11/2027</t>
        </is>
      </c>
      <c r="M3559" s="45" t="inlineStr">
        <is>
          <t>33054 (Gestion ressources humaines) ; 32154 (Encadrement management)</t>
        </is>
      </c>
      <c r="N3559" s="50" t="inlineStr">
        <is>
          <t>NON</t>
        </is>
      </c>
      <c r="O3559" s="45" t="inlineStr"/>
    </row>
    <row r="3560" customFormat="1" s="3">
      <c r="A3560" s="45" t="n"/>
      <c r="B3560" s="46" t="inlineStr">
        <is>
          <t>33001</t>
        </is>
      </c>
      <c r="C3560" s="46">
        <f>LEFT(Tableau1[[#This Row],[Formacode]],3)</f>
        <v/>
      </c>
      <c r="D3560" s="47" t="n">
        <v>40594</v>
      </c>
      <c r="E3560" s="48">
        <f>"RNCP"&amp;D3560</f>
        <v/>
      </c>
      <c r="F3560" s="48" t="inlineStr">
        <is>
          <t>Chargé de missions RH</t>
        </is>
      </c>
      <c r="G3560" s="49">
        <f>E3560&amp;" - "&amp;F3560</f>
        <v/>
      </c>
      <c r="H3560" s="36" t="inlineStr">
        <is>
          <t>RAS</t>
        </is>
      </c>
      <c r="I3560" s="45" t="inlineStr"/>
      <c r="J3560" s="45" t="inlineStr">
        <is>
          <t>RNCP40594</t>
        </is>
      </c>
      <c r="K3560" s="45" t="inlineStr">
        <is>
          <t>Chargé de missions RH</t>
        </is>
      </c>
      <c r="L3560" s="45" t="inlineStr">
        <is>
          <t>30/04/2028</t>
        </is>
      </c>
      <c r="M3560" s="45" t="inlineStr">
        <is>
          <t>33054 (Gestion ressources humaines)</t>
        </is>
      </c>
      <c r="N3560" s="50" t="inlineStr">
        <is>
          <t>NON</t>
        </is>
      </c>
      <c r="O3560" s="45" t="inlineStr"/>
    </row>
    <row r="3561" customFormat="1" s="3">
      <c r="A3561" s="45" t="n"/>
      <c r="B3561" s="46" t="inlineStr">
        <is>
          <t>33001</t>
        </is>
      </c>
      <c r="C3561" s="46">
        <f>LEFT(Tableau1[[#This Row],[Formacode]],3)</f>
        <v/>
      </c>
      <c r="D3561" s="47" t="n">
        <v>40863</v>
      </c>
      <c r="E3561" s="48">
        <f>"RNCP"&amp;D3561</f>
        <v/>
      </c>
      <c r="F3561" s="48" t="inlineStr">
        <is>
          <t>Responsable de gestion des ressources humaines</t>
        </is>
      </c>
      <c r="G3561" s="49">
        <f>E3561&amp;" - "&amp;F3561</f>
        <v/>
      </c>
      <c r="H3561" s="36" t="inlineStr">
        <is>
          <t>RAS</t>
        </is>
      </c>
      <c r="I3561" s="45" t="inlineStr"/>
      <c r="J3561" s="45" t="inlineStr">
        <is>
          <t>RNCP40863</t>
        </is>
      </c>
      <c r="K3561" s="45" t="inlineStr">
        <is>
          <t>Responsable de gestion des ressources humaines</t>
        </is>
      </c>
      <c r="L3561" s="45" t="inlineStr">
        <is>
          <t>25/06/2028</t>
        </is>
      </c>
      <c r="M3561" s="45" t="inlineStr">
        <is>
          <t>33054 (Gestion ressources humaines)</t>
        </is>
      </c>
      <c r="N3561" s="50" t="inlineStr">
        <is>
          <t>NON</t>
        </is>
      </c>
      <c r="O3561" s="45" t="inlineStr"/>
    </row>
    <row r="3562" customFormat="1" s="3">
      <c r="A3562" s="45" t="n"/>
      <c r="B3562" s="46" t="inlineStr">
        <is>
          <t>33001</t>
        </is>
      </c>
      <c r="C3562" s="46">
        <f>LEFT(Tableau1[[#This Row],[Formacode]],3)</f>
        <v/>
      </c>
      <c r="D3562" s="47" t="n">
        <v>41128</v>
      </c>
      <c r="E3562" s="48">
        <f>"RNCP"&amp;D3562</f>
        <v/>
      </c>
      <c r="F3562" s="48" t="inlineStr">
        <is>
          <t>Chargé de développement des ressources humaines</t>
        </is>
      </c>
      <c r="G3562" s="49">
        <f>E3562&amp;" - "&amp;F3562</f>
        <v/>
      </c>
      <c r="H3562" s="36" t="inlineStr">
        <is>
          <t>RAS</t>
        </is>
      </c>
      <c r="I3562" s="45" t="inlineStr"/>
      <c r="J3562" s="45" t="inlineStr">
        <is>
          <t>RNCP41128</t>
        </is>
      </c>
      <c r="K3562" s="45" t="inlineStr">
        <is>
          <t>Chargé de développement des ressources humaines</t>
        </is>
      </c>
      <c r="L3562" s="45" t="inlineStr">
        <is>
          <t>18/07/2028</t>
        </is>
      </c>
      <c r="M3562" s="45" t="inlineStr">
        <is>
          <t>33054 (Gestion ressources humaines)</t>
        </is>
      </c>
      <c r="N3562" s="50" t="inlineStr">
        <is>
          <t>NON</t>
        </is>
      </c>
      <c r="O3562" s="45" t="inlineStr"/>
    </row>
    <row r="3563" customFormat="1" s="3">
      <c r="A3563" s="45" t="n"/>
      <c r="B3563" s="46" t="inlineStr">
        <is>
          <t>33001</t>
        </is>
      </c>
      <c r="C3563" s="46">
        <f>LEFT(Tableau1[[#This Row],[Formacode]],3)</f>
        <v/>
      </c>
      <c r="D3563" s="47" t="n">
        <v>41295</v>
      </c>
      <c r="E3563" s="48">
        <f>"RNCP"&amp;D3563</f>
        <v/>
      </c>
      <c r="F3563" s="48" t="inlineStr">
        <is>
          <t>Manager des ressources humaines</t>
        </is>
      </c>
      <c r="G3563" s="49">
        <f>E3563&amp;" - "&amp;F3563</f>
        <v/>
      </c>
      <c r="H3563" s="36" t="inlineStr">
        <is>
          <t>RAS</t>
        </is>
      </c>
      <c r="I3563" s="45" t="inlineStr"/>
      <c r="J3563" s="45" t="inlineStr">
        <is>
          <t>RNCP41295</t>
        </is>
      </c>
      <c r="K3563" s="45" t="inlineStr">
        <is>
          <t>Manager des ressources humaines</t>
        </is>
      </c>
      <c r="L3563" s="45" t="inlineStr">
        <is>
          <t>24/09/2030</t>
        </is>
      </c>
      <c r="M3563" s="45" t="inlineStr">
        <is>
          <t>33054 (Gestion ressources humaines)</t>
        </is>
      </c>
      <c r="N3563" s="50" t="inlineStr">
        <is>
          <t>NON</t>
        </is>
      </c>
      <c r="O3563" s="45" t="inlineStr"/>
    </row>
    <row r="3564" customFormat="1" s="3">
      <c r="A3564" s="45" t="n"/>
      <c r="B3564" s="46" t="inlineStr">
        <is>
          <t>33001</t>
        </is>
      </c>
      <c r="C3564" s="46">
        <f>LEFT(Tableau1[[#This Row],[Formacode]],3)</f>
        <v/>
      </c>
      <c r="D3564" s="47" t="n">
        <v>41803</v>
      </c>
      <c r="E3564" s="48">
        <f>"RNCP"&amp;D3564</f>
        <v/>
      </c>
      <c r="F3564" s="48" t="inlineStr">
        <is>
          <t>Manager des ressources humaines</t>
        </is>
      </c>
      <c r="G3564" s="49">
        <f>E3564&amp;" - "&amp;F3564</f>
        <v/>
      </c>
      <c r="H3564" s="36" t="inlineStr">
        <is>
          <t>RAS</t>
        </is>
      </c>
      <c r="I3564" s="45" t="inlineStr"/>
      <c r="J3564" s="45" t="inlineStr">
        <is>
          <t>RNCP41803</t>
        </is>
      </c>
      <c r="K3564" s="45" t="inlineStr">
        <is>
          <t>Manager des ressources humaines</t>
        </is>
      </c>
      <c r="L3564" s="45" t="inlineStr">
        <is>
          <t>18/12/2030</t>
        </is>
      </c>
      <c r="M3564" s="45" t="inlineStr">
        <is>
          <t>33054 (Gestion ressources humaines)</t>
        </is>
      </c>
      <c r="N3564" s="50" t="inlineStr">
        <is>
          <t>NON</t>
        </is>
      </c>
      <c r="O3564" s="45" t="inlineStr"/>
    </row>
    <row r="3565" customFormat="1" s="3">
      <c r="A3565" s="63" t="n"/>
      <c r="B3565" s="64" t="inlineStr">
        <is>
          <t>33004</t>
        </is>
      </c>
      <c r="C3565" s="64">
        <f>LEFT(Tableau1[[#This Row],[Formacode]],3)</f>
        <v/>
      </c>
      <c r="D3565" s="65" t="n">
        <v>35604</v>
      </c>
      <c r="E3565" s="66">
        <f>"RNCP"&amp;D3565</f>
        <v/>
      </c>
      <c r="F3565" s="66" t="inlineStr">
        <is>
          <t>Manager du développement des ressources humaines</t>
        </is>
      </c>
      <c r="G3565" s="67">
        <f>E3565&amp;" - "&amp;F3565</f>
        <v/>
      </c>
      <c r="H3565" s="38" t="inlineStr">
        <is>
          <t>Expiré / remplacé</t>
        </is>
      </c>
      <c r="I3565" s="63" t="inlineStr">
        <is>
          <t>Fiche inactive — remplacée par RNCP42518 (Manager du développement des ressources humaines (MDRH))</t>
        </is>
      </c>
      <c r="J3565" s="63" t="inlineStr">
        <is>
          <t>RNCP42518</t>
        </is>
      </c>
      <c r="K3565" s="63" t="inlineStr">
        <is>
          <t>Manager du développement des ressources humaines (MDRH)</t>
        </is>
      </c>
      <c r="L3565" s="63" t="inlineStr">
        <is>
          <t>19/05/2026</t>
        </is>
      </c>
      <c r="M3565" s="63" t="inlineStr">
        <is>
          <t>33054 (Gestion ressources humaines)</t>
        </is>
      </c>
      <c r="N3565" s="68" t="inlineStr">
        <is>
          <t>NON</t>
        </is>
      </c>
      <c r="O3565" s="63" t="inlineStr"/>
    </row>
    <row r="3566" customFormat="1" s="3">
      <c r="A3566" s="51" t="n"/>
      <c r="B3566" s="52" t="inlineStr">
        <is>
          <t>33004</t>
        </is>
      </c>
      <c r="C3566" s="52">
        <f>LEFT(Tableau1[[#This Row],[Formacode]],3)</f>
        <v/>
      </c>
      <c r="D3566" s="53" t="n">
        <v>35878</v>
      </c>
      <c r="E3566" s="54">
        <f>"RNCP"&amp;D3566</f>
        <v/>
      </c>
      <c r="F3566" s="54" t="inlineStr">
        <is>
          <t>Chargé des ressources humaines</t>
        </is>
      </c>
      <c r="G3566" s="55">
        <f>E3566&amp;" - "&amp;F3566</f>
        <v/>
      </c>
      <c r="H3566" s="37" t="inlineStr">
        <is>
          <t>À vérifier</t>
        </is>
      </c>
      <c r="I3566" s="51" t="inlineStr">
        <is>
          <t>Successeur déjà publié : RNCP42313 (Chargé des ressources humaines) — préparer la bascule de l'offre CPF | Échéance le 15/09/2026 (dans 59 j)</t>
        </is>
      </c>
      <c r="J3566" s="51" t="inlineStr">
        <is>
          <t>RNCP42313</t>
        </is>
      </c>
      <c r="K3566" s="51" t="inlineStr">
        <is>
          <t>Chargé des ressources humaines</t>
        </is>
      </c>
      <c r="L3566" s="51" t="inlineStr">
        <is>
          <t>15/09/2026</t>
        </is>
      </c>
      <c r="M3566" s="51" t="inlineStr">
        <is>
          <t>33054 (Gestion ressources humaines)</t>
        </is>
      </c>
      <c r="N3566" s="62" t="inlineStr">
        <is>
          <t>NON</t>
        </is>
      </c>
      <c r="O3566" s="51" t="inlineStr"/>
    </row>
    <row r="3567" customFormat="1" s="3">
      <c r="A3567" s="45" t="n"/>
      <c r="B3567" s="46" t="inlineStr">
        <is>
          <t>33004</t>
        </is>
      </c>
      <c r="C3567" s="46">
        <f>LEFT(Tableau1[[#This Row],[Formacode]],3)</f>
        <v/>
      </c>
      <c r="D3567" s="47" t="n">
        <v>36143</v>
      </c>
      <c r="E3567" s="48">
        <f>"RNCP"&amp;D3567</f>
        <v/>
      </c>
      <c r="F3567" s="48" t="inlineStr">
        <is>
          <t>Chargé des ressources humaines</t>
        </is>
      </c>
      <c r="G3567" s="49">
        <f>E3567&amp;" - "&amp;F3567</f>
        <v/>
      </c>
      <c r="H3567" s="36" t="inlineStr">
        <is>
          <t>RAS</t>
        </is>
      </c>
      <c r="I3567" s="45" t="inlineStr"/>
      <c r="J3567" s="45" t="inlineStr">
        <is>
          <t>RNCP36143</t>
        </is>
      </c>
      <c r="K3567" s="45" t="inlineStr">
        <is>
          <t>Chargé des ressources humaines</t>
        </is>
      </c>
      <c r="L3567" s="45" t="inlineStr">
        <is>
          <t>26/01/2027</t>
        </is>
      </c>
      <c r="M3567" s="45" t="inlineStr">
        <is>
          <t>33054 (Gestion ressources humaines)</t>
        </is>
      </c>
      <c r="N3567" s="50" t="inlineStr">
        <is>
          <t>NON</t>
        </is>
      </c>
      <c r="O3567" s="45" t="inlineStr"/>
    </row>
    <row r="3568" customFormat="1" s="3">
      <c r="A3568" s="51" t="n"/>
      <c r="B3568" s="52" t="inlineStr">
        <is>
          <t>33004</t>
        </is>
      </c>
      <c r="C3568" s="52">
        <f>LEFT(Tableau1[[#This Row],[Formacode]],3)</f>
        <v/>
      </c>
      <c r="D3568" s="53" t="n">
        <v>37851</v>
      </c>
      <c r="E3568" s="54">
        <f>"RNCP"&amp;D3568</f>
        <v/>
      </c>
      <c r="F3568" s="54" t="inlineStr">
        <is>
          <t>Manager des ressources humaines</t>
        </is>
      </c>
      <c r="G3568" s="55">
        <f>E3568&amp;" - "&amp;F3568</f>
        <v/>
      </c>
      <c r="H3568" s="37" t="inlineStr">
        <is>
          <t>À vérifier</t>
        </is>
      </c>
      <c r="I3568" s="51" t="inlineStr">
        <is>
          <t>Échéance le 19/07/2026 (dans 1 j)</t>
        </is>
      </c>
      <c r="J3568" s="51" t="inlineStr">
        <is>
          <t>RNCP37851</t>
        </is>
      </c>
      <c r="K3568" s="51" t="inlineStr">
        <is>
          <t>Manager des ressources humaines</t>
        </is>
      </c>
      <c r="L3568" s="51" t="inlineStr">
        <is>
          <t>19/07/2026</t>
        </is>
      </c>
      <c r="M3568" s="51" t="inlineStr">
        <is>
          <t>33054 (Gestion ressources humaines)</t>
        </is>
      </c>
      <c r="N3568" s="62" t="inlineStr">
        <is>
          <t>NON</t>
        </is>
      </c>
      <c r="O3568" s="51" t="inlineStr"/>
    </row>
    <row r="3569" customFormat="1" s="3">
      <c r="A3569" s="51" t="n"/>
      <c r="B3569" s="52" t="inlineStr">
        <is>
          <t>33004</t>
        </is>
      </c>
      <c r="C3569" s="52">
        <f>LEFT(Tableau1[[#This Row],[Formacode]],3)</f>
        <v/>
      </c>
      <c r="D3569" s="53" t="n">
        <v>38241</v>
      </c>
      <c r="E3569" s="54">
        <f>"RNCP"&amp;D3569</f>
        <v/>
      </c>
      <c r="F3569" s="54" t="inlineStr">
        <is>
          <t>CQP Chargé de ressources humaines</t>
        </is>
      </c>
      <c r="G3569" s="55">
        <f>E3569&amp;" - "&amp;F3569</f>
        <v/>
      </c>
      <c r="H3569" s="37" t="inlineStr">
        <is>
          <t>À vérifier</t>
        </is>
      </c>
      <c r="I3569" s="51" t="inlineStr">
        <is>
          <t>Échéance le 15/11/2026 (dans 120 j)</t>
        </is>
      </c>
      <c r="J3569" s="51" t="inlineStr">
        <is>
          <t>RNCP38241</t>
        </is>
      </c>
      <c r="K3569" s="51" t="inlineStr">
        <is>
          <t>CQP Chargé de ressources humaines</t>
        </is>
      </c>
      <c r="L3569" s="51" t="inlineStr">
        <is>
          <t>15/11/2026</t>
        </is>
      </c>
      <c r="M3569" s="51" t="inlineStr">
        <is>
          <t>33054 (Gestion ressources humaines)</t>
        </is>
      </c>
      <c r="N3569" s="62" t="inlineStr">
        <is>
          <t>NON</t>
        </is>
      </c>
      <c r="O3569" s="51" t="inlineStr"/>
    </row>
    <row r="3570" customFormat="1" s="3">
      <c r="A3570" s="51" t="n"/>
      <c r="B3570" s="52" t="inlineStr">
        <is>
          <t>33004</t>
        </is>
      </c>
      <c r="C3570" s="52">
        <f>LEFT(Tableau1[[#This Row],[Formacode]],3)</f>
        <v/>
      </c>
      <c r="D3570" s="53" t="n">
        <v>38460</v>
      </c>
      <c r="E3570" s="54">
        <f>"RNCP"&amp;D3570</f>
        <v/>
      </c>
      <c r="F3570" s="54" t="inlineStr">
        <is>
          <t>Manager en ressources humaines</t>
        </is>
      </c>
      <c r="G3570" s="55">
        <f>E3570&amp;" - "&amp;F3570</f>
        <v/>
      </c>
      <c r="H3570" s="37" t="inlineStr">
        <is>
          <t>À vérifier</t>
        </is>
      </c>
      <c r="I3570" s="51" t="inlineStr">
        <is>
          <t>Échéance le 21/12/2026 (dans 156 j)</t>
        </is>
      </c>
      <c r="J3570" s="51" t="inlineStr">
        <is>
          <t>RNCP38460</t>
        </is>
      </c>
      <c r="K3570" s="51" t="inlineStr">
        <is>
          <t>Manager en ressources humaines</t>
        </is>
      </c>
      <c r="L3570" s="51" t="inlineStr">
        <is>
          <t>21/12/2026</t>
        </is>
      </c>
      <c r="M3570" s="51" t="inlineStr">
        <is>
          <t>33054 (Gestion ressources humaines)</t>
        </is>
      </c>
      <c r="N3570" s="62" t="inlineStr">
        <is>
          <t>NON</t>
        </is>
      </c>
      <c r="O3570" s="51" t="inlineStr"/>
    </row>
    <row r="3571" customFormat="1" s="3">
      <c r="A3571" s="51" t="n"/>
      <c r="B3571" s="52" t="inlineStr">
        <is>
          <t>33004</t>
        </is>
      </c>
      <c r="C3571" s="52">
        <f>LEFT(Tableau1[[#This Row],[Formacode]],3)</f>
        <v/>
      </c>
      <c r="D3571" s="53" t="n">
        <v>38489</v>
      </c>
      <c r="E3571" s="54">
        <f>"RNCP"&amp;D3571</f>
        <v/>
      </c>
      <c r="F3571" s="54" t="inlineStr">
        <is>
          <t>Manager des ressources humaines</t>
        </is>
      </c>
      <c r="G3571" s="55">
        <f>E3571&amp;" - "&amp;F3571</f>
        <v/>
      </c>
      <c r="H3571" s="37" t="inlineStr">
        <is>
          <t>À vérifier</t>
        </is>
      </c>
      <c r="I3571" s="51" t="inlineStr">
        <is>
          <t>Échéance le 21/12/2026 (dans 156 j)</t>
        </is>
      </c>
      <c r="J3571" s="51" t="inlineStr">
        <is>
          <t>RNCP38489</t>
        </is>
      </c>
      <c r="K3571" s="51" t="inlineStr">
        <is>
          <t>Manager des ressources humaines</t>
        </is>
      </c>
      <c r="L3571" s="51" t="inlineStr">
        <is>
          <t>21/12/2026</t>
        </is>
      </c>
      <c r="M3571" s="51" t="inlineStr">
        <is>
          <t>33054 (Gestion ressources humaines)</t>
        </is>
      </c>
      <c r="N3571" s="62" t="inlineStr">
        <is>
          <t>NON</t>
        </is>
      </c>
      <c r="O3571" s="51" t="inlineStr"/>
    </row>
    <row r="3572" customFormat="1" s="3">
      <c r="A3572" s="45" t="n"/>
      <c r="B3572" s="46" t="inlineStr">
        <is>
          <t>33004</t>
        </is>
      </c>
      <c r="C3572" s="46">
        <f>LEFT(Tableau1[[#This Row],[Formacode]],3)</f>
        <v/>
      </c>
      <c r="D3572" s="47" t="n">
        <v>38836</v>
      </c>
      <c r="E3572" s="48">
        <f>"RNCP"&amp;D3572</f>
        <v/>
      </c>
      <c r="F3572" s="48" t="inlineStr">
        <is>
          <t>Responsable du développement des ressources humaines</t>
        </is>
      </c>
      <c r="G3572" s="49">
        <f>E3572&amp;" - "&amp;F3572</f>
        <v/>
      </c>
      <c r="H3572" s="36" t="inlineStr">
        <is>
          <t>RAS</t>
        </is>
      </c>
      <c r="I3572" s="45" t="inlineStr"/>
      <c r="J3572" s="45" t="inlineStr">
        <is>
          <t>RNCP38836</t>
        </is>
      </c>
      <c r="K3572" s="45" t="inlineStr">
        <is>
          <t>Responsable du développement des ressources humaines</t>
        </is>
      </c>
      <c r="L3572" s="45" t="inlineStr">
        <is>
          <t>27/03/2029</t>
        </is>
      </c>
      <c r="M3572" s="45" t="inlineStr">
        <is>
          <t>33054 (Gestion ressources humaines)</t>
        </is>
      </c>
      <c r="N3572" s="50" t="inlineStr">
        <is>
          <t>NON</t>
        </is>
      </c>
      <c r="O3572" s="45" t="inlineStr"/>
    </row>
    <row r="3573" customFormat="1" s="3">
      <c r="A3573" s="45" t="n"/>
      <c r="B3573" s="46" t="inlineStr">
        <is>
          <t>33004</t>
        </is>
      </c>
      <c r="C3573" s="46">
        <f>LEFT(Tableau1[[#This Row],[Formacode]],3)</f>
        <v/>
      </c>
      <c r="D3573" s="47" t="n">
        <v>39364</v>
      </c>
      <c r="E3573" s="48">
        <f>"RNCP"&amp;D3573</f>
        <v/>
      </c>
      <c r="F3573" s="48" t="inlineStr">
        <is>
          <t>Manager en stratégie et développement des ressources humaines</t>
        </is>
      </c>
      <c r="G3573" s="49">
        <f>E3573&amp;" - "&amp;F3573</f>
        <v/>
      </c>
      <c r="H3573" s="36" t="inlineStr">
        <is>
          <t>RAS</t>
        </is>
      </c>
      <c r="I3573" s="45" t="inlineStr"/>
      <c r="J3573" s="45" t="inlineStr">
        <is>
          <t>RNCP39364</t>
        </is>
      </c>
      <c r="K3573" s="45" t="inlineStr">
        <is>
          <t>Manager en stratégie et développement des ressources humaines</t>
        </is>
      </c>
      <c r="L3573" s="45" t="inlineStr">
        <is>
          <t>19/07/2028</t>
        </is>
      </c>
      <c r="M3573" s="45" t="inlineStr">
        <is>
          <t>33054 (Gestion ressources humaines) ; 32025 (Stratégie entreprise)</t>
        </is>
      </c>
      <c r="N3573" s="50" t="inlineStr">
        <is>
          <t>NON</t>
        </is>
      </c>
      <c r="O3573" s="45" t="inlineStr"/>
    </row>
    <row r="3574" customFormat="1" s="3">
      <c r="A3574" s="45" t="n"/>
      <c r="B3574" s="46" t="inlineStr">
        <is>
          <t>33004</t>
        </is>
      </c>
      <c r="C3574" s="46">
        <f>LEFT(Tableau1[[#This Row],[Formacode]],3)</f>
        <v/>
      </c>
      <c r="D3574" s="47" t="n">
        <v>39864</v>
      </c>
      <c r="E3574" s="48">
        <f>"RNCP"&amp;D3574</f>
        <v/>
      </c>
      <c r="F3574" s="48" t="inlineStr">
        <is>
          <t>Manager du développement des ressources humaines</t>
        </is>
      </c>
      <c r="G3574" s="49">
        <f>E3574&amp;" - "&amp;F3574</f>
        <v/>
      </c>
      <c r="H3574" s="36" t="inlineStr">
        <is>
          <t>RAS</t>
        </is>
      </c>
      <c r="I3574" s="45" t="inlineStr"/>
      <c r="J3574" s="45" t="inlineStr">
        <is>
          <t>RNCP39864</t>
        </is>
      </c>
      <c r="K3574" s="45" t="inlineStr">
        <is>
          <t>Manager du développement des ressources humaines</t>
        </is>
      </c>
      <c r="L3574" s="45" t="inlineStr">
        <is>
          <t>28/11/2027</t>
        </is>
      </c>
      <c r="M3574" s="45" t="inlineStr">
        <is>
          <t>33054 (Gestion ressources humaines) ; 32154 (Encadrement management)</t>
        </is>
      </c>
      <c r="N3574" s="50" t="inlineStr">
        <is>
          <t>NON</t>
        </is>
      </c>
      <c r="O3574" s="45" t="inlineStr"/>
    </row>
    <row r="3575" customFormat="1" s="3">
      <c r="A3575" s="45" t="n"/>
      <c r="B3575" s="46" t="inlineStr">
        <is>
          <t>33004</t>
        </is>
      </c>
      <c r="C3575" s="46">
        <f>LEFT(Tableau1[[#This Row],[Formacode]],3)</f>
        <v/>
      </c>
      <c r="D3575" s="47" t="n">
        <v>40594</v>
      </c>
      <c r="E3575" s="48">
        <f>"RNCP"&amp;D3575</f>
        <v/>
      </c>
      <c r="F3575" s="48" t="inlineStr">
        <is>
          <t>Chargé de missions RH</t>
        </is>
      </c>
      <c r="G3575" s="49">
        <f>E3575&amp;" - "&amp;F3575</f>
        <v/>
      </c>
      <c r="H3575" s="36" t="inlineStr">
        <is>
          <t>RAS</t>
        </is>
      </c>
      <c r="I3575" s="45" t="inlineStr"/>
      <c r="J3575" s="45" t="inlineStr">
        <is>
          <t>RNCP40594</t>
        </is>
      </c>
      <c r="K3575" s="45" t="inlineStr">
        <is>
          <t>Chargé de missions RH</t>
        </is>
      </c>
      <c r="L3575" s="45" t="inlineStr">
        <is>
          <t>30/04/2028</t>
        </is>
      </c>
      <c r="M3575" s="45" t="inlineStr">
        <is>
          <t>33054 (Gestion ressources humaines)</t>
        </is>
      </c>
      <c r="N3575" s="50" t="inlineStr">
        <is>
          <t>NON</t>
        </is>
      </c>
      <c r="O3575" s="45" t="inlineStr"/>
    </row>
    <row r="3576" customFormat="1" s="3">
      <c r="A3576" s="45" t="n"/>
      <c r="B3576" s="46" t="inlineStr">
        <is>
          <t>33004</t>
        </is>
      </c>
      <c r="C3576" s="46">
        <f>LEFT(Tableau1[[#This Row],[Formacode]],3)</f>
        <v/>
      </c>
      <c r="D3576" s="47" t="n">
        <v>40863</v>
      </c>
      <c r="E3576" s="48">
        <f>"RNCP"&amp;D3576</f>
        <v/>
      </c>
      <c r="F3576" s="48" t="inlineStr">
        <is>
          <t>Responsable de gestion des ressources humaines</t>
        </is>
      </c>
      <c r="G3576" s="49">
        <f>E3576&amp;" - "&amp;F3576</f>
        <v/>
      </c>
      <c r="H3576" s="36" t="inlineStr">
        <is>
          <t>RAS</t>
        </is>
      </c>
      <c r="I3576" s="45" t="inlineStr"/>
      <c r="J3576" s="45" t="inlineStr">
        <is>
          <t>RNCP40863</t>
        </is>
      </c>
      <c r="K3576" s="45" t="inlineStr">
        <is>
          <t>Responsable de gestion des ressources humaines</t>
        </is>
      </c>
      <c r="L3576" s="45" t="inlineStr">
        <is>
          <t>25/06/2028</t>
        </is>
      </c>
      <c r="M3576" s="45" t="inlineStr">
        <is>
          <t>33054 (Gestion ressources humaines)</t>
        </is>
      </c>
      <c r="N3576" s="50" t="inlineStr">
        <is>
          <t>NON</t>
        </is>
      </c>
      <c r="O3576" s="45" t="inlineStr"/>
    </row>
    <row r="3577" customFormat="1" s="3">
      <c r="A3577" s="45" t="n"/>
      <c r="B3577" s="46" t="inlineStr">
        <is>
          <t>33004</t>
        </is>
      </c>
      <c r="C3577" s="46">
        <f>LEFT(Tableau1[[#This Row],[Formacode]],3)</f>
        <v/>
      </c>
      <c r="D3577" s="47" t="n">
        <v>41128</v>
      </c>
      <c r="E3577" s="48">
        <f>"RNCP"&amp;D3577</f>
        <v/>
      </c>
      <c r="F3577" s="48" t="inlineStr">
        <is>
          <t>Chargé de développement des ressources humaines</t>
        </is>
      </c>
      <c r="G3577" s="49">
        <f>E3577&amp;" - "&amp;F3577</f>
        <v/>
      </c>
      <c r="H3577" s="36" t="inlineStr">
        <is>
          <t>RAS</t>
        </is>
      </c>
      <c r="I3577" s="45" t="inlineStr"/>
      <c r="J3577" s="45" t="inlineStr">
        <is>
          <t>RNCP41128</t>
        </is>
      </c>
      <c r="K3577" s="45" t="inlineStr">
        <is>
          <t>Chargé de développement des ressources humaines</t>
        </is>
      </c>
      <c r="L3577" s="45" t="inlineStr">
        <is>
          <t>18/07/2028</t>
        </is>
      </c>
      <c r="M3577" s="45" t="inlineStr">
        <is>
          <t>33054 (Gestion ressources humaines)</t>
        </is>
      </c>
      <c r="N3577" s="50" t="inlineStr">
        <is>
          <t>NON</t>
        </is>
      </c>
      <c r="O3577" s="45" t="inlineStr"/>
    </row>
    <row r="3578" customFormat="1" s="3">
      <c r="A3578" s="45" t="n"/>
      <c r="B3578" s="46" t="inlineStr">
        <is>
          <t>33004</t>
        </is>
      </c>
      <c r="C3578" s="46">
        <f>LEFT(Tableau1[[#This Row],[Formacode]],3)</f>
        <v/>
      </c>
      <c r="D3578" s="47" t="n">
        <v>41295</v>
      </c>
      <c r="E3578" s="48">
        <f>"RNCP"&amp;D3578</f>
        <v/>
      </c>
      <c r="F3578" s="48" t="inlineStr">
        <is>
          <t>Manager des ressources humaines</t>
        </is>
      </c>
      <c r="G3578" s="49">
        <f>E3578&amp;" - "&amp;F3578</f>
        <v/>
      </c>
      <c r="H3578" s="36" t="inlineStr">
        <is>
          <t>RAS</t>
        </is>
      </c>
      <c r="I3578" s="45" t="inlineStr"/>
      <c r="J3578" s="45" t="inlineStr">
        <is>
          <t>RNCP41295</t>
        </is>
      </c>
      <c r="K3578" s="45" t="inlineStr">
        <is>
          <t>Manager des ressources humaines</t>
        </is>
      </c>
      <c r="L3578" s="45" t="inlineStr">
        <is>
          <t>24/09/2030</t>
        </is>
      </c>
      <c r="M3578" s="45" t="inlineStr">
        <is>
          <t>33054 (Gestion ressources humaines)</t>
        </is>
      </c>
      <c r="N3578" s="50" t="inlineStr">
        <is>
          <t>NON</t>
        </is>
      </c>
      <c r="O3578" s="45" t="inlineStr"/>
    </row>
    <row r="3579" customFormat="1" s="3">
      <c r="A3579" s="45" t="n"/>
      <c r="B3579" s="46" t="inlineStr">
        <is>
          <t>33004</t>
        </is>
      </c>
      <c r="C3579" s="46">
        <f>LEFT(Tableau1[[#This Row],[Formacode]],3)</f>
        <v/>
      </c>
      <c r="D3579" s="47" t="n">
        <v>41803</v>
      </c>
      <c r="E3579" s="48">
        <f>"RNCP"&amp;D3579</f>
        <v/>
      </c>
      <c r="F3579" s="48" t="inlineStr">
        <is>
          <t>Manager des ressources humaines</t>
        </is>
      </c>
      <c r="G3579" s="49">
        <f>E3579&amp;" - "&amp;F3579</f>
        <v/>
      </c>
      <c r="H3579" s="36" t="inlineStr">
        <is>
          <t>RAS</t>
        </is>
      </c>
      <c r="I3579" s="45" t="inlineStr"/>
      <c r="J3579" s="45" t="inlineStr">
        <is>
          <t>RNCP41803</t>
        </is>
      </c>
      <c r="K3579" s="45" t="inlineStr">
        <is>
          <t>Manager des ressources humaines</t>
        </is>
      </c>
      <c r="L3579" s="45" t="inlineStr">
        <is>
          <t>18/12/2030</t>
        </is>
      </c>
      <c r="M3579" s="45" t="inlineStr">
        <is>
          <t>33054 (Gestion ressources humaines)</t>
        </is>
      </c>
      <c r="N3579" s="50" t="inlineStr">
        <is>
          <t>NON</t>
        </is>
      </c>
      <c r="O3579" s="45" t="inlineStr"/>
    </row>
    <row r="3580" customFormat="1" s="3">
      <c r="A3580" s="63" t="n"/>
      <c r="B3580" s="64" t="inlineStr">
        <is>
          <t>33012</t>
        </is>
      </c>
      <c r="C3580" s="64">
        <f>LEFT(Tableau1[[#This Row],[Formacode]],3)</f>
        <v/>
      </c>
      <c r="D3580" s="65" t="n">
        <v>35604</v>
      </c>
      <c r="E3580" s="66">
        <f>"RNCP"&amp;D3580</f>
        <v/>
      </c>
      <c r="F3580" s="66" t="inlineStr">
        <is>
          <t>Manager du développement des ressources humaines</t>
        </is>
      </c>
      <c r="G3580" s="67">
        <f>E3580&amp;" - "&amp;F3580</f>
        <v/>
      </c>
      <c r="H3580" s="38" t="inlineStr">
        <is>
          <t>Expiré / remplacé</t>
        </is>
      </c>
      <c r="I3580" s="63" t="inlineStr">
        <is>
          <t>Fiche inactive — remplacée par RNCP42518 (Manager du développement des ressources humaines (MDRH))</t>
        </is>
      </c>
      <c r="J3580" s="63" t="inlineStr">
        <is>
          <t>RNCP42518</t>
        </is>
      </c>
      <c r="K3580" s="63" t="inlineStr">
        <is>
          <t>Manager du développement des ressources humaines (MDRH)</t>
        </is>
      </c>
      <c r="L3580" s="63" t="inlineStr">
        <is>
          <t>19/05/2026</t>
        </is>
      </c>
      <c r="M3580" s="63" t="inlineStr">
        <is>
          <t>33054 (Gestion ressources humaines)</t>
        </is>
      </c>
      <c r="N3580" s="68" t="inlineStr">
        <is>
          <t>NON</t>
        </is>
      </c>
      <c r="O3580" s="63" t="inlineStr"/>
    </row>
    <row r="3581" customFormat="1" s="3">
      <c r="A3581" s="51" t="n"/>
      <c r="B3581" s="52" t="inlineStr">
        <is>
          <t>33012</t>
        </is>
      </c>
      <c r="C3581" s="52">
        <f>LEFT(Tableau1[[#This Row],[Formacode]],3)</f>
        <v/>
      </c>
      <c r="D3581" s="53" t="n">
        <v>35878</v>
      </c>
      <c r="E3581" s="54">
        <f>"RNCP"&amp;D3581</f>
        <v/>
      </c>
      <c r="F3581" s="54" t="inlineStr">
        <is>
          <t>Chargé des ressources humaines</t>
        </is>
      </c>
      <c r="G3581" s="55">
        <f>E3581&amp;" - "&amp;F3581</f>
        <v/>
      </c>
      <c r="H3581" s="37" t="inlineStr">
        <is>
          <t>À vérifier</t>
        </is>
      </c>
      <c r="I3581" s="51" t="inlineStr">
        <is>
          <t>Successeur déjà publié : RNCP42313 (Chargé des ressources humaines) — préparer la bascule de l'offre CPF | Échéance le 15/09/2026 (dans 59 j)</t>
        </is>
      </c>
      <c r="J3581" s="51" t="inlineStr">
        <is>
          <t>RNCP42313</t>
        </is>
      </c>
      <c r="K3581" s="51" t="inlineStr">
        <is>
          <t>Chargé des ressources humaines</t>
        </is>
      </c>
      <c r="L3581" s="51" t="inlineStr">
        <is>
          <t>15/09/2026</t>
        </is>
      </c>
      <c r="M3581" s="51" t="inlineStr">
        <is>
          <t>33054 (Gestion ressources humaines)</t>
        </is>
      </c>
      <c r="N3581" s="62" t="inlineStr">
        <is>
          <t>NON</t>
        </is>
      </c>
      <c r="O3581" s="51" t="inlineStr"/>
    </row>
    <row r="3582" customFormat="1" s="3">
      <c r="A3582" s="45" t="n"/>
      <c r="B3582" s="46" t="inlineStr">
        <is>
          <t>33012</t>
        </is>
      </c>
      <c r="C3582" s="46">
        <f>LEFT(Tableau1[[#This Row],[Formacode]],3)</f>
        <v/>
      </c>
      <c r="D3582" s="47" t="n">
        <v>36143</v>
      </c>
      <c r="E3582" s="48">
        <f>"RNCP"&amp;D3582</f>
        <v/>
      </c>
      <c r="F3582" s="48" t="inlineStr">
        <is>
          <t>Chargé des ressources humaines</t>
        </is>
      </c>
      <c r="G3582" s="49">
        <f>E3582&amp;" - "&amp;F3582</f>
        <v/>
      </c>
      <c r="H3582" s="36" t="inlineStr">
        <is>
          <t>RAS</t>
        </is>
      </c>
      <c r="I3582" s="45" t="inlineStr"/>
      <c r="J3582" s="45" t="inlineStr">
        <is>
          <t>RNCP36143</t>
        </is>
      </c>
      <c r="K3582" s="45" t="inlineStr">
        <is>
          <t>Chargé des ressources humaines</t>
        </is>
      </c>
      <c r="L3582" s="45" t="inlineStr">
        <is>
          <t>26/01/2027</t>
        </is>
      </c>
      <c r="M3582" s="45" t="inlineStr">
        <is>
          <t>33054 (Gestion ressources humaines)</t>
        </is>
      </c>
      <c r="N3582" s="50" t="inlineStr">
        <is>
          <t>NON</t>
        </is>
      </c>
      <c r="O3582" s="45" t="inlineStr"/>
    </row>
    <row r="3583" customFormat="1" s="3">
      <c r="A3583" s="51" t="n"/>
      <c r="B3583" s="52" t="inlineStr">
        <is>
          <t>33012</t>
        </is>
      </c>
      <c r="C3583" s="52">
        <f>LEFT(Tableau1[[#This Row],[Formacode]],3)</f>
        <v/>
      </c>
      <c r="D3583" s="53" t="n">
        <v>37851</v>
      </c>
      <c r="E3583" s="54">
        <f>"RNCP"&amp;D3583</f>
        <v/>
      </c>
      <c r="F3583" s="54" t="inlineStr">
        <is>
          <t>Manager des ressources humaines</t>
        </is>
      </c>
      <c r="G3583" s="55">
        <f>E3583&amp;" - "&amp;F3583</f>
        <v/>
      </c>
      <c r="H3583" s="37" t="inlineStr">
        <is>
          <t>À vérifier</t>
        </is>
      </c>
      <c r="I3583" s="51" t="inlineStr">
        <is>
          <t>Échéance le 19/07/2026 (dans 1 j)</t>
        </is>
      </c>
      <c r="J3583" s="51" t="inlineStr">
        <is>
          <t>RNCP37851</t>
        </is>
      </c>
      <c r="K3583" s="51" t="inlineStr">
        <is>
          <t>Manager des ressources humaines</t>
        </is>
      </c>
      <c r="L3583" s="51" t="inlineStr">
        <is>
          <t>19/07/2026</t>
        </is>
      </c>
      <c r="M3583" s="51" t="inlineStr">
        <is>
          <t>33054 (Gestion ressources humaines)</t>
        </is>
      </c>
      <c r="N3583" s="62" t="inlineStr">
        <is>
          <t>NON</t>
        </is>
      </c>
      <c r="O3583" s="51" t="inlineStr"/>
    </row>
    <row r="3584" customFormat="1" s="3">
      <c r="A3584" s="51" t="n"/>
      <c r="B3584" s="52" t="inlineStr">
        <is>
          <t>33012</t>
        </is>
      </c>
      <c r="C3584" s="52">
        <f>LEFT(Tableau1[[#This Row],[Formacode]],3)</f>
        <v/>
      </c>
      <c r="D3584" s="53" t="n">
        <v>38241</v>
      </c>
      <c r="E3584" s="54">
        <f>"RNCP"&amp;D3584</f>
        <v/>
      </c>
      <c r="F3584" s="54" t="inlineStr">
        <is>
          <t>CQP Chargé de ressources humaines</t>
        </is>
      </c>
      <c r="G3584" s="55">
        <f>E3584&amp;" - "&amp;F3584</f>
        <v/>
      </c>
      <c r="H3584" s="37" t="inlineStr">
        <is>
          <t>À vérifier</t>
        </is>
      </c>
      <c r="I3584" s="51" t="inlineStr">
        <is>
          <t>Échéance le 15/11/2026 (dans 120 j)</t>
        </is>
      </c>
      <c r="J3584" s="51" t="inlineStr">
        <is>
          <t>RNCP38241</t>
        </is>
      </c>
      <c r="K3584" s="51" t="inlineStr">
        <is>
          <t>CQP Chargé de ressources humaines</t>
        </is>
      </c>
      <c r="L3584" s="51" t="inlineStr">
        <is>
          <t>15/11/2026</t>
        </is>
      </c>
      <c r="M3584" s="51" t="inlineStr">
        <is>
          <t>33054 (Gestion ressources humaines)</t>
        </is>
      </c>
      <c r="N3584" s="62" t="inlineStr">
        <is>
          <t>NON</t>
        </is>
      </c>
      <c r="O3584" s="51" t="inlineStr"/>
    </row>
    <row r="3585" customFormat="1" s="3">
      <c r="A3585" s="51" t="n"/>
      <c r="B3585" s="52" t="inlineStr">
        <is>
          <t>33012</t>
        </is>
      </c>
      <c r="C3585" s="52">
        <f>LEFT(Tableau1[[#This Row],[Formacode]],3)</f>
        <v/>
      </c>
      <c r="D3585" s="53" t="n">
        <v>38460</v>
      </c>
      <c r="E3585" s="54">
        <f>"RNCP"&amp;D3585</f>
        <v/>
      </c>
      <c r="F3585" s="54" t="inlineStr">
        <is>
          <t>Manager en ressources humaines</t>
        </is>
      </c>
      <c r="G3585" s="55">
        <f>E3585&amp;" - "&amp;F3585</f>
        <v/>
      </c>
      <c r="H3585" s="37" t="inlineStr">
        <is>
          <t>À vérifier</t>
        </is>
      </c>
      <c r="I3585" s="51" t="inlineStr">
        <is>
          <t>Échéance le 21/12/2026 (dans 156 j)</t>
        </is>
      </c>
      <c r="J3585" s="51" t="inlineStr">
        <is>
          <t>RNCP38460</t>
        </is>
      </c>
      <c r="K3585" s="51" t="inlineStr">
        <is>
          <t>Manager en ressources humaines</t>
        </is>
      </c>
      <c r="L3585" s="51" t="inlineStr">
        <is>
          <t>21/12/2026</t>
        </is>
      </c>
      <c r="M3585" s="51" t="inlineStr">
        <is>
          <t>33054 (Gestion ressources humaines)</t>
        </is>
      </c>
      <c r="N3585" s="62" t="inlineStr">
        <is>
          <t>NON</t>
        </is>
      </c>
      <c r="O3585" s="51" t="inlineStr"/>
    </row>
    <row r="3586" customFormat="1" s="3">
      <c r="A3586" s="51" t="n"/>
      <c r="B3586" s="52" t="inlineStr">
        <is>
          <t>33012</t>
        </is>
      </c>
      <c r="C3586" s="52">
        <f>LEFT(Tableau1[[#This Row],[Formacode]],3)</f>
        <v/>
      </c>
      <c r="D3586" s="53" t="n">
        <v>38489</v>
      </c>
      <c r="E3586" s="54">
        <f>"RNCP"&amp;D3586</f>
        <v/>
      </c>
      <c r="F3586" s="54" t="inlineStr">
        <is>
          <t>Manager des ressources humaines</t>
        </is>
      </c>
      <c r="G3586" s="55">
        <f>E3586&amp;" - "&amp;F3586</f>
        <v/>
      </c>
      <c r="H3586" s="37" t="inlineStr">
        <is>
          <t>À vérifier</t>
        </is>
      </c>
      <c r="I3586" s="51" t="inlineStr">
        <is>
          <t>Échéance le 21/12/2026 (dans 156 j)</t>
        </is>
      </c>
      <c r="J3586" s="51" t="inlineStr">
        <is>
          <t>RNCP38489</t>
        </is>
      </c>
      <c r="K3586" s="51" t="inlineStr">
        <is>
          <t>Manager des ressources humaines</t>
        </is>
      </c>
      <c r="L3586" s="51" t="inlineStr">
        <is>
          <t>21/12/2026</t>
        </is>
      </c>
      <c r="M3586" s="51" t="inlineStr">
        <is>
          <t>33054 (Gestion ressources humaines)</t>
        </is>
      </c>
      <c r="N3586" s="62" t="inlineStr">
        <is>
          <t>NON</t>
        </is>
      </c>
      <c r="O3586" s="51" t="inlineStr"/>
    </row>
    <row r="3587" customFormat="1" s="3">
      <c r="A3587" s="45" t="n"/>
      <c r="B3587" s="46" t="inlineStr">
        <is>
          <t>33012</t>
        </is>
      </c>
      <c r="C3587" s="46">
        <f>LEFT(Tableau1[[#This Row],[Formacode]],3)</f>
        <v/>
      </c>
      <c r="D3587" s="47" t="n">
        <v>38836</v>
      </c>
      <c r="E3587" s="48">
        <f>"RNCP"&amp;D3587</f>
        <v/>
      </c>
      <c r="F3587" s="48" t="inlineStr">
        <is>
          <t>Responsable du développement des ressources humaines</t>
        </is>
      </c>
      <c r="G3587" s="49">
        <f>E3587&amp;" - "&amp;F3587</f>
        <v/>
      </c>
      <c r="H3587" s="36" t="inlineStr">
        <is>
          <t>RAS</t>
        </is>
      </c>
      <c r="I3587" s="45" t="inlineStr"/>
      <c r="J3587" s="45" t="inlineStr">
        <is>
          <t>RNCP38836</t>
        </is>
      </c>
      <c r="K3587" s="45" t="inlineStr">
        <is>
          <t>Responsable du développement des ressources humaines</t>
        </is>
      </c>
      <c r="L3587" s="45" t="inlineStr">
        <is>
          <t>27/03/2029</t>
        </is>
      </c>
      <c r="M3587" s="45" t="inlineStr">
        <is>
          <t>33054 (Gestion ressources humaines)</t>
        </is>
      </c>
      <c r="N3587" s="50" t="inlineStr">
        <is>
          <t>NON</t>
        </is>
      </c>
      <c r="O3587" s="45" t="inlineStr"/>
    </row>
    <row r="3588" customFormat="1" s="3">
      <c r="A3588" s="45" t="n"/>
      <c r="B3588" s="46" t="inlineStr">
        <is>
          <t>33012</t>
        </is>
      </c>
      <c r="C3588" s="46">
        <f>LEFT(Tableau1[[#This Row],[Formacode]],3)</f>
        <v/>
      </c>
      <c r="D3588" s="47" t="n">
        <v>39364</v>
      </c>
      <c r="E3588" s="48">
        <f>"RNCP"&amp;D3588</f>
        <v/>
      </c>
      <c r="F3588" s="48" t="inlineStr">
        <is>
          <t>Manager en stratégie et développement des ressources humaines</t>
        </is>
      </c>
      <c r="G3588" s="49">
        <f>E3588&amp;" - "&amp;F3588</f>
        <v/>
      </c>
      <c r="H3588" s="36" t="inlineStr">
        <is>
          <t>RAS</t>
        </is>
      </c>
      <c r="I3588" s="45" t="inlineStr"/>
      <c r="J3588" s="45" t="inlineStr">
        <is>
          <t>RNCP39364</t>
        </is>
      </c>
      <c r="K3588" s="45" t="inlineStr">
        <is>
          <t>Manager en stratégie et développement des ressources humaines</t>
        </is>
      </c>
      <c r="L3588" s="45" t="inlineStr">
        <is>
          <t>19/07/2028</t>
        </is>
      </c>
      <c r="M3588" s="45" t="inlineStr">
        <is>
          <t>33054 (Gestion ressources humaines) ; 32025 (Stratégie entreprise)</t>
        </is>
      </c>
      <c r="N3588" s="50" t="inlineStr">
        <is>
          <t>NON</t>
        </is>
      </c>
      <c r="O3588" s="45" t="inlineStr"/>
    </row>
    <row r="3589" customFormat="1" s="3">
      <c r="A3589" s="45" t="n"/>
      <c r="B3589" s="46" t="inlineStr">
        <is>
          <t>33012</t>
        </is>
      </c>
      <c r="C3589" s="46">
        <f>LEFT(Tableau1[[#This Row],[Formacode]],3)</f>
        <v/>
      </c>
      <c r="D3589" s="47" t="n">
        <v>39864</v>
      </c>
      <c r="E3589" s="48">
        <f>"RNCP"&amp;D3589</f>
        <v/>
      </c>
      <c r="F3589" s="48" t="inlineStr">
        <is>
          <t>Manager du développement des ressources humaines</t>
        </is>
      </c>
      <c r="G3589" s="49">
        <f>E3589&amp;" - "&amp;F3589</f>
        <v/>
      </c>
      <c r="H3589" s="36" t="inlineStr">
        <is>
          <t>RAS</t>
        </is>
      </c>
      <c r="I3589" s="45" t="inlineStr"/>
      <c r="J3589" s="45" t="inlineStr">
        <is>
          <t>RNCP39864</t>
        </is>
      </c>
      <c r="K3589" s="45" t="inlineStr">
        <is>
          <t>Manager du développement des ressources humaines</t>
        </is>
      </c>
      <c r="L3589" s="45" t="inlineStr">
        <is>
          <t>28/11/2027</t>
        </is>
      </c>
      <c r="M3589" s="45" t="inlineStr">
        <is>
          <t>33054 (Gestion ressources humaines) ; 32154 (Encadrement management)</t>
        </is>
      </c>
      <c r="N3589" s="50" t="inlineStr">
        <is>
          <t>NON</t>
        </is>
      </c>
      <c r="O3589" s="45" t="inlineStr"/>
    </row>
    <row r="3590" customFormat="1" s="3">
      <c r="A3590" s="45" t="n"/>
      <c r="B3590" s="46" t="inlineStr">
        <is>
          <t>33012</t>
        </is>
      </c>
      <c r="C3590" s="46">
        <f>LEFT(Tableau1[[#This Row],[Formacode]],3)</f>
        <v/>
      </c>
      <c r="D3590" s="47" t="n">
        <v>40594</v>
      </c>
      <c r="E3590" s="48">
        <f>"RNCP"&amp;D3590</f>
        <v/>
      </c>
      <c r="F3590" s="48" t="inlineStr">
        <is>
          <t>Chargé de missions RH</t>
        </is>
      </c>
      <c r="G3590" s="49">
        <f>E3590&amp;" - "&amp;F3590</f>
        <v/>
      </c>
      <c r="H3590" s="36" t="inlineStr">
        <is>
          <t>RAS</t>
        </is>
      </c>
      <c r="I3590" s="45" t="inlineStr"/>
      <c r="J3590" s="45" t="inlineStr">
        <is>
          <t>RNCP40594</t>
        </is>
      </c>
      <c r="K3590" s="45" t="inlineStr">
        <is>
          <t>Chargé de missions RH</t>
        </is>
      </c>
      <c r="L3590" s="45" t="inlineStr">
        <is>
          <t>30/04/2028</t>
        </is>
      </c>
      <c r="M3590" s="45" t="inlineStr">
        <is>
          <t>33054 (Gestion ressources humaines)</t>
        </is>
      </c>
      <c r="N3590" s="50" t="inlineStr">
        <is>
          <t>NON</t>
        </is>
      </c>
      <c r="O3590" s="45" t="inlineStr"/>
    </row>
    <row r="3591" customFormat="1" s="3">
      <c r="A3591" s="45" t="n"/>
      <c r="B3591" s="46" t="inlineStr">
        <is>
          <t>33012</t>
        </is>
      </c>
      <c r="C3591" s="46">
        <f>LEFT(Tableau1[[#This Row],[Formacode]],3)</f>
        <v/>
      </c>
      <c r="D3591" s="47" t="n">
        <v>40863</v>
      </c>
      <c r="E3591" s="48">
        <f>"RNCP"&amp;D3591</f>
        <v/>
      </c>
      <c r="F3591" s="48" t="inlineStr">
        <is>
          <t>Responsable de gestion des ressources humaines</t>
        </is>
      </c>
      <c r="G3591" s="49">
        <f>E3591&amp;" - "&amp;F3591</f>
        <v/>
      </c>
      <c r="H3591" s="36" t="inlineStr">
        <is>
          <t>RAS</t>
        </is>
      </c>
      <c r="I3591" s="45" t="inlineStr"/>
      <c r="J3591" s="45" t="inlineStr">
        <is>
          <t>RNCP40863</t>
        </is>
      </c>
      <c r="K3591" s="45" t="inlineStr">
        <is>
          <t>Responsable de gestion des ressources humaines</t>
        </is>
      </c>
      <c r="L3591" s="45" t="inlineStr">
        <is>
          <t>25/06/2028</t>
        </is>
      </c>
      <c r="M3591" s="45" t="inlineStr">
        <is>
          <t>33054 (Gestion ressources humaines)</t>
        </is>
      </c>
      <c r="N3591" s="50" t="inlineStr">
        <is>
          <t>NON</t>
        </is>
      </c>
      <c r="O3591" s="45" t="inlineStr"/>
    </row>
    <row r="3592" customFormat="1" s="3">
      <c r="A3592" s="45" t="n"/>
      <c r="B3592" s="46" t="inlineStr">
        <is>
          <t>33012</t>
        </is>
      </c>
      <c r="C3592" s="46">
        <f>LEFT(Tableau1[[#This Row],[Formacode]],3)</f>
        <v/>
      </c>
      <c r="D3592" s="47" t="n">
        <v>41128</v>
      </c>
      <c r="E3592" s="48">
        <f>"RNCP"&amp;D3592</f>
        <v/>
      </c>
      <c r="F3592" s="48" t="inlineStr">
        <is>
          <t>Chargé de développement des ressources humaines</t>
        </is>
      </c>
      <c r="G3592" s="49">
        <f>E3592&amp;" - "&amp;F3592</f>
        <v/>
      </c>
      <c r="H3592" s="36" t="inlineStr">
        <is>
          <t>RAS</t>
        </is>
      </c>
      <c r="I3592" s="45" t="inlineStr"/>
      <c r="J3592" s="45" t="inlineStr">
        <is>
          <t>RNCP41128</t>
        </is>
      </c>
      <c r="K3592" s="45" t="inlineStr">
        <is>
          <t>Chargé de développement des ressources humaines</t>
        </is>
      </c>
      <c r="L3592" s="45" t="inlineStr">
        <is>
          <t>18/07/2028</t>
        </is>
      </c>
      <c r="M3592" s="45" t="inlineStr">
        <is>
          <t>33054 (Gestion ressources humaines)</t>
        </is>
      </c>
      <c r="N3592" s="50" t="inlineStr">
        <is>
          <t>NON</t>
        </is>
      </c>
      <c r="O3592" s="45" t="inlineStr"/>
    </row>
    <row r="3593" customFormat="1" s="3">
      <c r="A3593" s="45" t="n"/>
      <c r="B3593" s="46" t="inlineStr">
        <is>
          <t>33012</t>
        </is>
      </c>
      <c r="C3593" s="46">
        <f>LEFT(Tableau1[[#This Row],[Formacode]],3)</f>
        <v/>
      </c>
      <c r="D3593" s="47" t="n">
        <v>41295</v>
      </c>
      <c r="E3593" s="48">
        <f>"RNCP"&amp;D3593</f>
        <v/>
      </c>
      <c r="F3593" s="48" t="inlineStr">
        <is>
          <t>Manager des ressources humaines</t>
        </is>
      </c>
      <c r="G3593" s="49">
        <f>E3593&amp;" - "&amp;F3593</f>
        <v/>
      </c>
      <c r="H3593" s="36" t="inlineStr">
        <is>
          <t>RAS</t>
        </is>
      </c>
      <c r="I3593" s="45" t="inlineStr"/>
      <c r="J3593" s="45" t="inlineStr">
        <is>
          <t>RNCP41295</t>
        </is>
      </c>
      <c r="K3593" s="45" t="inlineStr">
        <is>
          <t>Manager des ressources humaines</t>
        </is>
      </c>
      <c r="L3593" s="45" t="inlineStr">
        <is>
          <t>24/09/2030</t>
        </is>
      </c>
      <c r="M3593" s="45" t="inlineStr">
        <is>
          <t>33054 (Gestion ressources humaines)</t>
        </is>
      </c>
      <c r="N3593" s="50" t="inlineStr">
        <is>
          <t>NON</t>
        </is>
      </c>
      <c r="O3593" s="45" t="inlineStr"/>
    </row>
    <row r="3594" customFormat="1" s="3">
      <c r="A3594" s="45" t="n"/>
      <c r="B3594" s="46" t="inlineStr">
        <is>
          <t>33012</t>
        </is>
      </c>
      <c r="C3594" s="46">
        <f>LEFT(Tableau1[[#This Row],[Formacode]],3)</f>
        <v/>
      </c>
      <c r="D3594" s="47" t="n">
        <v>41803</v>
      </c>
      <c r="E3594" s="48">
        <f>"RNCP"&amp;D3594</f>
        <v/>
      </c>
      <c r="F3594" s="48" t="inlineStr">
        <is>
          <t>Manager des ressources humaines</t>
        </is>
      </c>
      <c r="G3594" s="49">
        <f>E3594&amp;" - "&amp;F3594</f>
        <v/>
      </c>
      <c r="H3594" s="36" t="inlineStr">
        <is>
          <t>RAS</t>
        </is>
      </c>
      <c r="I3594" s="45" t="inlineStr"/>
      <c r="J3594" s="45" t="inlineStr">
        <is>
          <t>RNCP41803</t>
        </is>
      </c>
      <c r="K3594" s="45" t="inlineStr">
        <is>
          <t>Manager des ressources humaines</t>
        </is>
      </c>
      <c r="L3594" s="45" t="inlineStr">
        <is>
          <t>18/12/2030</t>
        </is>
      </c>
      <c r="M3594" s="45" t="inlineStr">
        <is>
          <t>33054 (Gestion ressources humaines)</t>
        </is>
      </c>
      <c r="N3594" s="50" t="inlineStr">
        <is>
          <t>NON</t>
        </is>
      </c>
      <c r="O3594" s="45" t="inlineStr"/>
    </row>
    <row r="3595" customFormat="1" s="3">
      <c r="A3595" s="63" t="n"/>
      <c r="B3595" s="64" t="inlineStr">
        <is>
          <t>33024</t>
        </is>
      </c>
      <c r="C3595" s="64">
        <f>LEFT(Tableau1[[#This Row],[Formacode]],3)</f>
        <v/>
      </c>
      <c r="D3595" s="65" t="n">
        <v>35604</v>
      </c>
      <c r="E3595" s="66">
        <f>"RNCP"&amp;D3595</f>
        <v/>
      </c>
      <c r="F3595" s="66" t="inlineStr">
        <is>
          <t>Manager du développement des ressources humaines</t>
        </is>
      </c>
      <c r="G3595" s="67">
        <f>E3595&amp;" - "&amp;F3595</f>
        <v/>
      </c>
      <c r="H3595" s="38" t="inlineStr">
        <is>
          <t>Expiré / remplacé</t>
        </is>
      </c>
      <c r="I3595" s="63" t="inlineStr">
        <is>
          <t>Fiche inactive — remplacée par RNCP42518 (Manager du développement des ressources humaines (MDRH))</t>
        </is>
      </c>
      <c r="J3595" s="63" t="inlineStr">
        <is>
          <t>RNCP42518</t>
        </is>
      </c>
      <c r="K3595" s="63" t="inlineStr">
        <is>
          <t>Manager du développement des ressources humaines (MDRH)</t>
        </is>
      </c>
      <c r="L3595" s="63" t="inlineStr">
        <is>
          <t>19/05/2026</t>
        </is>
      </c>
      <c r="M3595" s="63" t="inlineStr">
        <is>
          <t>33054 (Gestion ressources humaines)</t>
        </is>
      </c>
      <c r="N3595" s="68" t="inlineStr">
        <is>
          <t>NON</t>
        </is>
      </c>
      <c r="O3595" s="63" t="inlineStr"/>
    </row>
    <row r="3596" customFormat="1" s="3">
      <c r="A3596" s="51" t="n"/>
      <c r="B3596" s="52" t="inlineStr">
        <is>
          <t>33024</t>
        </is>
      </c>
      <c r="C3596" s="52">
        <f>LEFT(Tableau1[[#This Row],[Formacode]],3)</f>
        <v/>
      </c>
      <c r="D3596" s="53" t="n">
        <v>35878</v>
      </c>
      <c r="E3596" s="54">
        <f>"RNCP"&amp;D3596</f>
        <v/>
      </c>
      <c r="F3596" s="54" t="inlineStr">
        <is>
          <t>Chargé des ressources humaines</t>
        </is>
      </c>
      <c r="G3596" s="55">
        <f>E3596&amp;" - "&amp;F3596</f>
        <v/>
      </c>
      <c r="H3596" s="37" t="inlineStr">
        <is>
          <t>À vérifier</t>
        </is>
      </c>
      <c r="I3596" s="51" t="inlineStr">
        <is>
          <t>Successeur déjà publié : RNCP42313 (Chargé des ressources humaines) — préparer la bascule de l'offre CPF | Échéance le 15/09/2026 (dans 59 j)</t>
        </is>
      </c>
      <c r="J3596" s="51" t="inlineStr">
        <is>
          <t>RNCP42313</t>
        </is>
      </c>
      <c r="K3596" s="51" t="inlineStr">
        <is>
          <t>Chargé des ressources humaines</t>
        </is>
      </c>
      <c r="L3596" s="51" t="inlineStr">
        <is>
          <t>15/09/2026</t>
        </is>
      </c>
      <c r="M3596" s="51" t="inlineStr">
        <is>
          <t>33054 (Gestion ressources humaines)</t>
        </is>
      </c>
      <c r="N3596" s="62" t="inlineStr">
        <is>
          <t>NON</t>
        </is>
      </c>
      <c r="O3596" s="51" t="inlineStr"/>
    </row>
    <row r="3597" customFormat="1" s="3">
      <c r="A3597" s="45" t="n"/>
      <c r="B3597" s="46" t="inlineStr">
        <is>
          <t>33024</t>
        </is>
      </c>
      <c r="C3597" s="46">
        <f>LEFT(Tableau1[[#This Row],[Formacode]],3)</f>
        <v/>
      </c>
      <c r="D3597" s="47" t="n">
        <v>36143</v>
      </c>
      <c r="E3597" s="48">
        <f>"RNCP"&amp;D3597</f>
        <v/>
      </c>
      <c r="F3597" s="48" t="inlineStr">
        <is>
          <t>Chargé des ressources humaines</t>
        </is>
      </c>
      <c r="G3597" s="49">
        <f>E3597&amp;" - "&amp;F3597</f>
        <v/>
      </c>
      <c r="H3597" s="36" t="inlineStr">
        <is>
          <t>RAS</t>
        </is>
      </c>
      <c r="I3597" s="45" t="inlineStr"/>
      <c r="J3597" s="45" t="inlineStr">
        <is>
          <t>RNCP36143</t>
        </is>
      </c>
      <c r="K3597" s="45" t="inlineStr">
        <is>
          <t>Chargé des ressources humaines</t>
        </is>
      </c>
      <c r="L3597" s="45" t="inlineStr">
        <is>
          <t>26/01/2027</t>
        </is>
      </c>
      <c r="M3597" s="45" t="inlineStr">
        <is>
          <t>33054 (Gestion ressources humaines)</t>
        </is>
      </c>
      <c r="N3597" s="50" t="inlineStr">
        <is>
          <t>NON</t>
        </is>
      </c>
      <c r="O3597" s="45" t="inlineStr"/>
    </row>
    <row r="3598" customFormat="1" s="3">
      <c r="A3598" s="51" t="n"/>
      <c r="B3598" s="52" t="inlineStr">
        <is>
          <t>33024</t>
        </is>
      </c>
      <c r="C3598" s="52">
        <f>LEFT(Tableau1[[#This Row],[Formacode]],3)</f>
        <v/>
      </c>
      <c r="D3598" s="53" t="n">
        <v>37851</v>
      </c>
      <c r="E3598" s="54">
        <f>"RNCP"&amp;D3598</f>
        <v/>
      </c>
      <c r="F3598" s="54" t="inlineStr">
        <is>
          <t>Manager des ressources humaines</t>
        </is>
      </c>
      <c r="G3598" s="55">
        <f>E3598&amp;" - "&amp;F3598</f>
        <v/>
      </c>
      <c r="H3598" s="37" t="inlineStr">
        <is>
          <t>À vérifier</t>
        </is>
      </c>
      <c r="I3598" s="51" t="inlineStr">
        <is>
          <t>Échéance le 19/07/2026 (dans 1 j)</t>
        </is>
      </c>
      <c r="J3598" s="51" t="inlineStr">
        <is>
          <t>RNCP37851</t>
        </is>
      </c>
      <c r="K3598" s="51" t="inlineStr">
        <is>
          <t>Manager des ressources humaines</t>
        </is>
      </c>
      <c r="L3598" s="51" t="inlineStr">
        <is>
          <t>19/07/2026</t>
        </is>
      </c>
      <c r="M3598" s="51" t="inlineStr">
        <is>
          <t>33054 (Gestion ressources humaines)</t>
        </is>
      </c>
      <c r="N3598" s="62" t="inlineStr">
        <is>
          <t>NON</t>
        </is>
      </c>
      <c r="O3598" s="51" t="inlineStr"/>
    </row>
    <row r="3599" customFormat="1" s="3">
      <c r="A3599" s="51" t="n"/>
      <c r="B3599" s="52" t="inlineStr">
        <is>
          <t>33024</t>
        </is>
      </c>
      <c r="C3599" s="52">
        <f>LEFT(Tableau1[[#This Row],[Formacode]],3)</f>
        <v/>
      </c>
      <c r="D3599" s="53" t="n">
        <v>38241</v>
      </c>
      <c r="E3599" s="54">
        <f>"RNCP"&amp;D3599</f>
        <v/>
      </c>
      <c r="F3599" s="54" t="inlineStr">
        <is>
          <t>CQP Chargé de ressources humaines</t>
        </is>
      </c>
      <c r="G3599" s="55">
        <f>E3599&amp;" - "&amp;F3599</f>
        <v/>
      </c>
      <c r="H3599" s="37" t="inlineStr">
        <is>
          <t>À vérifier</t>
        </is>
      </c>
      <c r="I3599" s="51" t="inlineStr">
        <is>
          <t>Échéance le 15/11/2026 (dans 120 j)</t>
        </is>
      </c>
      <c r="J3599" s="51" t="inlineStr">
        <is>
          <t>RNCP38241</t>
        </is>
      </c>
      <c r="K3599" s="51" t="inlineStr">
        <is>
          <t>CQP Chargé de ressources humaines</t>
        </is>
      </c>
      <c r="L3599" s="51" t="inlineStr">
        <is>
          <t>15/11/2026</t>
        </is>
      </c>
      <c r="M3599" s="51" t="inlineStr">
        <is>
          <t>33054 (Gestion ressources humaines)</t>
        </is>
      </c>
      <c r="N3599" s="62" t="inlineStr">
        <is>
          <t>NON</t>
        </is>
      </c>
      <c r="O3599" s="51" t="inlineStr"/>
    </row>
    <row r="3600" customFormat="1" s="3">
      <c r="A3600" s="51" t="n"/>
      <c r="B3600" s="52" t="inlineStr">
        <is>
          <t>33024</t>
        </is>
      </c>
      <c r="C3600" s="52">
        <f>LEFT(Tableau1[[#This Row],[Formacode]],3)</f>
        <v/>
      </c>
      <c r="D3600" s="53" t="n">
        <v>38460</v>
      </c>
      <c r="E3600" s="54">
        <f>"RNCP"&amp;D3600</f>
        <v/>
      </c>
      <c r="F3600" s="54" t="inlineStr">
        <is>
          <t>Manager en ressources humaines</t>
        </is>
      </c>
      <c r="G3600" s="55">
        <f>E3600&amp;" - "&amp;F3600</f>
        <v/>
      </c>
      <c r="H3600" s="37" t="inlineStr">
        <is>
          <t>À vérifier</t>
        </is>
      </c>
      <c r="I3600" s="51" t="inlineStr">
        <is>
          <t>Échéance le 21/12/2026 (dans 156 j)</t>
        </is>
      </c>
      <c r="J3600" s="51" t="inlineStr">
        <is>
          <t>RNCP38460</t>
        </is>
      </c>
      <c r="K3600" s="51" t="inlineStr">
        <is>
          <t>Manager en ressources humaines</t>
        </is>
      </c>
      <c r="L3600" s="51" t="inlineStr">
        <is>
          <t>21/12/2026</t>
        </is>
      </c>
      <c r="M3600" s="51" t="inlineStr">
        <is>
          <t>33054 (Gestion ressources humaines)</t>
        </is>
      </c>
      <c r="N3600" s="62" t="inlineStr">
        <is>
          <t>NON</t>
        </is>
      </c>
      <c r="O3600" s="51" t="inlineStr"/>
    </row>
    <row r="3601" customFormat="1" s="3">
      <c r="A3601" s="51" t="n"/>
      <c r="B3601" s="52" t="inlineStr">
        <is>
          <t>33024</t>
        </is>
      </c>
      <c r="C3601" s="52">
        <f>LEFT(Tableau1[[#This Row],[Formacode]],3)</f>
        <v/>
      </c>
      <c r="D3601" s="53" t="n">
        <v>38489</v>
      </c>
      <c r="E3601" s="54">
        <f>"RNCP"&amp;D3601</f>
        <v/>
      </c>
      <c r="F3601" s="54" t="inlineStr">
        <is>
          <t>Manager des ressources humaines</t>
        </is>
      </c>
      <c r="G3601" s="55">
        <f>E3601&amp;" - "&amp;F3601</f>
        <v/>
      </c>
      <c r="H3601" s="37" t="inlineStr">
        <is>
          <t>À vérifier</t>
        </is>
      </c>
      <c r="I3601" s="51" t="inlineStr">
        <is>
          <t>Échéance le 21/12/2026 (dans 156 j)</t>
        </is>
      </c>
      <c r="J3601" s="51" t="inlineStr">
        <is>
          <t>RNCP38489</t>
        </is>
      </c>
      <c r="K3601" s="51" t="inlineStr">
        <is>
          <t>Manager des ressources humaines</t>
        </is>
      </c>
      <c r="L3601" s="51" t="inlineStr">
        <is>
          <t>21/12/2026</t>
        </is>
      </c>
      <c r="M3601" s="51" t="inlineStr">
        <is>
          <t>33054 (Gestion ressources humaines)</t>
        </is>
      </c>
      <c r="N3601" s="62" t="inlineStr">
        <is>
          <t>NON</t>
        </is>
      </c>
      <c r="O3601" s="51" t="inlineStr"/>
    </row>
    <row r="3602" customFormat="1" s="3">
      <c r="A3602" s="45" t="n"/>
      <c r="B3602" s="46" t="inlineStr">
        <is>
          <t>33024</t>
        </is>
      </c>
      <c r="C3602" s="46">
        <f>LEFT(Tableau1[[#This Row],[Formacode]],3)</f>
        <v/>
      </c>
      <c r="D3602" s="47" t="n">
        <v>38836</v>
      </c>
      <c r="E3602" s="48">
        <f>"RNCP"&amp;D3602</f>
        <v/>
      </c>
      <c r="F3602" s="48" t="inlineStr">
        <is>
          <t>Responsable du développement des ressources humaines</t>
        </is>
      </c>
      <c r="G3602" s="49">
        <f>E3602&amp;" - "&amp;F3602</f>
        <v/>
      </c>
      <c r="H3602" s="36" t="inlineStr">
        <is>
          <t>RAS</t>
        </is>
      </c>
      <c r="I3602" s="45" t="inlineStr"/>
      <c r="J3602" s="45" t="inlineStr">
        <is>
          <t>RNCP38836</t>
        </is>
      </c>
      <c r="K3602" s="45" t="inlineStr">
        <is>
          <t>Responsable du développement des ressources humaines</t>
        </is>
      </c>
      <c r="L3602" s="45" t="inlineStr">
        <is>
          <t>27/03/2029</t>
        </is>
      </c>
      <c r="M3602" s="45" t="inlineStr">
        <is>
          <t>33054 (Gestion ressources humaines)</t>
        </is>
      </c>
      <c r="N3602" s="50" t="inlineStr">
        <is>
          <t>NON</t>
        </is>
      </c>
      <c r="O3602" s="45" t="inlineStr"/>
    </row>
    <row r="3603" customFormat="1" s="3">
      <c r="A3603" s="45" t="n"/>
      <c r="B3603" s="46" t="inlineStr">
        <is>
          <t>33024</t>
        </is>
      </c>
      <c r="C3603" s="46">
        <f>LEFT(Tableau1[[#This Row],[Formacode]],3)</f>
        <v/>
      </c>
      <c r="D3603" s="47" t="n">
        <v>39364</v>
      </c>
      <c r="E3603" s="48">
        <f>"RNCP"&amp;D3603</f>
        <v/>
      </c>
      <c r="F3603" s="48" t="inlineStr">
        <is>
          <t>Manager en stratégie et développement des ressources humaines</t>
        </is>
      </c>
      <c r="G3603" s="49">
        <f>E3603&amp;" - "&amp;F3603</f>
        <v/>
      </c>
      <c r="H3603" s="36" t="inlineStr">
        <is>
          <t>RAS</t>
        </is>
      </c>
      <c r="I3603" s="45" t="inlineStr"/>
      <c r="J3603" s="45" t="inlineStr">
        <is>
          <t>RNCP39364</t>
        </is>
      </c>
      <c r="K3603" s="45" t="inlineStr">
        <is>
          <t>Manager en stratégie et développement des ressources humaines</t>
        </is>
      </c>
      <c r="L3603" s="45" t="inlineStr">
        <is>
          <t>19/07/2028</t>
        </is>
      </c>
      <c r="M3603" s="45" t="inlineStr">
        <is>
          <t>33054 (Gestion ressources humaines) ; 32025 (Stratégie entreprise)</t>
        </is>
      </c>
      <c r="N3603" s="50" t="inlineStr">
        <is>
          <t>NON</t>
        </is>
      </c>
      <c r="O3603" s="45" t="inlineStr"/>
    </row>
    <row r="3604" customFormat="1" s="3">
      <c r="A3604" s="45" t="n"/>
      <c r="B3604" s="46" t="inlineStr">
        <is>
          <t>33024</t>
        </is>
      </c>
      <c r="C3604" s="46">
        <f>LEFT(Tableau1[[#This Row],[Formacode]],3)</f>
        <v/>
      </c>
      <c r="D3604" s="47" t="n">
        <v>39864</v>
      </c>
      <c r="E3604" s="48">
        <f>"RNCP"&amp;D3604</f>
        <v/>
      </c>
      <c r="F3604" s="48" t="inlineStr">
        <is>
          <t>Manager du développement des ressources humaines</t>
        </is>
      </c>
      <c r="G3604" s="49">
        <f>E3604&amp;" - "&amp;F3604</f>
        <v/>
      </c>
      <c r="H3604" s="36" t="inlineStr">
        <is>
          <t>RAS</t>
        </is>
      </c>
      <c r="I3604" s="45" t="inlineStr"/>
      <c r="J3604" s="45" t="inlineStr">
        <is>
          <t>RNCP39864</t>
        </is>
      </c>
      <c r="K3604" s="45" t="inlineStr">
        <is>
          <t>Manager du développement des ressources humaines</t>
        </is>
      </c>
      <c r="L3604" s="45" t="inlineStr">
        <is>
          <t>28/11/2027</t>
        </is>
      </c>
      <c r="M3604" s="45" t="inlineStr">
        <is>
          <t>33054 (Gestion ressources humaines) ; 32154 (Encadrement management)</t>
        </is>
      </c>
      <c r="N3604" s="50" t="inlineStr">
        <is>
          <t>NON</t>
        </is>
      </c>
      <c r="O3604" s="45" t="inlineStr"/>
    </row>
    <row r="3605" customFormat="1" s="3">
      <c r="A3605" s="45" t="n"/>
      <c r="B3605" s="46" t="inlineStr">
        <is>
          <t>33024</t>
        </is>
      </c>
      <c r="C3605" s="46">
        <f>LEFT(Tableau1[[#This Row],[Formacode]],3)</f>
        <v/>
      </c>
      <c r="D3605" s="47" t="n">
        <v>40594</v>
      </c>
      <c r="E3605" s="48">
        <f>"RNCP"&amp;D3605</f>
        <v/>
      </c>
      <c r="F3605" s="48" t="inlineStr">
        <is>
          <t>Chargé de missions RH</t>
        </is>
      </c>
      <c r="G3605" s="49">
        <f>E3605&amp;" - "&amp;F3605</f>
        <v/>
      </c>
      <c r="H3605" s="36" t="inlineStr">
        <is>
          <t>RAS</t>
        </is>
      </c>
      <c r="I3605" s="45" t="inlineStr"/>
      <c r="J3605" s="45" t="inlineStr">
        <is>
          <t>RNCP40594</t>
        </is>
      </c>
      <c r="K3605" s="45" t="inlineStr">
        <is>
          <t>Chargé de missions RH</t>
        </is>
      </c>
      <c r="L3605" s="45" t="inlineStr">
        <is>
          <t>30/04/2028</t>
        </is>
      </c>
      <c r="M3605" s="45" t="inlineStr">
        <is>
          <t>33054 (Gestion ressources humaines)</t>
        </is>
      </c>
      <c r="N3605" s="50" t="inlineStr">
        <is>
          <t>NON</t>
        </is>
      </c>
      <c r="O3605" s="45" t="inlineStr"/>
    </row>
    <row r="3606" customFormat="1" s="3">
      <c r="A3606" s="45" t="n"/>
      <c r="B3606" s="46" t="inlineStr">
        <is>
          <t>33024</t>
        </is>
      </c>
      <c r="C3606" s="46">
        <f>LEFT(Tableau1[[#This Row],[Formacode]],3)</f>
        <v/>
      </c>
      <c r="D3606" s="47" t="n">
        <v>40863</v>
      </c>
      <c r="E3606" s="48">
        <f>"RNCP"&amp;D3606</f>
        <v/>
      </c>
      <c r="F3606" s="48" t="inlineStr">
        <is>
          <t>Responsable de gestion des ressources humaines</t>
        </is>
      </c>
      <c r="G3606" s="49">
        <f>E3606&amp;" - "&amp;F3606</f>
        <v/>
      </c>
      <c r="H3606" s="36" t="inlineStr">
        <is>
          <t>RAS</t>
        </is>
      </c>
      <c r="I3606" s="45" t="inlineStr"/>
      <c r="J3606" s="45" t="inlineStr">
        <is>
          <t>RNCP40863</t>
        </is>
      </c>
      <c r="K3606" s="45" t="inlineStr">
        <is>
          <t>Responsable de gestion des ressources humaines</t>
        </is>
      </c>
      <c r="L3606" s="45" t="inlineStr">
        <is>
          <t>25/06/2028</t>
        </is>
      </c>
      <c r="M3606" s="45" t="inlineStr">
        <is>
          <t>33054 (Gestion ressources humaines)</t>
        </is>
      </c>
      <c r="N3606" s="50" t="inlineStr">
        <is>
          <t>NON</t>
        </is>
      </c>
      <c r="O3606" s="45" t="inlineStr"/>
    </row>
    <row r="3607" customFormat="1" s="3">
      <c r="A3607" s="45" t="n"/>
      <c r="B3607" s="46" t="inlineStr">
        <is>
          <t>33024</t>
        </is>
      </c>
      <c r="C3607" s="46">
        <f>LEFT(Tableau1[[#This Row],[Formacode]],3)</f>
        <v/>
      </c>
      <c r="D3607" s="47" t="n">
        <v>41128</v>
      </c>
      <c r="E3607" s="48">
        <f>"RNCP"&amp;D3607</f>
        <v/>
      </c>
      <c r="F3607" s="48" t="inlineStr">
        <is>
          <t>Chargé de développement des ressources humaines</t>
        </is>
      </c>
      <c r="G3607" s="49">
        <f>E3607&amp;" - "&amp;F3607</f>
        <v/>
      </c>
      <c r="H3607" s="36" t="inlineStr">
        <is>
          <t>RAS</t>
        </is>
      </c>
      <c r="I3607" s="45" t="inlineStr"/>
      <c r="J3607" s="45" t="inlineStr">
        <is>
          <t>RNCP41128</t>
        </is>
      </c>
      <c r="K3607" s="45" t="inlineStr">
        <is>
          <t>Chargé de développement des ressources humaines</t>
        </is>
      </c>
      <c r="L3607" s="45" t="inlineStr">
        <is>
          <t>18/07/2028</t>
        </is>
      </c>
      <c r="M3607" s="45" t="inlineStr">
        <is>
          <t>33054 (Gestion ressources humaines)</t>
        </is>
      </c>
      <c r="N3607" s="50" t="inlineStr">
        <is>
          <t>NON</t>
        </is>
      </c>
      <c r="O3607" s="45" t="inlineStr"/>
    </row>
    <row r="3608" customFormat="1" s="3">
      <c r="A3608" s="45" t="n"/>
      <c r="B3608" s="46" t="inlineStr">
        <is>
          <t>33024</t>
        </is>
      </c>
      <c r="C3608" s="46">
        <f>LEFT(Tableau1[[#This Row],[Formacode]],3)</f>
        <v/>
      </c>
      <c r="D3608" s="47" t="n">
        <v>41295</v>
      </c>
      <c r="E3608" s="48">
        <f>"RNCP"&amp;D3608</f>
        <v/>
      </c>
      <c r="F3608" s="48" t="inlineStr">
        <is>
          <t>Manager des ressources humaines</t>
        </is>
      </c>
      <c r="G3608" s="49">
        <f>E3608&amp;" - "&amp;F3608</f>
        <v/>
      </c>
      <c r="H3608" s="36" t="inlineStr">
        <is>
          <t>RAS</t>
        </is>
      </c>
      <c r="I3608" s="45" t="inlineStr"/>
      <c r="J3608" s="45" t="inlineStr">
        <is>
          <t>RNCP41295</t>
        </is>
      </c>
      <c r="K3608" s="45" t="inlineStr">
        <is>
          <t>Manager des ressources humaines</t>
        </is>
      </c>
      <c r="L3608" s="45" t="inlineStr">
        <is>
          <t>24/09/2030</t>
        </is>
      </c>
      <c r="M3608" s="45" t="inlineStr">
        <is>
          <t>33054 (Gestion ressources humaines)</t>
        </is>
      </c>
      <c r="N3608" s="50" t="inlineStr">
        <is>
          <t>NON</t>
        </is>
      </c>
      <c r="O3608" s="45" t="inlineStr"/>
    </row>
    <row r="3609" customFormat="1" s="3">
      <c r="A3609" s="45" t="n"/>
      <c r="B3609" s="46" t="inlineStr">
        <is>
          <t>33024</t>
        </is>
      </c>
      <c r="C3609" s="46">
        <f>LEFT(Tableau1[[#This Row],[Formacode]],3)</f>
        <v/>
      </c>
      <c r="D3609" s="47" t="n">
        <v>41803</v>
      </c>
      <c r="E3609" s="48">
        <f>"RNCP"&amp;D3609</f>
        <v/>
      </c>
      <c r="F3609" s="48" t="inlineStr">
        <is>
          <t>Manager des ressources humaines</t>
        </is>
      </c>
      <c r="G3609" s="49">
        <f>E3609&amp;" - "&amp;F3609</f>
        <v/>
      </c>
      <c r="H3609" s="36" t="inlineStr">
        <is>
          <t>RAS</t>
        </is>
      </c>
      <c r="I3609" s="45" t="inlineStr"/>
      <c r="J3609" s="45" t="inlineStr">
        <is>
          <t>RNCP41803</t>
        </is>
      </c>
      <c r="K3609" s="45" t="inlineStr">
        <is>
          <t>Manager des ressources humaines</t>
        </is>
      </c>
      <c r="L3609" s="45" t="inlineStr">
        <is>
          <t>18/12/2030</t>
        </is>
      </c>
      <c r="M3609" s="45" t="inlineStr">
        <is>
          <t>33054 (Gestion ressources humaines)</t>
        </is>
      </c>
      <c r="N3609" s="50" t="inlineStr">
        <is>
          <t>NON</t>
        </is>
      </c>
      <c r="O3609" s="45" t="inlineStr"/>
    </row>
    <row r="3610" customFormat="1" s="3">
      <c r="A3610" s="63" t="n"/>
      <c r="B3610" s="64" t="inlineStr">
        <is>
          <t>33035</t>
        </is>
      </c>
      <c r="C3610" s="64">
        <f>LEFT(Tableau1[[#This Row],[Formacode]],3)</f>
        <v/>
      </c>
      <c r="D3610" s="65" t="n">
        <v>35604</v>
      </c>
      <c r="E3610" s="66">
        <f>"RNCP"&amp;D3610</f>
        <v/>
      </c>
      <c r="F3610" s="66" t="inlineStr">
        <is>
          <t>Manager du développement des ressources humaines</t>
        </is>
      </c>
      <c r="G3610" s="67">
        <f>E3610&amp;" - "&amp;F3610</f>
        <v/>
      </c>
      <c r="H3610" s="38" t="inlineStr">
        <is>
          <t>Expiré / remplacé</t>
        </is>
      </c>
      <c r="I3610" s="63" t="inlineStr">
        <is>
          <t>Fiche inactive — remplacée par RNCP42518 (Manager du développement des ressources humaines (MDRH))</t>
        </is>
      </c>
      <c r="J3610" s="63" t="inlineStr">
        <is>
          <t>RNCP42518</t>
        </is>
      </c>
      <c r="K3610" s="63" t="inlineStr">
        <is>
          <t>Manager du développement des ressources humaines (MDRH)</t>
        </is>
      </c>
      <c r="L3610" s="63" t="inlineStr">
        <is>
          <t>19/05/2026</t>
        </is>
      </c>
      <c r="M3610" s="63" t="inlineStr">
        <is>
          <t>33054 (Gestion ressources humaines)</t>
        </is>
      </c>
      <c r="N3610" s="68" t="inlineStr">
        <is>
          <t>NON</t>
        </is>
      </c>
      <c r="O3610" s="63" t="inlineStr"/>
    </row>
    <row r="3611" customFormat="1" s="3">
      <c r="A3611" s="51" t="n"/>
      <c r="B3611" s="52" t="inlineStr">
        <is>
          <t>33035</t>
        </is>
      </c>
      <c r="C3611" s="52">
        <f>LEFT(Tableau1[[#This Row],[Formacode]],3)</f>
        <v/>
      </c>
      <c r="D3611" s="53" t="n">
        <v>35878</v>
      </c>
      <c r="E3611" s="54">
        <f>"RNCP"&amp;D3611</f>
        <v/>
      </c>
      <c r="F3611" s="54" t="inlineStr">
        <is>
          <t>Chargé des ressources humaines</t>
        </is>
      </c>
      <c r="G3611" s="55">
        <f>E3611&amp;" - "&amp;F3611</f>
        <v/>
      </c>
      <c r="H3611" s="37" t="inlineStr">
        <is>
          <t>À vérifier</t>
        </is>
      </c>
      <c r="I3611" s="51" t="inlineStr">
        <is>
          <t>Successeur déjà publié : RNCP42313 (Chargé des ressources humaines) — préparer la bascule de l'offre CPF | Échéance le 15/09/2026 (dans 59 j)</t>
        </is>
      </c>
      <c r="J3611" s="51" t="inlineStr">
        <is>
          <t>RNCP42313</t>
        </is>
      </c>
      <c r="K3611" s="51" t="inlineStr">
        <is>
          <t>Chargé des ressources humaines</t>
        </is>
      </c>
      <c r="L3611" s="51" t="inlineStr">
        <is>
          <t>15/09/2026</t>
        </is>
      </c>
      <c r="M3611" s="51" t="inlineStr">
        <is>
          <t>33054 (Gestion ressources humaines)</t>
        </is>
      </c>
      <c r="N3611" s="62" t="inlineStr">
        <is>
          <t>NON</t>
        </is>
      </c>
      <c r="O3611" s="51" t="inlineStr"/>
    </row>
    <row r="3612" customFormat="1" s="3">
      <c r="A3612" s="45" t="n"/>
      <c r="B3612" s="46" t="inlineStr">
        <is>
          <t>33035</t>
        </is>
      </c>
      <c r="C3612" s="46">
        <f>LEFT(Tableau1[[#This Row],[Formacode]],3)</f>
        <v/>
      </c>
      <c r="D3612" s="47" t="n">
        <v>36143</v>
      </c>
      <c r="E3612" s="48">
        <f>"RNCP"&amp;D3612</f>
        <v/>
      </c>
      <c r="F3612" s="48" t="inlineStr">
        <is>
          <t>Chargé des ressources humaines</t>
        </is>
      </c>
      <c r="G3612" s="49">
        <f>E3612&amp;" - "&amp;F3612</f>
        <v/>
      </c>
      <c r="H3612" s="36" t="inlineStr">
        <is>
          <t>RAS</t>
        </is>
      </c>
      <c r="I3612" s="45" t="inlineStr"/>
      <c r="J3612" s="45" t="inlineStr">
        <is>
          <t>RNCP36143</t>
        </is>
      </c>
      <c r="K3612" s="45" t="inlineStr">
        <is>
          <t>Chargé des ressources humaines</t>
        </is>
      </c>
      <c r="L3612" s="45" t="inlineStr">
        <is>
          <t>26/01/2027</t>
        </is>
      </c>
      <c r="M3612" s="45" t="inlineStr">
        <is>
          <t>33054 (Gestion ressources humaines)</t>
        </is>
      </c>
      <c r="N3612" s="50" t="inlineStr">
        <is>
          <t>NON</t>
        </is>
      </c>
      <c r="O3612" s="45" t="inlineStr"/>
    </row>
    <row r="3613" customFormat="1" s="3">
      <c r="A3613" s="51" t="n"/>
      <c r="B3613" s="52" t="inlineStr">
        <is>
          <t>33035</t>
        </is>
      </c>
      <c r="C3613" s="52">
        <f>LEFT(Tableau1[[#This Row],[Formacode]],3)</f>
        <v/>
      </c>
      <c r="D3613" s="53" t="n">
        <v>37748</v>
      </c>
      <c r="E3613" s="54">
        <f>"RNCP"&amp;D3613</f>
        <v/>
      </c>
      <c r="F3613" s="54" t="inlineStr">
        <is>
          <t>Manager des ressources humaines</t>
        </is>
      </c>
      <c r="G3613" s="55">
        <f>E3613&amp;" - "&amp;F3613</f>
        <v/>
      </c>
      <c r="H3613" s="37" t="inlineStr">
        <is>
          <t>À vérifier</t>
        </is>
      </c>
      <c r="I3613" s="51" t="inlineStr">
        <is>
          <t>Successeur déjà publié : RNCP41803 (Manager des ressources humaines) — préparer la bascule de l'offre CPF | Échéance le 19/07/2026 (dans 1 j)</t>
        </is>
      </c>
      <c r="J3613" s="51" t="inlineStr">
        <is>
          <t>RNCP41803</t>
        </is>
      </c>
      <c r="K3613" s="51" t="inlineStr">
        <is>
          <t>Manager des ressources humaines</t>
        </is>
      </c>
      <c r="L3613" s="51" t="inlineStr">
        <is>
          <t>19/07/2026</t>
        </is>
      </c>
      <c r="M3613" s="51" t="inlineStr">
        <is>
          <t>33054 (Gestion ressources humaines)</t>
        </is>
      </c>
      <c r="N3613" s="62" t="inlineStr">
        <is>
          <t>NON</t>
        </is>
      </c>
      <c r="O3613" s="51" t="inlineStr"/>
    </row>
    <row r="3614" customFormat="1" s="3">
      <c r="A3614" s="51" t="n"/>
      <c r="B3614" s="52" t="inlineStr">
        <is>
          <t>33035</t>
        </is>
      </c>
      <c r="C3614" s="52">
        <f>LEFT(Tableau1[[#This Row],[Formacode]],3)</f>
        <v/>
      </c>
      <c r="D3614" s="53" t="n">
        <v>37851</v>
      </c>
      <c r="E3614" s="54">
        <f>"RNCP"&amp;D3614</f>
        <v/>
      </c>
      <c r="F3614" s="54" t="inlineStr">
        <is>
          <t>Manager des ressources humaines</t>
        </is>
      </c>
      <c r="G3614" s="55">
        <f>E3614&amp;" - "&amp;F3614</f>
        <v/>
      </c>
      <c r="H3614" s="37" t="inlineStr">
        <is>
          <t>À vérifier</t>
        </is>
      </c>
      <c r="I3614" s="51" t="inlineStr">
        <is>
          <t>Échéance le 19/07/2026 (dans 1 j)</t>
        </is>
      </c>
      <c r="J3614" s="51" t="inlineStr">
        <is>
          <t>RNCP37851</t>
        </is>
      </c>
      <c r="K3614" s="51" t="inlineStr">
        <is>
          <t>Manager des ressources humaines</t>
        </is>
      </c>
      <c r="L3614" s="51" t="inlineStr">
        <is>
          <t>19/07/2026</t>
        </is>
      </c>
      <c r="M3614" s="51" t="inlineStr">
        <is>
          <t>33054 (Gestion ressources humaines)</t>
        </is>
      </c>
      <c r="N3614" s="62" t="inlineStr">
        <is>
          <t>NON</t>
        </is>
      </c>
      <c r="O3614" s="51" t="inlineStr"/>
    </row>
    <row r="3615" customFormat="1" s="3">
      <c r="A3615" s="51" t="n"/>
      <c r="B3615" s="52" t="inlineStr">
        <is>
          <t>33035</t>
        </is>
      </c>
      <c r="C3615" s="52">
        <f>LEFT(Tableau1[[#This Row],[Formacode]],3)</f>
        <v/>
      </c>
      <c r="D3615" s="53" t="n">
        <v>38241</v>
      </c>
      <c r="E3615" s="54">
        <f>"RNCP"&amp;D3615</f>
        <v/>
      </c>
      <c r="F3615" s="54" t="inlineStr">
        <is>
          <t>CQP Chargé de ressources humaines</t>
        </is>
      </c>
      <c r="G3615" s="55">
        <f>E3615&amp;" - "&amp;F3615</f>
        <v/>
      </c>
      <c r="H3615" s="37" t="inlineStr">
        <is>
          <t>À vérifier</t>
        </is>
      </c>
      <c r="I3615" s="51" t="inlineStr">
        <is>
          <t>Échéance le 15/11/2026 (dans 120 j)</t>
        </is>
      </c>
      <c r="J3615" s="51" t="inlineStr">
        <is>
          <t>RNCP38241</t>
        </is>
      </c>
      <c r="K3615" s="51" t="inlineStr">
        <is>
          <t>CQP Chargé de ressources humaines</t>
        </is>
      </c>
      <c r="L3615" s="51" t="inlineStr">
        <is>
          <t>15/11/2026</t>
        </is>
      </c>
      <c r="M3615" s="51" t="inlineStr">
        <is>
          <t>33054 (Gestion ressources humaines)</t>
        </is>
      </c>
      <c r="N3615" s="62" t="inlineStr">
        <is>
          <t>NON</t>
        </is>
      </c>
      <c r="O3615" s="51" t="inlineStr"/>
    </row>
    <row r="3616" customFormat="1" s="3">
      <c r="A3616" s="51" t="n"/>
      <c r="B3616" s="52" t="inlineStr">
        <is>
          <t>33035</t>
        </is>
      </c>
      <c r="C3616" s="52">
        <f>LEFT(Tableau1[[#This Row],[Formacode]],3)</f>
        <v/>
      </c>
      <c r="D3616" s="53" t="n">
        <v>38460</v>
      </c>
      <c r="E3616" s="54">
        <f>"RNCP"&amp;D3616</f>
        <v/>
      </c>
      <c r="F3616" s="54" t="inlineStr">
        <is>
          <t>Manager en ressources humaines</t>
        </is>
      </c>
      <c r="G3616" s="55">
        <f>E3616&amp;" - "&amp;F3616</f>
        <v/>
      </c>
      <c r="H3616" s="37" t="inlineStr">
        <is>
          <t>À vérifier</t>
        </is>
      </c>
      <c r="I3616" s="51" t="inlineStr">
        <is>
          <t>Échéance le 21/12/2026 (dans 156 j)</t>
        </is>
      </c>
      <c r="J3616" s="51" t="inlineStr">
        <is>
          <t>RNCP38460</t>
        </is>
      </c>
      <c r="K3616" s="51" t="inlineStr">
        <is>
          <t>Manager en ressources humaines</t>
        </is>
      </c>
      <c r="L3616" s="51" t="inlineStr">
        <is>
          <t>21/12/2026</t>
        </is>
      </c>
      <c r="M3616" s="51" t="inlineStr">
        <is>
          <t>33054 (Gestion ressources humaines)</t>
        </is>
      </c>
      <c r="N3616" s="62" t="inlineStr">
        <is>
          <t>NON</t>
        </is>
      </c>
      <c r="O3616" s="51" t="inlineStr"/>
    </row>
    <row r="3617" customFormat="1" s="3">
      <c r="A3617" s="51" t="n"/>
      <c r="B3617" s="52" t="inlineStr">
        <is>
          <t>33035</t>
        </is>
      </c>
      <c r="C3617" s="52">
        <f>LEFT(Tableau1[[#This Row],[Formacode]],3)</f>
        <v/>
      </c>
      <c r="D3617" s="53" t="n">
        <v>38489</v>
      </c>
      <c r="E3617" s="54">
        <f>"RNCP"&amp;D3617</f>
        <v/>
      </c>
      <c r="F3617" s="54" t="inlineStr">
        <is>
          <t>Manager des ressources humaines</t>
        </is>
      </c>
      <c r="G3617" s="55">
        <f>E3617&amp;" - "&amp;F3617</f>
        <v/>
      </c>
      <c r="H3617" s="37" t="inlineStr">
        <is>
          <t>À vérifier</t>
        </is>
      </c>
      <c r="I3617" s="51" t="inlineStr">
        <is>
          <t>Échéance le 21/12/2026 (dans 156 j)</t>
        </is>
      </c>
      <c r="J3617" s="51" t="inlineStr">
        <is>
          <t>RNCP38489</t>
        </is>
      </c>
      <c r="K3617" s="51" t="inlineStr">
        <is>
          <t>Manager des ressources humaines</t>
        </is>
      </c>
      <c r="L3617" s="51" t="inlineStr">
        <is>
          <t>21/12/2026</t>
        </is>
      </c>
      <c r="M3617" s="51" t="inlineStr">
        <is>
          <t>33054 (Gestion ressources humaines)</t>
        </is>
      </c>
      <c r="N3617" s="62" t="inlineStr">
        <is>
          <t>NON</t>
        </is>
      </c>
      <c r="O3617" s="51" t="inlineStr"/>
    </row>
    <row r="3618" customFormat="1" s="3">
      <c r="A3618" s="51" t="n"/>
      <c r="B3618" s="52" t="inlineStr">
        <is>
          <t>33035</t>
        </is>
      </c>
      <c r="C3618" s="52">
        <f>LEFT(Tableau1[[#This Row],[Formacode]],3)</f>
        <v/>
      </c>
      <c r="D3618" s="53" t="n">
        <v>38519</v>
      </c>
      <c r="E3618" s="54">
        <f>"RNCP"&amp;D3618</f>
        <v/>
      </c>
      <c r="F3618" s="54" t="inlineStr">
        <is>
          <t>Responsable paie et audit social</t>
        </is>
      </c>
      <c r="G3618" s="55">
        <f>E3618&amp;" - "&amp;F3618</f>
        <v/>
      </c>
      <c r="H3618" s="37" t="inlineStr">
        <is>
          <t>À vérifier</t>
        </is>
      </c>
      <c r="I3618" s="51" t="inlineStr">
        <is>
          <t>Échéance le 21/12/2026 (dans 156 j)</t>
        </is>
      </c>
      <c r="J3618" s="51" t="inlineStr">
        <is>
          <t>RNCP38519</t>
        </is>
      </c>
      <c r="K3618" s="51" t="inlineStr">
        <is>
          <t>Responsable paie et audit social</t>
        </is>
      </c>
      <c r="L3618" s="51" t="inlineStr">
        <is>
          <t>21/12/2026</t>
        </is>
      </c>
      <c r="M3618" s="51" t="inlineStr">
        <is>
          <t>32688 (Traitement paie) ; 33052 (Administration personnel) ; 33035 (Audit ressources humaines)</t>
        </is>
      </c>
      <c r="N3618" s="62" t="inlineStr">
        <is>
          <t>NON</t>
        </is>
      </c>
      <c r="O3618" s="51" t="inlineStr"/>
    </row>
    <row r="3619" customFormat="1" s="3">
      <c r="A3619" s="45" t="n"/>
      <c r="B3619" s="46" t="inlineStr">
        <is>
          <t>33035</t>
        </is>
      </c>
      <c r="C3619" s="46">
        <f>LEFT(Tableau1[[#This Row],[Formacode]],3)</f>
        <v/>
      </c>
      <c r="D3619" s="47" t="n">
        <v>38833</v>
      </c>
      <c r="E3619" s="48">
        <f>"RNCP"&amp;D3619</f>
        <v/>
      </c>
      <c r="F3619" s="48" t="inlineStr">
        <is>
          <t>Manager des ressources humaines</t>
        </is>
      </c>
      <c r="G3619" s="49">
        <f>E3619&amp;" - "&amp;F3619</f>
        <v/>
      </c>
      <c r="H3619" s="36" t="inlineStr">
        <is>
          <t>RAS</t>
        </is>
      </c>
      <c r="I3619" s="45" t="inlineStr"/>
      <c r="J3619" s="45" t="inlineStr">
        <is>
          <t>RNCP38833</t>
        </is>
      </c>
      <c r="K3619" s="45" t="inlineStr">
        <is>
          <t>Manager des ressources humaines</t>
        </is>
      </c>
      <c r="L3619" s="45" t="inlineStr">
        <is>
          <t>27/03/2029</t>
        </is>
      </c>
      <c r="M3619" s="45" t="inlineStr">
        <is>
          <t>33035 (Audit ressources humaines) ; 33036 (Stratégie sociale entreprise) ; 33091 (GEPP)</t>
        </is>
      </c>
      <c r="N3619" s="50" t="inlineStr">
        <is>
          <t>NON</t>
        </is>
      </c>
      <c r="O3619" s="45" t="inlineStr"/>
    </row>
    <row r="3620" customFormat="1" s="3">
      <c r="A3620" s="45" t="n"/>
      <c r="B3620" s="46" t="inlineStr">
        <is>
          <t>33035</t>
        </is>
      </c>
      <c r="C3620" s="46">
        <f>LEFT(Tableau1[[#This Row],[Formacode]],3)</f>
        <v/>
      </c>
      <c r="D3620" s="47" t="n">
        <v>38836</v>
      </c>
      <c r="E3620" s="48">
        <f>"RNCP"&amp;D3620</f>
        <v/>
      </c>
      <c r="F3620" s="48" t="inlineStr">
        <is>
          <t>Responsable du développement des ressources humaines</t>
        </is>
      </c>
      <c r="G3620" s="49">
        <f>E3620&amp;" - "&amp;F3620</f>
        <v/>
      </c>
      <c r="H3620" s="36" t="inlineStr">
        <is>
          <t>RAS</t>
        </is>
      </c>
      <c r="I3620" s="45" t="inlineStr"/>
      <c r="J3620" s="45" t="inlineStr">
        <is>
          <t>RNCP38836</t>
        </is>
      </c>
      <c r="K3620" s="45" t="inlineStr">
        <is>
          <t>Responsable du développement des ressources humaines</t>
        </is>
      </c>
      <c r="L3620" s="45" t="inlineStr">
        <is>
          <t>27/03/2029</t>
        </is>
      </c>
      <c r="M3620" s="45" t="inlineStr">
        <is>
          <t>33054 (Gestion ressources humaines)</t>
        </is>
      </c>
      <c r="N3620" s="50" t="inlineStr">
        <is>
          <t>NON</t>
        </is>
      </c>
      <c r="O3620" s="45" t="inlineStr"/>
    </row>
    <row r="3621" customFormat="1" s="3">
      <c r="A3621" s="45" t="n"/>
      <c r="B3621" s="46" t="inlineStr">
        <is>
          <t>33035</t>
        </is>
      </c>
      <c r="C3621" s="46">
        <f>LEFT(Tableau1[[#This Row],[Formacode]],3)</f>
        <v/>
      </c>
      <c r="D3621" s="47" t="n">
        <v>39364</v>
      </c>
      <c r="E3621" s="48">
        <f>"RNCP"&amp;D3621</f>
        <v/>
      </c>
      <c r="F3621" s="48" t="inlineStr">
        <is>
          <t>Manager en stratégie et développement des ressources humaines</t>
        </is>
      </c>
      <c r="G3621" s="49">
        <f>E3621&amp;" - "&amp;F3621</f>
        <v/>
      </c>
      <c r="H3621" s="36" t="inlineStr">
        <is>
          <t>RAS</t>
        </is>
      </c>
      <c r="I3621" s="45" t="inlineStr"/>
      <c r="J3621" s="45" t="inlineStr">
        <is>
          <t>RNCP39364</t>
        </is>
      </c>
      <c r="K3621" s="45" t="inlineStr">
        <is>
          <t>Manager en stratégie et développement des ressources humaines</t>
        </is>
      </c>
      <c r="L3621" s="45" t="inlineStr">
        <is>
          <t>19/07/2028</t>
        </is>
      </c>
      <c r="M3621" s="45" t="inlineStr">
        <is>
          <t>33054 (Gestion ressources humaines) ; 32025 (Stratégie entreprise)</t>
        </is>
      </c>
      <c r="N3621" s="50" t="inlineStr">
        <is>
          <t>NON</t>
        </is>
      </c>
      <c r="O3621" s="45" t="inlineStr"/>
    </row>
    <row r="3622" customFormat="1" s="3">
      <c r="A3622" s="45" t="n"/>
      <c r="B3622" s="46" t="inlineStr">
        <is>
          <t>33035</t>
        </is>
      </c>
      <c r="C3622" s="46">
        <f>LEFT(Tableau1[[#This Row],[Formacode]],3)</f>
        <v/>
      </c>
      <c r="D3622" s="47" t="n">
        <v>39864</v>
      </c>
      <c r="E3622" s="48">
        <f>"RNCP"&amp;D3622</f>
        <v/>
      </c>
      <c r="F3622" s="48" t="inlineStr">
        <is>
          <t>Manager du développement des ressources humaines</t>
        </is>
      </c>
      <c r="G3622" s="49">
        <f>E3622&amp;" - "&amp;F3622</f>
        <v/>
      </c>
      <c r="H3622" s="36" t="inlineStr">
        <is>
          <t>RAS</t>
        </is>
      </c>
      <c r="I3622" s="45" t="inlineStr"/>
      <c r="J3622" s="45" t="inlineStr">
        <is>
          <t>RNCP39864</t>
        </is>
      </c>
      <c r="K3622" s="45" t="inlineStr">
        <is>
          <t>Manager du développement des ressources humaines</t>
        </is>
      </c>
      <c r="L3622" s="45" t="inlineStr">
        <is>
          <t>28/11/2027</t>
        </is>
      </c>
      <c r="M3622" s="45" t="inlineStr">
        <is>
          <t>33054 (Gestion ressources humaines) ; 32154 (Encadrement management)</t>
        </is>
      </c>
      <c r="N3622" s="50" t="inlineStr">
        <is>
          <t>NON</t>
        </is>
      </c>
      <c r="O3622" s="45" t="inlineStr"/>
    </row>
    <row r="3623" customFormat="1" s="3">
      <c r="A3623" s="45" t="n"/>
      <c r="B3623" s="46" t="inlineStr">
        <is>
          <t>33035</t>
        </is>
      </c>
      <c r="C3623" s="46">
        <f>LEFT(Tableau1[[#This Row],[Formacode]],3)</f>
        <v/>
      </c>
      <c r="D3623" s="47" t="n">
        <v>40594</v>
      </c>
      <c r="E3623" s="48">
        <f>"RNCP"&amp;D3623</f>
        <v/>
      </c>
      <c r="F3623" s="48" t="inlineStr">
        <is>
          <t>Chargé de missions RH</t>
        </is>
      </c>
      <c r="G3623" s="49">
        <f>E3623&amp;" - "&amp;F3623</f>
        <v/>
      </c>
      <c r="H3623" s="36" t="inlineStr">
        <is>
          <t>RAS</t>
        </is>
      </c>
      <c r="I3623" s="45" t="inlineStr"/>
      <c r="J3623" s="45" t="inlineStr">
        <is>
          <t>RNCP40594</t>
        </is>
      </c>
      <c r="K3623" s="45" t="inlineStr">
        <is>
          <t>Chargé de missions RH</t>
        </is>
      </c>
      <c r="L3623" s="45" t="inlineStr">
        <is>
          <t>30/04/2028</t>
        </is>
      </c>
      <c r="M3623" s="45" t="inlineStr">
        <is>
          <t>33054 (Gestion ressources humaines)</t>
        </is>
      </c>
      <c r="N3623" s="50" t="inlineStr">
        <is>
          <t>NON</t>
        </is>
      </c>
      <c r="O3623" s="45" t="inlineStr"/>
    </row>
    <row r="3624" customFormat="1" s="3">
      <c r="A3624" s="45" t="n"/>
      <c r="B3624" s="46" t="inlineStr">
        <is>
          <t>33035</t>
        </is>
      </c>
      <c r="C3624" s="46">
        <f>LEFT(Tableau1[[#This Row],[Formacode]],3)</f>
        <v/>
      </c>
      <c r="D3624" s="47" t="n">
        <v>40863</v>
      </c>
      <c r="E3624" s="48">
        <f>"RNCP"&amp;D3624</f>
        <v/>
      </c>
      <c r="F3624" s="48" t="inlineStr">
        <is>
          <t>Responsable de gestion des ressources humaines</t>
        </is>
      </c>
      <c r="G3624" s="49">
        <f>E3624&amp;" - "&amp;F3624</f>
        <v/>
      </c>
      <c r="H3624" s="36" t="inlineStr">
        <is>
          <t>RAS</t>
        </is>
      </c>
      <c r="I3624" s="45" t="inlineStr"/>
      <c r="J3624" s="45" t="inlineStr">
        <is>
          <t>RNCP40863</t>
        </is>
      </c>
      <c r="K3624" s="45" t="inlineStr">
        <is>
          <t>Responsable de gestion des ressources humaines</t>
        </is>
      </c>
      <c r="L3624" s="45" t="inlineStr">
        <is>
          <t>25/06/2028</t>
        </is>
      </c>
      <c r="M3624" s="45" t="inlineStr">
        <is>
          <t>33054 (Gestion ressources humaines)</t>
        </is>
      </c>
      <c r="N3624" s="50" t="inlineStr">
        <is>
          <t>NON</t>
        </is>
      </c>
      <c r="O3624" s="45" t="inlineStr"/>
    </row>
    <row r="3625" customFormat="1" s="3">
      <c r="A3625" s="45" t="n"/>
      <c r="B3625" s="46" t="inlineStr">
        <is>
          <t>33035</t>
        </is>
      </c>
      <c r="C3625" s="46">
        <f>LEFT(Tableau1[[#This Row],[Formacode]],3)</f>
        <v/>
      </c>
      <c r="D3625" s="47" t="n">
        <v>41128</v>
      </c>
      <c r="E3625" s="48">
        <f>"RNCP"&amp;D3625</f>
        <v/>
      </c>
      <c r="F3625" s="48" t="inlineStr">
        <is>
          <t>Chargé de développement des ressources humaines</t>
        </is>
      </c>
      <c r="G3625" s="49">
        <f>E3625&amp;" - "&amp;F3625</f>
        <v/>
      </c>
      <c r="H3625" s="36" t="inlineStr">
        <is>
          <t>RAS</t>
        </is>
      </c>
      <c r="I3625" s="45" t="inlineStr"/>
      <c r="J3625" s="45" t="inlineStr">
        <is>
          <t>RNCP41128</t>
        </is>
      </c>
      <c r="K3625" s="45" t="inlineStr">
        <is>
          <t>Chargé de développement des ressources humaines</t>
        </is>
      </c>
      <c r="L3625" s="45" t="inlineStr">
        <is>
          <t>18/07/2028</t>
        </is>
      </c>
      <c r="M3625" s="45" t="inlineStr">
        <is>
          <t>33054 (Gestion ressources humaines)</t>
        </is>
      </c>
      <c r="N3625" s="50" t="inlineStr">
        <is>
          <t>NON</t>
        </is>
      </c>
      <c r="O3625" s="45" t="inlineStr"/>
    </row>
    <row r="3626" customFormat="1" s="3">
      <c r="A3626" s="45" t="n"/>
      <c r="B3626" s="46" t="inlineStr">
        <is>
          <t>33035</t>
        </is>
      </c>
      <c r="C3626" s="46">
        <f>LEFT(Tableau1[[#This Row],[Formacode]],3)</f>
        <v/>
      </c>
      <c r="D3626" s="47" t="n">
        <v>41295</v>
      </c>
      <c r="E3626" s="48">
        <f>"RNCP"&amp;D3626</f>
        <v/>
      </c>
      <c r="F3626" s="48" t="inlineStr">
        <is>
          <t>Manager des ressources humaines</t>
        </is>
      </c>
      <c r="G3626" s="49">
        <f>E3626&amp;" - "&amp;F3626</f>
        <v/>
      </c>
      <c r="H3626" s="36" t="inlineStr">
        <is>
          <t>RAS</t>
        </is>
      </c>
      <c r="I3626" s="45" t="inlineStr"/>
      <c r="J3626" s="45" t="inlineStr">
        <is>
          <t>RNCP41295</t>
        </is>
      </c>
      <c r="K3626" s="45" t="inlineStr">
        <is>
          <t>Manager des ressources humaines</t>
        </is>
      </c>
      <c r="L3626" s="45" t="inlineStr">
        <is>
          <t>24/09/2030</t>
        </is>
      </c>
      <c r="M3626" s="45" t="inlineStr">
        <is>
          <t>33054 (Gestion ressources humaines)</t>
        </is>
      </c>
      <c r="N3626" s="50" t="inlineStr">
        <is>
          <t>NON</t>
        </is>
      </c>
      <c r="O3626" s="45" t="inlineStr"/>
    </row>
    <row r="3627" customFormat="1" s="3">
      <c r="A3627" s="45" t="n"/>
      <c r="B3627" s="46" t="inlineStr">
        <is>
          <t>33035</t>
        </is>
      </c>
      <c r="C3627" s="46">
        <f>LEFT(Tableau1[[#This Row],[Formacode]],3)</f>
        <v/>
      </c>
      <c r="D3627" s="47" t="n">
        <v>41803</v>
      </c>
      <c r="E3627" s="48">
        <f>"RNCP"&amp;D3627</f>
        <v/>
      </c>
      <c r="F3627" s="48" t="inlineStr">
        <is>
          <t>Manager des ressources humaines</t>
        </is>
      </c>
      <c r="G3627" s="49">
        <f>E3627&amp;" - "&amp;F3627</f>
        <v/>
      </c>
      <c r="H3627" s="36" t="inlineStr">
        <is>
          <t>RAS</t>
        </is>
      </c>
      <c r="I3627" s="45" t="inlineStr"/>
      <c r="J3627" s="45" t="inlineStr">
        <is>
          <t>RNCP41803</t>
        </is>
      </c>
      <c r="K3627" s="45" t="inlineStr">
        <is>
          <t>Manager des ressources humaines</t>
        </is>
      </c>
      <c r="L3627" s="45" t="inlineStr">
        <is>
          <t>18/12/2030</t>
        </is>
      </c>
      <c r="M3627" s="45" t="inlineStr">
        <is>
          <t>33054 (Gestion ressources humaines)</t>
        </is>
      </c>
      <c r="N3627" s="50" t="inlineStr">
        <is>
          <t>NON</t>
        </is>
      </c>
      <c r="O3627" s="45" t="inlineStr"/>
    </row>
    <row r="3628" customFormat="1" s="3">
      <c r="A3628" s="63" t="n"/>
      <c r="B3628" s="64" t="inlineStr">
        <is>
          <t>33036</t>
        </is>
      </c>
      <c r="C3628" s="64">
        <f>LEFT(Tableau1[[#This Row],[Formacode]],3)</f>
        <v/>
      </c>
      <c r="D3628" s="65" t="n">
        <v>35604</v>
      </c>
      <c r="E3628" s="66">
        <f>"RNCP"&amp;D3628</f>
        <v/>
      </c>
      <c r="F3628" s="66" t="inlineStr">
        <is>
          <t>Manager du développement des ressources humaines</t>
        </is>
      </c>
      <c r="G3628" s="67">
        <f>E3628&amp;" - "&amp;F3628</f>
        <v/>
      </c>
      <c r="H3628" s="38" t="inlineStr">
        <is>
          <t>Expiré / remplacé</t>
        </is>
      </c>
      <c r="I3628" s="63" t="inlineStr">
        <is>
          <t>Fiche inactive — remplacée par RNCP42518 (Manager du développement des ressources humaines (MDRH))</t>
        </is>
      </c>
      <c r="J3628" s="63" t="inlineStr">
        <is>
          <t>RNCP42518</t>
        </is>
      </c>
      <c r="K3628" s="63" t="inlineStr">
        <is>
          <t>Manager du développement des ressources humaines (MDRH)</t>
        </is>
      </c>
      <c r="L3628" s="63" t="inlineStr">
        <is>
          <t>19/05/2026</t>
        </is>
      </c>
      <c r="M3628" s="63" t="inlineStr">
        <is>
          <t>33054 (Gestion ressources humaines)</t>
        </is>
      </c>
      <c r="N3628" s="68" t="inlineStr">
        <is>
          <t>NON</t>
        </is>
      </c>
      <c r="O3628" s="63" t="inlineStr"/>
    </row>
    <row r="3629" customFormat="1" s="3">
      <c r="A3629" s="51" t="n"/>
      <c r="B3629" s="52" t="inlineStr">
        <is>
          <t>33036</t>
        </is>
      </c>
      <c r="C3629" s="52">
        <f>LEFT(Tableau1[[#This Row],[Formacode]],3)</f>
        <v/>
      </c>
      <c r="D3629" s="53" t="n">
        <v>35878</v>
      </c>
      <c r="E3629" s="54">
        <f>"RNCP"&amp;D3629</f>
        <v/>
      </c>
      <c r="F3629" s="54" t="inlineStr">
        <is>
          <t>Chargé des ressources humaines</t>
        </is>
      </c>
      <c r="G3629" s="55">
        <f>E3629&amp;" - "&amp;F3629</f>
        <v/>
      </c>
      <c r="H3629" s="37" t="inlineStr">
        <is>
          <t>À vérifier</t>
        </is>
      </c>
      <c r="I3629" s="51" t="inlineStr">
        <is>
          <t>Successeur déjà publié : RNCP42313 (Chargé des ressources humaines) — préparer la bascule de l'offre CPF | Échéance le 15/09/2026 (dans 59 j)</t>
        </is>
      </c>
      <c r="J3629" s="51" t="inlineStr">
        <is>
          <t>RNCP42313</t>
        </is>
      </c>
      <c r="K3629" s="51" t="inlineStr">
        <is>
          <t>Chargé des ressources humaines</t>
        </is>
      </c>
      <c r="L3629" s="51" t="inlineStr">
        <is>
          <t>15/09/2026</t>
        </is>
      </c>
      <c r="M3629" s="51" t="inlineStr">
        <is>
          <t>33054 (Gestion ressources humaines)</t>
        </is>
      </c>
      <c r="N3629" s="62" t="inlineStr">
        <is>
          <t>NON</t>
        </is>
      </c>
      <c r="O3629" s="51" t="inlineStr"/>
    </row>
    <row r="3630" customFormat="1" s="3">
      <c r="A3630" s="45" t="n"/>
      <c r="B3630" s="46" t="inlineStr">
        <is>
          <t>33036</t>
        </is>
      </c>
      <c r="C3630" s="46">
        <f>LEFT(Tableau1[[#This Row],[Formacode]],3)</f>
        <v/>
      </c>
      <c r="D3630" s="47" t="n">
        <v>36143</v>
      </c>
      <c r="E3630" s="48">
        <f>"RNCP"&amp;D3630</f>
        <v/>
      </c>
      <c r="F3630" s="48" t="inlineStr">
        <is>
          <t>Chargé des ressources humaines</t>
        </is>
      </c>
      <c r="G3630" s="49">
        <f>E3630&amp;" - "&amp;F3630</f>
        <v/>
      </c>
      <c r="H3630" s="36" t="inlineStr">
        <is>
          <t>RAS</t>
        </is>
      </c>
      <c r="I3630" s="45" t="inlineStr"/>
      <c r="J3630" s="45" t="inlineStr">
        <is>
          <t>RNCP36143</t>
        </is>
      </c>
      <c r="K3630" s="45" t="inlineStr">
        <is>
          <t>Chargé des ressources humaines</t>
        </is>
      </c>
      <c r="L3630" s="45" t="inlineStr">
        <is>
          <t>26/01/2027</t>
        </is>
      </c>
      <c r="M3630" s="45" t="inlineStr">
        <is>
          <t>33054 (Gestion ressources humaines)</t>
        </is>
      </c>
      <c r="N3630" s="50" t="inlineStr">
        <is>
          <t>NON</t>
        </is>
      </c>
      <c r="O3630" s="45" t="inlineStr"/>
    </row>
    <row r="3631" customFormat="1" s="3">
      <c r="A3631" s="51" t="n"/>
      <c r="B3631" s="52" t="inlineStr">
        <is>
          <t>33036</t>
        </is>
      </c>
      <c r="C3631" s="52">
        <f>LEFT(Tableau1[[#This Row],[Formacode]],3)</f>
        <v/>
      </c>
      <c r="D3631" s="53" t="n">
        <v>37851</v>
      </c>
      <c r="E3631" s="54">
        <f>"RNCP"&amp;D3631</f>
        <v/>
      </c>
      <c r="F3631" s="54" t="inlineStr">
        <is>
          <t>Manager des ressources humaines</t>
        </is>
      </c>
      <c r="G3631" s="55">
        <f>E3631&amp;" - "&amp;F3631</f>
        <v/>
      </c>
      <c r="H3631" s="37" t="inlineStr">
        <is>
          <t>À vérifier</t>
        </is>
      </c>
      <c r="I3631" s="51" t="inlineStr">
        <is>
          <t>Échéance le 19/07/2026 (dans 1 j)</t>
        </is>
      </c>
      <c r="J3631" s="51" t="inlineStr">
        <is>
          <t>RNCP37851</t>
        </is>
      </c>
      <c r="K3631" s="51" t="inlineStr">
        <is>
          <t>Manager des ressources humaines</t>
        </is>
      </c>
      <c r="L3631" s="51" t="inlineStr">
        <is>
          <t>19/07/2026</t>
        </is>
      </c>
      <c r="M3631" s="51" t="inlineStr">
        <is>
          <t>33054 (Gestion ressources humaines)</t>
        </is>
      </c>
      <c r="N3631" s="62" t="inlineStr">
        <is>
          <t>NON</t>
        </is>
      </c>
      <c r="O3631" s="51" t="inlineStr"/>
    </row>
    <row r="3632" customFormat="1" s="3">
      <c r="A3632" s="51" t="n"/>
      <c r="B3632" s="52" t="inlineStr">
        <is>
          <t>33036</t>
        </is>
      </c>
      <c r="C3632" s="52">
        <f>LEFT(Tableau1[[#This Row],[Formacode]],3)</f>
        <v/>
      </c>
      <c r="D3632" s="53" t="n">
        <v>38241</v>
      </c>
      <c r="E3632" s="54">
        <f>"RNCP"&amp;D3632</f>
        <v/>
      </c>
      <c r="F3632" s="54" t="inlineStr">
        <is>
          <t>CQP Chargé de ressources humaines</t>
        </is>
      </c>
      <c r="G3632" s="55">
        <f>E3632&amp;" - "&amp;F3632</f>
        <v/>
      </c>
      <c r="H3632" s="37" t="inlineStr">
        <is>
          <t>À vérifier</t>
        </is>
      </c>
      <c r="I3632" s="51" t="inlineStr">
        <is>
          <t>Échéance le 15/11/2026 (dans 120 j)</t>
        </is>
      </c>
      <c r="J3632" s="51" t="inlineStr">
        <is>
          <t>RNCP38241</t>
        </is>
      </c>
      <c r="K3632" s="51" t="inlineStr">
        <is>
          <t>CQP Chargé de ressources humaines</t>
        </is>
      </c>
      <c r="L3632" s="51" t="inlineStr">
        <is>
          <t>15/11/2026</t>
        </is>
      </c>
      <c r="M3632" s="51" t="inlineStr">
        <is>
          <t>33054 (Gestion ressources humaines)</t>
        </is>
      </c>
      <c r="N3632" s="62" t="inlineStr">
        <is>
          <t>NON</t>
        </is>
      </c>
      <c r="O3632" s="51" t="inlineStr"/>
    </row>
    <row r="3633" customFormat="1" s="3">
      <c r="A3633" s="51" t="n"/>
      <c r="B3633" s="52" t="inlineStr">
        <is>
          <t>33036</t>
        </is>
      </c>
      <c r="C3633" s="52">
        <f>LEFT(Tableau1[[#This Row],[Formacode]],3)</f>
        <v/>
      </c>
      <c r="D3633" s="53" t="n">
        <v>38438</v>
      </c>
      <c r="E3633" s="54">
        <f>"RNCP"&amp;D3633</f>
        <v/>
      </c>
      <c r="F3633" s="54" t="inlineStr">
        <is>
          <t>Chargé de développement des ressources humaines</t>
        </is>
      </c>
      <c r="G3633" s="55">
        <f>E3633&amp;" - "&amp;F3633</f>
        <v/>
      </c>
      <c r="H3633" s="37" t="inlineStr">
        <is>
          <t>À vérifier</t>
        </is>
      </c>
      <c r="I3633" s="51" t="inlineStr">
        <is>
          <t>Échéance le 21/12/2026 (dans 156 j)</t>
        </is>
      </c>
      <c r="J3633" s="51" t="inlineStr">
        <is>
          <t>RNCP38438</t>
        </is>
      </c>
      <c r="K3633" s="51" t="inlineStr">
        <is>
          <t>Chargé de développement des ressources humaines</t>
        </is>
      </c>
      <c r="L3633" s="51" t="inlineStr">
        <is>
          <t>21/12/2026</t>
        </is>
      </c>
      <c r="M3633" s="51" t="inlineStr">
        <is>
          <t>33052 (Administration personnel) ; 33036 (Stratégie sociale entreprise)</t>
        </is>
      </c>
      <c r="N3633" s="62" t="inlineStr">
        <is>
          <t>NON</t>
        </is>
      </c>
      <c r="O3633" s="51" t="inlineStr"/>
    </row>
    <row r="3634" customFormat="1" s="3">
      <c r="A3634" s="51" t="n"/>
      <c r="B3634" s="52" t="inlineStr">
        <is>
          <t>33036</t>
        </is>
      </c>
      <c r="C3634" s="52">
        <f>LEFT(Tableau1[[#This Row],[Formacode]],3)</f>
        <v/>
      </c>
      <c r="D3634" s="53" t="n">
        <v>38460</v>
      </c>
      <c r="E3634" s="54">
        <f>"RNCP"&amp;D3634</f>
        <v/>
      </c>
      <c r="F3634" s="54" t="inlineStr">
        <is>
          <t>Manager en ressources humaines</t>
        </is>
      </c>
      <c r="G3634" s="55">
        <f>E3634&amp;" - "&amp;F3634</f>
        <v/>
      </c>
      <c r="H3634" s="37" t="inlineStr">
        <is>
          <t>À vérifier</t>
        </is>
      </c>
      <c r="I3634" s="51" t="inlineStr">
        <is>
          <t>Échéance le 21/12/2026 (dans 156 j)</t>
        </is>
      </c>
      <c r="J3634" s="51" t="inlineStr">
        <is>
          <t>RNCP38460</t>
        </is>
      </c>
      <c r="K3634" s="51" t="inlineStr">
        <is>
          <t>Manager en ressources humaines</t>
        </is>
      </c>
      <c r="L3634" s="51" t="inlineStr">
        <is>
          <t>21/12/2026</t>
        </is>
      </c>
      <c r="M3634" s="51" t="inlineStr">
        <is>
          <t>33054 (Gestion ressources humaines)</t>
        </is>
      </c>
      <c r="N3634" s="62" t="inlineStr">
        <is>
          <t>NON</t>
        </is>
      </c>
      <c r="O3634" s="51" t="inlineStr"/>
    </row>
    <row r="3635" customFormat="1" s="3">
      <c r="A3635" s="51" t="n"/>
      <c r="B3635" s="52" t="inlineStr">
        <is>
          <t>33036</t>
        </is>
      </c>
      <c r="C3635" s="52">
        <f>LEFT(Tableau1[[#This Row],[Formacode]],3)</f>
        <v/>
      </c>
      <c r="D3635" s="53" t="n">
        <v>38489</v>
      </c>
      <c r="E3635" s="54">
        <f>"RNCP"&amp;D3635</f>
        <v/>
      </c>
      <c r="F3635" s="54" t="inlineStr">
        <is>
          <t>Manager des ressources humaines</t>
        </is>
      </c>
      <c r="G3635" s="55">
        <f>E3635&amp;" - "&amp;F3635</f>
        <v/>
      </c>
      <c r="H3635" s="37" t="inlineStr">
        <is>
          <t>À vérifier</t>
        </is>
      </c>
      <c r="I3635" s="51" t="inlineStr">
        <is>
          <t>Échéance le 21/12/2026 (dans 156 j)</t>
        </is>
      </c>
      <c r="J3635" s="51" t="inlineStr">
        <is>
          <t>RNCP38489</t>
        </is>
      </c>
      <c r="K3635" s="51" t="inlineStr">
        <is>
          <t>Manager des ressources humaines</t>
        </is>
      </c>
      <c r="L3635" s="51" t="inlineStr">
        <is>
          <t>21/12/2026</t>
        </is>
      </c>
      <c r="M3635" s="51" t="inlineStr">
        <is>
          <t>33054 (Gestion ressources humaines)</t>
        </is>
      </c>
      <c r="N3635" s="62" t="inlineStr">
        <is>
          <t>NON</t>
        </is>
      </c>
      <c r="O3635" s="51" t="inlineStr"/>
    </row>
    <row r="3636" customFormat="1" s="3">
      <c r="A3636" s="45" t="n"/>
      <c r="B3636" s="46" t="inlineStr">
        <is>
          <t>33036</t>
        </is>
      </c>
      <c r="C3636" s="46">
        <f>LEFT(Tableau1[[#This Row],[Formacode]],3)</f>
        <v/>
      </c>
      <c r="D3636" s="47" t="n">
        <v>38833</v>
      </c>
      <c r="E3636" s="48">
        <f>"RNCP"&amp;D3636</f>
        <v/>
      </c>
      <c r="F3636" s="48" t="inlineStr">
        <is>
          <t>Manager des ressources humaines</t>
        </is>
      </c>
      <c r="G3636" s="49">
        <f>E3636&amp;" - "&amp;F3636</f>
        <v/>
      </c>
      <c r="H3636" s="36" t="inlineStr">
        <is>
          <t>RAS</t>
        </is>
      </c>
      <c r="I3636" s="45" t="inlineStr"/>
      <c r="J3636" s="45" t="inlineStr">
        <is>
          <t>RNCP38833</t>
        </is>
      </c>
      <c r="K3636" s="45" t="inlineStr">
        <is>
          <t>Manager des ressources humaines</t>
        </is>
      </c>
      <c r="L3636" s="45" t="inlineStr">
        <is>
          <t>27/03/2029</t>
        </is>
      </c>
      <c r="M3636" s="45" t="inlineStr">
        <is>
          <t>33035 (Audit ressources humaines) ; 33036 (Stratégie sociale entreprise) ; 33091 (GEPP)</t>
        </is>
      </c>
      <c r="N3636" s="50" t="inlineStr">
        <is>
          <t>NON</t>
        </is>
      </c>
      <c r="O3636" s="45" t="inlineStr"/>
    </row>
    <row r="3637" customFormat="1" s="3">
      <c r="A3637" s="45" t="n"/>
      <c r="B3637" s="46" t="inlineStr">
        <is>
          <t>33036</t>
        </is>
      </c>
      <c r="C3637" s="46">
        <f>LEFT(Tableau1[[#This Row],[Formacode]],3)</f>
        <v/>
      </c>
      <c r="D3637" s="47" t="n">
        <v>38836</v>
      </c>
      <c r="E3637" s="48">
        <f>"RNCP"&amp;D3637</f>
        <v/>
      </c>
      <c r="F3637" s="48" t="inlineStr">
        <is>
          <t>Responsable du développement des ressources humaines</t>
        </is>
      </c>
      <c r="G3637" s="49">
        <f>E3637&amp;" - "&amp;F3637</f>
        <v/>
      </c>
      <c r="H3637" s="36" t="inlineStr">
        <is>
          <t>RAS</t>
        </is>
      </c>
      <c r="I3637" s="45" t="inlineStr"/>
      <c r="J3637" s="45" t="inlineStr">
        <is>
          <t>RNCP38836</t>
        </is>
      </c>
      <c r="K3637" s="45" t="inlineStr">
        <is>
          <t>Responsable du développement des ressources humaines</t>
        </is>
      </c>
      <c r="L3637" s="45" t="inlineStr">
        <is>
          <t>27/03/2029</t>
        </is>
      </c>
      <c r="M3637" s="45" t="inlineStr">
        <is>
          <t>33054 (Gestion ressources humaines)</t>
        </is>
      </c>
      <c r="N3637" s="50" t="inlineStr">
        <is>
          <t>NON</t>
        </is>
      </c>
      <c r="O3637" s="45" t="inlineStr"/>
    </row>
    <row r="3638" customFormat="1" s="3">
      <c r="A3638" s="45" t="n"/>
      <c r="B3638" s="46" t="inlineStr">
        <is>
          <t>33036</t>
        </is>
      </c>
      <c r="C3638" s="46">
        <f>LEFT(Tableau1[[#This Row],[Formacode]],3)</f>
        <v/>
      </c>
      <c r="D3638" s="47" t="n">
        <v>39364</v>
      </c>
      <c r="E3638" s="48">
        <f>"RNCP"&amp;D3638</f>
        <v/>
      </c>
      <c r="F3638" s="48" t="inlineStr">
        <is>
          <t>Manager en stratégie et développement des ressources humaines</t>
        </is>
      </c>
      <c r="G3638" s="49">
        <f>E3638&amp;" - "&amp;F3638</f>
        <v/>
      </c>
      <c r="H3638" s="36" t="inlineStr">
        <is>
          <t>RAS</t>
        </is>
      </c>
      <c r="I3638" s="45" t="inlineStr"/>
      <c r="J3638" s="45" t="inlineStr">
        <is>
          <t>RNCP39364</t>
        </is>
      </c>
      <c r="K3638" s="45" t="inlineStr">
        <is>
          <t>Manager en stratégie et développement des ressources humaines</t>
        </is>
      </c>
      <c r="L3638" s="45" t="inlineStr">
        <is>
          <t>19/07/2028</t>
        </is>
      </c>
      <c r="M3638" s="45" t="inlineStr">
        <is>
          <t>33054 (Gestion ressources humaines) ; 32025 (Stratégie entreprise)</t>
        </is>
      </c>
      <c r="N3638" s="50" t="inlineStr">
        <is>
          <t>NON</t>
        </is>
      </c>
      <c r="O3638" s="45" t="inlineStr"/>
    </row>
    <row r="3639" customFormat="1" s="3">
      <c r="A3639" s="45" t="n"/>
      <c r="B3639" s="46" t="inlineStr">
        <is>
          <t>33036</t>
        </is>
      </c>
      <c r="C3639" s="46">
        <f>LEFT(Tableau1[[#This Row],[Formacode]],3)</f>
        <v/>
      </c>
      <c r="D3639" s="47" t="n">
        <v>39864</v>
      </c>
      <c r="E3639" s="48">
        <f>"RNCP"&amp;D3639</f>
        <v/>
      </c>
      <c r="F3639" s="48" t="inlineStr">
        <is>
          <t>Manager du développement des ressources humaines</t>
        </is>
      </c>
      <c r="G3639" s="49">
        <f>E3639&amp;" - "&amp;F3639</f>
        <v/>
      </c>
      <c r="H3639" s="36" t="inlineStr">
        <is>
          <t>RAS</t>
        </is>
      </c>
      <c r="I3639" s="45" t="inlineStr"/>
      <c r="J3639" s="45" t="inlineStr">
        <is>
          <t>RNCP39864</t>
        </is>
      </c>
      <c r="K3639" s="45" t="inlineStr">
        <is>
          <t>Manager du développement des ressources humaines</t>
        </is>
      </c>
      <c r="L3639" s="45" t="inlineStr">
        <is>
          <t>28/11/2027</t>
        </is>
      </c>
      <c r="M3639" s="45" t="inlineStr">
        <is>
          <t>33054 (Gestion ressources humaines) ; 32154 (Encadrement management)</t>
        </is>
      </c>
      <c r="N3639" s="50" t="inlineStr">
        <is>
          <t>NON</t>
        </is>
      </c>
      <c r="O3639" s="45" t="inlineStr"/>
    </row>
    <row r="3640" customFormat="1" s="3">
      <c r="A3640" s="45" t="n"/>
      <c r="B3640" s="46" t="inlineStr">
        <is>
          <t>33036</t>
        </is>
      </c>
      <c r="C3640" s="46">
        <f>LEFT(Tableau1[[#This Row],[Formacode]],3)</f>
        <v/>
      </c>
      <c r="D3640" s="47" t="n">
        <v>40175</v>
      </c>
      <c r="E3640" s="48">
        <f>"RNCP"&amp;D3640</f>
        <v/>
      </c>
      <c r="F3640" s="48" t="inlineStr">
        <is>
          <t>Analyste en stratégie internationale</t>
        </is>
      </c>
      <c r="G3640" s="49">
        <f>E3640&amp;" - "&amp;F3640</f>
        <v/>
      </c>
      <c r="H3640" s="36" t="inlineStr">
        <is>
          <t>RAS</t>
        </is>
      </c>
      <c r="I3640" s="45" t="inlineStr"/>
      <c r="J3640" s="45" t="inlineStr">
        <is>
          <t>RNCP40175</t>
        </is>
      </c>
      <c r="K3640" s="45" t="inlineStr">
        <is>
          <t>Analyste en stratégie internationale</t>
        </is>
      </c>
      <c r="L3640" s="45" t="inlineStr">
        <is>
          <t>31/01/2030</t>
        </is>
      </c>
      <c r="M3640" s="45" t="inlineStr">
        <is>
          <t>32005 (Stratégie internationale) ; 33036 (Stratégie sociale entreprise) ; 32136 (Conduite projet international)</t>
        </is>
      </c>
      <c r="N3640" s="50" t="inlineStr">
        <is>
          <t>NON</t>
        </is>
      </c>
      <c r="O3640" s="45" t="inlineStr"/>
    </row>
    <row r="3641" customFormat="1" s="3">
      <c r="A3641" s="45" t="n"/>
      <c r="B3641" s="46" t="inlineStr">
        <is>
          <t>33036</t>
        </is>
      </c>
      <c r="C3641" s="46">
        <f>LEFT(Tableau1[[#This Row],[Formacode]],3)</f>
        <v/>
      </c>
      <c r="D3641" s="47" t="n">
        <v>40594</v>
      </c>
      <c r="E3641" s="48">
        <f>"RNCP"&amp;D3641</f>
        <v/>
      </c>
      <c r="F3641" s="48" t="inlineStr">
        <is>
          <t>Chargé de missions RH</t>
        </is>
      </c>
      <c r="G3641" s="49">
        <f>E3641&amp;" - "&amp;F3641</f>
        <v/>
      </c>
      <c r="H3641" s="36" t="inlineStr">
        <is>
          <t>RAS</t>
        </is>
      </c>
      <c r="I3641" s="45" t="inlineStr"/>
      <c r="J3641" s="45" t="inlineStr">
        <is>
          <t>RNCP40594</t>
        </is>
      </c>
      <c r="K3641" s="45" t="inlineStr">
        <is>
          <t>Chargé de missions RH</t>
        </is>
      </c>
      <c r="L3641" s="45" t="inlineStr">
        <is>
          <t>30/04/2028</t>
        </is>
      </c>
      <c r="M3641" s="45" t="inlineStr">
        <is>
          <t>33054 (Gestion ressources humaines)</t>
        </is>
      </c>
      <c r="N3641" s="50" t="inlineStr">
        <is>
          <t>NON</t>
        </is>
      </c>
      <c r="O3641" s="45" t="inlineStr"/>
    </row>
    <row r="3642" customFormat="1" s="3">
      <c r="A3642" s="45" t="n"/>
      <c r="B3642" s="46" t="inlineStr">
        <is>
          <t>33036</t>
        </is>
      </c>
      <c r="C3642" s="46">
        <f>LEFT(Tableau1[[#This Row],[Formacode]],3)</f>
        <v/>
      </c>
      <c r="D3642" s="47" t="n">
        <v>40863</v>
      </c>
      <c r="E3642" s="48">
        <f>"RNCP"&amp;D3642</f>
        <v/>
      </c>
      <c r="F3642" s="48" t="inlineStr">
        <is>
          <t>Responsable de gestion des ressources humaines</t>
        </is>
      </c>
      <c r="G3642" s="49">
        <f>E3642&amp;" - "&amp;F3642</f>
        <v/>
      </c>
      <c r="H3642" s="36" t="inlineStr">
        <is>
          <t>RAS</t>
        </is>
      </c>
      <c r="I3642" s="45" t="inlineStr"/>
      <c r="J3642" s="45" t="inlineStr">
        <is>
          <t>RNCP40863</t>
        </is>
      </c>
      <c r="K3642" s="45" t="inlineStr">
        <is>
          <t>Responsable de gestion des ressources humaines</t>
        </is>
      </c>
      <c r="L3642" s="45" t="inlineStr">
        <is>
          <t>25/06/2028</t>
        </is>
      </c>
      <c r="M3642" s="45" t="inlineStr">
        <is>
          <t>33054 (Gestion ressources humaines)</t>
        </is>
      </c>
      <c r="N3642" s="50" t="inlineStr">
        <is>
          <t>NON</t>
        </is>
      </c>
      <c r="O3642" s="45" t="inlineStr"/>
    </row>
    <row r="3643" customFormat="1" s="3">
      <c r="A3643" s="45" t="n"/>
      <c r="B3643" s="46" t="inlineStr">
        <is>
          <t>33036</t>
        </is>
      </c>
      <c r="C3643" s="46">
        <f>LEFT(Tableau1[[#This Row],[Formacode]],3)</f>
        <v/>
      </c>
      <c r="D3643" s="47" t="n">
        <v>41128</v>
      </c>
      <c r="E3643" s="48">
        <f>"RNCP"&amp;D3643</f>
        <v/>
      </c>
      <c r="F3643" s="48" t="inlineStr">
        <is>
          <t>Chargé de développement des ressources humaines</t>
        </is>
      </c>
      <c r="G3643" s="49">
        <f>E3643&amp;" - "&amp;F3643</f>
        <v/>
      </c>
      <c r="H3643" s="36" t="inlineStr">
        <is>
          <t>RAS</t>
        </is>
      </c>
      <c r="I3643" s="45" t="inlineStr"/>
      <c r="J3643" s="45" t="inlineStr">
        <is>
          <t>RNCP41128</t>
        </is>
      </c>
      <c r="K3643" s="45" t="inlineStr">
        <is>
          <t>Chargé de développement des ressources humaines</t>
        </is>
      </c>
      <c r="L3643" s="45" t="inlineStr">
        <is>
          <t>18/07/2028</t>
        </is>
      </c>
      <c r="M3643" s="45" t="inlineStr">
        <is>
          <t>33054 (Gestion ressources humaines)</t>
        </is>
      </c>
      <c r="N3643" s="50" t="inlineStr">
        <is>
          <t>NON</t>
        </is>
      </c>
      <c r="O3643" s="45" t="inlineStr"/>
    </row>
    <row r="3644" customFormat="1" s="3">
      <c r="A3644" s="45" t="n"/>
      <c r="B3644" s="46" t="inlineStr">
        <is>
          <t>33036</t>
        </is>
      </c>
      <c r="C3644" s="46">
        <f>LEFT(Tableau1[[#This Row],[Formacode]],3)</f>
        <v/>
      </c>
      <c r="D3644" s="47" t="n">
        <v>41295</v>
      </c>
      <c r="E3644" s="48">
        <f>"RNCP"&amp;D3644</f>
        <v/>
      </c>
      <c r="F3644" s="48" t="inlineStr">
        <is>
          <t>Manager des ressources humaines</t>
        </is>
      </c>
      <c r="G3644" s="49">
        <f>E3644&amp;" - "&amp;F3644</f>
        <v/>
      </c>
      <c r="H3644" s="36" t="inlineStr">
        <is>
          <t>RAS</t>
        </is>
      </c>
      <c r="I3644" s="45" t="inlineStr"/>
      <c r="J3644" s="45" t="inlineStr">
        <is>
          <t>RNCP41295</t>
        </is>
      </c>
      <c r="K3644" s="45" t="inlineStr">
        <is>
          <t>Manager des ressources humaines</t>
        </is>
      </c>
      <c r="L3644" s="45" t="inlineStr">
        <is>
          <t>24/09/2030</t>
        </is>
      </c>
      <c r="M3644" s="45" t="inlineStr">
        <is>
          <t>33054 (Gestion ressources humaines)</t>
        </is>
      </c>
      <c r="N3644" s="50" t="inlineStr">
        <is>
          <t>NON</t>
        </is>
      </c>
      <c r="O3644" s="45" t="inlineStr"/>
    </row>
    <row r="3645" customFormat="1" s="3">
      <c r="A3645" s="45" t="n"/>
      <c r="B3645" s="46" t="inlineStr">
        <is>
          <t>33036</t>
        </is>
      </c>
      <c r="C3645" s="46">
        <f>LEFT(Tableau1[[#This Row],[Formacode]],3)</f>
        <v/>
      </c>
      <c r="D3645" s="47" t="n">
        <v>41803</v>
      </c>
      <c r="E3645" s="48">
        <f>"RNCP"&amp;D3645</f>
        <v/>
      </c>
      <c r="F3645" s="48" t="inlineStr">
        <is>
          <t>Manager des ressources humaines</t>
        </is>
      </c>
      <c r="G3645" s="49">
        <f>E3645&amp;" - "&amp;F3645</f>
        <v/>
      </c>
      <c r="H3645" s="36" t="inlineStr">
        <is>
          <t>RAS</t>
        </is>
      </c>
      <c r="I3645" s="45" t="inlineStr"/>
      <c r="J3645" s="45" t="inlineStr">
        <is>
          <t>RNCP41803</t>
        </is>
      </c>
      <c r="K3645" s="45" t="inlineStr">
        <is>
          <t>Manager des ressources humaines</t>
        </is>
      </c>
      <c r="L3645" s="45" t="inlineStr">
        <is>
          <t>18/12/2030</t>
        </is>
      </c>
      <c r="M3645" s="45" t="inlineStr">
        <is>
          <t>33054 (Gestion ressources humaines)</t>
        </is>
      </c>
      <c r="N3645" s="50" t="inlineStr">
        <is>
          <t>NON</t>
        </is>
      </c>
      <c r="O3645" s="45" t="inlineStr"/>
    </row>
    <row r="3646" customFormat="1" s="3">
      <c r="A3646" s="63" t="n"/>
      <c r="B3646" s="64" t="inlineStr">
        <is>
          <t>33047</t>
        </is>
      </c>
      <c r="C3646" s="64">
        <f>LEFT(Tableau1[[#This Row],[Formacode]],3)</f>
        <v/>
      </c>
      <c r="D3646" s="65" t="n">
        <v>35604</v>
      </c>
      <c r="E3646" s="66">
        <f>"RNCP"&amp;D3646</f>
        <v/>
      </c>
      <c r="F3646" s="66" t="inlineStr">
        <is>
          <t>Manager du développement des ressources humaines</t>
        </is>
      </c>
      <c r="G3646" s="67">
        <f>E3646&amp;" - "&amp;F3646</f>
        <v/>
      </c>
      <c r="H3646" s="38" t="inlineStr">
        <is>
          <t>Expiré / remplacé</t>
        </is>
      </c>
      <c r="I3646" s="63" t="inlineStr">
        <is>
          <t>Fiche inactive — remplacée par RNCP42518 (Manager du développement des ressources humaines (MDRH))</t>
        </is>
      </c>
      <c r="J3646" s="63" t="inlineStr">
        <is>
          <t>RNCP42518</t>
        </is>
      </c>
      <c r="K3646" s="63" t="inlineStr">
        <is>
          <t>Manager du développement des ressources humaines (MDRH)</t>
        </is>
      </c>
      <c r="L3646" s="63" t="inlineStr">
        <is>
          <t>19/05/2026</t>
        </is>
      </c>
      <c r="M3646" s="63" t="inlineStr">
        <is>
          <t>33054 (Gestion ressources humaines)</t>
        </is>
      </c>
      <c r="N3646" s="68" t="inlineStr">
        <is>
          <t>NON</t>
        </is>
      </c>
      <c r="O3646" s="63" t="inlineStr"/>
    </row>
    <row r="3647" customFormat="1" s="3">
      <c r="A3647" s="51" t="n"/>
      <c r="B3647" s="52" t="inlineStr">
        <is>
          <t>33047</t>
        </is>
      </c>
      <c r="C3647" s="52">
        <f>LEFT(Tableau1[[#This Row],[Formacode]],3)</f>
        <v/>
      </c>
      <c r="D3647" s="53" t="n">
        <v>35878</v>
      </c>
      <c r="E3647" s="54">
        <f>"RNCP"&amp;D3647</f>
        <v/>
      </c>
      <c r="F3647" s="54" t="inlineStr">
        <is>
          <t>Chargé des ressources humaines</t>
        </is>
      </c>
      <c r="G3647" s="55">
        <f>E3647&amp;" - "&amp;F3647</f>
        <v/>
      </c>
      <c r="H3647" s="37" t="inlineStr">
        <is>
          <t>À vérifier</t>
        </is>
      </c>
      <c r="I3647" s="51" t="inlineStr">
        <is>
          <t>Successeur déjà publié : RNCP42313 (Chargé des ressources humaines) — préparer la bascule de l'offre CPF | Échéance le 15/09/2026 (dans 59 j)</t>
        </is>
      </c>
      <c r="J3647" s="51" t="inlineStr">
        <is>
          <t>RNCP42313</t>
        </is>
      </c>
      <c r="K3647" s="51" t="inlineStr">
        <is>
          <t>Chargé des ressources humaines</t>
        </is>
      </c>
      <c r="L3647" s="51" t="inlineStr">
        <is>
          <t>15/09/2026</t>
        </is>
      </c>
      <c r="M3647" s="51" t="inlineStr">
        <is>
          <t>33054 (Gestion ressources humaines)</t>
        </is>
      </c>
      <c r="N3647" s="62" t="inlineStr">
        <is>
          <t>NON</t>
        </is>
      </c>
      <c r="O3647" s="51" t="inlineStr"/>
    </row>
    <row r="3648" customFormat="1" s="3">
      <c r="A3648" s="45" t="n"/>
      <c r="B3648" s="46" t="inlineStr">
        <is>
          <t>33047</t>
        </is>
      </c>
      <c r="C3648" s="46">
        <f>LEFT(Tableau1[[#This Row],[Formacode]],3)</f>
        <v/>
      </c>
      <c r="D3648" s="47" t="n">
        <v>36143</v>
      </c>
      <c r="E3648" s="48">
        <f>"RNCP"&amp;D3648</f>
        <v/>
      </c>
      <c r="F3648" s="48" t="inlineStr">
        <is>
          <t>Chargé des ressources humaines</t>
        </is>
      </c>
      <c r="G3648" s="49">
        <f>E3648&amp;" - "&amp;F3648</f>
        <v/>
      </c>
      <c r="H3648" s="36" t="inlineStr">
        <is>
          <t>RAS</t>
        </is>
      </c>
      <c r="I3648" s="45" t="inlineStr"/>
      <c r="J3648" s="45" t="inlineStr">
        <is>
          <t>RNCP36143</t>
        </is>
      </c>
      <c r="K3648" s="45" t="inlineStr">
        <is>
          <t>Chargé des ressources humaines</t>
        </is>
      </c>
      <c r="L3648" s="45" t="inlineStr">
        <is>
          <t>26/01/2027</t>
        </is>
      </c>
      <c r="M3648" s="45" t="inlineStr">
        <is>
          <t>33054 (Gestion ressources humaines)</t>
        </is>
      </c>
      <c r="N3648" s="50" t="inlineStr">
        <is>
          <t>NON</t>
        </is>
      </c>
      <c r="O3648" s="45" t="inlineStr"/>
    </row>
    <row r="3649" customFormat="1" s="3">
      <c r="A3649" s="51" t="n"/>
      <c r="B3649" s="52" t="inlineStr">
        <is>
          <t>33047</t>
        </is>
      </c>
      <c r="C3649" s="52">
        <f>LEFT(Tableau1[[#This Row],[Formacode]],3)</f>
        <v/>
      </c>
      <c r="D3649" s="53" t="n">
        <v>37748</v>
      </c>
      <c r="E3649" s="54">
        <f>"RNCP"&amp;D3649</f>
        <v/>
      </c>
      <c r="F3649" s="54" t="inlineStr">
        <is>
          <t>Manager des ressources humaines</t>
        </is>
      </c>
      <c r="G3649" s="55">
        <f>E3649&amp;" - "&amp;F3649</f>
        <v/>
      </c>
      <c r="H3649" s="37" t="inlineStr">
        <is>
          <t>À vérifier</t>
        </is>
      </c>
      <c r="I3649" s="51" t="inlineStr">
        <is>
          <t>Successeur déjà publié : RNCP41803 (Manager des ressources humaines) — préparer la bascule de l'offre CPF | Échéance le 19/07/2026 (dans 1 j)</t>
        </is>
      </c>
      <c r="J3649" s="51" t="inlineStr">
        <is>
          <t>RNCP41803</t>
        </is>
      </c>
      <c r="K3649" s="51" t="inlineStr">
        <is>
          <t>Manager des ressources humaines</t>
        </is>
      </c>
      <c r="L3649" s="51" t="inlineStr">
        <is>
          <t>19/07/2026</t>
        </is>
      </c>
      <c r="M3649" s="51" t="inlineStr">
        <is>
          <t>33054 (Gestion ressources humaines)</t>
        </is>
      </c>
      <c r="N3649" s="62" t="inlineStr">
        <is>
          <t>NON</t>
        </is>
      </c>
      <c r="O3649" s="51" t="inlineStr"/>
    </row>
    <row r="3650" customFormat="1" s="3">
      <c r="A3650" s="51" t="n"/>
      <c r="B3650" s="52" t="inlineStr">
        <is>
          <t>33047</t>
        </is>
      </c>
      <c r="C3650" s="52">
        <f>LEFT(Tableau1[[#This Row],[Formacode]],3)</f>
        <v/>
      </c>
      <c r="D3650" s="53" t="n">
        <v>37851</v>
      </c>
      <c r="E3650" s="54">
        <f>"RNCP"&amp;D3650</f>
        <v/>
      </c>
      <c r="F3650" s="54" t="inlineStr">
        <is>
          <t>Manager des ressources humaines</t>
        </is>
      </c>
      <c r="G3650" s="55">
        <f>E3650&amp;" - "&amp;F3650</f>
        <v/>
      </c>
      <c r="H3650" s="37" t="inlineStr">
        <is>
          <t>À vérifier</t>
        </is>
      </c>
      <c r="I3650" s="51" t="inlineStr">
        <is>
          <t>Échéance le 19/07/2026 (dans 1 j)</t>
        </is>
      </c>
      <c r="J3650" s="51" t="inlineStr">
        <is>
          <t>RNCP37851</t>
        </is>
      </c>
      <c r="K3650" s="51" t="inlineStr">
        <is>
          <t>Manager des ressources humaines</t>
        </is>
      </c>
      <c r="L3650" s="51" t="inlineStr">
        <is>
          <t>19/07/2026</t>
        </is>
      </c>
      <c r="M3650" s="51" t="inlineStr">
        <is>
          <t>33054 (Gestion ressources humaines)</t>
        </is>
      </c>
      <c r="N3650" s="62" t="inlineStr">
        <is>
          <t>NON</t>
        </is>
      </c>
      <c r="O3650" s="51" t="inlineStr"/>
    </row>
    <row r="3651" customFormat="1" s="3">
      <c r="A3651" s="51" t="n"/>
      <c r="B3651" s="52" t="inlineStr">
        <is>
          <t>33047</t>
        </is>
      </c>
      <c r="C3651" s="52">
        <f>LEFT(Tableau1[[#This Row],[Formacode]],3)</f>
        <v/>
      </c>
      <c r="D3651" s="53" t="n">
        <v>38241</v>
      </c>
      <c r="E3651" s="54">
        <f>"RNCP"&amp;D3651</f>
        <v/>
      </c>
      <c r="F3651" s="54" t="inlineStr">
        <is>
          <t>CQP Chargé de ressources humaines</t>
        </is>
      </c>
      <c r="G3651" s="55">
        <f>E3651&amp;" - "&amp;F3651</f>
        <v/>
      </c>
      <c r="H3651" s="37" t="inlineStr">
        <is>
          <t>À vérifier</t>
        </is>
      </c>
      <c r="I3651" s="51" t="inlineStr">
        <is>
          <t>Échéance le 15/11/2026 (dans 120 j)</t>
        </is>
      </c>
      <c r="J3651" s="51" t="inlineStr">
        <is>
          <t>RNCP38241</t>
        </is>
      </c>
      <c r="K3651" s="51" t="inlineStr">
        <is>
          <t>CQP Chargé de ressources humaines</t>
        </is>
      </c>
      <c r="L3651" s="51" t="inlineStr">
        <is>
          <t>15/11/2026</t>
        </is>
      </c>
      <c r="M3651" s="51" t="inlineStr">
        <is>
          <t>33054 (Gestion ressources humaines)</t>
        </is>
      </c>
      <c r="N3651" s="62" t="inlineStr">
        <is>
          <t>NON</t>
        </is>
      </c>
      <c r="O3651" s="51" t="inlineStr"/>
    </row>
    <row r="3652" customFormat="1" s="3">
      <c r="A3652" s="51" t="n"/>
      <c r="B3652" s="52" t="inlineStr">
        <is>
          <t>33047</t>
        </is>
      </c>
      <c r="C3652" s="52">
        <f>LEFT(Tableau1[[#This Row],[Formacode]],3)</f>
        <v/>
      </c>
      <c r="D3652" s="53" t="n">
        <v>38460</v>
      </c>
      <c r="E3652" s="54">
        <f>"RNCP"&amp;D3652</f>
        <v/>
      </c>
      <c r="F3652" s="54" t="inlineStr">
        <is>
          <t>Manager en ressources humaines</t>
        </is>
      </c>
      <c r="G3652" s="55">
        <f>E3652&amp;" - "&amp;F3652</f>
        <v/>
      </c>
      <c r="H3652" s="37" t="inlineStr">
        <is>
          <t>À vérifier</t>
        </is>
      </c>
      <c r="I3652" s="51" t="inlineStr">
        <is>
          <t>Échéance le 21/12/2026 (dans 156 j)</t>
        </is>
      </c>
      <c r="J3652" s="51" t="inlineStr">
        <is>
          <t>RNCP38460</t>
        </is>
      </c>
      <c r="K3652" s="51" t="inlineStr">
        <is>
          <t>Manager en ressources humaines</t>
        </is>
      </c>
      <c r="L3652" s="51" t="inlineStr">
        <is>
          <t>21/12/2026</t>
        </is>
      </c>
      <c r="M3652" s="51" t="inlineStr">
        <is>
          <t>33054 (Gestion ressources humaines)</t>
        </is>
      </c>
      <c r="N3652" s="62" t="inlineStr">
        <is>
          <t>NON</t>
        </is>
      </c>
      <c r="O3652" s="51" t="inlineStr"/>
    </row>
    <row r="3653" customFormat="1" s="3">
      <c r="A3653" s="51" t="n"/>
      <c r="B3653" s="52" t="inlineStr">
        <is>
          <t>33047</t>
        </is>
      </c>
      <c r="C3653" s="52">
        <f>LEFT(Tableau1[[#This Row],[Formacode]],3)</f>
        <v/>
      </c>
      <c r="D3653" s="53" t="n">
        <v>38489</v>
      </c>
      <c r="E3653" s="54">
        <f>"RNCP"&amp;D3653</f>
        <v/>
      </c>
      <c r="F3653" s="54" t="inlineStr">
        <is>
          <t>Manager des ressources humaines</t>
        </is>
      </c>
      <c r="G3653" s="55">
        <f>E3653&amp;" - "&amp;F3653</f>
        <v/>
      </c>
      <c r="H3653" s="37" t="inlineStr">
        <is>
          <t>À vérifier</t>
        </is>
      </c>
      <c r="I3653" s="51" t="inlineStr">
        <is>
          <t>Échéance le 21/12/2026 (dans 156 j)</t>
        </is>
      </c>
      <c r="J3653" s="51" t="inlineStr">
        <is>
          <t>RNCP38489</t>
        </is>
      </c>
      <c r="K3653" s="51" t="inlineStr">
        <is>
          <t>Manager des ressources humaines</t>
        </is>
      </c>
      <c r="L3653" s="51" t="inlineStr">
        <is>
          <t>21/12/2026</t>
        </is>
      </c>
      <c r="M3653" s="51" t="inlineStr">
        <is>
          <t>33054 (Gestion ressources humaines)</t>
        </is>
      </c>
      <c r="N3653" s="62" t="inlineStr">
        <is>
          <t>NON</t>
        </is>
      </c>
      <c r="O3653" s="51" t="inlineStr"/>
    </row>
    <row r="3654" customFormat="1" s="3">
      <c r="A3654" s="45" t="n"/>
      <c r="B3654" s="46" t="inlineStr">
        <is>
          <t>33047</t>
        </is>
      </c>
      <c r="C3654" s="46">
        <f>LEFT(Tableau1[[#This Row],[Formacode]],3)</f>
        <v/>
      </c>
      <c r="D3654" s="47" t="n">
        <v>38824</v>
      </c>
      <c r="E3654" s="48">
        <f>"RNCP"&amp;D3654</f>
        <v/>
      </c>
      <c r="F3654" s="48" t="inlineStr">
        <is>
          <t>Manager en ressources humaines</t>
        </is>
      </c>
      <c r="G3654" s="49">
        <f>E3654&amp;" - "&amp;F3654</f>
        <v/>
      </c>
      <c r="H3654" s="36" t="inlineStr">
        <is>
          <t>RAS</t>
        </is>
      </c>
      <c r="I3654" s="45" t="inlineStr"/>
      <c r="J3654" s="45" t="inlineStr">
        <is>
          <t>RNCP38824</t>
        </is>
      </c>
      <c r="K3654" s="45" t="inlineStr">
        <is>
          <t>Manager en ressources humaines</t>
        </is>
      </c>
      <c r="L3654" s="45" t="inlineStr">
        <is>
          <t>27/03/2028</t>
        </is>
      </c>
      <c r="M3654" s="45" t="inlineStr">
        <is>
          <t>44508 (Plan développement compétences) ; 33060 (Recrutement) ; 33047 (Relations sociales) ; 32015 (Conduite changement) ; 33091 (GEPP)</t>
        </is>
      </c>
      <c r="N3654" s="50" t="inlineStr">
        <is>
          <t>NON</t>
        </is>
      </c>
      <c r="O3654" s="45" t="inlineStr"/>
    </row>
    <row r="3655" customFormat="1" s="3">
      <c r="A3655" s="45" t="n"/>
      <c r="B3655" s="46" t="inlineStr">
        <is>
          <t>33047</t>
        </is>
      </c>
      <c r="C3655" s="46">
        <f>LEFT(Tableau1[[#This Row],[Formacode]],3)</f>
        <v/>
      </c>
      <c r="D3655" s="47" t="n">
        <v>38836</v>
      </c>
      <c r="E3655" s="48">
        <f>"RNCP"&amp;D3655</f>
        <v/>
      </c>
      <c r="F3655" s="48" t="inlineStr">
        <is>
          <t>Responsable du développement des ressources humaines</t>
        </is>
      </c>
      <c r="G3655" s="49">
        <f>E3655&amp;" - "&amp;F3655</f>
        <v/>
      </c>
      <c r="H3655" s="36" t="inlineStr">
        <is>
          <t>RAS</t>
        </is>
      </c>
      <c r="I3655" s="45" t="inlineStr"/>
      <c r="J3655" s="45" t="inlineStr">
        <is>
          <t>RNCP38836</t>
        </is>
      </c>
      <c r="K3655" s="45" t="inlineStr">
        <is>
          <t>Responsable du développement des ressources humaines</t>
        </is>
      </c>
      <c r="L3655" s="45" t="inlineStr">
        <is>
          <t>27/03/2029</t>
        </is>
      </c>
      <c r="M3655" s="45" t="inlineStr">
        <is>
          <t>33054 (Gestion ressources humaines)</t>
        </is>
      </c>
      <c r="N3655" s="50" t="inlineStr">
        <is>
          <t>NON</t>
        </is>
      </c>
      <c r="O3655" s="45" t="inlineStr"/>
    </row>
    <row r="3656" customFormat="1" s="3">
      <c r="A3656" s="45" t="n"/>
      <c r="B3656" s="46" t="inlineStr">
        <is>
          <t>33047</t>
        </is>
      </c>
      <c r="C3656" s="46">
        <f>LEFT(Tableau1[[#This Row],[Formacode]],3)</f>
        <v/>
      </c>
      <c r="D3656" s="47" t="n">
        <v>39364</v>
      </c>
      <c r="E3656" s="48">
        <f>"RNCP"&amp;D3656</f>
        <v/>
      </c>
      <c r="F3656" s="48" t="inlineStr">
        <is>
          <t>Manager en stratégie et développement des ressources humaines</t>
        </is>
      </c>
      <c r="G3656" s="49">
        <f>E3656&amp;" - "&amp;F3656</f>
        <v/>
      </c>
      <c r="H3656" s="36" t="inlineStr">
        <is>
          <t>RAS</t>
        </is>
      </c>
      <c r="I3656" s="45" t="inlineStr"/>
      <c r="J3656" s="45" t="inlineStr">
        <is>
          <t>RNCP39364</t>
        </is>
      </c>
      <c r="K3656" s="45" t="inlineStr">
        <is>
          <t>Manager en stratégie et développement des ressources humaines</t>
        </is>
      </c>
      <c r="L3656" s="45" t="inlineStr">
        <is>
          <t>19/07/2028</t>
        </is>
      </c>
      <c r="M3656" s="45" t="inlineStr">
        <is>
          <t>33054 (Gestion ressources humaines) ; 32025 (Stratégie entreprise)</t>
        </is>
      </c>
      <c r="N3656" s="50" t="inlineStr">
        <is>
          <t>NON</t>
        </is>
      </c>
      <c r="O3656" s="45" t="inlineStr"/>
    </row>
    <row r="3657" customFormat="1" s="3">
      <c r="A3657" s="45" t="n"/>
      <c r="B3657" s="46" t="inlineStr">
        <is>
          <t>33047</t>
        </is>
      </c>
      <c r="C3657" s="46">
        <f>LEFT(Tableau1[[#This Row],[Formacode]],3)</f>
        <v/>
      </c>
      <c r="D3657" s="47" t="n">
        <v>39864</v>
      </c>
      <c r="E3657" s="48">
        <f>"RNCP"&amp;D3657</f>
        <v/>
      </c>
      <c r="F3657" s="48" t="inlineStr">
        <is>
          <t>Manager du développement des ressources humaines</t>
        </is>
      </c>
      <c r="G3657" s="49">
        <f>E3657&amp;" - "&amp;F3657</f>
        <v/>
      </c>
      <c r="H3657" s="36" t="inlineStr">
        <is>
          <t>RAS</t>
        </is>
      </c>
      <c r="I3657" s="45" t="inlineStr"/>
      <c r="J3657" s="45" t="inlineStr">
        <is>
          <t>RNCP39864</t>
        </is>
      </c>
      <c r="K3657" s="45" t="inlineStr">
        <is>
          <t>Manager du développement des ressources humaines</t>
        </is>
      </c>
      <c r="L3657" s="45" t="inlineStr">
        <is>
          <t>28/11/2027</t>
        </is>
      </c>
      <c r="M3657" s="45" t="inlineStr">
        <is>
          <t>33054 (Gestion ressources humaines) ; 32154 (Encadrement management)</t>
        </is>
      </c>
      <c r="N3657" s="50" t="inlineStr">
        <is>
          <t>NON</t>
        </is>
      </c>
      <c r="O3657" s="45" t="inlineStr"/>
    </row>
    <row r="3658" customFormat="1" s="3">
      <c r="A3658" s="45" t="n"/>
      <c r="B3658" s="46" t="inlineStr">
        <is>
          <t>33047</t>
        </is>
      </c>
      <c r="C3658" s="46">
        <f>LEFT(Tableau1[[#This Row],[Formacode]],3)</f>
        <v/>
      </c>
      <c r="D3658" s="47" t="n">
        <v>40244</v>
      </c>
      <c r="E3658" s="48">
        <f>"RNCP"&amp;D3658</f>
        <v/>
      </c>
      <c r="F3658" s="48" t="inlineStr">
        <is>
          <t>Manager des ressources humaines</t>
        </is>
      </c>
      <c r="G3658" s="49">
        <f>E3658&amp;" - "&amp;F3658</f>
        <v/>
      </c>
      <c r="H3658" s="36" t="inlineStr">
        <is>
          <t>RAS</t>
        </is>
      </c>
      <c r="I3658" s="45" t="inlineStr"/>
      <c r="J3658" s="45" t="inlineStr">
        <is>
          <t>RNCP40244</t>
        </is>
      </c>
      <c r="K3658" s="45" t="inlineStr">
        <is>
          <t>Manager des ressources humaines</t>
        </is>
      </c>
      <c r="L3658" s="45" t="inlineStr">
        <is>
          <t>28/02/2030</t>
        </is>
      </c>
      <c r="M3658" s="45" t="inlineStr">
        <is>
          <t>33052 (Administration personnel) ; 33091 (GEPP) ; 33047 (Relations sociales)</t>
        </is>
      </c>
      <c r="N3658" s="50" t="inlineStr">
        <is>
          <t>NON</t>
        </is>
      </c>
      <c r="O3658" s="45" t="inlineStr"/>
    </row>
    <row r="3659" customFormat="1" s="3">
      <c r="A3659" s="45" t="n"/>
      <c r="B3659" s="46" t="inlineStr">
        <is>
          <t>33047</t>
        </is>
      </c>
      <c r="C3659" s="46">
        <f>LEFT(Tableau1[[#This Row],[Formacode]],3)</f>
        <v/>
      </c>
      <c r="D3659" s="47" t="n">
        <v>40594</v>
      </c>
      <c r="E3659" s="48">
        <f>"RNCP"&amp;D3659</f>
        <v/>
      </c>
      <c r="F3659" s="48" t="inlineStr">
        <is>
          <t>Chargé de missions RH</t>
        </is>
      </c>
      <c r="G3659" s="49">
        <f>E3659&amp;" - "&amp;F3659</f>
        <v/>
      </c>
      <c r="H3659" s="36" t="inlineStr">
        <is>
          <t>RAS</t>
        </is>
      </c>
      <c r="I3659" s="45" t="inlineStr"/>
      <c r="J3659" s="45" t="inlineStr">
        <is>
          <t>RNCP40594</t>
        </is>
      </c>
      <c r="K3659" s="45" t="inlineStr">
        <is>
          <t>Chargé de missions RH</t>
        </is>
      </c>
      <c r="L3659" s="45" t="inlineStr">
        <is>
          <t>30/04/2028</t>
        </is>
      </c>
      <c r="M3659" s="45" t="inlineStr">
        <is>
          <t>33054 (Gestion ressources humaines)</t>
        </is>
      </c>
      <c r="N3659" s="50" t="inlineStr">
        <is>
          <t>NON</t>
        </is>
      </c>
      <c r="O3659" s="45" t="inlineStr"/>
    </row>
    <row r="3660" customFormat="1" s="3">
      <c r="A3660" s="45" t="n"/>
      <c r="B3660" s="46" t="inlineStr">
        <is>
          <t>33047</t>
        </is>
      </c>
      <c r="C3660" s="46">
        <f>LEFT(Tableau1[[#This Row],[Formacode]],3)</f>
        <v/>
      </c>
      <c r="D3660" s="47" t="n">
        <v>40863</v>
      </c>
      <c r="E3660" s="48">
        <f>"RNCP"&amp;D3660</f>
        <v/>
      </c>
      <c r="F3660" s="48" t="inlineStr">
        <is>
          <t>Responsable de gestion des ressources humaines</t>
        </is>
      </c>
      <c r="G3660" s="49">
        <f>E3660&amp;" - "&amp;F3660</f>
        <v/>
      </c>
      <c r="H3660" s="36" t="inlineStr">
        <is>
          <t>RAS</t>
        </is>
      </c>
      <c r="I3660" s="45" t="inlineStr"/>
      <c r="J3660" s="45" t="inlineStr">
        <is>
          <t>RNCP40863</t>
        </is>
      </c>
      <c r="K3660" s="45" t="inlineStr">
        <is>
          <t>Responsable de gestion des ressources humaines</t>
        </is>
      </c>
      <c r="L3660" s="45" t="inlineStr">
        <is>
          <t>25/06/2028</t>
        </is>
      </c>
      <c r="M3660" s="45" t="inlineStr">
        <is>
          <t>33054 (Gestion ressources humaines)</t>
        </is>
      </c>
      <c r="N3660" s="50" t="inlineStr">
        <is>
          <t>NON</t>
        </is>
      </c>
      <c r="O3660" s="45" t="inlineStr"/>
    </row>
    <row r="3661" customFormat="1" s="3">
      <c r="A3661" s="45" t="n"/>
      <c r="B3661" s="46" t="inlineStr">
        <is>
          <t>33047</t>
        </is>
      </c>
      <c r="C3661" s="46">
        <f>LEFT(Tableau1[[#This Row],[Formacode]],3)</f>
        <v/>
      </c>
      <c r="D3661" s="47" t="n">
        <v>41128</v>
      </c>
      <c r="E3661" s="48">
        <f>"RNCP"&amp;D3661</f>
        <v/>
      </c>
      <c r="F3661" s="48" t="inlineStr">
        <is>
          <t>Chargé de développement des ressources humaines</t>
        </is>
      </c>
      <c r="G3661" s="49">
        <f>E3661&amp;" - "&amp;F3661</f>
        <v/>
      </c>
      <c r="H3661" s="36" t="inlineStr">
        <is>
          <t>RAS</t>
        </is>
      </c>
      <c r="I3661" s="45" t="inlineStr"/>
      <c r="J3661" s="45" t="inlineStr">
        <is>
          <t>RNCP41128</t>
        </is>
      </c>
      <c r="K3661" s="45" t="inlineStr">
        <is>
          <t>Chargé de développement des ressources humaines</t>
        </is>
      </c>
      <c r="L3661" s="45" t="inlineStr">
        <is>
          <t>18/07/2028</t>
        </is>
      </c>
      <c r="M3661" s="45" t="inlineStr">
        <is>
          <t>33054 (Gestion ressources humaines)</t>
        </is>
      </c>
      <c r="N3661" s="50" t="inlineStr">
        <is>
          <t>NON</t>
        </is>
      </c>
      <c r="O3661" s="45" t="inlineStr"/>
    </row>
    <row r="3662" customFormat="1" s="3">
      <c r="A3662" s="45" t="n"/>
      <c r="B3662" s="46" t="inlineStr">
        <is>
          <t>33047</t>
        </is>
      </c>
      <c r="C3662" s="46">
        <f>LEFT(Tableau1[[#This Row],[Formacode]],3)</f>
        <v/>
      </c>
      <c r="D3662" s="47" t="n">
        <v>41295</v>
      </c>
      <c r="E3662" s="48">
        <f>"RNCP"&amp;D3662</f>
        <v/>
      </c>
      <c r="F3662" s="48" t="inlineStr">
        <is>
          <t>Manager des ressources humaines</t>
        </is>
      </c>
      <c r="G3662" s="49">
        <f>E3662&amp;" - "&amp;F3662</f>
        <v/>
      </c>
      <c r="H3662" s="36" t="inlineStr">
        <is>
          <t>RAS</t>
        </is>
      </c>
      <c r="I3662" s="45" t="inlineStr"/>
      <c r="J3662" s="45" t="inlineStr">
        <is>
          <t>RNCP41295</t>
        </is>
      </c>
      <c r="K3662" s="45" t="inlineStr">
        <is>
          <t>Manager des ressources humaines</t>
        </is>
      </c>
      <c r="L3662" s="45" t="inlineStr">
        <is>
          <t>24/09/2030</t>
        </is>
      </c>
      <c r="M3662" s="45" t="inlineStr">
        <is>
          <t>33054 (Gestion ressources humaines)</t>
        </is>
      </c>
      <c r="N3662" s="50" t="inlineStr">
        <is>
          <t>NON</t>
        </is>
      </c>
      <c r="O3662" s="45" t="inlineStr"/>
    </row>
    <row r="3663" customFormat="1" s="3">
      <c r="A3663" s="45" t="n"/>
      <c r="B3663" s="46" t="inlineStr">
        <is>
          <t>33047</t>
        </is>
      </c>
      <c r="C3663" s="46">
        <f>LEFT(Tableau1[[#This Row],[Formacode]],3)</f>
        <v/>
      </c>
      <c r="D3663" s="47" t="n">
        <v>41797</v>
      </c>
      <c r="E3663" s="48">
        <f>"RNCP"&amp;D3663</f>
        <v/>
      </c>
      <c r="F3663" s="48" t="inlineStr">
        <is>
          <t>Chargé des ressources humaines</t>
        </is>
      </c>
      <c r="G3663" s="49">
        <f>E3663&amp;" - "&amp;F3663</f>
        <v/>
      </c>
      <c r="H3663" s="36" t="inlineStr">
        <is>
          <t>RAS</t>
        </is>
      </c>
      <c r="I3663" s="45" t="inlineStr"/>
      <c r="J3663" s="45" t="inlineStr">
        <is>
          <t>RNCP41797</t>
        </is>
      </c>
      <c r="K3663" s="45" t="inlineStr">
        <is>
          <t>Chargé des ressources humaines</t>
        </is>
      </c>
      <c r="L3663" s="45" t="inlineStr">
        <is>
          <t>18/12/2028</t>
        </is>
      </c>
      <c r="M3663" s="45" t="inlineStr">
        <is>
          <t>33052 (Administration personnel) ; 15091 (Gestion carrière personnelle) ; 33047 (Relations sociales) ; 33091 (GEPP)</t>
        </is>
      </c>
      <c r="N3663" s="50" t="inlineStr">
        <is>
          <t>NON</t>
        </is>
      </c>
      <c r="O3663" s="45" t="inlineStr"/>
    </row>
    <row r="3664" customFormat="1" s="3">
      <c r="A3664" s="45" t="n"/>
      <c r="B3664" s="46" t="inlineStr">
        <is>
          <t>33047</t>
        </is>
      </c>
      <c r="C3664" s="46">
        <f>LEFT(Tableau1[[#This Row],[Formacode]],3)</f>
        <v/>
      </c>
      <c r="D3664" s="47" t="n">
        <v>41803</v>
      </c>
      <c r="E3664" s="48">
        <f>"RNCP"&amp;D3664</f>
        <v/>
      </c>
      <c r="F3664" s="48" t="inlineStr">
        <is>
          <t>Manager des ressources humaines</t>
        </is>
      </c>
      <c r="G3664" s="49">
        <f>E3664&amp;" - "&amp;F3664</f>
        <v/>
      </c>
      <c r="H3664" s="36" t="inlineStr">
        <is>
          <t>RAS</t>
        </is>
      </c>
      <c r="I3664" s="45" t="inlineStr"/>
      <c r="J3664" s="45" t="inlineStr">
        <is>
          <t>RNCP41803</t>
        </is>
      </c>
      <c r="K3664" s="45" t="inlineStr">
        <is>
          <t>Manager des ressources humaines</t>
        </is>
      </c>
      <c r="L3664" s="45" t="inlineStr">
        <is>
          <t>18/12/2030</t>
        </is>
      </c>
      <c r="M3664" s="45" t="inlineStr">
        <is>
          <t>33054 (Gestion ressources humaines)</t>
        </is>
      </c>
      <c r="N3664" s="50" t="inlineStr">
        <is>
          <t>NON</t>
        </is>
      </c>
      <c r="O3664" s="45" t="inlineStr"/>
    </row>
    <row r="3665" customFormat="1" s="3">
      <c r="A3665" s="63" t="n"/>
      <c r="B3665" s="64" t="inlineStr">
        <is>
          <t>33052</t>
        </is>
      </c>
      <c r="C3665" s="64">
        <f>LEFT(Tableau1[[#This Row],[Formacode]],3)</f>
        <v/>
      </c>
      <c r="D3665" s="65" t="n">
        <v>35604</v>
      </c>
      <c r="E3665" s="66">
        <f>"RNCP"&amp;D3665</f>
        <v/>
      </c>
      <c r="F3665" s="66" t="inlineStr">
        <is>
          <t>Manager du développement des ressources humaines</t>
        </is>
      </c>
      <c r="G3665" s="67">
        <f>E3665&amp;" - "&amp;F3665</f>
        <v/>
      </c>
      <c r="H3665" s="38" t="inlineStr">
        <is>
          <t>Expiré / remplacé</t>
        </is>
      </c>
      <c r="I3665" s="63" t="inlineStr">
        <is>
          <t>Fiche inactive — remplacée par RNCP42518 (Manager du développement des ressources humaines (MDRH))</t>
        </is>
      </c>
      <c r="J3665" s="63" t="inlineStr">
        <is>
          <t>RNCP42518</t>
        </is>
      </c>
      <c r="K3665" s="63" t="inlineStr">
        <is>
          <t>Manager du développement des ressources humaines (MDRH)</t>
        </is>
      </c>
      <c r="L3665" s="63" t="inlineStr">
        <is>
          <t>19/05/2026</t>
        </is>
      </c>
      <c r="M3665" s="63" t="inlineStr">
        <is>
          <t>33054 (Gestion ressources humaines)</t>
        </is>
      </c>
      <c r="N3665" s="68" t="inlineStr">
        <is>
          <t>NON</t>
        </is>
      </c>
      <c r="O3665" s="63" t="inlineStr"/>
    </row>
    <row r="3666" customFormat="1" s="3">
      <c r="A3666" s="63" t="n"/>
      <c r="B3666" s="64" t="inlineStr">
        <is>
          <t>33052</t>
        </is>
      </c>
      <c r="C3666" s="64">
        <f>LEFT(Tableau1[[#This Row],[Formacode]],3)</f>
        <v/>
      </c>
      <c r="D3666" s="65" t="n">
        <v>35750</v>
      </c>
      <c r="E3666" s="66">
        <f>"RNCP"&amp;D3666</f>
        <v/>
      </c>
      <c r="F3666" s="66" t="inlineStr">
        <is>
          <t>Gestionnaire de Paie</t>
        </is>
      </c>
      <c r="G3666" s="67">
        <f>E3666&amp;" - "&amp;F3666</f>
        <v/>
      </c>
      <c r="H3666" s="38" t="inlineStr">
        <is>
          <t>Expiré / remplacé</t>
        </is>
      </c>
      <c r="I3666" s="63" t="inlineStr">
        <is>
          <t>Fiche inactive — remplacée par RNCP42350 (Gestionnaire de paie)</t>
        </is>
      </c>
      <c r="J3666" s="63" t="inlineStr">
        <is>
          <t>RNCP42350</t>
        </is>
      </c>
      <c r="K3666" s="63" t="inlineStr">
        <is>
          <t>Gestionnaire de paie</t>
        </is>
      </c>
      <c r="L3666" s="63" t="inlineStr">
        <is>
          <t>08/07/2026</t>
        </is>
      </c>
      <c r="M3666" s="63" t="inlineStr">
        <is>
          <t>32688 (Traitement paie) ; 33031 (Système rémunération)</t>
        </is>
      </c>
      <c r="N3666" s="68" t="inlineStr">
        <is>
          <t>NON</t>
        </is>
      </c>
      <c r="O3666" s="63" t="inlineStr"/>
    </row>
    <row r="3667" customFormat="1" s="3">
      <c r="A3667" s="63" t="n"/>
      <c r="B3667" s="64" t="inlineStr">
        <is>
          <t>33052</t>
        </is>
      </c>
      <c r="C3667" s="64">
        <f>LEFT(Tableau1[[#This Row],[Formacode]],3)</f>
        <v/>
      </c>
      <c r="D3667" s="65" t="n">
        <v>35767</v>
      </c>
      <c r="E3667" s="66">
        <f>"RNCP"&amp;D3667</f>
        <v/>
      </c>
      <c r="F3667" s="66" t="inlineStr">
        <is>
          <t>Chargé de recrutement</t>
        </is>
      </c>
      <c r="G3667" s="67">
        <f>E3667&amp;" - "&amp;F3667</f>
        <v/>
      </c>
      <c r="H3667" s="38" t="inlineStr">
        <is>
          <t>Expiré / remplacé</t>
        </is>
      </c>
      <c r="I3667" s="63" t="inlineStr">
        <is>
          <t>Fiche inactive (échéance 08/07/2026) — aucun successeur publié</t>
        </is>
      </c>
      <c r="J3667" s="63" t="inlineStr">
        <is>
          <t>RNCP35767</t>
        </is>
      </c>
      <c r="K3667" s="63" t="inlineStr">
        <is>
          <t>Chargé de recrutement</t>
        </is>
      </c>
      <c r="L3667" s="63" t="inlineStr">
        <is>
          <t>08/07/2026</t>
        </is>
      </c>
      <c r="M3667" s="63" t="inlineStr">
        <is>
          <t>33060 (Recrutement) ; 33070 (Travail temporaire)</t>
        </is>
      </c>
      <c r="N3667" s="68" t="inlineStr">
        <is>
          <t>NON</t>
        </is>
      </c>
      <c r="O3667" s="63" t="inlineStr"/>
    </row>
    <row r="3668" customFormat="1" s="3">
      <c r="A3668" s="51" t="n"/>
      <c r="B3668" s="52" t="inlineStr">
        <is>
          <t>33052</t>
        </is>
      </c>
      <c r="C3668" s="52">
        <f>LEFT(Tableau1[[#This Row],[Formacode]],3)</f>
        <v/>
      </c>
      <c r="D3668" s="53" t="n">
        <v>35878</v>
      </c>
      <c r="E3668" s="54">
        <f>"RNCP"&amp;D3668</f>
        <v/>
      </c>
      <c r="F3668" s="54" t="inlineStr">
        <is>
          <t>Chargé des ressources humaines</t>
        </is>
      </c>
      <c r="G3668" s="55">
        <f>E3668&amp;" - "&amp;F3668</f>
        <v/>
      </c>
      <c r="H3668" s="37" t="inlineStr">
        <is>
          <t>À vérifier</t>
        </is>
      </c>
      <c r="I3668" s="51" t="inlineStr">
        <is>
          <t>Successeur déjà publié : RNCP42313 (Chargé des ressources humaines) — préparer la bascule de l'offre CPF | Échéance le 15/09/2026 (dans 59 j)</t>
        </is>
      </c>
      <c r="J3668" s="51" t="inlineStr">
        <is>
          <t>RNCP42313</t>
        </is>
      </c>
      <c r="K3668" s="51" t="inlineStr">
        <is>
          <t>Chargé des ressources humaines</t>
        </is>
      </c>
      <c r="L3668" s="51" t="inlineStr">
        <is>
          <t>15/09/2026</t>
        </is>
      </c>
      <c r="M3668" s="51" t="inlineStr">
        <is>
          <t>33054 (Gestion ressources humaines)</t>
        </is>
      </c>
      <c r="N3668" s="62" t="inlineStr">
        <is>
          <t>NON</t>
        </is>
      </c>
      <c r="O3668" s="51" t="inlineStr"/>
    </row>
    <row r="3669" customFormat="1" s="3">
      <c r="A3669" s="45" t="n"/>
      <c r="B3669" s="46" t="inlineStr">
        <is>
          <t>33052</t>
        </is>
      </c>
      <c r="C3669" s="46">
        <f>LEFT(Tableau1[[#This Row],[Formacode]],3)</f>
        <v/>
      </c>
      <c r="D3669" s="47" t="n">
        <v>36143</v>
      </c>
      <c r="E3669" s="48">
        <f>"RNCP"&amp;D3669</f>
        <v/>
      </c>
      <c r="F3669" s="48" t="inlineStr">
        <is>
          <t>Chargé des ressources humaines</t>
        </is>
      </c>
      <c r="G3669" s="49">
        <f>E3669&amp;" - "&amp;F3669</f>
        <v/>
      </c>
      <c r="H3669" s="36" t="inlineStr">
        <is>
          <t>RAS</t>
        </is>
      </c>
      <c r="I3669" s="45" t="inlineStr"/>
      <c r="J3669" s="45" t="inlineStr">
        <is>
          <t>RNCP36143</t>
        </is>
      </c>
      <c r="K3669" s="45" t="inlineStr">
        <is>
          <t>Chargé des ressources humaines</t>
        </is>
      </c>
      <c r="L3669" s="45" t="inlineStr">
        <is>
          <t>26/01/2027</t>
        </is>
      </c>
      <c r="M3669" s="45" t="inlineStr">
        <is>
          <t>33054 (Gestion ressources humaines)</t>
        </is>
      </c>
      <c r="N3669" s="50" t="inlineStr">
        <is>
          <t>NON</t>
        </is>
      </c>
      <c r="O3669" s="45" t="inlineStr"/>
    </row>
    <row r="3670" customFormat="1" s="3">
      <c r="A3670" s="45" t="n"/>
      <c r="B3670" s="46" t="inlineStr">
        <is>
          <t>33052</t>
        </is>
      </c>
      <c r="C3670" s="46">
        <f>LEFT(Tableau1[[#This Row],[Formacode]],3)</f>
        <v/>
      </c>
      <c r="D3670" s="47" t="n">
        <v>36500</v>
      </c>
      <c r="E3670" s="48">
        <f>"RNCP"&amp;D3670</f>
        <v/>
      </c>
      <c r="F3670" s="48" t="inlineStr">
        <is>
          <t>Chargé de recrutement et conseils en ressources humaines</t>
        </is>
      </c>
      <c r="G3670" s="49">
        <f>E3670&amp;" - "&amp;F3670</f>
        <v/>
      </c>
      <c r="H3670" s="36" t="inlineStr">
        <is>
          <t>RAS</t>
        </is>
      </c>
      <c r="I3670" s="45" t="inlineStr"/>
      <c r="J3670" s="45" t="inlineStr">
        <is>
          <t>RNCP36500</t>
        </is>
      </c>
      <c r="K3670" s="45" t="inlineStr">
        <is>
          <t>Chargé de recrutement et conseils en ressources humaines</t>
        </is>
      </c>
      <c r="L3670" s="45" t="inlineStr">
        <is>
          <t>01/06/2027</t>
        </is>
      </c>
      <c r="M3670" s="45" t="inlineStr">
        <is>
          <t>33060 (Recrutement)</t>
        </is>
      </c>
      <c r="N3670" s="50" t="inlineStr">
        <is>
          <t>NON</t>
        </is>
      </c>
      <c r="O3670" s="45" t="inlineStr"/>
    </row>
    <row r="3671" customFormat="1" s="3">
      <c r="A3671" s="51" t="n"/>
      <c r="B3671" s="52" t="inlineStr">
        <is>
          <t>33052</t>
        </is>
      </c>
      <c r="C3671" s="52">
        <f>LEFT(Tableau1[[#This Row],[Formacode]],3)</f>
        <v/>
      </c>
      <c r="D3671" s="53" t="n">
        <v>37748</v>
      </c>
      <c r="E3671" s="54">
        <f>"RNCP"&amp;D3671</f>
        <v/>
      </c>
      <c r="F3671" s="54" t="inlineStr">
        <is>
          <t>Manager des ressources humaines</t>
        </is>
      </c>
      <c r="G3671" s="55">
        <f>E3671&amp;" - "&amp;F3671</f>
        <v/>
      </c>
      <c r="H3671" s="37" t="inlineStr">
        <is>
          <t>À vérifier</t>
        </is>
      </c>
      <c r="I3671" s="51" t="inlineStr">
        <is>
          <t>Successeur déjà publié : RNCP41803 (Manager des ressources humaines) — préparer la bascule de l'offre CPF | Échéance le 19/07/2026 (dans 1 j)</t>
        </is>
      </c>
      <c r="J3671" s="51" t="inlineStr">
        <is>
          <t>RNCP41803</t>
        </is>
      </c>
      <c r="K3671" s="51" t="inlineStr">
        <is>
          <t>Manager des ressources humaines</t>
        </is>
      </c>
      <c r="L3671" s="51" t="inlineStr">
        <is>
          <t>19/07/2026</t>
        </is>
      </c>
      <c r="M3671" s="51" t="inlineStr">
        <is>
          <t>33054 (Gestion ressources humaines)</t>
        </is>
      </c>
      <c r="N3671" s="62" t="inlineStr">
        <is>
          <t>NON</t>
        </is>
      </c>
      <c r="O3671" s="51" t="inlineStr"/>
    </row>
    <row r="3672" customFormat="1" s="3">
      <c r="A3672" s="51" t="n"/>
      <c r="B3672" s="52" t="inlineStr">
        <is>
          <t>33052</t>
        </is>
      </c>
      <c r="C3672" s="52">
        <f>LEFT(Tableau1[[#This Row],[Formacode]],3)</f>
        <v/>
      </c>
      <c r="D3672" s="53" t="n">
        <v>37851</v>
      </c>
      <c r="E3672" s="54">
        <f>"RNCP"&amp;D3672</f>
        <v/>
      </c>
      <c r="F3672" s="54" t="inlineStr">
        <is>
          <t>Manager des ressources humaines</t>
        </is>
      </c>
      <c r="G3672" s="55">
        <f>E3672&amp;" - "&amp;F3672</f>
        <v/>
      </c>
      <c r="H3672" s="37" t="inlineStr">
        <is>
          <t>À vérifier</t>
        </is>
      </c>
      <c r="I3672" s="51" t="inlineStr">
        <is>
          <t>Échéance le 19/07/2026 (dans 1 j)</t>
        </is>
      </c>
      <c r="J3672" s="51" t="inlineStr">
        <is>
          <t>RNCP37851</t>
        </is>
      </c>
      <c r="K3672" s="51" t="inlineStr">
        <is>
          <t>Manager des ressources humaines</t>
        </is>
      </c>
      <c r="L3672" s="51" t="inlineStr">
        <is>
          <t>19/07/2026</t>
        </is>
      </c>
      <c r="M3672" s="51" t="inlineStr">
        <is>
          <t>33054 (Gestion ressources humaines)</t>
        </is>
      </c>
      <c r="N3672" s="62" t="inlineStr">
        <is>
          <t>NON</t>
        </is>
      </c>
      <c r="O3672" s="51" t="inlineStr"/>
    </row>
    <row r="3673" customFormat="1" s="3">
      <c r="A3673" s="51" t="n"/>
      <c r="B3673" s="52" t="inlineStr">
        <is>
          <t>33052</t>
        </is>
      </c>
      <c r="C3673" s="52">
        <f>LEFT(Tableau1[[#This Row],[Formacode]],3)</f>
        <v/>
      </c>
      <c r="D3673" s="53" t="n">
        <v>37998</v>
      </c>
      <c r="E3673" s="54">
        <f>"RNCP"&amp;D3673</f>
        <v/>
      </c>
      <c r="F3673" s="54" t="inlineStr">
        <is>
          <t>Responsable en rémunération globale et avantages sociaux</t>
        </is>
      </c>
      <c r="G3673" s="55">
        <f>E3673&amp;" - "&amp;F3673</f>
        <v/>
      </c>
      <c r="H3673" s="37" t="inlineStr">
        <is>
          <t>À vérifier</t>
        </is>
      </c>
      <c r="I3673" s="51" t="inlineStr">
        <is>
          <t>Successeur déjà publié : RNCP42499 (Responsable rémunération et avantages sociaux) — préparer la bascule de l'offre CPF | Échéance le 20/09/2026 (dans 64 j)</t>
        </is>
      </c>
      <c r="J3673" s="51" t="inlineStr">
        <is>
          <t>RNCP42499</t>
        </is>
      </c>
      <c r="K3673" s="51" t="inlineStr">
        <is>
          <t>Responsable rémunération et avantages sociaux</t>
        </is>
      </c>
      <c r="L3673" s="51" t="inlineStr">
        <is>
          <t>20/09/2026</t>
        </is>
      </c>
      <c r="M3673" s="51" t="inlineStr">
        <is>
          <t>33031 (Système rémunération)</t>
        </is>
      </c>
      <c r="N3673" s="62" t="inlineStr">
        <is>
          <t>NON</t>
        </is>
      </c>
      <c r="O3673" s="51" t="inlineStr"/>
    </row>
    <row r="3674" customFormat="1" s="3">
      <c r="A3674" s="51" t="n"/>
      <c r="B3674" s="52" t="inlineStr">
        <is>
          <t>33052</t>
        </is>
      </c>
      <c r="C3674" s="52">
        <f>LEFT(Tableau1[[#This Row],[Formacode]],3)</f>
        <v/>
      </c>
      <c r="D3674" s="53" t="n">
        <v>38241</v>
      </c>
      <c r="E3674" s="54">
        <f>"RNCP"&amp;D3674</f>
        <v/>
      </c>
      <c r="F3674" s="54" t="inlineStr">
        <is>
          <t>CQP Chargé de ressources humaines</t>
        </is>
      </c>
      <c r="G3674" s="55">
        <f>E3674&amp;" - "&amp;F3674</f>
        <v/>
      </c>
      <c r="H3674" s="37" t="inlineStr">
        <is>
          <t>À vérifier</t>
        </is>
      </c>
      <c r="I3674" s="51" t="inlineStr">
        <is>
          <t>Échéance le 15/11/2026 (dans 120 j)</t>
        </is>
      </c>
      <c r="J3674" s="51" t="inlineStr">
        <is>
          <t>RNCP38241</t>
        </is>
      </c>
      <c r="K3674" s="51" t="inlineStr">
        <is>
          <t>CQP Chargé de ressources humaines</t>
        </is>
      </c>
      <c r="L3674" s="51" t="inlineStr">
        <is>
          <t>15/11/2026</t>
        </is>
      </c>
      <c r="M3674" s="51" t="inlineStr">
        <is>
          <t>33054 (Gestion ressources humaines)</t>
        </is>
      </c>
      <c r="N3674" s="62" t="inlineStr">
        <is>
          <t>NON</t>
        </is>
      </c>
      <c r="O3674" s="51" t="inlineStr"/>
    </row>
    <row r="3675" customFormat="1" s="3">
      <c r="A3675" s="51" t="n"/>
      <c r="B3675" s="52" t="inlineStr">
        <is>
          <t>33052</t>
        </is>
      </c>
      <c r="C3675" s="52">
        <f>LEFT(Tableau1[[#This Row],[Formacode]],3)</f>
        <v/>
      </c>
      <c r="D3675" s="53" t="n">
        <v>38438</v>
      </c>
      <c r="E3675" s="54">
        <f>"RNCP"&amp;D3675</f>
        <v/>
      </c>
      <c r="F3675" s="54" t="inlineStr">
        <is>
          <t>Chargé de développement des ressources humaines</t>
        </is>
      </c>
      <c r="G3675" s="55">
        <f>E3675&amp;" - "&amp;F3675</f>
        <v/>
      </c>
      <c r="H3675" s="37" t="inlineStr">
        <is>
          <t>À vérifier</t>
        </is>
      </c>
      <c r="I3675" s="51" t="inlineStr">
        <is>
          <t>Échéance le 21/12/2026 (dans 156 j)</t>
        </is>
      </c>
      <c r="J3675" s="51" t="inlineStr">
        <is>
          <t>RNCP38438</t>
        </is>
      </c>
      <c r="K3675" s="51" t="inlineStr">
        <is>
          <t>Chargé de développement des ressources humaines</t>
        </is>
      </c>
      <c r="L3675" s="51" t="inlineStr">
        <is>
          <t>21/12/2026</t>
        </is>
      </c>
      <c r="M3675" s="51" t="inlineStr">
        <is>
          <t>33052 (Administration personnel) ; 33036 (Stratégie sociale entreprise)</t>
        </is>
      </c>
      <c r="N3675" s="62" t="inlineStr">
        <is>
          <t>NON</t>
        </is>
      </c>
      <c r="O3675" s="51" t="inlineStr"/>
    </row>
    <row r="3676" customFormat="1" s="3">
      <c r="A3676" s="51" t="n"/>
      <c r="B3676" s="52" t="inlineStr">
        <is>
          <t>33052</t>
        </is>
      </c>
      <c r="C3676" s="52">
        <f>LEFT(Tableau1[[#This Row],[Formacode]],3)</f>
        <v/>
      </c>
      <c r="D3676" s="53" t="n">
        <v>38460</v>
      </c>
      <c r="E3676" s="54">
        <f>"RNCP"&amp;D3676</f>
        <v/>
      </c>
      <c r="F3676" s="54" t="inlineStr">
        <is>
          <t>Manager en ressources humaines</t>
        </is>
      </c>
      <c r="G3676" s="55">
        <f>E3676&amp;" - "&amp;F3676</f>
        <v/>
      </c>
      <c r="H3676" s="37" t="inlineStr">
        <is>
          <t>À vérifier</t>
        </is>
      </c>
      <c r="I3676" s="51" t="inlineStr">
        <is>
          <t>Échéance le 21/12/2026 (dans 156 j)</t>
        </is>
      </c>
      <c r="J3676" s="51" t="inlineStr">
        <is>
          <t>RNCP38460</t>
        </is>
      </c>
      <c r="K3676" s="51" t="inlineStr">
        <is>
          <t>Manager en ressources humaines</t>
        </is>
      </c>
      <c r="L3676" s="51" t="inlineStr">
        <is>
          <t>21/12/2026</t>
        </is>
      </c>
      <c r="M3676" s="51" t="inlineStr">
        <is>
          <t>33054 (Gestion ressources humaines)</t>
        </is>
      </c>
      <c r="N3676" s="62" t="inlineStr">
        <is>
          <t>NON</t>
        </is>
      </c>
      <c r="O3676" s="51" t="inlineStr"/>
    </row>
    <row r="3677" customFormat="1" s="3">
      <c r="A3677" s="51" t="n"/>
      <c r="B3677" s="52" t="inlineStr">
        <is>
          <t>33052</t>
        </is>
      </c>
      <c r="C3677" s="52">
        <f>LEFT(Tableau1[[#This Row],[Formacode]],3)</f>
        <v/>
      </c>
      <c r="D3677" s="53" t="n">
        <v>38489</v>
      </c>
      <c r="E3677" s="54">
        <f>"RNCP"&amp;D3677</f>
        <v/>
      </c>
      <c r="F3677" s="54" t="inlineStr">
        <is>
          <t>Manager des ressources humaines</t>
        </is>
      </c>
      <c r="G3677" s="55">
        <f>E3677&amp;" - "&amp;F3677</f>
        <v/>
      </c>
      <c r="H3677" s="37" t="inlineStr">
        <is>
          <t>À vérifier</t>
        </is>
      </c>
      <c r="I3677" s="51" t="inlineStr">
        <is>
          <t>Échéance le 21/12/2026 (dans 156 j)</t>
        </is>
      </c>
      <c r="J3677" s="51" t="inlineStr">
        <is>
          <t>RNCP38489</t>
        </is>
      </c>
      <c r="K3677" s="51" t="inlineStr">
        <is>
          <t>Manager des ressources humaines</t>
        </is>
      </c>
      <c r="L3677" s="51" t="inlineStr">
        <is>
          <t>21/12/2026</t>
        </is>
      </c>
      <c r="M3677" s="51" t="inlineStr">
        <is>
          <t>33054 (Gestion ressources humaines)</t>
        </is>
      </c>
      <c r="N3677" s="62" t="inlineStr">
        <is>
          <t>NON</t>
        </is>
      </c>
      <c r="O3677" s="51" t="inlineStr"/>
    </row>
    <row r="3678" customFormat="1" s="3">
      <c r="A3678" s="51" t="n"/>
      <c r="B3678" s="52" t="inlineStr">
        <is>
          <t>33052</t>
        </is>
      </c>
      <c r="C3678" s="52">
        <f>LEFT(Tableau1[[#This Row],[Formacode]],3)</f>
        <v/>
      </c>
      <c r="D3678" s="53" t="n">
        <v>38519</v>
      </c>
      <c r="E3678" s="54">
        <f>"RNCP"&amp;D3678</f>
        <v/>
      </c>
      <c r="F3678" s="54" t="inlineStr">
        <is>
          <t>Responsable paie et audit social</t>
        </is>
      </c>
      <c r="G3678" s="55">
        <f>E3678&amp;" - "&amp;F3678</f>
        <v/>
      </c>
      <c r="H3678" s="37" t="inlineStr">
        <is>
          <t>À vérifier</t>
        </is>
      </c>
      <c r="I3678" s="51" t="inlineStr">
        <is>
          <t>Échéance le 21/12/2026 (dans 156 j)</t>
        </is>
      </c>
      <c r="J3678" s="51" t="inlineStr">
        <is>
          <t>RNCP38519</t>
        </is>
      </c>
      <c r="K3678" s="51" t="inlineStr">
        <is>
          <t>Responsable paie et audit social</t>
        </is>
      </c>
      <c r="L3678" s="51" t="inlineStr">
        <is>
          <t>21/12/2026</t>
        </is>
      </c>
      <c r="M3678" s="51" t="inlineStr">
        <is>
          <t>32688 (Traitement paie) ; 33052 (Administration personnel) ; 33035 (Audit ressources humaines)</t>
        </is>
      </c>
      <c r="N3678" s="62" t="inlineStr">
        <is>
          <t>NON</t>
        </is>
      </c>
      <c r="O3678" s="51" t="inlineStr"/>
    </row>
    <row r="3679" customFormat="1" s="3">
      <c r="A3679" s="45" t="n"/>
      <c r="B3679" s="46" t="inlineStr">
        <is>
          <t>33052</t>
        </is>
      </c>
      <c r="C3679" s="46">
        <f>LEFT(Tableau1[[#This Row],[Formacode]],3)</f>
        <v/>
      </c>
      <c r="D3679" s="47" t="n">
        <v>38824</v>
      </c>
      <c r="E3679" s="48">
        <f>"RNCP"&amp;D3679</f>
        <v/>
      </c>
      <c r="F3679" s="48" t="inlineStr">
        <is>
          <t>Manager en ressources humaines</t>
        </is>
      </c>
      <c r="G3679" s="49">
        <f>E3679&amp;" - "&amp;F3679</f>
        <v/>
      </c>
      <c r="H3679" s="36" t="inlineStr">
        <is>
          <t>RAS</t>
        </is>
      </c>
      <c r="I3679" s="45" t="inlineStr"/>
      <c r="J3679" s="45" t="inlineStr">
        <is>
          <t>RNCP38824</t>
        </is>
      </c>
      <c r="K3679" s="45" t="inlineStr">
        <is>
          <t>Manager en ressources humaines</t>
        </is>
      </c>
      <c r="L3679" s="45" t="inlineStr">
        <is>
          <t>27/03/2028</t>
        </is>
      </c>
      <c r="M3679" s="45" t="inlineStr">
        <is>
          <t>44508 (Plan développement compétences) ; 33060 (Recrutement) ; 33047 (Relations sociales) ; 32015 (Conduite changement) ; 33091 (GEPP)</t>
        </is>
      </c>
      <c r="N3679" s="50" t="inlineStr">
        <is>
          <t>NON</t>
        </is>
      </c>
      <c r="O3679" s="45" t="inlineStr"/>
    </row>
    <row r="3680" customFormat="1" s="3">
      <c r="A3680" s="45" t="n"/>
      <c r="B3680" s="46" t="inlineStr">
        <is>
          <t>33052</t>
        </is>
      </c>
      <c r="C3680" s="46">
        <f>LEFT(Tableau1[[#This Row],[Formacode]],3)</f>
        <v/>
      </c>
      <c r="D3680" s="47" t="n">
        <v>38836</v>
      </c>
      <c r="E3680" s="48">
        <f>"RNCP"&amp;D3680</f>
        <v/>
      </c>
      <c r="F3680" s="48" t="inlineStr">
        <is>
          <t>Responsable du développement des ressources humaines</t>
        </is>
      </c>
      <c r="G3680" s="49">
        <f>E3680&amp;" - "&amp;F3680</f>
        <v/>
      </c>
      <c r="H3680" s="36" t="inlineStr">
        <is>
          <t>RAS</t>
        </is>
      </c>
      <c r="I3680" s="45" t="inlineStr"/>
      <c r="J3680" s="45" t="inlineStr">
        <is>
          <t>RNCP38836</t>
        </is>
      </c>
      <c r="K3680" s="45" t="inlineStr">
        <is>
          <t>Responsable du développement des ressources humaines</t>
        </is>
      </c>
      <c r="L3680" s="45" t="inlineStr">
        <is>
          <t>27/03/2029</t>
        </is>
      </c>
      <c r="M3680" s="45" t="inlineStr">
        <is>
          <t>33054 (Gestion ressources humaines)</t>
        </is>
      </c>
      <c r="N3680" s="50" t="inlineStr">
        <is>
          <t>NON</t>
        </is>
      </c>
      <c r="O3680" s="45" t="inlineStr"/>
    </row>
    <row r="3681" customFormat="1" s="3">
      <c r="A3681" s="45" t="n"/>
      <c r="B3681" s="46" t="inlineStr">
        <is>
          <t>33052</t>
        </is>
      </c>
      <c r="C3681" s="46">
        <f>LEFT(Tableau1[[#This Row],[Formacode]],3)</f>
        <v/>
      </c>
      <c r="D3681" s="47" t="n">
        <v>39364</v>
      </c>
      <c r="E3681" s="48">
        <f>"RNCP"&amp;D3681</f>
        <v/>
      </c>
      <c r="F3681" s="48" t="inlineStr">
        <is>
          <t>Manager en stratégie et développement des ressources humaines</t>
        </is>
      </c>
      <c r="G3681" s="49">
        <f>E3681&amp;" - "&amp;F3681</f>
        <v/>
      </c>
      <c r="H3681" s="36" t="inlineStr">
        <is>
          <t>RAS</t>
        </is>
      </c>
      <c r="I3681" s="45" t="inlineStr"/>
      <c r="J3681" s="45" t="inlineStr">
        <is>
          <t>RNCP39364</t>
        </is>
      </c>
      <c r="K3681" s="45" t="inlineStr">
        <is>
          <t>Manager en stratégie et développement des ressources humaines</t>
        </is>
      </c>
      <c r="L3681" s="45" t="inlineStr">
        <is>
          <t>19/07/2028</t>
        </is>
      </c>
      <c r="M3681" s="45" t="inlineStr">
        <is>
          <t>33054 (Gestion ressources humaines) ; 32025 (Stratégie entreprise)</t>
        </is>
      </c>
      <c r="N3681" s="50" t="inlineStr">
        <is>
          <t>NON</t>
        </is>
      </c>
      <c r="O3681" s="45" t="inlineStr"/>
    </row>
    <row r="3682" customFormat="1" s="3">
      <c r="A3682" s="45" t="n"/>
      <c r="B3682" s="46" t="inlineStr">
        <is>
          <t>33052</t>
        </is>
      </c>
      <c r="C3682" s="46">
        <f>LEFT(Tableau1[[#This Row],[Formacode]],3)</f>
        <v/>
      </c>
      <c r="D3682" s="47" t="n">
        <v>39864</v>
      </c>
      <c r="E3682" s="48">
        <f>"RNCP"&amp;D3682</f>
        <v/>
      </c>
      <c r="F3682" s="48" t="inlineStr">
        <is>
          <t>Manager du développement des ressources humaines</t>
        </is>
      </c>
      <c r="G3682" s="49">
        <f>E3682&amp;" - "&amp;F3682</f>
        <v/>
      </c>
      <c r="H3682" s="36" t="inlineStr">
        <is>
          <t>RAS</t>
        </is>
      </c>
      <c r="I3682" s="45" t="inlineStr"/>
      <c r="J3682" s="45" t="inlineStr">
        <is>
          <t>RNCP39864</t>
        </is>
      </c>
      <c r="K3682" s="45" t="inlineStr">
        <is>
          <t>Manager du développement des ressources humaines</t>
        </is>
      </c>
      <c r="L3682" s="45" t="inlineStr">
        <is>
          <t>28/11/2027</t>
        </is>
      </c>
      <c r="M3682" s="45" t="inlineStr">
        <is>
          <t>33054 (Gestion ressources humaines) ; 32154 (Encadrement management)</t>
        </is>
      </c>
      <c r="N3682" s="50" t="inlineStr">
        <is>
          <t>NON</t>
        </is>
      </c>
      <c r="O3682" s="45" t="inlineStr"/>
    </row>
    <row r="3683" customFormat="1" s="3">
      <c r="A3683" s="45" t="n"/>
      <c r="B3683" s="46" t="inlineStr">
        <is>
          <t>33052</t>
        </is>
      </c>
      <c r="C3683" s="46">
        <f>LEFT(Tableau1[[#This Row],[Formacode]],3)</f>
        <v/>
      </c>
      <c r="D3683" s="47" t="n">
        <v>40244</v>
      </c>
      <c r="E3683" s="48">
        <f>"RNCP"&amp;D3683</f>
        <v/>
      </c>
      <c r="F3683" s="48" t="inlineStr">
        <is>
          <t>Manager des ressources humaines</t>
        </is>
      </c>
      <c r="G3683" s="49">
        <f>E3683&amp;" - "&amp;F3683</f>
        <v/>
      </c>
      <c r="H3683" s="36" t="inlineStr">
        <is>
          <t>RAS</t>
        </is>
      </c>
      <c r="I3683" s="45" t="inlineStr"/>
      <c r="J3683" s="45" t="inlineStr">
        <is>
          <t>RNCP40244</t>
        </is>
      </c>
      <c r="K3683" s="45" t="inlineStr">
        <is>
          <t>Manager des ressources humaines</t>
        </is>
      </c>
      <c r="L3683" s="45" t="inlineStr">
        <is>
          <t>28/02/2030</t>
        </is>
      </c>
      <c r="M3683" s="45" t="inlineStr">
        <is>
          <t>33052 (Administration personnel) ; 33091 (GEPP) ; 33047 (Relations sociales)</t>
        </is>
      </c>
      <c r="N3683" s="50" t="inlineStr">
        <is>
          <t>NON</t>
        </is>
      </c>
      <c r="O3683" s="45" t="inlineStr"/>
    </row>
    <row r="3684" customFormat="1" s="3">
      <c r="A3684" s="45" t="n"/>
      <c r="B3684" s="46" t="inlineStr">
        <is>
          <t>33052</t>
        </is>
      </c>
      <c r="C3684" s="46">
        <f>LEFT(Tableau1[[#This Row],[Formacode]],3)</f>
        <v/>
      </c>
      <c r="D3684" s="47" t="n">
        <v>40594</v>
      </c>
      <c r="E3684" s="48">
        <f>"RNCP"&amp;D3684</f>
        <v/>
      </c>
      <c r="F3684" s="48" t="inlineStr">
        <is>
          <t>Chargé de missions RH</t>
        </is>
      </c>
      <c r="G3684" s="49">
        <f>E3684&amp;" - "&amp;F3684</f>
        <v/>
      </c>
      <c r="H3684" s="36" t="inlineStr">
        <is>
          <t>RAS</t>
        </is>
      </c>
      <c r="I3684" s="45" t="inlineStr"/>
      <c r="J3684" s="45" t="inlineStr">
        <is>
          <t>RNCP40594</t>
        </is>
      </c>
      <c r="K3684" s="45" t="inlineStr">
        <is>
          <t>Chargé de missions RH</t>
        </is>
      </c>
      <c r="L3684" s="45" t="inlineStr">
        <is>
          <t>30/04/2028</t>
        </is>
      </c>
      <c r="M3684" s="45" t="inlineStr">
        <is>
          <t>33054 (Gestion ressources humaines)</t>
        </is>
      </c>
      <c r="N3684" s="50" t="inlineStr">
        <is>
          <t>NON</t>
        </is>
      </c>
      <c r="O3684" s="45" t="inlineStr"/>
    </row>
    <row r="3685" customFormat="1" s="3">
      <c r="A3685" s="45" t="n"/>
      <c r="B3685" s="46" t="inlineStr">
        <is>
          <t>33052</t>
        </is>
      </c>
      <c r="C3685" s="46">
        <f>LEFT(Tableau1[[#This Row],[Formacode]],3)</f>
        <v/>
      </c>
      <c r="D3685" s="47" t="n">
        <v>40670</v>
      </c>
      <c r="E3685" s="48">
        <f>"RNCP"&amp;D3685</f>
        <v/>
      </c>
      <c r="F3685" s="48" t="inlineStr">
        <is>
          <t>Collaborateur paie</t>
        </is>
      </c>
      <c r="G3685" s="49">
        <f>E3685&amp;" - "&amp;F3685</f>
        <v/>
      </c>
      <c r="H3685" s="36" t="inlineStr">
        <is>
          <t>RAS</t>
        </is>
      </c>
      <c r="I3685" s="45" t="inlineStr"/>
      <c r="J3685" s="45" t="inlineStr">
        <is>
          <t>RNCP40670</t>
        </is>
      </c>
      <c r="K3685" s="45" t="inlineStr">
        <is>
          <t>Collaborateur paie</t>
        </is>
      </c>
      <c r="L3685" s="45" t="inlineStr">
        <is>
          <t>23/05/2030</t>
        </is>
      </c>
      <c r="M3685" s="45" t="inlineStr">
        <is>
          <t>32688 (Traitement paie) ; 33031 (Système rémunération)</t>
        </is>
      </c>
      <c r="N3685" s="50" t="inlineStr">
        <is>
          <t>NON</t>
        </is>
      </c>
      <c r="O3685" s="45" t="inlineStr"/>
    </row>
    <row r="3686" customFormat="1" s="3">
      <c r="A3686" s="45" t="n"/>
      <c r="B3686" s="46" t="inlineStr">
        <is>
          <t>33052</t>
        </is>
      </c>
      <c r="C3686" s="46">
        <f>LEFT(Tableau1[[#This Row],[Formacode]],3)</f>
        <v/>
      </c>
      <c r="D3686" s="47" t="n">
        <v>40863</v>
      </c>
      <c r="E3686" s="48">
        <f>"RNCP"&amp;D3686</f>
        <v/>
      </c>
      <c r="F3686" s="48" t="inlineStr">
        <is>
          <t>Responsable de gestion des ressources humaines</t>
        </is>
      </c>
      <c r="G3686" s="49">
        <f>E3686&amp;" - "&amp;F3686</f>
        <v/>
      </c>
      <c r="H3686" s="36" t="inlineStr">
        <is>
          <t>RAS</t>
        </is>
      </c>
      <c r="I3686" s="45" t="inlineStr"/>
      <c r="J3686" s="45" t="inlineStr">
        <is>
          <t>RNCP40863</t>
        </is>
      </c>
      <c r="K3686" s="45" t="inlineStr">
        <is>
          <t>Responsable de gestion des ressources humaines</t>
        </is>
      </c>
      <c r="L3686" s="45" t="inlineStr">
        <is>
          <t>25/06/2028</t>
        </is>
      </c>
      <c r="M3686" s="45" t="inlineStr">
        <is>
          <t>33054 (Gestion ressources humaines)</t>
        </is>
      </c>
      <c r="N3686" s="50" t="inlineStr">
        <is>
          <t>NON</t>
        </is>
      </c>
      <c r="O3686" s="45" t="inlineStr"/>
    </row>
    <row r="3687" customFormat="1" s="3">
      <c r="A3687" s="45" t="n"/>
      <c r="B3687" s="46" t="inlineStr">
        <is>
          <t>33052</t>
        </is>
      </c>
      <c r="C3687" s="46">
        <f>LEFT(Tableau1[[#This Row],[Formacode]],3)</f>
        <v/>
      </c>
      <c r="D3687" s="47" t="n">
        <v>41128</v>
      </c>
      <c r="E3687" s="48">
        <f>"RNCP"&amp;D3687</f>
        <v/>
      </c>
      <c r="F3687" s="48" t="inlineStr">
        <is>
          <t>Chargé de développement des ressources humaines</t>
        </is>
      </c>
      <c r="G3687" s="49">
        <f>E3687&amp;" - "&amp;F3687</f>
        <v/>
      </c>
      <c r="H3687" s="36" t="inlineStr">
        <is>
          <t>RAS</t>
        </is>
      </c>
      <c r="I3687" s="45" t="inlineStr"/>
      <c r="J3687" s="45" t="inlineStr">
        <is>
          <t>RNCP41128</t>
        </is>
      </c>
      <c r="K3687" s="45" t="inlineStr">
        <is>
          <t>Chargé de développement des ressources humaines</t>
        </is>
      </c>
      <c r="L3687" s="45" t="inlineStr">
        <is>
          <t>18/07/2028</t>
        </is>
      </c>
      <c r="M3687" s="45" t="inlineStr">
        <is>
          <t>33054 (Gestion ressources humaines)</t>
        </is>
      </c>
      <c r="N3687" s="50" t="inlineStr">
        <is>
          <t>NON</t>
        </is>
      </c>
      <c r="O3687" s="45" t="inlineStr"/>
    </row>
    <row r="3688" customFormat="1" s="3">
      <c r="A3688" s="45" t="n"/>
      <c r="B3688" s="46" t="inlineStr">
        <is>
          <t>33052</t>
        </is>
      </c>
      <c r="C3688" s="46">
        <f>LEFT(Tableau1[[#This Row],[Formacode]],3)</f>
        <v/>
      </c>
      <c r="D3688" s="47" t="n">
        <v>41295</v>
      </c>
      <c r="E3688" s="48">
        <f>"RNCP"&amp;D3688</f>
        <v/>
      </c>
      <c r="F3688" s="48" t="inlineStr">
        <is>
          <t>Manager des ressources humaines</t>
        </is>
      </c>
      <c r="G3688" s="49">
        <f>E3688&amp;" - "&amp;F3688</f>
        <v/>
      </c>
      <c r="H3688" s="36" t="inlineStr">
        <is>
          <t>RAS</t>
        </is>
      </c>
      <c r="I3688" s="45" t="inlineStr"/>
      <c r="J3688" s="45" t="inlineStr">
        <is>
          <t>RNCP41295</t>
        </is>
      </c>
      <c r="K3688" s="45" t="inlineStr">
        <is>
          <t>Manager des ressources humaines</t>
        </is>
      </c>
      <c r="L3688" s="45" t="inlineStr">
        <is>
          <t>24/09/2030</t>
        </is>
      </c>
      <c r="M3688" s="45" t="inlineStr">
        <is>
          <t>33054 (Gestion ressources humaines)</t>
        </is>
      </c>
      <c r="N3688" s="50" t="inlineStr">
        <is>
          <t>NON</t>
        </is>
      </c>
      <c r="O3688" s="45" t="inlineStr"/>
    </row>
    <row r="3689" customFormat="1" s="3">
      <c r="A3689" s="45" t="n"/>
      <c r="B3689" s="46" t="inlineStr">
        <is>
          <t>33052</t>
        </is>
      </c>
      <c r="C3689" s="46">
        <f>LEFT(Tableau1[[#This Row],[Formacode]],3)</f>
        <v/>
      </c>
      <c r="D3689" s="47" t="n">
        <v>41366</v>
      </c>
      <c r="E3689" s="48">
        <f>"RNCP"&amp;D3689</f>
        <v/>
      </c>
      <c r="F3689" s="48" t="inlineStr">
        <is>
          <t>TP - Assistant ressources humaines</t>
        </is>
      </c>
      <c r="G3689" s="49">
        <f>E3689&amp;" - "&amp;F3689</f>
        <v/>
      </c>
      <c r="H3689" s="36" t="inlineStr">
        <is>
          <t>RAS</t>
        </is>
      </c>
      <c r="I3689" s="45" t="inlineStr"/>
      <c r="J3689" s="45" t="inlineStr">
        <is>
          <t>RNCP41366</t>
        </is>
      </c>
      <c r="K3689" s="45" t="inlineStr">
        <is>
          <t>Assistant ressources humaines</t>
        </is>
      </c>
      <c r="L3689" s="45" t="inlineStr">
        <is>
          <t>04/11/2027</t>
        </is>
      </c>
      <c r="M3689" s="45" t="inlineStr">
        <is>
          <t>35014 (Secrétariat assistanat ressources humaines) ; 33071 (Contrat travail) ; 33072 (Intégration salarié) ; 33060 (Recrutement) ; 44508 (Plan développement compétences)</t>
        </is>
      </c>
      <c r="N3689" s="50" t="inlineStr">
        <is>
          <t>NON</t>
        </is>
      </c>
      <c r="O3689" s="45" t="inlineStr"/>
    </row>
    <row r="3690" customFormat="1" s="3">
      <c r="A3690" s="45" t="n"/>
      <c r="B3690" s="46" t="inlineStr">
        <is>
          <t>33052</t>
        </is>
      </c>
      <c r="C3690" s="46">
        <f>LEFT(Tableau1[[#This Row],[Formacode]],3)</f>
        <v/>
      </c>
      <c r="D3690" s="47" t="n">
        <v>41441</v>
      </c>
      <c r="E3690" s="48">
        <f>"RNCP"&amp;D3690</f>
        <v/>
      </c>
      <c r="F3690" s="48" t="inlineStr">
        <is>
          <t>Responsable paie et administration du personnel</t>
        </is>
      </c>
      <c r="G3690" s="49">
        <f>E3690&amp;" - "&amp;F3690</f>
        <v/>
      </c>
      <c r="H3690" s="36" t="inlineStr">
        <is>
          <t>RAS</t>
        </is>
      </c>
      <c r="I3690" s="45" t="inlineStr"/>
      <c r="J3690" s="45" t="inlineStr">
        <is>
          <t>RNCP41441</t>
        </is>
      </c>
      <c r="K3690" s="45" t="inlineStr">
        <is>
          <t>Responsable paie et administration du personnel</t>
        </is>
      </c>
      <c r="L3690" s="45" t="inlineStr">
        <is>
          <t>27/10/2030</t>
        </is>
      </c>
      <c r="M3690" s="45" t="inlineStr">
        <is>
          <t>33052 (Administration personnel) ; 32688 (Traitement paie)</t>
        </is>
      </c>
      <c r="N3690" s="50" t="inlineStr">
        <is>
          <t>NON</t>
        </is>
      </c>
      <c r="O3690" s="45" t="inlineStr"/>
    </row>
    <row r="3691" customFormat="1" s="3">
      <c r="A3691" s="45" t="n"/>
      <c r="B3691" s="46" t="inlineStr">
        <is>
          <t>33052</t>
        </is>
      </c>
      <c r="C3691" s="46">
        <f>LEFT(Tableau1[[#This Row],[Formacode]],3)</f>
        <v/>
      </c>
      <c r="D3691" s="47" t="n">
        <v>41770</v>
      </c>
      <c r="E3691" s="48">
        <f>"RNCP"&amp;D3691</f>
        <v/>
      </c>
      <c r="F3691" s="48" t="inlineStr">
        <is>
          <t>Responsable en gestion des ressources humaines</t>
        </is>
      </c>
      <c r="G3691" s="49">
        <f>E3691&amp;" - "&amp;F3691</f>
        <v/>
      </c>
      <c r="H3691" s="36" t="inlineStr">
        <is>
          <t>RAS</t>
        </is>
      </c>
      <c r="I3691" s="45" t="inlineStr"/>
      <c r="J3691" s="45" t="inlineStr">
        <is>
          <t>RNCP41770</t>
        </is>
      </c>
      <c r="K3691" s="45" t="inlineStr">
        <is>
          <t>Responsable en gestion des ressources humaines</t>
        </is>
      </c>
      <c r="L3691" s="45" t="inlineStr">
        <is>
          <t>18/12/2028</t>
        </is>
      </c>
      <c r="M3691" s="45" t="inlineStr">
        <is>
          <t>33052 (Administration personnel)</t>
        </is>
      </c>
      <c r="N3691" s="50" t="inlineStr">
        <is>
          <t>NON</t>
        </is>
      </c>
      <c r="O3691" s="45" t="inlineStr"/>
    </row>
    <row r="3692" customFormat="1" s="3">
      <c r="A3692" s="45" t="n"/>
      <c r="B3692" s="46" t="inlineStr">
        <is>
          <t>33052</t>
        </is>
      </c>
      <c r="C3692" s="46">
        <f>LEFT(Tableau1[[#This Row],[Formacode]],3)</f>
        <v/>
      </c>
      <c r="D3692" s="47" t="n">
        <v>41797</v>
      </c>
      <c r="E3692" s="48">
        <f>"RNCP"&amp;D3692</f>
        <v/>
      </c>
      <c r="F3692" s="48" t="inlineStr">
        <is>
          <t>Chargé des ressources humaines</t>
        </is>
      </c>
      <c r="G3692" s="49">
        <f>E3692&amp;" - "&amp;F3692</f>
        <v/>
      </c>
      <c r="H3692" s="36" t="inlineStr">
        <is>
          <t>RAS</t>
        </is>
      </c>
      <c r="I3692" s="45" t="inlineStr"/>
      <c r="J3692" s="45" t="inlineStr">
        <is>
          <t>RNCP41797</t>
        </is>
      </c>
      <c r="K3692" s="45" t="inlineStr">
        <is>
          <t>Chargé des ressources humaines</t>
        </is>
      </c>
      <c r="L3692" s="45" t="inlineStr">
        <is>
          <t>18/12/2028</t>
        </is>
      </c>
      <c r="M3692" s="45" t="inlineStr">
        <is>
          <t>33052 (Administration personnel) ; 15091 (Gestion carrière personnelle) ; 33047 (Relations sociales) ; 33091 (GEPP)</t>
        </is>
      </c>
      <c r="N3692" s="50" t="inlineStr">
        <is>
          <t>NON</t>
        </is>
      </c>
      <c r="O3692" s="45" t="inlineStr"/>
    </row>
    <row r="3693" customFormat="1" s="3">
      <c r="A3693" s="45" t="n"/>
      <c r="B3693" s="46" t="inlineStr">
        <is>
          <t>33052</t>
        </is>
      </c>
      <c r="C3693" s="46">
        <f>LEFT(Tableau1[[#This Row],[Formacode]],3)</f>
        <v/>
      </c>
      <c r="D3693" s="47" t="n">
        <v>41803</v>
      </c>
      <c r="E3693" s="48">
        <f>"RNCP"&amp;D3693</f>
        <v/>
      </c>
      <c r="F3693" s="48" t="inlineStr">
        <is>
          <t>Manager des ressources humaines</t>
        </is>
      </c>
      <c r="G3693" s="49">
        <f>E3693&amp;" - "&amp;F3693</f>
        <v/>
      </c>
      <c r="H3693" s="36" t="inlineStr">
        <is>
          <t>RAS</t>
        </is>
      </c>
      <c r="I3693" s="45" t="inlineStr"/>
      <c r="J3693" s="45" t="inlineStr">
        <is>
          <t>RNCP41803</t>
        </is>
      </c>
      <c r="K3693" s="45" t="inlineStr">
        <is>
          <t>Manager des ressources humaines</t>
        </is>
      </c>
      <c r="L3693" s="45" t="inlineStr">
        <is>
          <t>18/12/2030</t>
        </is>
      </c>
      <c r="M3693" s="45" t="inlineStr">
        <is>
          <t>33054 (Gestion ressources humaines)</t>
        </is>
      </c>
      <c r="N3693" s="50" t="inlineStr">
        <is>
          <t>NON</t>
        </is>
      </c>
      <c r="O3693" s="45" t="inlineStr"/>
    </row>
    <row r="3694" customFormat="1" s="3">
      <c r="A3694" s="63" t="n"/>
      <c r="B3694" s="64" t="inlineStr">
        <is>
          <t>33053</t>
        </is>
      </c>
      <c r="C3694" s="64">
        <f>LEFT(Tableau1[[#This Row],[Formacode]],3)</f>
        <v/>
      </c>
      <c r="D3694" s="65" t="n">
        <v>35604</v>
      </c>
      <c r="E3694" s="66">
        <f>"RNCP"&amp;D3694</f>
        <v/>
      </c>
      <c r="F3694" s="66" t="inlineStr">
        <is>
          <t>Manager du développement des ressources humaines</t>
        </is>
      </c>
      <c r="G3694" s="67">
        <f>E3694&amp;" - "&amp;F3694</f>
        <v/>
      </c>
      <c r="H3694" s="38" t="inlineStr">
        <is>
          <t>Expiré / remplacé</t>
        </is>
      </c>
      <c r="I3694" s="63" t="inlineStr">
        <is>
          <t>Fiche inactive — remplacée par RNCP42518 (Manager du développement des ressources humaines (MDRH))</t>
        </is>
      </c>
      <c r="J3694" s="63" t="inlineStr">
        <is>
          <t>RNCP42518</t>
        </is>
      </c>
      <c r="K3694" s="63" t="inlineStr">
        <is>
          <t>Manager du développement des ressources humaines (MDRH)</t>
        </is>
      </c>
      <c r="L3694" s="63" t="inlineStr">
        <is>
          <t>19/05/2026</t>
        </is>
      </c>
      <c r="M3694" s="63" t="inlineStr">
        <is>
          <t>33054 (Gestion ressources humaines)</t>
        </is>
      </c>
      <c r="N3694" s="68" t="inlineStr">
        <is>
          <t>NON</t>
        </is>
      </c>
      <c r="O3694" s="63" t="inlineStr"/>
    </row>
    <row r="3695" customFormat="1" s="3">
      <c r="A3695" s="51" t="n"/>
      <c r="B3695" s="52" t="inlineStr">
        <is>
          <t>33053</t>
        </is>
      </c>
      <c r="C3695" s="52">
        <f>LEFT(Tableau1[[#This Row],[Formacode]],3)</f>
        <v/>
      </c>
      <c r="D3695" s="53" t="n">
        <v>35878</v>
      </c>
      <c r="E3695" s="54">
        <f>"RNCP"&amp;D3695</f>
        <v/>
      </c>
      <c r="F3695" s="54" t="inlineStr">
        <is>
          <t>Chargé des ressources humaines</t>
        </is>
      </c>
      <c r="G3695" s="55">
        <f>E3695&amp;" - "&amp;F3695</f>
        <v/>
      </c>
      <c r="H3695" s="37" t="inlineStr">
        <is>
          <t>À vérifier</t>
        </is>
      </c>
      <c r="I3695" s="51" t="inlineStr">
        <is>
          <t>Successeur déjà publié : RNCP42313 (Chargé des ressources humaines) — préparer la bascule de l'offre CPF | Échéance le 15/09/2026 (dans 59 j)</t>
        </is>
      </c>
      <c r="J3695" s="51" t="inlineStr">
        <is>
          <t>RNCP42313</t>
        </is>
      </c>
      <c r="K3695" s="51" t="inlineStr">
        <is>
          <t>Chargé des ressources humaines</t>
        </is>
      </c>
      <c r="L3695" s="51" t="inlineStr">
        <is>
          <t>15/09/2026</t>
        </is>
      </c>
      <c r="M3695" s="51" t="inlineStr">
        <is>
          <t>33054 (Gestion ressources humaines)</t>
        </is>
      </c>
      <c r="N3695" s="62" t="inlineStr">
        <is>
          <t>NON</t>
        </is>
      </c>
      <c r="O3695" s="51" t="inlineStr"/>
    </row>
    <row r="3696" customFormat="1" s="3">
      <c r="A3696" s="45" t="n"/>
      <c r="B3696" s="46" t="inlineStr">
        <is>
          <t>33053</t>
        </is>
      </c>
      <c r="C3696" s="46">
        <f>LEFT(Tableau1[[#This Row],[Formacode]],3)</f>
        <v/>
      </c>
      <c r="D3696" s="47" t="n">
        <v>36143</v>
      </c>
      <c r="E3696" s="48">
        <f>"RNCP"&amp;D3696</f>
        <v/>
      </c>
      <c r="F3696" s="48" t="inlineStr">
        <is>
          <t>Chargé des ressources humaines</t>
        </is>
      </c>
      <c r="G3696" s="49">
        <f>E3696&amp;" - "&amp;F3696</f>
        <v/>
      </c>
      <c r="H3696" s="36" t="inlineStr">
        <is>
          <t>RAS</t>
        </is>
      </c>
      <c r="I3696" s="45" t="inlineStr"/>
      <c r="J3696" s="45" t="inlineStr">
        <is>
          <t>RNCP36143</t>
        </is>
      </c>
      <c r="K3696" s="45" t="inlineStr">
        <is>
          <t>Chargé des ressources humaines</t>
        </is>
      </c>
      <c r="L3696" s="45" t="inlineStr">
        <is>
          <t>26/01/2027</t>
        </is>
      </c>
      <c r="M3696" s="45" t="inlineStr">
        <is>
          <t>33054 (Gestion ressources humaines)</t>
        </is>
      </c>
      <c r="N3696" s="50" t="inlineStr">
        <is>
          <t>NON</t>
        </is>
      </c>
      <c r="O3696" s="45" t="inlineStr"/>
    </row>
    <row r="3697" customFormat="1" s="3">
      <c r="A3697" s="51" t="n"/>
      <c r="B3697" s="52" t="inlineStr">
        <is>
          <t>33053</t>
        </is>
      </c>
      <c r="C3697" s="52">
        <f>LEFT(Tableau1[[#This Row],[Formacode]],3)</f>
        <v/>
      </c>
      <c r="D3697" s="53" t="n">
        <v>37851</v>
      </c>
      <c r="E3697" s="54">
        <f>"RNCP"&amp;D3697</f>
        <v/>
      </c>
      <c r="F3697" s="54" t="inlineStr">
        <is>
          <t>Manager des ressources humaines</t>
        </is>
      </c>
      <c r="G3697" s="55">
        <f>E3697&amp;" - "&amp;F3697</f>
        <v/>
      </c>
      <c r="H3697" s="37" t="inlineStr">
        <is>
          <t>À vérifier</t>
        </is>
      </c>
      <c r="I3697" s="51" t="inlineStr">
        <is>
          <t>Échéance le 19/07/2026 (dans 1 j)</t>
        </is>
      </c>
      <c r="J3697" s="51" t="inlineStr">
        <is>
          <t>RNCP37851</t>
        </is>
      </c>
      <c r="K3697" s="51" t="inlineStr">
        <is>
          <t>Manager des ressources humaines</t>
        </is>
      </c>
      <c r="L3697" s="51" t="inlineStr">
        <is>
          <t>19/07/2026</t>
        </is>
      </c>
      <c r="M3697" s="51" t="inlineStr">
        <is>
          <t>33054 (Gestion ressources humaines)</t>
        </is>
      </c>
      <c r="N3697" s="62" t="inlineStr">
        <is>
          <t>NON</t>
        </is>
      </c>
      <c r="O3697" s="51" t="inlineStr"/>
    </row>
    <row r="3698" customFormat="1" s="3">
      <c r="A3698" s="51" t="n"/>
      <c r="B3698" s="52" t="inlineStr">
        <is>
          <t>33053</t>
        </is>
      </c>
      <c r="C3698" s="52">
        <f>LEFT(Tableau1[[#This Row],[Formacode]],3)</f>
        <v/>
      </c>
      <c r="D3698" s="53" t="n">
        <v>38241</v>
      </c>
      <c r="E3698" s="54">
        <f>"RNCP"&amp;D3698</f>
        <v/>
      </c>
      <c r="F3698" s="54" t="inlineStr">
        <is>
          <t>CQP Chargé de ressources humaines</t>
        </is>
      </c>
      <c r="G3698" s="55">
        <f>E3698&amp;" - "&amp;F3698</f>
        <v/>
      </c>
      <c r="H3698" s="37" t="inlineStr">
        <is>
          <t>À vérifier</t>
        </is>
      </c>
      <c r="I3698" s="51" t="inlineStr">
        <is>
          <t>Échéance le 15/11/2026 (dans 120 j)</t>
        </is>
      </c>
      <c r="J3698" s="51" t="inlineStr">
        <is>
          <t>RNCP38241</t>
        </is>
      </c>
      <c r="K3698" s="51" t="inlineStr">
        <is>
          <t>CQP Chargé de ressources humaines</t>
        </is>
      </c>
      <c r="L3698" s="51" t="inlineStr">
        <is>
          <t>15/11/2026</t>
        </is>
      </c>
      <c r="M3698" s="51" t="inlineStr">
        <is>
          <t>33054 (Gestion ressources humaines)</t>
        </is>
      </c>
      <c r="N3698" s="62" t="inlineStr">
        <is>
          <t>NON</t>
        </is>
      </c>
      <c r="O3698" s="51" t="inlineStr"/>
    </row>
    <row r="3699" customFormat="1" s="3">
      <c r="A3699" s="51" t="n"/>
      <c r="B3699" s="52" t="inlineStr">
        <is>
          <t>33053</t>
        </is>
      </c>
      <c r="C3699" s="52">
        <f>LEFT(Tableau1[[#This Row],[Formacode]],3)</f>
        <v/>
      </c>
      <c r="D3699" s="53" t="n">
        <v>38460</v>
      </c>
      <c r="E3699" s="54">
        <f>"RNCP"&amp;D3699</f>
        <v/>
      </c>
      <c r="F3699" s="54" t="inlineStr">
        <is>
          <t>Manager en ressources humaines</t>
        </is>
      </c>
      <c r="G3699" s="55">
        <f>E3699&amp;" - "&amp;F3699</f>
        <v/>
      </c>
      <c r="H3699" s="37" t="inlineStr">
        <is>
          <t>À vérifier</t>
        </is>
      </c>
      <c r="I3699" s="51" t="inlineStr">
        <is>
          <t>Échéance le 21/12/2026 (dans 156 j)</t>
        </is>
      </c>
      <c r="J3699" s="51" t="inlineStr">
        <is>
          <t>RNCP38460</t>
        </is>
      </c>
      <c r="K3699" s="51" t="inlineStr">
        <is>
          <t>Manager en ressources humaines</t>
        </is>
      </c>
      <c r="L3699" s="51" t="inlineStr">
        <is>
          <t>21/12/2026</t>
        </is>
      </c>
      <c r="M3699" s="51" t="inlineStr">
        <is>
          <t>33054 (Gestion ressources humaines)</t>
        </is>
      </c>
      <c r="N3699" s="62" t="inlineStr">
        <is>
          <t>NON</t>
        </is>
      </c>
      <c r="O3699" s="51" t="inlineStr"/>
    </row>
    <row r="3700" customFormat="1" s="3">
      <c r="A3700" s="51" t="n"/>
      <c r="B3700" s="52" t="inlineStr">
        <is>
          <t>33053</t>
        </is>
      </c>
      <c r="C3700" s="52">
        <f>LEFT(Tableau1[[#This Row],[Formacode]],3)</f>
        <v/>
      </c>
      <c r="D3700" s="53" t="n">
        <v>38489</v>
      </c>
      <c r="E3700" s="54">
        <f>"RNCP"&amp;D3700</f>
        <v/>
      </c>
      <c r="F3700" s="54" t="inlineStr">
        <is>
          <t>Manager des ressources humaines</t>
        </is>
      </c>
      <c r="G3700" s="55">
        <f>E3700&amp;" - "&amp;F3700</f>
        <v/>
      </c>
      <c r="H3700" s="37" t="inlineStr">
        <is>
          <t>À vérifier</t>
        </is>
      </c>
      <c r="I3700" s="51" t="inlineStr">
        <is>
          <t>Échéance le 21/12/2026 (dans 156 j)</t>
        </is>
      </c>
      <c r="J3700" s="51" t="inlineStr">
        <is>
          <t>RNCP38489</t>
        </is>
      </c>
      <c r="K3700" s="51" t="inlineStr">
        <is>
          <t>Manager des ressources humaines</t>
        </is>
      </c>
      <c r="L3700" s="51" t="inlineStr">
        <is>
          <t>21/12/2026</t>
        </is>
      </c>
      <c r="M3700" s="51" t="inlineStr">
        <is>
          <t>33054 (Gestion ressources humaines)</t>
        </is>
      </c>
      <c r="N3700" s="62" t="inlineStr">
        <is>
          <t>NON</t>
        </is>
      </c>
      <c r="O3700" s="51" t="inlineStr"/>
    </row>
    <row r="3701" customFormat="1" s="3">
      <c r="A3701" s="45" t="n"/>
      <c r="B3701" s="46" t="inlineStr">
        <is>
          <t>33053</t>
        </is>
      </c>
      <c r="C3701" s="46">
        <f>LEFT(Tableau1[[#This Row],[Formacode]],3)</f>
        <v/>
      </c>
      <c r="D3701" s="47" t="n">
        <v>38836</v>
      </c>
      <c r="E3701" s="48">
        <f>"RNCP"&amp;D3701</f>
        <v/>
      </c>
      <c r="F3701" s="48" t="inlineStr">
        <is>
          <t>Responsable du développement des ressources humaines</t>
        </is>
      </c>
      <c r="G3701" s="49">
        <f>E3701&amp;" - "&amp;F3701</f>
        <v/>
      </c>
      <c r="H3701" s="36" t="inlineStr">
        <is>
          <t>RAS</t>
        </is>
      </c>
      <c r="I3701" s="45" t="inlineStr"/>
      <c r="J3701" s="45" t="inlineStr">
        <is>
          <t>RNCP38836</t>
        </is>
      </c>
      <c r="K3701" s="45" t="inlineStr">
        <is>
          <t>Responsable du développement des ressources humaines</t>
        </is>
      </c>
      <c r="L3701" s="45" t="inlineStr">
        <is>
          <t>27/03/2029</t>
        </is>
      </c>
      <c r="M3701" s="45" t="inlineStr">
        <is>
          <t>33054 (Gestion ressources humaines)</t>
        </is>
      </c>
      <c r="N3701" s="50" t="inlineStr">
        <is>
          <t>NON</t>
        </is>
      </c>
      <c r="O3701" s="45" t="inlineStr"/>
    </row>
    <row r="3702" customFormat="1" s="3">
      <c r="A3702" s="45" t="n"/>
      <c r="B3702" s="46" t="inlineStr">
        <is>
          <t>33053</t>
        </is>
      </c>
      <c r="C3702" s="46">
        <f>LEFT(Tableau1[[#This Row],[Formacode]],3)</f>
        <v/>
      </c>
      <c r="D3702" s="47" t="n">
        <v>39364</v>
      </c>
      <c r="E3702" s="48">
        <f>"RNCP"&amp;D3702</f>
        <v/>
      </c>
      <c r="F3702" s="48" t="inlineStr">
        <is>
          <t>Manager en stratégie et développement des ressources humaines</t>
        </is>
      </c>
      <c r="G3702" s="49">
        <f>E3702&amp;" - "&amp;F3702</f>
        <v/>
      </c>
      <c r="H3702" s="36" t="inlineStr">
        <is>
          <t>RAS</t>
        </is>
      </c>
      <c r="I3702" s="45" t="inlineStr"/>
      <c r="J3702" s="45" t="inlineStr">
        <is>
          <t>RNCP39364</t>
        </is>
      </c>
      <c r="K3702" s="45" t="inlineStr">
        <is>
          <t>Manager en stratégie et développement des ressources humaines</t>
        </is>
      </c>
      <c r="L3702" s="45" t="inlineStr">
        <is>
          <t>19/07/2028</t>
        </is>
      </c>
      <c r="M3702" s="45" t="inlineStr">
        <is>
          <t>33054 (Gestion ressources humaines) ; 32025 (Stratégie entreprise)</t>
        </is>
      </c>
      <c r="N3702" s="50" t="inlineStr">
        <is>
          <t>NON</t>
        </is>
      </c>
      <c r="O3702" s="45" t="inlineStr"/>
    </row>
    <row r="3703" customFormat="1" s="3">
      <c r="A3703" s="45" t="n"/>
      <c r="B3703" s="46" t="inlineStr">
        <is>
          <t>33053</t>
        </is>
      </c>
      <c r="C3703" s="46">
        <f>LEFT(Tableau1[[#This Row],[Formacode]],3)</f>
        <v/>
      </c>
      <c r="D3703" s="47" t="n">
        <v>39864</v>
      </c>
      <c r="E3703" s="48">
        <f>"RNCP"&amp;D3703</f>
        <v/>
      </c>
      <c r="F3703" s="48" t="inlineStr">
        <is>
          <t>Manager du développement des ressources humaines</t>
        </is>
      </c>
      <c r="G3703" s="49">
        <f>E3703&amp;" - "&amp;F3703</f>
        <v/>
      </c>
      <c r="H3703" s="36" t="inlineStr">
        <is>
          <t>RAS</t>
        </is>
      </c>
      <c r="I3703" s="45" t="inlineStr"/>
      <c r="J3703" s="45" t="inlineStr">
        <is>
          <t>RNCP39864</t>
        </is>
      </c>
      <c r="K3703" s="45" t="inlineStr">
        <is>
          <t>Manager du développement des ressources humaines</t>
        </is>
      </c>
      <c r="L3703" s="45" t="inlineStr">
        <is>
          <t>28/11/2027</t>
        </is>
      </c>
      <c r="M3703" s="45" t="inlineStr">
        <is>
          <t>33054 (Gestion ressources humaines) ; 32154 (Encadrement management)</t>
        </is>
      </c>
      <c r="N3703" s="50" t="inlineStr">
        <is>
          <t>NON</t>
        </is>
      </c>
      <c r="O3703" s="45" t="inlineStr"/>
    </row>
    <row r="3704" customFormat="1" s="3">
      <c r="A3704" s="45" t="n"/>
      <c r="B3704" s="46" t="inlineStr">
        <is>
          <t>33053</t>
        </is>
      </c>
      <c r="C3704" s="46">
        <f>LEFT(Tableau1[[#This Row],[Formacode]],3)</f>
        <v/>
      </c>
      <c r="D3704" s="47" t="n">
        <v>40594</v>
      </c>
      <c r="E3704" s="48">
        <f>"RNCP"&amp;D3704</f>
        <v/>
      </c>
      <c r="F3704" s="48" t="inlineStr">
        <is>
          <t>Chargé de missions RH</t>
        </is>
      </c>
      <c r="G3704" s="49">
        <f>E3704&amp;" - "&amp;F3704</f>
        <v/>
      </c>
      <c r="H3704" s="36" t="inlineStr">
        <is>
          <t>RAS</t>
        </is>
      </c>
      <c r="I3704" s="45" t="inlineStr"/>
      <c r="J3704" s="45" t="inlineStr">
        <is>
          <t>RNCP40594</t>
        </is>
      </c>
      <c r="K3704" s="45" t="inlineStr">
        <is>
          <t>Chargé de missions RH</t>
        </is>
      </c>
      <c r="L3704" s="45" t="inlineStr">
        <is>
          <t>30/04/2028</t>
        </is>
      </c>
      <c r="M3704" s="45" t="inlineStr">
        <is>
          <t>33054 (Gestion ressources humaines)</t>
        </is>
      </c>
      <c r="N3704" s="50" t="inlineStr">
        <is>
          <t>NON</t>
        </is>
      </c>
      <c r="O3704" s="45" t="inlineStr"/>
    </row>
    <row r="3705" customFormat="1" s="3">
      <c r="A3705" s="45" t="n"/>
      <c r="B3705" s="46" t="inlineStr">
        <is>
          <t>33053</t>
        </is>
      </c>
      <c r="C3705" s="46">
        <f>LEFT(Tableau1[[#This Row],[Formacode]],3)</f>
        <v/>
      </c>
      <c r="D3705" s="47" t="n">
        <v>40863</v>
      </c>
      <c r="E3705" s="48">
        <f>"RNCP"&amp;D3705</f>
        <v/>
      </c>
      <c r="F3705" s="48" t="inlineStr">
        <is>
          <t>Responsable de gestion des ressources humaines</t>
        </is>
      </c>
      <c r="G3705" s="49">
        <f>E3705&amp;" - "&amp;F3705</f>
        <v/>
      </c>
      <c r="H3705" s="36" t="inlineStr">
        <is>
          <t>RAS</t>
        </is>
      </c>
      <c r="I3705" s="45" t="inlineStr"/>
      <c r="J3705" s="45" t="inlineStr">
        <is>
          <t>RNCP40863</t>
        </is>
      </c>
      <c r="K3705" s="45" t="inlineStr">
        <is>
          <t>Responsable de gestion des ressources humaines</t>
        </is>
      </c>
      <c r="L3705" s="45" t="inlineStr">
        <is>
          <t>25/06/2028</t>
        </is>
      </c>
      <c r="M3705" s="45" t="inlineStr">
        <is>
          <t>33054 (Gestion ressources humaines)</t>
        </is>
      </c>
      <c r="N3705" s="50" t="inlineStr">
        <is>
          <t>NON</t>
        </is>
      </c>
      <c r="O3705" s="45" t="inlineStr"/>
    </row>
    <row r="3706" customFormat="1" s="3">
      <c r="A3706" s="45" t="n"/>
      <c r="B3706" s="46" t="inlineStr">
        <is>
          <t>33053</t>
        </is>
      </c>
      <c r="C3706" s="46">
        <f>LEFT(Tableau1[[#This Row],[Formacode]],3)</f>
        <v/>
      </c>
      <c r="D3706" s="47" t="n">
        <v>41128</v>
      </c>
      <c r="E3706" s="48">
        <f>"RNCP"&amp;D3706</f>
        <v/>
      </c>
      <c r="F3706" s="48" t="inlineStr">
        <is>
          <t>Chargé de développement des ressources humaines</t>
        </is>
      </c>
      <c r="G3706" s="49">
        <f>E3706&amp;" - "&amp;F3706</f>
        <v/>
      </c>
      <c r="H3706" s="36" t="inlineStr">
        <is>
          <t>RAS</t>
        </is>
      </c>
      <c r="I3706" s="45" t="inlineStr"/>
      <c r="J3706" s="45" t="inlineStr">
        <is>
          <t>RNCP41128</t>
        </is>
      </c>
      <c r="K3706" s="45" t="inlineStr">
        <is>
          <t>Chargé de développement des ressources humaines</t>
        </is>
      </c>
      <c r="L3706" s="45" t="inlineStr">
        <is>
          <t>18/07/2028</t>
        </is>
      </c>
      <c r="M3706" s="45" t="inlineStr">
        <is>
          <t>33054 (Gestion ressources humaines)</t>
        </is>
      </c>
      <c r="N3706" s="50" t="inlineStr">
        <is>
          <t>NON</t>
        </is>
      </c>
      <c r="O3706" s="45" t="inlineStr"/>
    </row>
    <row r="3707" customFormat="1" s="3">
      <c r="A3707" s="45" t="n"/>
      <c r="B3707" s="46" t="inlineStr">
        <is>
          <t>33053</t>
        </is>
      </c>
      <c r="C3707" s="46">
        <f>LEFT(Tableau1[[#This Row],[Formacode]],3)</f>
        <v/>
      </c>
      <c r="D3707" s="47" t="n">
        <v>41295</v>
      </c>
      <c r="E3707" s="48">
        <f>"RNCP"&amp;D3707</f>
        <v/>
      </c>
      <c r="F3707" s="48" t="inlineStr">
        <is>
          <t>Manager des ressources humaines</t>
        </is>
      </c>
      <c r="G3707" s="49">
        <f>E3707&amp;" - "&amp;F3707</f>
        <v/>
      </c>
      <c r="H3707" s="36" t="inlineStr">
        <is>
          <t>RAS</t>
        </is>
      </c>
      <c r="I3707" s="45" t="inlineStr"/>
      <c r="J3707" s="45" t="inlineStr">
        <is>
          <t>RNCP41295</t>
        </is>
      </c>
      <c r="K3707" s="45" t="inlineStr">
        <is>
          <t>Manager des ressources humaines</t>
        </is>
      </c>
      <c r="L3707" s="45" t="inlineStr">
        <is>
          <t>24/09/2030</t>
        </is>
      </c>
      <c r="M3707" s="45" t="inlineStr">
        <is>
          <t>33054 (Gestion ressources humaines)</t>
        </is>
      </c>
      <c r="N3707" s="50" t="inlineStr">
        <is>
          <t>NON</t>
        </is>
      </c>
      <c r="O3707" s="45" t="inlineStr"/>
    </row>
    <row r="3708" customFormat="1" s="3">
      <c r="A3708" s="45" t="n"/>
      <c r="B3708" s="46" t="inlineStr">
        <is>
          <t>33053</t>
        </is>
      </c>
      <c r="C3708" s="46">
        <f>LEFT(Tableau1[[#This Row],[Formacode]],3)</f>
        <v/>
      </c>
      <c r="D3708" s="47" t="n">
        <v>41803</v>
      </c>
      <c r="E3708" s="48">
        <f>"RNCP"&amp;D3708</f>
        <v/>
      </c>
      <c r="F3708" s="48" t="inlineStr">
        <is>
          <t>Manager des ressources humaines</t>
        </is>
      </c>
      <c r="G3708" s="49">
        <f>E3708&amp;" - "&amp;F3708</f>
        <v/>
      </c>
      <c r="H3708" s="36" t="inlineStr">
        <is>
          <t>RAS</t>
        </is>
      </c>
      <c r="I3708" s="45" t="inlineStr"/>
      <c r="J3708" s="45" t="inlineStr">
        <is>
          <t>RNCP41803</t>
        </is>
      </c>
      <c r="K3708" s="45" t="inlineStr">
        <is>
          <t>Manager des ressources humaines</t>
        </is>
      </c>
      <c r="L3708" s="45" t="inlineStr">
        <is>
          <t>18/12/2030</t>
        </is>
      </c>
      <c r="M3708" s="45" t="inlineStr">
        <is>
          <t>33054 (Gestion ressources humaines)</t>
        </is>
      </c>
      <c r="N3708" s="50" t="inlineStr">
        <is>
          <t>NON</t>
        </is>
      </c>
      <c r="O3708" s="45" t="inlineStr"/>
    </row>
    <row r="3709" customFormat="1" s="3">
      <c r="A3709" s="63" t="n"/>
      <c r="B3709" s="64" t="inlineStr">
        <is>
          <t>33070</t>
        </is>
      </c>
      <c r="C3709" s="64">
        <f>LEFT(Tableau1[[#This Row],[Formacode]],3)</f>
        <v/>
      </c>
      <c r="D3709" s="65" t="n">
        <v>35604</v>
      </c>
      <c r="E3709" s="66">
        <f>"RNCP"&amp;D3709</f>
        <v/>
      </c>
      <c r="F3709" s="66" t="inlineStr">
        <is>
          <t>Manager du développement des ressources humaines</t>
        </is>
      </c>
      <c r="G3709" s="67">
        <f>E3709&amp;" - "&amp;F3709</f>
        <v/>
      </c>
      <c r="H3709" s="38" t="inlineStr">
        <is>
          <t>Expiré / remplacé</t>
        </is>
      </c>
      <c r="I3709" s="63" t="inlineStr">
        <is>
          <t>Fiche inactive — remplacée par RNCP42518 (Manager du développement des ressources humaines (MDRH))</t>
        </is>
      </c>
      <c r="J3709" s="63" t="inlineStr">
        <is>
          <t>RNCP42518</t>
        </is>
      </c>
      <c r="K3709" s="63" t="inlineStr">
        <is>
          <t>Manager du développement des ressources humaines (MDRH)</t>
        </is>
      </c>
      <c r="L3709" s="63" t="inlineStr">
        <is>
          <t>19/05/2026</t>
        </is>
      </c>
      <c r="M3709" s="63" t="inlineStr">
        <is>
          <t>33054 (Gestion ressources humaines)</t>
        </is>
      </c>
      <c r="N3709" s="68" t="inlineStr">
        <is>
          <t>NON</t>
        </is>
      </c>
      <c r="O3709" s="63" t="inlineStr"/>
    </row>
    <row r="3710" customFormat="1" s="3">
      <c r="A3710" s="63" t="n"/>
      <c r="B3710" s="64" t="inlineStr">
        <is>
          <t>33070</t>
        </is>
      </c>
      <c r="C3710" s="64">
        <f>LEFT(Tableau1[[#This Row],[Formacode]],3)</f>
        <v/>
      </c>
      <c r="D3710" s="65" t="n">
        <v>35767</v>
      </c>
      <c r="E3710" s="66">
        <f>"RNCP"&amp;D3710</f>
        <v/>
      </c>
      <c r="F3710" s="66" t="inlineStr">
        <is>
          <t>Chargé de recrutement</t>
        </is>
      </c>
      <c r="G3710" s="67">
        <f>E3710&amp;" - "&amp;F3710</f>
        <v/>
      </c>
      <c r="H3710" s="38" t="inlineStr">
        <is>
          <t>Expiré / remplacé</t>
        </is>
      </c>
      <c r="I3710" s="63" t="inlineStr">
        <is>
          <t>Fiche inactive (échéance 08/07/2026) — aucun successeur publié</t>
        </is>
      </c>
      <c r="J3710" s="63" t="inlineStr">
        <is>
          <t>RNCP35767</t>
        </is>
      </c>
      <c r="K3710" s="63" t="inlineStr">
        <is>
          <t>Chargé de recrutement</t>
        </is>
      </c>
      <c r="L3710" s="63" t="inlineStr">
        <is>
          <t>08/07/2026</t>
        </is>
      </c>
      <c r="M3710" s="63" t="inlineStr">
        <is>
          <t>33060 (Recrutement) ; 33070 (Travail temporaire)</t>
        </is>
      </c>
      <c r="N3710" s="68" t="inlineStr">
        <is>
          <t>NON</t>
        </is>
      </c>
      <c r="O3710" s="63" t="inlineStr"/>
    </row>
    <row r="3711" customFormat="1" s="3">
      <c r="A3711" s="51" t="n"/>
      <c r="B3711" s="52" t="inlineStr">
        <is>
          <t>33070</t>
        </is>
      </c>
      <c r="C3711" s="52">
        <f>LEFT(Tableau1[[#This Row],[Formacode]],3)</f>
        <v/>
      </c>
      <c r="D3711" s="53" t="n">
        <v>35878</v>
      </c>
      <c r="E3711" s="54">
        <f>"RNCP"&amp;D3711</f>
        <v/>
      </c>
      <c r="F3711" s="54" t="inlineStr">
        <is>
          <t>Chargé des ressources humaines</t>
        </is>
      </c>
      <c r="G3711" s="55">
        <f>E3711&amp;" - "&amp;F3711</f>
        <v/>
      </c>
      <c r="H3711" s="37" t="inlineStr">
        <is>
          <t>À vérifier</t>
        </is>
      </c>
      <c r="I3711" s="51" t="inlineStr">
        <is>
          <t>Successeur déjà publié : RNCP42313 (Chargé des ressources humaines) — préparer la bascule de l'offre CPF | Échéance le 15/09/2026 (dans 59 j)</t>
        </is>
      </c>
      <c r="J3711" s="51" t="inlineStr">
        <is>
          <t>RNCP42313</t>
        </is>
      </c>
      <c r="K3711" s="51" t="inlineStr">
        <is>
          <t>Chargé des ressources humaines</t>
        </is>
      </c>
      <c r="L3711" s="51" t="inlineStr">
        <is>
          <t>15/09/2026</t>
        </is>
      </c>
      <c r="M3711" s="51" t="inlineStr">
        <is>
          <t>33054 (Gestion ressources humaines)</t>
        </is>
      </c>
      <c r="N3711" s="62" t="inlineStr">
        <is>
          <t>NON</t>
        </is>
      </c>
      <c r="O3711" s="51" t="inlineStr"/>
    </row>
    <row r="3712" customFormat="1" s="3">
      <c r="A3712" s="45" t="n"/>
      <c r="B3712" s="46" t="inlineStr">
        <is>
          <t>33070</t>
        </is>
      </c>
      <c r="C3712" s="46">
        <f>LEFT(Tableau1[[#This Row],[Formacode]],3)</f>
        <v/>
      </c>
      <c r="D3712" s="47" t="n">
        <v>36143</v>
      </c>
      <c r="E3712" s="48">
        <f>"RNCP"&amp;D3712</f>
        <v/>
      </c>
      <c r="F3712" s="48" t="inlineStr">
        <is>
          <t>Chargé des ressources humaines</t>
        </is>
      </c>
      <c r="G3712" s="49">
        <f>E3712&amp;" - "&amp;F3712</f>
        <v/>
      </c>
      <c r="H3712" s="36" t="inlineStr">
        <is>
          <t>RAS</t>
        </is>
      </c>
      <c r="I3712" s="45" t="inlineStr"/>
      <c r="J3712" s="45" t="inlineStr">
        <is>
          <t>RNCP36143</t>
        </is>
      </c>
      <c r="K3712" s="45" t="inlineStr">
        <is>
          <t>Chargé des ressources humaines</t>
        </is>
      </c>
      <c r="L3712" s="45" t="inlineStr">
        <is>
          <t>26/01/2027</t>
        </is>
      </c>
      <c r="M3712" s="45" t="inlineStr">
        <is>
          <t>33054 (Gestion ressources humaines)</t>
        </is>
      </c>
      <c r="N3712" s="50" t="inlineStr">
        <is>
          <t>NON</t>
        </is>
      </c>
      <c r="O3712" s="45" t="inlineStr"/>
    </row>
    <row r="3713" customFormat="1" s="3">
      <c r="A3713" s="51" t="n"/>
      <c r="B3713" s="52" t="inlineStr">
        <is>
          <t>33070</t>
        </is>
      </c>
      <c r="C3713" s="52">
        <f>LEFT(Tableau1[[#This Row],[Formacode]],3)</f>
        <v/>
      </c>
      <c r="D3713" s="53" t="n">
        <v>37851</v>
      </c>
      <c r="E3713" s="54">
        <f>"RNCP"&amp;D3713</f>
        <v/>
      </c>
      <c r="F3713" s="54" t="inlineStr">
        <is>
          <t>Manager des ressources humaines</t>
        </is>
      </c>
      <c r="G3713" s="55">
        <f>E3713&amp;" - "&amp;F3713</f>
        <v/>
      </c>
      <c r="H3713" s="37" t="inlineStr">
        <is>
          <t>À vérifier</t>
        </is>
      </c>
      <c r="I3713" s="51" t="inlineStr">
        <is>
          <t>Échéance le 19/07/2026 (dans 1 j)</t>
        </is>
      </c>
      <c r="J3713" s="51" t="inlineStr">
        <is>
          <t>RNCP37851</t>
        </is>
      </c>
      <c r="K3713" s="51" t="inlineStr">
        <is>
          <t>Manager des ressources humaines</t>
        </is>
      </c>
      <c r="L3713" s="51" t="inlineStr">
        <is>
          <t>19/07/2026</t>
        </is>
      </c>
      <c r="M3713" s="51" t="inlineStr">
        <is>
          <t>33054 (Gestion ressources humaines)</t>
        </is>
      </c>
      <c r="N3713" s="62" t="inlineStr">
        <is>
          <t>NON</t>
        </is>
      </c>
      <c r="O3713" s="51" t="inlineStr"/>
    </row>
    <row r="3714" customFormat="1" s="3">
      <c r="A3714" s="51" t="n"/>
      <c r="B3714" s="52" t="inlineStr">
        <is>
          <t>33070</t>
        </is>
      </c>
      <c r="C3714" s="52">
        <f>LEFT(Tableau1[[#This Row],[Formacode]],3)</f>
        <v/>
      </c>
      <c r="D3714" s="53" t="n">
        <v>38241</v>
      </c>
      <c r="E3714" s="54">
        <f>"RNCP"&amp;D3714</f>
        <v/>
      </c>
      <c r="F3714" s="54" t="inlineStr">
        <is>
          <t>CQP Chargé de ressources humaines</t>
        </is>
      </c>
      <c r="G3714" s="55">
        <f>E3714&amp;" - "&amp;F3714</f>
        <v/>
      </c>
      <c r="H3714" s="37" t="inlineStr">
        <is>
          <t>À vérifier</t>
        </is>
      </c>
      <c r="I3714" s="51" t="inlineStr">
        <is>
          <t>Échéance le 15/11/2026 (dans 120 j)</t>
        </is>
      </c>
      <c r="J3714" s="51" t="inlineStr">
        <is>
          <t>RNCP38241</t>
        </is>
      </c>
      <c r="K3714" s="51" t="inlineStr">
        <is>
          <t>CQP Chargé de ressources humaines</t>
        </is>
      </c>
      <c r="L3714" s="51" t="inlineStr">
        <is>
          <t>15/11/2026</t>
        </is>
      </c>
      <c r="M3714" s="51" t="inlineStr">
        <is>
          <t>33054 (Gestion ressources humaines)</t>
        </is>
      </c>
      <c r="N3714" s="62" t="inlineStr">
        <is>
          <t>NON</t>
        </is>
      </c>
      <c r="O3714" s="51" t="inlineStr"/>
    </row>
    <row r="3715" customFormat="1" s="3">
      <c r="A3715" s="51" t="n"/>
      <c r="B3715" s="52" t="inlineStr">
        <is>
          <t>33070</t>
        </is>
      </c>
      <c r="C3715" s="52">
        <f>LEFT(Tableau1[[#This Row],[Formacode]],3)</f>
        <v/>
      </c>
      <c r="D3715" s="53" t="n">
        <v>38460</v>
      </c>
      <c r="E3715" s="54">
        <f>"RNCP"&amp;D3715</f>
        <v/>
      </c>
      <c r="F3715" s="54" t="inlineStr">
        <is>
          <t>Manager en ressources humaines</t>
        </is>
      </c>
      <c r="G3715" s="55">
        <f>E3715&amp;" - "&amp;F3715</f>
        <v/>
      </c>
      <c r="H3715" s="37" t="inlineStr">
        <is>
          <t>À vérifier</t>
        </is>
      </c>
      <c r="I3715" s="51" t="inlineStr">
        <is>
          <t>Échéance le 21/12/2026 (dans 156 j)</t>
        </is>
      </c>
      <c r="J3715" s="51" t="inlineStr">
        <is>
          <t>RNCP38460</t>
        </is>
      </c>
      <c r="K3715" s="51" t="inlineStr">
        <is>
          <t>Manager en ressources humaines</t>
        </is>
      </c>
      <c r="L3715" s="51" t="inlineStr">
        <is>
          <t>21/12/2026</t>
        </is>
      </c>
      <c r="M3715" s="51" t="inlineStr">
        <is>
          <t>33054 (Gestion ressources humaines)</t>
        </is>
      </c>
      <c r="N3715" s="62" t="inlineStr">
        <is>
          <t>NON</t>
        </is>
      </c>
      <c r="O3715" s="51" t="inlineStr"/>
    </row>
    <row r="3716" customFormat="1" s="3">
      <c r="A3716" s="51" t="n"/>
      <c r="B3716" s="52" t="inlineStr">
        <is>
          <t>33070</t>
        </is>
      </c>
      <c r="C3716" s="52">
        <f>LEFT(Tableau1[[#This Row],[Formacode]],3)</f>
        <v/>
      </c>
      <c r="D3716" s="53" t="n">
        <v>38489</v>
      </c>
      <c r="E3716" s="54">
        <f>"RNCP"&amp;D3716</f>
        <v/>
      </c>
      <c r="F3716" s="54" t="inlineStr">
        <is>
          <t>Manager des ressources humaines</t>
        </is>
      </c>
      <c r="G3716" s="55">
        <f>E3716&amp;" - "&amp;F3716</f>
        <v/>
      </c>
      <c r="H3716" s="37" t="inlineStr">
        <is>
          <t>À vérifier</t>
        </is>
      </c>
      <c r="I3716" s="51" t="inlineStr">
        <is>
          <t>Échéance le 21/12/2026 (dans 156 j)</t>
        </is>
      </c>
      <c r="J3716" s="51" t="inlineStr">
        <is>
          <t>RNCP38489</t>
        </is>
      </c>
      <c r="K3716" s="51" t="inlineStr">
        <is>
          <t>Manager des ressources humaines</t>
        </is>
      </c>
      <c r="L3716" s="51" t="inlineStr">
        <is>
          <t>21/12/2026</t>
        </is>
      </c>
      <c r="M3716" s="51" t="inlineStr">
        <is>
          <t>33054 (Gestion ressources humaines)</t>
        </is>
      </c>
      <c r="N3716" s="62" t="inlineStr">
        <is>
          <t>NON</t>
        </is>
      </c>
      <c r="O3716" s="51" t="inlineStr"/>
    </row>
    <row r="3717" customFormat="1" s="3">
      <c r="A3717" s="45" t="n"/>
      <c r="B3717" s="46" t="inlineStr">
        <is>
          <t>33070</t>
        </is>
      </c>
      <c r="C3717" s="46">
        <f>LEFT(Tableau1[[#This Row],[Formacode]],3)</f>
        <v/>
      </c>
      <c r="D3717" s="47" t="n">
        <v>38836</v>
      </c>
      <c r="E3717" s="48">
        <f>"RNCP"&amp;D3717</f>
        <v/>
      </c>
      <c r="F3717" s="48" t="inlineStr">
        <is>
          <t>Responsable du développement des ressources humaines</t>
        </is>
      </c>
      <c r="G3717" s="49">
        <f>E3717&amp;" - "&amp;F3717</f>
        <v/>
      </c>
      <c r="H3717" s="36" t="inlineStr">
        <is>
          <t>RAS</t>
        </is>
      </c>
      <c r="I3717" s="45" t="inlineStr"/>
      <c r="J3717" s="45" t="inlineStr">
        <is>
          <t>RNCP38836</t>
        </is>
      </c>
      <c r="K3717" s="45" t="inlineStr">
        <is>
          <t>Responsable du développement des ressources humaines</t>
        </is>
      </c>
      <c r="L3717" s="45" t="inlineStr">
        <is>
          <t>27/03/2029</t>
        </is>
      </c>
      <c r="M3717" s="45" t="inlineStr">
        <is>
          <t>33054 (Gestion ressources humaines)</t>
        </is>
      </c>
      <c r="N3717" s="50" t="inlineStr">
        <is>
          <t>NON</t>
        </is>
      </c>
      <c r="O3717" s="45" t="inlineStr"/>
    </row>
    <row r="3718" customFormat="1" s="3">
      <c r="A3718" s="45" t="n"/>
      <c r="B3718" s="46" t="inlineStr">
        <is>
          <t>33070</t>
        </is>
      </c>
      <c r="C3718" s="46">
        <f>LEFT(Tableau1[[#This Row],[Formacode]],3)</f>
        <v/>
      </c>
      <c r="D3718" s="47" t="n">
        <v>39364</v>
      </c>
      <c r="E3718" s="48">
        <f>"RNCP"&amp;D3718</f>
        <v/>
      </c>
      <c r="F3718" s="48" t="inlineStr">
        <is>
          <t>Manager en stratégie et développement des ressources humaines</t>
        </is>
      </c>
      <c r="G3718" s="49">
        <f>E3718&amp;" - "&amp;F3718</f>
        <v/>
      </c>
      <c r="H3718" s="36" t="inlineStr">
        <is>
          <t>RAS</t>
        </is>
      </c>
      <c r="I3718" s="45" t="inlineStr"/>
      <c r="J3718" s="45" t="inlineStr">
        <is>
          <t>RNCP39364</t>
        </is>
      </c>
      <c r="K3718" s="45" t="inlineStr">
        <is>
          <t>Manager en stratégie et développement des ressources humaines</t>
        </is>
      </c>
      <c r="L3718" s="45" t="inlineStr">
        <is>
          <t>19/07/2028</t>
        </is>
      </c>
      <c r="M3718" s="45" t="inlineStr">
        <is>
          <t>33054 (Gestion ressources humaines) ; 32025 (Stratégie entreprise)</t>
        </is>
      </c>
      <c r="N3718" s="50" t="inlineStr">
        <is>
          <t>NON</t>
        </is>
      </c>
      <c r="O3718" s="45" t="inlineStr"/>
    </row>
    <row r="3719" customFormat="1" s="3">
      <c r="A3719" s="45" t="n"/>
      <c r="B3719" s="46" t="inlineStr">
        <is>
          <t>33070</t>
        </is>
      </c>
      <c r="C3719" s="46">
        <f>LEFT(Tableau1[[#This Row],[Formacode]],3)</f>
        <v/>
      </c>
      <c r="D3719" s="47" t="n">
        <v>39606</v>
      </c>
      <c r="E3719" s="48">
        <f>"RNCP"&amp;D3719</f>
        <v/>
      </c>
      <c r="F3719" s="48" t="inlineStr">
        <is>
          <t>Consultant en recrutement</t>
        </is>
      </c>
      <c r="G3719" s="49">
        <f>E3719&amp;" - "&amp;F3719</f>
        <v/>
      </c>
      <c r="H3719" s="36" t="inlineStr">
        <is>
          <t>RAS</t>
        </is>
      </c>
      <c r="I3719" s="45" t="inlineStr"/>
      <c r="J3719" s="45" t="inlineStr">
        <is>
          <t>RNCP39606</t>
        </is>
      </c>
      <c r="K3719" s="45" t="inlineStr">
        <is>
          <t>Consultant en recrutement</t>
        </is>
      </c>
      <c r="L3719" s="45" t="inlineStr">
        <is>
          <t>01/10/2027</t>
        </is>
      </c>
      <c r="M3719" s="45" t="inlineStr">
        <is>
          <t>33070 (Travail temporaire)</t>
        </is>
      </c>
      <c r="N3719" s="50" t="inlineStr">
        <is>
          <t>NON</t>
        </is>
      </c>
      <c r="O3719" s="45" t="inlineStr"/>
    </row>
    <row r="3720" customFormat="1" s="3">
      <c r="A3720" s="45" t="n"/>
      <c r="B3720" s="46" t="inlineStr">
        <is>
          <t>33070</t>
        </is>
      </c>
      <c r="C3720" s="46">
        <f>LEFT(Tableau1[[#This Row],[Formacode]],3)</f>
        <v/>
      </c>
      <c r="D3720" s="47" t="n">
        <v>39864</v>
      </c>
      <c r="E3720" s="48">
        <f>"RNCP"&amp;D3720</f>
        <v/>
      </c>
      <c r="F3720" s="48" t="inlineStr">
        <is>
          <t>Manager du développement des ressources humaines</t>
        </is>
      </c>
      <c r="G3720" s="49">
        <f>E3720&amp;" - "&amp;F3720</f>
        <v/>
      </c>
      <c r="H3720" s="36" t="inlineStr">
        <is>
          <t>RAS</t>
        </is>
      </c>
      <c r="I3720" s="45" t="inlineStr"/>
      <c r="J3720" s="45" t="inlineStr">
        <is>
          <t>RNCP39864</t>
        </is>
      </c>
      <c r="K3720" s="45" t="inlineStr">
        <is>
          <t>Manager du développement des ressources humaines</t>
        </is>
      </c>
      <c r="L3720" s="45" t="inlineStr">
        <is>
          <t>28/11/2027</t>
        </is>
      </c>
      <c r="M3720" s="45" t="inlineStr">
        <is>
          <t>33054 (Gestion ressources humaines) ; 32154 (Encadrement management)</t>
        </is>
      </c>
      <c r="N3720" s="50" t="inlineStr">
        <is>
          <t>NON</t>
        </is>
      </c>
      <c r="O3720" s="45" t="inlineStr"/>
    </row>
    <row r="3721" customFormat="1" s="3">
      <c r="A3721" s="45" t="n"/>
      <c r="B3721" s="46" t="inlineStr">
        <is>
          <t>33070</t>
        </is>
      </c>
      <c r="C3721" s="46">
        <f>LEFT(Tableau1[[#This Row],[Formacode]],3)</f>
        <v/>
      </c>
      <c r="D3721" s="47" t="n">
        <v>40594</v>
      </c>
      <c r="E3721" s="48">
        <f>"RNCP"&amp;D3721</f>
        <v/>
      </c>
      <c r="F3721" s="48" t="inlineStr">
        <is>
          <t>Chargé de missions RH</t>
        </is>
      </c>
      <c r="G3721" s="49">
        <f>E3721&amp;" - "&amp;F3721</f>
        <v/>
      </c>
      <c r="H3721" s="36" t="inlineStr">
        <is>
          <t>RAS</t>
        </is>
      </c>
      <c r="I3721" s="45" t="inlineStr"/>
      <c r="J3721" s="45" t="inlineStr">
        <is>
          <t>RNCP40594</t>
        </is>
      </c>
      <c r="K3721" s="45" t="inlineStr">
        <is>
          <t>Chargé de missions RH</t>
        </is>
      </c>
      <c r="L3721" s="45" t="inlineStr">
        <is>
          <t>30/04/2028</t>
        </is>
      </c>
      <c r="M3721" s="45" t="inlineStr">
        <is>
          <t>33054 (Gestion ressources humaines)</t>
        </is>
      </c>
      <c r="N3721" s="50" t="inlineStr">
        <is>
          <t>NON</t>
        </is>
      </c>
      <c r="O3721" s="45" t="inlineStr"/>
    </row>
    <row r="3722" customFormat="1" s="3">
      <c r="A3722" s="45" t="n"/>
      <c r="B3722" s="46" t="inlineStr">
        <is>
          <t>33070</t>
        </is>
      </c>
      <c r="C3722" s="46">
        <f>LEFT(Tableau1[[#This Row],[Formacode]],3)</f>
        <v/>
      </c>
      <c r="D3722" s="47" t="n">
        <v>40863</v>
      </c>
      <c r="E3722" s="48">
        <f>"RNCP"&amp;D3722</f>
        <v/>
      </c>
      <c r="F3722" s="48" t="inlineStr">
        <is>
          <t>Responsable de gestion des ressources humaines</t>
        </is>
      </c>
      <c r="G3722" s="49">
        <f>E3722&amp;" - "&amp;F3722</f>
        <v/>
      </c>
      <c r="H3722" s="36" t="inlineStr">
        <is>
          <t>RAS</t>
        </is>
      </c>
      <c r="I3722" s="45" t="inlineStr"/>
      <c r="J3722" s="45" t="inlineStr">
        <is>
          <t>RNCP40863</t>
        </is>
      </c>
      <c r="K3722" s="45" t="inlineStr">
        <is>
          <t>Responsable de gestion des ressources humaines</t>
        </is>
      </c>
      <c r="L3722" s="45" t="inlineStr">
        <is>
          <t>25/06/2028</t>
        </is>
      </c>
      <c r="M3722" s="45" t="inlineStr">
        <is>
          <t>33054 (Gestion ressources humaines)</t>
        </is>
      </c>
      <c r="N3722" s="50" t="inlineStr">
        <is>
          <t>NON</t>
        </is>
      </c>
      <c r="O3722" s="45" t="inlineStr"/>
    </row>
    <row r="3723" customFormat="1" s="3">
      <c r="A3723" s="45" t="n"/>
      <c r="B3723" s="46" t="inlineStr">
        <is>
          <t>33070</t>
        </is>
      </c>
      <c r="C3723" s="46">
        <f>LEFT(Tableau1[[#This Row],[Formacode]],3)</f>
        <v/>
      </c>
      <c r="D3723" s="47" t="n">
        <v>41128</v>
      </c>
      <c r="E3723" s="48">
        <f>"RNCP"&amp;D3723</f>
        <v/>
      </c>
      <c r="F3723" s="48" t="inlineStr">
        <is>
          <t>Chargé de développement des ressources humaines</t>
        </is>
      </c>
      <c r="G3723" s="49">
        <f>E3723&amp;" - "&amp;F3723</f>
        <v/>
      </c>
      <c r="H3723" s="36" t="inlineStr">
        <is>
          <t>RAS</t>
        </is>
      </c>
      <c r="I3723" s="45" t="inlineStr"/>
      <c r="J3723" s="45" t="inlineStr">
        <is>
          <t>RNCP41128</t>
        </is>
      </c>
      <c r="K3723" s="45" t="inlineStr">
        <is>
          <t>Chargé de développement des ressources humaines</t>
        </is>
      </c>
      <c r="L3723" s="45" t="inlineStr">
        <is>
          <t>18/07/2028</t>
        </is>
      </c>
      <c r="M3723" s="45" t="inlineStr">
        <is>
          <t>33054 (Gestion ressources humaines)</t>
        </is>
      </c>
      <c r="N3723" s="50" t="inlineStr">
        <is>
          <t>NON</t>
        </is>
      </c>
      <c r="O3723" s="45" t="inlineStr"/>
    </row>
    <row r="3724" customFormat="1" s="3">
      <c r="A3724" s="45" t="n"/>
      <c r="B3724" s="46" t="inlineStr">
        <is>
          <t>33070</t>
        </is>
      </c>
      <c r="C3724" s="46">
        <f>LEFT(Tableau1[[#This Row],[Formacode]],3)</f>
        <v/>
      </c>
      <c r="D3724" s="47" t="n">
        <v>41295</v>
      </c>
      <c r="E3724" s="48">
        <f>"RNCP"&amp;D3724</f>
        <v/>
      </c>
      <c r="F3724" s="48" t="inlineStr">
        <is>
          <t>Manager des ressources humaines</t>
        </is>
      </c>
      <c r="G3724" s="49">
        <f>E3724&amp;" - "&amp;F3724</f>
        <v/>
      </c>
      <c r="H3724" s="36" t="inlineStr">
        <is>
          <t>RAS</t>
        </is>
      </c>
      <c r="I3724" s="45" t="inlineStr"/>
      <c r="J3724" s="45" t="inlineStr">
        <is>
          <t>RNCP41295</t>
        </is>
      </c>
      <c r="K3724" s="45" t="inlineStr">
        <is>
          <t>Manager des ressources humaines</t>
        </is>
      </c>
      <c r="L3724" s="45" t="inlineStr">
        <is>
          <t>24/09/2030</t>
        </is>
      </c>
      <c r="M3724" s="45" t="inlineStr">
        <is>
          <t>33054 (Gestion ressources humaines)</t>
        </is>
      </c>
      <c r="N3724" s="50" t="inlineStr">
        <is>
          <t>NON</t>
        </is>
      </c>
      <c r="O3724" s="45" t="inlineStr"/>
    </row>
    <row r="3725" customFormat="1" s="3">
      <c r="A3725" s="45" t="n"/>
      <c r="B3725" s="46" t="inlineStr">
        <is>
          <t>33070</t>
        </is>
      </c>
      <c r="C3725" s="46">
        <f>LEFT(Tableau1[[#This Row],[Formacode]],3)</f>
        <v/>
      </c>
      <c r="D3725" s="47" t="n">
        <v>41803</v>
      </c>
      <c r="E3725" s="48">
        <f>"RNCP"&amp;D3725</f>
        <v/>
      </c>
      <c r="F3725" s="48" t="inlineStr">
        <is>
          <t>Manager des ressources humaines</t>
        </is>
      </c>
      <c r="G3725" s="49">
        <f>E3725&amp;" - "&amp;F3725</f>
        <v/>
      </c>
      <c r="H3725" s="36" t="inlineStr">
        <is>
          <t>RAS</t>
        </is>
      </c>
      <c r="I3725" s="45" t="inlineStr"/>
      <c r="J3725" s="45" t="inlineStr">
        <is>
          <t>RNCP41803</t>
        </is>
      </c>
      <c r="K3725" s="45" t="inlineStr">
        <is>
          <t>Manager des ressources humaines</t>
        </is>
      </c>
      <c r="L3725" s="45" t="inlineStr">
        <is>
          <t>18/12/2030</t>
        </is>
      </c>
      <c r="M3725" s="45" t="inlineStr">
        <is>
          <t>33054 (Gestion ressources humaines)</t>
        </is>
      </c>
      <c r="N3725" s="50" t="inlineStr">
        <is>
          <t>NON</t>
        </is>
      </c>
      <c r="O3725" s="45" t="inlineStr"/>
    </row>
    <row r="3726" customFormat="1" s="3">
      <c r="A3726" s="63" t="n"/>
      <c r="B3726" s="64" t="inlineStr">
        <is>
          <t>33072</t>
        </is>
      </c>
      <c r="C3726" s="64">
        <f>LEFT(Tableau1[[#This Row],[Formacode]],3)</f>
        <v/>
      </c>
      <c r="D3726" s="65" t="n">
        <v>35604</v>
      </c>
      <c r="E3726" s="66">
        <f>"RNCP"&amp;D3726</f>
        <v/>
      </c>
      <c r="F3726" s="66" t="inlineStr">
        <is>
          <t>Manager du développement des ressources humaines</t>
        </is>
      </c>
      <c r="G3726" s="67">
        <f>E3726&amp;" - "&amp;F3726</f>
        <v/>
      </c>
      <c r="H3726" s="38" t="inlineStr">
        <is>
          <t>Expiré / remplacé</t>
        </is>
      </c>
      <c r="I3726" s="63" t="inlineStr">
        <is>
          <t>Fiche inactive — remplacée par RNCP42518 (Manager du développement des ressources humaines (MDRH))</t>
        </is>
      </c>
      <c r="J3726" s="63" t="inlineStr">
        <is>
          <t>RNCP42518</t>
        </is>
      </c>
      <c r="K3726" s="63" t="inlineStr">
        <is>
          <t>Manager du développement des ressources humaines (MDRH)</t>
        </is>
      </c>
      <c r="L3726" s="63" t="inlineStr">
        <is>
          <t>19/05/2026</t>
        </is>
      </c>
      <c r="M3726" s="63" t="inlineStr">
        <is>
          <t>33054 (Gestion ressources humaines)</t>
        </is>
      </c>
      <c r="N3726" s="68" t="inlineStr">
        <is>
          <t>NON</t>
        </is>
      </c>
      <c r="O3726" s="63" t="inlineStr"/>
    </row>
    <row r="3727" customFormat="1" s="3">
      <c r="A3727" s="51" t="n"/>
      <c r="B3727" s="52" t="inlineStr">
        <is>
          <t>33072</t>
        </is>
      </c>
      <c r="C3727" s="52">
        <f>LEFT(Tableau1[[#This Row],[Formacode]],3)</f>
        <v/>
      </c>
      <c r="D3727" s="53" t="n">
        <v>35878</v>
      </c>
      <c r="E3727" s="54">
        <f>"RNCP"&amp;D3727</f>
        <v/>
      </c>
      <c r="F3727" s="54" t="inlineStr">
        <is>
          <t>Chargé des ressources humaines</t>
        </is>
      </c>
      <c r="G3727" s="55">
        <f>E3727&amp;" - "&amp;F3727</f>
        <v/>
      </c>
      <c r="H3727" s="37" t="inlineStr">
        <is>
          <t>À vérifier</t>
        </is>
      </c>
      <c r="I3727" s="51" t="inlineStr">
        <is>
          <t>Successeur déjà publié : RNCP42313 (Chargé des ressources humaines) — préparer la bascule de l'offre CPF | Échéance le 15/09/2026 (dans 59 j)</t>
        </is>
      </c>
      <c r="J3727" s="51" t="inlineStr">
        <is>
          <t>RNCP42313</t>
        </is>
      </c>
      <c r="K3727" s="51" t="inlineStr">
        <is>
          <t>Chargé des ressources humaines</t>
        </is>
      </c>
      <c r="L3727" s="51" t="inlineStr">
        <is>
          <t>15/09/2026</t>
        </is>
      </c>
      <c r="M3727" s="51" t="inlineStr">
        <is>
          <t>33054 (Gestion ressources humaines)</t>
        </is>
      </c>
      <c r="N3727" s="62" t="inlineStr">
        <is>
          <t>NON</t>
        </is>
      </c>
      <c r="O3727" s="51" t="inlineStr"/>
    </row>
    <row r="3728" customFormat="1" s="3">
      <c r="A3728" s="45" t="n"/>
      <c r="B3728" s="46" t="inlineStr">
        <is>
          <t>33072</t>
        </is>
      </c>
      <c r="C3728" s="46">
        <f>LEFT(Tableau1[[#This Row],[Formacode]],3)</f>
        <v/>
      </c>
      <c r="D3728" s="47" t="n">
        <v>36143</v>
      </c>
      <c r="E3728" s="48">
        <f>"RNCP"&amp;D3728</f>
        <v/>
      </c>
      <c r="F3728" s="48" t="inlineStr">
        <is>
          <t>Chargé des ressources humaines</t>
        </is>
      </c>
      <c r="G3728" s="49">
        <f>E3728&amp;" - "&amp;F3728</f>
        <v/>
      </c>
      <c r="H3728" s="36" t="inlineStr">
        <is>
          <t>RAS</t>
        </is>
      </c>
      <c r="I3728" s="45" t="inlineStr"/>
      <c r="J3728" s="45" t="inlineStr">
        <is>
          <t>RNCP36143</t>
        </is>
      </c>
      <c r="K3728" s="45" t="inlineStr">
        <is>
          <t>Chargé des ressources humaines</t>
        </is>
      </c>
      <c r="L3728" s="45" t="inlineStr">
        <is>
          <t>26/01/2027</t>
        </is>
      </c>
      <c r="M3728" s="45" t="inlineStr">
        <is>
          <t>33054 (Gestion ressources humaines)</t>
        </is>
      </c>
      <c r="N3728" s="50" t="inlineStr">
        <is>
          <t>NON</t>
        </is>
      </c>
      <c r="O3728" s="45" t="inlineStr"/>
    </row>
    <row r="3729" customFormat="1" s="3">
      <c r="A3729" s="51" t="n"/>
      <c r="B3729" s="52" t="inlineStr">
        <is>
          <t>33072</t>
        </is>
      </c>
      <c r="C3729" s="52">
        <f>LEFT(Tableau1[[#This Row],[Formacode]],3)</f>
        <v/>
      </c>
      <c r="D3729" s="53" t="n">
        <v>37851</v>
      </c>
      <c r="E3729" s="54">
        <f>"RNCP"&amp;D3729</f>
        <v/>
      </c>
      <c r="F3729" s="54" t="inlineStr">
        <is>
          <t>Manager des ressources humaines</t>
        </is>
      </c>
      <c r="G3729" s="55">
        <f>E3729&amp;" - "&amp;F3729</f>
        <v/>
      </c>
      <c r="H3729" s="37" t="inlineStr">
        <is>
          <t>À vérifier</t>
        </is>
      </c>
      <c r="I3729" s="51" t="inlineStr">
        <is>
          <t>Échéance le 19/07/2026 (dans 1 j)</t>
        </is>
      </c>
      <c r="J3729" s="51" t="inlineStr">
        <is>
          <t>RNCP37851</t>
        </is>
      </c>
      <c r="K3729" s="51" t="inlineStr">
        <is>
          <t>Manager des ressources humaines</t>
        </is>
      </c>
      <c r="L3729" s="51" t="inlineStr">
        <is>
          <t>19/07/2026</t>
        </is>
      </c>
      <c r="M3729" s="51" t="inlineStr">
        <is>
          <t>33054 (Gestion ressources humaines)</t>
        </is>
      </c>
      <c r="N3729" s="62" t="inlineStr">
        <is>
          <t>NON</t>
        </is>
      </c>
      <c r="O3729" s="51" t="inlineStr"/>
    </row>
    <row r="3730" customFormat="1" s="3">
      <c r="A3730" s="51" t="n"/>
      <c r="B3730" s="52" t="inlineStr">
        <is>
          <t>33072</t>
        </is>
      </c>
      <c r="C3730" s="52">
        <f>LEFT(Tableau1[[#This Row],[Formacode]],3)</f>
        <v/>
      </c>
      <c r="D3730" s="53" t="n">
        <v>38241</v>
      </c>
      <c r="E3730" s="54">
        <f>"RNCP"&amp;D3730</f>
        <v/>
      </c>
      <c r="F3730" s="54" t="inlineStr">
        <is>
          <t>CQP Chargé de ressources humaines</t>
        </is>
      </c>
      <c r="G3730" s="55">
        <f>E3730&amp;" - "&amp;F3730</f>
        <v/>
      </c>
      <c r="H3730" s="37" t="inlineStr">
        <is>
          <t>À vérifier</t>
        </is>
      </c>
      <c r="I3730" s="51" t="inlineStr">
        <is>
          <t>Échéance le 15/11/2026 (dans 120 j)</t>
        </is>
      </c>
      <c r="J3730" s="51" t="inlineStr">
        <is>
          <t>RNCP38241</t>
        </is>
      </c>
      <c r="K3730" s="51" t="inlineStr">
        <is>
          <t>CQP Chargé de ressources humaines</t>
        </is>
      </c>
      <c r="L3730" s="51" t="inlineStr">
        <is>
          <t>15/11/2026</t>
        </is>
      </c>
      <c r="M3730" s="51" t="inlineStr">
        <is>
          <t>33054 (Gestion ressources humaines)</t>
        </is>
      </c>
      <c r="N3730" s="62" t="inlineStr">
        <is>
          <t>NON</t>
        </is>
      </c>
      <c r="O3730" s="51" t="inlineStr"/>
    </row>
    <row r="3731" customFormat="1" s="3">
      <c r="A3731" s="51" t="n"/>
      <c r="B3731" s="52" t="inlineStr">
        <is>
          <t>33072</t>
        </is>
      </c>
      <c r="C3731" s="52">
        <f>LEFT(Tableau1[[#This Row],[Formacode]],3)</f>
        <v/>
      </c>
      <c r="D3731" s="53" t="n">
        <v>38460</v>
      </c>
      <c r="E3731" s="54">
        <f>"RNCP"&amp;D3731</f>
        <v/>
      </c>
      <c r="F3731" s="54" t="inlineStr">
        <is>
          <t>Manager en ressources humaines</t>
        </is>
      </c>
      <c r="G3731" s="55">
        <f>E3731&amp;" - "&amp;F3731</f>
        <v/>
      </c>
      <c r="H3731" s="37" t="inlineStr">
        <is>
          <t>À vérifier</t>
        </is>
      </c>
      <c r="I3731" s="51" t="inlineStr">
        <is>
          <t>Échéance le 21/12/2026 (dans 156 j)</t>
        </is>
      </c>
      <c r="J3731" s="51" t="inlineStr">
        <is>
          <t>RNCP38460</t>
        </is>
      </c>
      <c r="K3731" s="51" t="inlineStr">
        <is>
          <t>Manager en ressources humaines</t>
        </is>
      </c>
      <c r="L3731" s="51" t="inlineStr">
        <is>
          <t>21/12/2026</t>
        </is>
      </c>
      <c r="M3731" s="51" t="inlineStr">
        <is>
          <t>33054 (Gestion ressources humaines)</t>
        </is>
      </c>
      <c r="N3731" s="62" t="inlineStr">
        <is>
          <t>NON</t>
        </is>
      </c>
      <c r="O3731" s="51" t="inlineStr"/>
    </row>
    <row r="3732" customFormat="1" s="3">
      <c r="A3732" s="51" t="n"/>
      <c r="B3732" s="52" t="inlineStr">
        <is>
          <t>33072</t>
        </is>
      </c>
      <c r="C3732" s="52">
        <f>LEFT(Tableau1[[#This Row],[Formacode]],3)</f>
        <v/>
      </c>
      <c r="D3732" s="53" t="n">
        <v>38489</v>
      </c>
      <c r="E3732" s="54">
        <f>"RNCP"&amp;D3732</f>
        <v/>
      </c>
      <c r="F3732" s="54" t="inlineStr">
        <is>
          <t>Manager des ressources humaines</t>
        </is>
      </c>
      <c r="G3732" s="55">
        <f>E3732&amp;" - "&amp;F3732</f>
        <v/>
      </c>
      <c r="H3732" s="37" t="inlineStr">
        <is>
          <t>À vérifier</t>
        </is>
      </c>
      <c r="I3732" s="51" t="inlineStr">
        <is>
          <t>Échéance le 21/12/2026 (dans 156 j)</t>
        </is>
      </c>
      <c r="J3732" s="51" t="inlineStr">
        <is>
          <t>RNCP38489</t>
        </is>
      </c>
      <c r="K3732" s="51" t="inlineStr">
        <is>
          <t>Manager des ressources humaines</t>
        </is>
      </c>
      <c r="L3732" s="51" t="inlineStr">
        <is>
          <t>21/12/2026</t>
        </is>
      </c>
      <c r="M3732" s="51" t="inlineStr">
        <is>
          <t>33054 (Gestion ressources humaines)</t>
        </is>
      </c>
      <c r="N3732" s="62" t="inlineStr">
        <is>
          <t>NON</t>
        </is>
      </c>
      <c r="O3732" s="51" t="inlineStr"/>
    </row>
    <row r="3733" customFormat="1" s="3">
      <c r="A3733" s="45" t="n"/>
      <c r="B3733" s="46" t="inlineStr">
        <is>
          <t>33072</t>
        </is>
      </c>
      <c r="C3733" s="46">
        <f>LEFT(Tableau1[[#This Row],[Formacode]],3)</f>
        <v/>
      </c>
      <c r="D3733" s="47" t="n">
        <v>38836</v>
      </c>
      <c r="E3733" s="48">
        <f>"RNCP"&amp;D3733</f>
        <v/>
      </c>
      <c r="F3733" s="48" t="inlineStr">
        <is>
          <t>Responsable du développement des ressources humaines</t>
        </is>
      </c>
      <c r="G3733" s="49">
        <f>E3733&amp;" - "&amp;F3733</f>
        <v/>
      </c>
      <c r="H3733" s="36" t="inlineStr">
        <is>
          <t>RAS</t>
        </is>
      </c>
      <c r="I3733" s="45" t="inlineStr"/>
      <c r="J3733" s="45" t="inlineStr">
        <is>
          <t>RNCP38836</t>
        </is>
      </c>
      <c r="K3733" s="45" t="inlineStr">
        <is>
          <t>Responsable du développement des ressources humaines</t>
        </is>
      </c>
      <c r="L3733" s="45" t="inlineStr">
        <is>
          <t>27/03/2029</t>
        </is>
      </c>
      <c r="M3733" s="45" t="inlineStr">
        <is>
          <t>33054 (Gestion ressources humaines)</t>
        </is>
      </c>
      <c r="N3733" s="50" t="inlineStr">
        <is>
          <t>NON</t>
        </is>
      </c>
      <c r="O3733" s="45" t="inlineStr"/>
    </row>
    <row r="3734" customFormat="1" s="3">
      <c r="A3734" s="45" t="n"/>
      <c r="B3734" s="46" t="inlineStr">
        <is>
          <t>33072</t>
        </is>
      </c>
      <c r="C3734" s="46">
        <f>LEFT(Tableau1[[#This Row],[Formacode]],3)</f>
        <v/>
      </c>
      <c r="D3734" s="47" t="n">
        <v>39364</v>
      </c>
      <c r="E3734" s="48">
        <f>"RNCP"&amp;D3734</f>
        <v/>
      </c>
      <c r="F3734" s="48" t="inlineStr">
        <is>
          <t>Manager en stratégie et développement des ressources humaines</t>
        </is>
      </c>
      <c r="G3734" s="49">
        <f>E3734&amp;" - "&amp;F3734</f>
        <v/>
      </c>
      <c r="H3734" s="36" t="inlineStr">
        <is>
          <t>RAS</t>
        </is>
      </c>
      <c r="I3734" s="45" t="inlineStr"/>
      <c r="J3734" s="45" t="inlineStr">
        <is>
          <t>RNCP39364</t>
        </is>
      </c>
      <c r="K3734" s="45" t="inlineStr">
        <is>
          <t>Manager en stratégie et développement des ressources humaines</t>
        </is>
      </c>
      <c r="L3734" s="45" t="inlineStr">
        <is>
          <t>19/07/2028</t>
        </is>
      </c>
      <c r="M3734" s="45" t="inlineStr">
        <is>
          <t>33054 (Gestion ressources humaines) ; 32025 (Stratégie entreprise)</t>
        </is>
      </c>
      <c r="N3734" s="50" t="inlineStr">
        <is>
          <t>NON</t>
        </is>
      </c>
      <c r="O3734" s="45" t="inlineStr"/>
    </row>
    <row r="3735" customFormat="1" s="3">
      <c r="A3735" s="45" t="n"/>
      <c r="B3735" s="46" t="inlineStr">
        <is>
          <t>33072</t>
        </is>
      </c>
      <c r="C3735" s="46">
        <f>LEFT(Tableau1[[#This Row],[Formacode]],3)</f>
        <v/>
      </c>
      <c r="D3735" s="47" t="n">
        <v>39864</v>
      </c>
      <c r="E3735" s="48">
        <f>"RNCP"&amp;D3735</f>
        <v/>
      </c>
      <c r="F3735" s="48" t="inlineStr">
        <is>
          <t>Manager du développement des ressources humaines</t>
        </is>
      </c>
      <c r="G3735" s="49">
        <f>E3735&amp;" - "&amp;F3735</f>
        <v/>
      </c>
      <c r="H3735" s="36" t="inlineStr">
        <is>
          <t>RAS</t>
        </is>
      </c>
      <c r="I3735" s="45" t="inlineStr"/>
      <c r="J3735" s="45" t="inlineStr">
        <is>
          <t>RNCP39864</t>
        </is>
      </c>
      <c r="K3735" s="45" t="inlineStr">
        <is>
          <t>Manager du développement des ressources humaines</t>
        </is>
      </c>
      <c r="L3735" s="45" t="inlineStr">
        <is>
          <t>28/11/2027</t>
        </is>
      </c>
      <c r="M3735" s="45" t="inlineStr">
        <is>
          <t>33054 (Gestion ressources humaines) ; 32154 (Encadrement management)</t>
        </is>
      </c>
      <c r="N3735" s="50" t="inlineStr">
        <is>
          <t>NON</t>
        </is>
      </c>
      <c r="O3735" s="45" t="inlineStr"/>
    </row>
    <row r="3736" customFormat="1" s="3">
      <c r="A3736" s="45" t="n"/>
      <c r="B3736" s="46" t="inlineStr">
        <is>
          <t>33072</t>
        </is>
      </c>
      <c r="C3736" s="46">
        <f>LEFT(Tableau1[[#This Row],[Formacode]],3)</f>
        <v/>
      </c>
      <c r="D3736" s="47" t="n">
        <v>40594</v>
      </c>
      <c r="E3736" s="48">
        <f>"RNCP"&amp;D3736</f>
        <v/>
      </c>
      <c r="F3736" s="48" t="inlineStr">
        <is>
          <t>Chargé de missions RH</t>
        </is>
      </c>
      <c r="G3736" s="49">
        <f>E3736&amp;" - "&amp;F3736</f>
        <v/>
      </c>
      <c r="H3736" s="36" t="inlineStr">
        <is>
          <t>RAS</t>
        </is>
      </c>
      <c r="I3736" s="45" t="inlineStr"/>
      <c r="J3736" s="45" t="inlineStr">
        <is>
          <t>RNCP40594</t>
        </is>
      </c>
      <c r="K3736" s="45" t="inlineStr">
        <is>
          <t>Chargé de missions RH</t>
        </is>
      </c>
      <c r="L3736" s="45" t="inlineStr">
        <is>
          <t>30/04/2028</t>
        </is>
      </c>
      <c r="M3736" s="45" t="inlineStr">
        <is>
          <t>33054 (Gestion ressources humaines)</t>
        </is>
      </c>
      <c r="N3736" s="50" t="inlineStr">
        <is>
          <t>NON</t>
        </is>
      </c>
      <c r="O3736" s="45" t="inlineStr"/>
    </row>
    <row r="3737" customFormat="1" s="3">
      <c r="A3737" s="45" t="n"/>
      <c r="B3737" s="46" t="inlineStr">
        <is>
          <t>33072</t>
        </is>
      </c>
      <c r="C3737" s="46">
        <f>LEFT(Tableau1[[#This Row],[Formacode]],3)</f>
        <v/>
      </c>
      <c r="D3737" s="47" t="n">
        <v>40863</v>
      </c>
      <c r="E3737" s="48">
        <f>"RNCP"&amp;D3737</f>
        <v/>
      </c>
      <c r="F3737" s="48" t="inlineStr">
        <is>
          <t>Responsable de gestion des ressources humaines</t>
        </is>
      </c>
      <c r="G3737" s="49">
        <f>E3737&amp;" - "&amp;F3737</f>
        <v/>
      </c>
      <c r="H3737" s="36" t="inlineStr">
        <is>
          <t>RAS</t>
        </is>
      </c>
      <c r="I3737" s="45" t="inlineStr"/>
      <c r="J3737" s="45" t="inlineStr">
        <is>
          <t>RNCP40863</t>
        </is>
      </c>
      <c r="K3737" s="45" t="inlineStr">
        <is>
          <t>Responsable de gestion des ressources humaines</t>
        </is>
      </c>
      <c r="L3737" s="45" t="inlineStr">
        <is>
          <t>25/06/2028</t>
        </is>
      </c>
      <c r="M3737" s="45" t="inlineStr">
        <is>
          <t>33054 (Gestion ressources humaines)</t>
        </is>
      </c>
      <c r="N3737" s="50" t="inlineStr">
        <is>
          <t>NON</t>
        </is>
      </c>
      <c r="O3737" s="45" t="inlineStr"/>
    </row>
    <row r="3738" customFormat="1" s="3">
      <c r="A3738" s="45" t="n"/>
      <c r="B3738" s="46" t="inlineStr">
        <is>
          <t>33072</t>
        </is>
      </c>
      <c r="C3738" s="46">
        <f>LEFT(Tableau1[[#This Row],[Formacode]],3)</f>
        <v/>
      </c>
      <c r="D3738" s="47" t="n">
        <v>41128</v>
      </c>
      <c r="E3738" s="48">
        <f>"RNCP"&amp;D3738</f>
        <v/>
      </c>
      <c r="F3738" s="48" t="inlineStr">
        <is>
          <t>Chargé de développement des ressources humaines</t>
        </is>
      </c>
      <c r="G3738" s="49">
        <f>E3738&amp;" - "&amp;F3738</f>
        <v/>
      </c>
      <c r="H3738" s="36" t="inlineStr">
        <is>
          <t>RAS</t>
        </is>
      </c>
      <c r="I3738" s="45" t="inlineStr"/>
      <c r="J3738" s="45" t="inlineStr">
        <is>
          <t>RNCP41128</t>
        </is>
      </c>
      <c r="K3738" s="45" t="inlineStr">
        <is>
          <t>Chargé de développement des ressources humaines</t>
        </is>
      </c>
      <c r="L3738" s="45" t="inlineStr">
        <is>
          <t>18/07/2028</t>
        </is>
      </c>
      <c r="M3738" s="45" t="inlineStr">
        <is>
          <t>33054 (Gestion ressources humaines)</t>
        </is>
      </c>
      <c r="N3738" s="50" t="inlineStr">
        <is>
          <t>NON</t>
        </is>
      </c>
      <c r="O3738" s="45" t="inlineStr"/>
    </row>
    <row r="3739" customFormat="1" s="3">
      <c r="A3739" s="45" t="n"/>
      <c r="B3739" s="46" t="inlineStr">
        <is>
          <t>33072</t>
        </is>
      </c>
      <c r="C3739" s="46">
        <f>LEFT(Tableau1[[#This Row],[Formacode]],3)</f>
        <v/>
      </c>
      <c r="D3739" s="47" t="n">
        <v>41295</v>
      </c>
      <c r="E3739" s="48">
        <f>"RNCP"&amp;D3739</f>
        <v/>
      </c>
      <c r="F3739" s="48" t="inlineStr">
        <is>
          <t>Manager des ressources humaines</t>
        </is>
      </c>
      <c r="G3739" s="49">
        <f>E3739&amp;" - "&amp;F3739</f>
        <v/>
      </c>
      <c r="H3739" s="36" t="inlineStr">
        <is>
          <t>RAS</t>
        </is>
      </c>
      <c r="I3739" s="45" t="inlineStr"/>
      <c r="J3739" s="45" t="inlineStr">
        <is>
          <t>RNCP41295</t>
        </is>
      </c>
      <c r="K3739" s="45" t="inlineStr">
        <is>
          <t>Manager des ressources humaines</t>
        </is>
      </c>
      <c r="L3739" s="45" t="inlineStr">
        <is>
          <t>24/09/2030</t>
        </is>
      </c>
      <c r="M3739" s="45" t="inlineStr">
        <is>
          <t>33054 (Gestion ressources humaines)</t>
        </is>
      </c>
      <c r="N3739" s="50" t="inlineStr">
        <is>
          <t>NON</t>
        </is>
      </c>
      <c r="O3739" s="45" t="inlineStr"/>
    </row>
    <row r="3740" customFormat="1" s="3">
      <c r="A3740" s="45" t="n"/>
      <c r="B3740" s="46" t="inlineStr">
        <is>
          <t>33072</t>
        </is>
      </c>
      <c r="C3740" s="46">
        <f>LEFT(Tableau1[[#This Row],[Formacode]],3)</f>
        <v/>
      </c>
      <c r="D3740" s="47" t="n">
        <v>41366</v>
      </c>
      <c r="E3740" s="48">
        <f>"RNCP"&amp;D3740</f>
        <v/>
      </c>
      <c r="F3740" s="48" t="inlineStr">
        <is>
          <t>TP - Assistant ressources humaines</t>
        </is>
      </c>
      <c r="G3740" s="49">
        <f>E3740&amp;" - "&amp;F3740</f>
        <v/>
      </c>
      <c r="H3740" s="36" t="inlineStr">
        <is>
          <t>RAS</t>
        </is>
      </c>
      <c r="I3740" s="45" t="inlineStr"/>
      <c r="J3740" s="45" t="inlineStr">
        <is>
          <t>RNCP41366</t>
        </is>
      </c>
      <c r="K3740" s="45" t="inlineStr">
        <is>
          <t>Assistant ressources humaines</t>
        </is>
      </c>
      <c r="L3740" s="45" t="inlineStr">
        <is>
          <t>04/11/2027</t>
        </is>
      </c>
      <c r="M3740" s="45" t="inlineStr">
        <is>
          <t>35014 (Secrétariat assistanat ressources humaines) ; 33071 (Contrat travail) ; 33072 (Intégration salarié) ; 33060 (Recrutement) ; 44508 (Plan développement compétences)</t>
        </is>
      </c>
      <c r="N3740" s="50" t="inlineStr">
        <is>
          <t>NON</t>
        </is>
      </c>
      <c r="O3740" s="45" t="inlineStr"/>
    </row>
    <row r="3741" customFormat="1" s="3">
      <c r="A3741" s="45" t="n"/>
      <c r="B3741" s="46" t="inlineStr">
        <is>
          <t>33072</t>
        </is>
      </c>
      <c r="C3741" s="46">
        <f>LEFT(Tableau1[[#This Row],[Formacode]],3)</f>
        <v/>
      </c>
      <c r="D3741" s="47" t="n">
        <v>41803</v>
      </c>
      <c r="E3741" s="48">
        <f>"RNCP"&amp;D3741</f>
        <v/>
      </c>
      <c r="F3741" s="48" t="inlineStr">
        <is>
          <t>Manager des ressources humaines</t>
        </is>
      </c>
      <c r="G3741" s="49">
        <f>E3741&amp;" - "&amp;F3741</f>
        <v/>
      </c>
      <c r="H3741" s="36" t="inlineStr">
        <is>
          <t>RAS</t>
        </is>
      </c>
      <c r="I3741" s="45" t="inlineStr"/>
      <c r="J3741" s="45" t="inlineStr">
        <is>
          <t>RNCP41803</t>
        </is>
      </c>
      <c r="K3741" s="45" t="inlineStr">
        <is>
          <t>Manager des ressources humaines</t>
        </is>
      </c>
      <c r="L3741" s="45" t="inlineStr">
        <is>
          <t>18/12/2030</t>
        </is>
      </c>
      <c r="M3741" s="45" t="inlineStr">
        <is>
          <t>33054 (Gestion ressources humaines)</t>
        </is>
      </c>
      <c r="N3741" s="50" t="inlineStr">
        <is>
          <t>NON</t>
        </is>
      </c>
      <c r="O3741" s="45" t="inlineStr"/>
    </row>
    <row r="3742" customFormat="1" s="3">
      <c r="A3742" s="63" t="n"/>
      <c r="B3742" s="64" t="inlineStr">
        <is>
          <t>33086</t>
        </is>
      </c>
      <c r="C3742" s="64">
        <f>LEFT(Tableau1[[#This Row],[Formacode]],3)</f>
        <v/>
      </c>
      <c r="D3742" s="65" t="n">
        <v>35604</v>
      </c>
      <c r="E3742" s="66">
        <f>"RNCP"&amp;D3742</f>
        <v/>
      </c>
      <c r="F3742" s="66" t="inlineStr">
        <is>
          <t>Manager du développement des ressources humaines</t>
        </is>
      </c>
      <c r="G3742" s="67">
        <f>E3742&amp;" - "&amp;F3742</f>
        <v/>
      </c>
      <c r="H3742" s="38" t="inlineStr">
        <is>
          <t>Expiré / remplacé</t>
        </is>
      </c>
      <c r="I3742" s="63" t="inlineStr">
        <is>
          <t>Fiche inactive — remplacée par RNCP42518 (Manager du développement des ressources humaines (MDRH))</t>
        </is>
      </c>
      <c r="J3742" s="63" t="inlineStr">
        <is>
          <t>RNCP42518</t>
        </is>
      </c>
      <c r="K3742" s="63" t="inlineStr">
        <is>
          <t>Manager du développement des ressources humaines (MDRH)</t>
        </is>
      </c>
      <c r="L3742" s="63" t="inlineStr">
        <is>
          <t>19/05/2026</t>
        </is>
      </c>
      <c r="M3742" s="63" t="inlineStr">
        <is>
          <t>33054 (Gestion ressources humaines)</t>
        </is>
      </c>
      <c r="N3742" s="68" t="inlineStr">
        <is>
          <t>NON</t>
        </is>
      </c>
      <c r="O3742" s="63" t="inlineStr"/>
    </row>
    <row r="3743" customFormat="1" s="3">
      <c r="A3743" s="51" t="n"/>
      <c r="B3743" s="52" t="inlineStr">
        <is>
          <t>33086</t>
        </is>
      </c>
      <c r="C3743" s="52">
        <f>LEFT(Tableau1[[#This Row],[Formacode]],3)</f>
        <v/>
      </c>
      <c r="D3743" s="53" t="n">
        <v>35878</v>
      </c>
      <c r="E3743" s="54">
        <f>"RNCP"&amp;D3743</f>
        <v/>
      </c>
      <c r="F3743" s="54" t="inlineStr">
        <is>
          <t>Chargé des ressources humaines</t>
        </is>
      </c>
      <c r="G3743" s="55">
        <f>E3743&amp;" - "&amp;F3743</f>
        <v/>
      </c>
      <c r="H3743" s="37" t="inlineStr">
        <is>
          <t>À vérifier</t>
        </is>
      </c>
      <c r="I3743" s="51" t="inlineStr">
        <is>
          <t>Successeur déjà publié : RNCP42313 (Chargé des ressources humaines) — préparer la bascule de l'offre CPF | Échéance le 15/09/2026 (dans 59 j)</t>
        </is>
      </c>
      <c r="J3743" s="51" t="inlineStr">
        <is>
          <t>RNCP42313</t>
        </is>
      </c>
      <c r="K3743" s="51" t="inlineStr">
        <is>
          <t>Chargé des ressources humaines</t>
        </is>
      </c>
      <c r="L3743" s="51" t="inlineStr">
        <is>
          <t>15/09/2026</t>
        </is>
      </c>
      <c r="M3743" s="51" t="inlineStr">
        <is>
          <t>33054 (Gestion ressources humaines)</t>
        </is>
      </c>
      <c r="N3743" s="62" t="inlineStr">
        <is>
          <t>NON</t>
        </is>
      </c>
      <c r="O3743" s="51" t="inlineStr"/>
    </row>
    <row r="3744" customFormat="1" s="3">
      <c r="A3744" s="45" t="n"/>
      <c r="B3744" s="46" t="inlineStr">
        <is>
          <t>33086</t>
        </is>
      </c>
      <c r="C3744" s="46">
        <f>LEFT(Tableau1[[#This Row],[Formacode]],3)</f>
        <v/>
      </c>
      <c r="D3744" s="47" t="n">
        <v>36143</v>
      </c>
      <c r="E3744" s="48">
        <f>"RNCP"&amp;D3744</f>
        <v/>
      </c>
      <c r="F3744" s="48" t="inlineStr">
        <is>
          <t>Chargé des ressources humaines</t>
        </is>
      </c>
      <c r="G3744" s="49">
        <f>E3744&amp;" - "&amp;F3744</f>
        <v/>
      </c>
      <c r="H3744" s="36" t="inlineStr">
        <is>
          <t>RAS</t>
        </is>
      </c>
      <c r="I3744" s="45" t="inlineStr"/>
      <c r="J3744" s="45" t="inlineStr">
        <is>
          <t>RNCP36143</t>
        </is>
      </c>
      <c r="K3744" s="45" t="inlineStr">
        <is>
          <t>Chargé des ressources humaines</t>
        </is>
      </c>
      <c r="L3744" s="45" t="inlineStr">
        <is>
          <t>26/01/2027</t>
        </is>
      </c>
      <c r="M3744" s="45" t="inlineStr">
        <is>
          <t>33054 (Gestion ressources humaines)</t>
        </is>
      </c>
      <c r="N3744" s="50" t="inlineStr">
        <is>
          <t>NON</t>
        </is>
      </c>
      <c r="O3744" s="45" t="inlineStr"/>
    </row>
    <row r="3745" customFormat="1" s="3">
      <c r="A3745" s="51" t="n"/>
      <c r="B3745" s="52" t="inlineStr">
        <is>
          <t>33086</t>
        </is>
      </c>
      <c r="C3745" s="52">
        <f>LEFT(Tableau1[[#This Row],[Formacode]],3)</f>
        <v/>
      </c>
      <c r="D3745" s="53" t="n">
        <v>37851</v>
      </c>
      <c r="E3745" s="54">
        <f>"RNCP"&amp;D3745</f>
        <v/>
      </c>
      <c r="F3745" s="54" t="inlineStr">
        <is>
          <t>Manager des ressources humaines</t>
        </is>
      </c>
      <c r="G3745" s="55">
        <f>E3745&amp;" - "&amp;F3745</f>
        <v/>
      </c>
      <c r="H3745" s="37" t="inlineStr">
        <is>
          <t>À vérifier</t>
        </is>
      </c>
      <c r="I3745" s="51" t="inlineStr">
        <is>
          <t>Échéance le 19/07/2026 (dans 1 j)</t>
        </is>
      </c>
      <c r="J3745" s="51" t="inlineStr">
        <is>
          <t>RNCP37851</t>
        </is>
      </c>
      <c r="K3745" s="51" t="inlineStr">
        <is>
          <t>Manager des ressources humaines</t>
        </is>
      </c>
      <c r="L3745" s="51" t="inlineStr">
        <is>
          <t>19/07/2026</t>
        </is>
      </c>
      <c r="M3745" s="51" t="inlineStr">
        <is>
          <t>33054 (Gestion ressources humaines)</t>
        </is>
      </c>
      <c r="N3745" s="62" t="inlineStr">
        <is>
          <t>NON</t>
        </is>
      </c>
      <c r="O3745" s="51" t="inlineStr"/>
    </row>
    <row r="3746" customFormat="1" s="3">
      <c r="A3746" s="51" t="n"/>
      <c r="B3746" s="52" t="inlineStr">
        <is>
          <t>33086</t>
        </is>
      </c>
      <c r="C3746" s="52">
        <f>LEFT(Tableau1[[#This Row],[Formacode]],3)</f>
        <v/>
      </c>
      <c r="D3746" s="53" t="n">
        <v>38241</v>
      </c>
      <c r="E3746" s="54">
        <f>"RNCP"&amp;D3746</f>
        <v/>
      </c>
      <c r="F3746" s="54" t="inlineStr">
        <is>
          <t>CQP Chargé de ressources humaines</t>
        </is>
      </c>
      <c r="G3746" s="55">
        <f>E3746&amp;" - "&amp;F3746</f>
        <v/>
      </c>
      <c r="H3746" s="37" t="inlineStr">
        <is>
          <t>À vérifier</t>
        </is>
      </c>
      <c r="I3746" s="51" t="inlineStr">
        <is>
          <t>Échéance le 15/11/2026 (dans 120 j)</t>
        </is>
      </c>
      <c r="J3746" s="51" t="inlineStr">
        <is>
          <t>RNCP38241</t>
        </is>
      </c>
      <c r="K3746" s="51" t="inlineStr">
        <is>
          <t>CQP Chargé de ressources humaines</t>
        </is>
      </c>
      <c r="L3746" s="51" t="inlineStr">
        <is>
          <t>15/11/2026</t>
        </is>
      </c>
      <c r="M3746" s="51" t="inlineStr">
        <is>
          <t>33054 (Gestion ressources humaines)</t>
        </is>
      </c>
      <c r="N3746" s="62" t="inlineStr">
        <is>
          <t>NON</t>
        </is>
      </c>
      <c r="O3746" s="51" t="inlineStr"/>
    </row>
    <row r="3747" customFormat="1" s="3">
      <c r="A3747" s="51" t="n"/>
      <c r="B3747" s="52" t="inlineStr">
        <is>
          <t>33086</t>
        </is>
      </c>
      <c r="C3747" s="52">
        <f>LEFT(Tableau1[[#This Row],[Formacode]],3)</f>
        <v/>
      </c>
      <c r="D3747" s="53" t="n">
        <v>38460</v>
      </c>
      <c r="E3747" s="54">
        <f>"RNCP"&amp;D3747</f>
        <v/>
      </c>
      <c r="F3747" s="54" t="inlineStr">
        <is>
          <t>Manager en ressources humaines</t>
        </is>
      </c>
      <c r="G3747" s="55">
        <f>E3747&amp;" - "&amp;F3747</f>
        <v/>
      </c>
      <c r="H3747" s="37" t="inlineStr">
        <is>
          <t>À vérifier</t>
        </is>
      </c>
      <c r="I3747" s="51" t="inlineStr">
        <is>
          <t>Échéance le 21/12/2026 (dans 156 j)</t>
        </is>
      </c>
      <c r="J3747" s="51" t="inlineStr">
        <is>
          <t>RNCP38460</t>
        </is>
      </c>
      <c r="K3747" s="51" t="inlineStr">
        <is>
          <t>Manager en ressources humaines</t>
        </is>
      </c>
      <c r="L3747" s="51" t="inlineStr">
        <is>
          <t>21/12/2026</t>
        </is>
      </c>
      <c r="M3747" s="51" t="inlineStr">
        <is>
          <t>33054 (Gestion ressources humaines)</t>
        </is>
      </c>
      <c r="N3747" s="62" t="inlineStr">
        <is>
          <t>NON</t>
        </is>
      </c>
      <c r="O3747" s="51" t="inlineStr"/>
    </row>
    <row r="3748" customFormat="1" s="3">
      <c r="A3748" s="51" t="n"/>
      <c r="B3748" s="52" t="inlineStr">
        <is>
          <t>33086</t>
        </is>
      </c>
      <c r="C3748" s="52">
        <f>LEFT(Tableau1[[#This Row],[Formacode]],3)</f>
        <v/>
      </c>
      <c r="D3748" s="53" t="n">
        <v>38489</v>
      </c>
      <c r="E3748" s="54">
        <f>"RNCP"&amp;D3748</f>
        <v/>
      </c>
      <c r="F3748" s="54" t="inlineStr">
        <is>
          <t>Manager des ressources humaines</t>
        </is>
      </c>
      <c r="G3748" s="55">
        <f>E3748&amp;" - "&amp;F3748</f>
        <v/>
      </c>
      <c r="H3748" s="37" t="inlineStr">
        <is>
          <t>À vérifier</t>
        </is>
      </c>
      <c r="I3748" s="51" t="inlineStr">
        <is>
          <t>Échéance le 21/12/2026 (dans 156 j)</t>
        </is>
      </c>
      <c r="J3748" s="51" t="inlineStr">
        <is>
          <t>RNCP38489</t>
        </is>
      </c>
      <c r="K3748" s="51" t="inlineStr">
        <is>
          <t>Manager des ressources humaines</t>
        </is>
      </c>
      <c r="L3748" s="51" t="inlineStr">
        <is>
          <t>21/12/2026</t>
        </is>
      </c>
      <c r="M3748" s="51" t="inlineStr">
        <is>
          <t>33054 (Gestion ressources humaines)</t>
        </is>
      </c>
      <c r="N3748" s="62" t="inlineStr">
        <is>
          <t>NON</t>
        </is>
      </c>
      <c r="O3748" s="51" t="inlineStr"/>
    </row>
    <row r="3749" customFormat="1" s="3">
      <c r="A3749" s="45" t="n"/>
      <c r="B3749" s="46" t="inlineStr">
        <is>
          <t>33086</t>
        </is>
      </c>
      <c r="C3749" s="46">
        <f>LEFT(Tableau1[[#This Row],[Formacode]],3)</f>
        <v/>
      </c>
      <c r="D3749" s="47" t="n">
        <v>38836</v>
      </c>
      <c r="E3749" s="48">
        <f>"RNCP"&amp;D3749</f>
        <v/>
      </c>
      <c r="F3749" s="48" t="inlineStr">
        <is>
          <t>Responsable du développement des ressources humaines</t>
        </is>
      </c>
      <c r="G3749" s="49">
        <f>E3749&amp;" - "&amp;F3749</f>
        <v/>
      </c>
      <c r="H3749" s="36" t="inlineStr">
        <is>
          <t>RAS</t>
        </is>
      </c>
      <c r="I3749" s="45" t="inlineStr"/>
      <c r="J3749" s="45" t="inlineStr">
        <is>
          <t>RNCP38836</t>
        </is>
      </c>
      <c r="K3749" s="45" t="inlineStr">
        <is>
          <t>Responsable du développement des ressources humaines</t>
        </is>
      </c>
      <c r="L3749" s="45" t="inlineStr">
        <is>
          <t>27/03/2029</t>
        </is>
      </c>
      <c r="M3749" s="45" t="inlineStr">
        <is>
          <t>33054 (Gestion ressources humaines)</t>
        </is>
      </c>
      <c r="N3749" s="50" t="inlineStr">
        <is>
          <t>NON</t>
        </is>
      </c>
      <c r="O3749" s="45" t="inlineStr"/>
    </row>
    <row r="3750" customFormat="1" s="3">
      <c r="A3750" s="45" t="n"/>
      <c r="B3750" s="46" t="inlineStr">
        <is>
          <t>33086</t>
        </is>
      </c>
      <c r="C3750" s="46">
        <f>LEFT(Tableau1[[#This Row],[Formacode]],3)</f>
        <v/>
      </c>
      <c r="D3750" s="47" t="n">
        <v>39364</v>
      </c>
      <c r="E3750" s="48">
        <f>"RNCP"&amp;D3750</f>
        <v/>
      </c>
      <c r="F3750" s="48" t="inlineStr">
        <is>
          <t>Manager en stratégie et développement des ressources humaines</t>
        </is>
      </c>
      <c r="G3750" s="49">
        <f>E3750&amp;" - "&amp;F3750</f>
        <v/>
      </c>
      <c r="H3750" s="36" t="inlineStr">
        <is>
          <t>RAS</t>
        </is>
      </c>
      <c r="I3750" s="45" t="inlineStr"/>
      <c r="J3750" s="45" t="inlineStr">
        <is>
          <t>RNCP39364</t>
        </is>
      </c>
      <c r="K3750" s="45" t="inlineStr">
        <is>
          <t>Manager en stratégie et développement des ressources humaines</t>
        </is>
      </c>
      <c r="L3750" s="45" t="inlineStr">
        <is>
          <t>19/07/2028</t>
        </is>
      </c>
      <c r="M3750" s="45" t="inlineStr">
        <is>
          <t>33054 (Gestion ressources humaines) ; 32025 (Stratégie entreprise)</t>
        </is>
      </c>
      <c r="N3750" s="50" t="inlineStr">
        <is>
          <t>NON</t>
        </is>
      </c>
      <c r="O3750" s="45" t="inlineStr"/>
    </row>
    <row r="3751" customFormat="1" s="3">
      <c r="A3751" s="45" t="n"/>
      <c r="B3751" s="46" t="inlineStr">
        <is>
          <t>33086</t>
        </is>
      </c>
      <c r="C3751" s="46">
        <f>LEFT(Tableau1[[#This Row],[Formacode]],3)</f>
        <v/>
      </c>
      <c r="D3751" s="47" t="n">
        <v>39864</v>
      </c>
      <c r="E3751" s="48">
        <f>"RNCP"&amp;D3751</f>
        <v/>
      </c>
      <c r="F3751" s="48" t="inlineStr">
        <is>
          <t>Manager du développement des ressources humaines</t>
        </is>
      </c>
      <c r="G3751" s="49">
        <f>E3751&amp;" - "&amp;F3751</f>
        <v/>
      </c>
      <c r="H3751" s="36" t="inlineStr">
        <is>
          <t>RAS</t>
        </is>
      </c>
      <c r="I3751" s="45" t="inlineStr"/>
      <c r="J3751" s="45" t="inlineStr">
        <is>
          <t>RNCP39864</t>
        </is>
      </c>
      <c r="K3751" s="45" t="inlineStr">
        <is>
          <t>Manager du développement des ressources humaines</t>
        </is>
      </c>
      <c r="L3751" s="45" t="inlineStr">
        <is>
          <t>28/11/2027</t>
        </is>
      </c>
      <c r="M3751" s="45" t="inlineStr">
        <is>
          <t>33054 (Gestion ressources humaines) ; 32154 (Encadrement management)</t>
        </is>
      </c>
      <c r="N3751" s="50" t="inlineStr">
        <is>
          <t>NON</t>
        </is>
      </c>
      <c r="O3751" s="45" t="inlineStr"/>
    </row>
    <row r="3752" customFormat="1" s="3">
      <c r="A3752" s="45" t="n"/>
      <c r="B3752" s="46" t="inlineStr">
        <is>
          <t>33086</t>
        </is>
      </c>
      <c r="C3752" s="46">
        <f>LEFT(Tableau1[[#This Row],[Formacode]],3)</f>
        <v/>
      </c>
      <c r="D3752" s="47" t="n">
        <v>40594</v>
      </c>
      <c r="E3752" s="48">
        <f>"RNCP"&amp;D3752</f>
        <v/>
      </c>
      <c r="F3752" s="48" t="inlineStr">
        <is>
          <t>Chargé de missions RH</t>
        </is>
      </c>
      <c r="G3752" s="49">
        <f>E3752&amp;" - "&amp;F3752</f>
        <v/>
      </c>
      <c r="H3752" s="36" t="inlineStr">
        <is>
          <t>RAS</t>
        </is>
      </c>
      <c r="I3752" s="45" t="inlineStr"/>
      <c r="J3752" s="45" t="inlineStr">
        <is>
          <t>RNCP40594</t>
        </is>
      </c>
      <c r="K3752" s="45" t="inlineStr">
        <is>
          <t>Chargé de missions RH</t>
        </is>
      </c>
      <c r="L3752" s="45" t="inlineStr">
        <is>
          <t>30/04/2028</t>
        </is>
      </c>
      <c r="M3752" s="45" t="inlineStr">
        <is>
          <t>33054 (Gestion ressources humaines)</t>
        </is>
      </c>
      <c r="N3752" s="50" t="inlineStr">
        <is>
          <t>NON</t>
        </is>
      </c>
      <c r="O3752" s="45" t="inlineStr"/>
    </row>
    <row r="3753" customFormat="1" s="3">
      <c r="A3753" s="45" t="n"/>
      <c r="B3753" s="46" t="inlineStr">
        <is>
          <t>33086</t>
        </is>
      </c>
      <c r="C3753" s="46">
        <f>LEFT(Tableau1[[#This Row],[Formacode]],3)</f>
        <v/>
      </c>
      <c r="D3753" s="47" t="n">
        <v>40863</v>
      </c>
      <c r="E3753" s="48">
        <f>"RNCP"&amp;D3753</f>
        <v/>
      </c>
      <c r="F3753" s="48" t="inlineStr">
        <is>
          <t>Responsable de gestion des ressources humaines</t>
        </is>
      </c>
      <c r="G3753" s="49">
        <f>E3753&amp;" - "&amp;F3753</f>
        <v/>
      </c>
      <c r="H3753" s="36" t="inlineStr">
        <is>
          <t>RAS</t>
        </is>
      </c>
      <c r="I3753" s="45" t="inlineStr"/>
      <c r="J3753" s="45" t="inlineStr">
        <is>
          <t>RNCP40863</t>
        </is>
      </c>
      <c r="K3753" s="45" t="inlineStr">
        <is>
          <t>Responsable de gestion des ressources humaines</t>
        </is>
      </c>
      <c r="L3753" s="45" t="inlineStr">
        <is>
          <t>25/06/2028</t>
        </is>
      </c>
      <c r="M3753" s="45" t="inlineStr">
        <is>
          <t>33054 (Gestion ressources humaines)</t>
        </is>
      </c>
      <c r="N3753" s="50" t="inlineStr">
        <is>
          <t>NON</t>
        </is>
      </c>
      <c r="O3753" s="45" t="inlineStr"/>
    </row>
    <row r="3754" customFormat="1" s="3">
      <c r="A3754" s="45" t="n"/>
      <c r="B3754" s="46" t="inlineStr">
        <is>
          <t>33086</t>
        </is>
      </c>
      <c r="C3754" s="46">
        <f>LEFT(Tableau1[[#This Row],[Formacode]],3)</f>
        <v/>
      </c>
      <c r="D3754" s="47" t="n">
        <v>41128</v>
      </c>
      <c r="E3754" s="48">
        <f>"RNCP"&amp;D3754</f>
        <v/>
      </c>
      <c r="F3754" s="48" t="inlineStr">
        <is>
          <t>Chargé de développement des ressources humaines</t>
        </is>
      </c>
      <c r="G3754" s="49">
        <f>E3754&amp;" - "&amp;F3754</f>
        <v/>
      </c>
      <c r="H3754" s="36" t="inlineStr">
        <is>
          <t>RAS</t>
        </is>
      </c>
      <c r="I3754" s="45" t="inlineStr"/>
      <c r="J3754" s="45" t="inlineStr">
        <is>
          <t>RNCP41128</t>
        </is>
      </c>
      <c r="K3754" s="45" t="inlineStr">
        <is>
          <t>Chargé de développement des ressources humaines</t>
        </is>
      </c>
      <c r="L3754" s="45" t="inlineStr">
        <is>
          <t>18/07/2028</t>
        </is>
      </c>
      <c r="M3754" s="45" t="inlineStr">
        <is>
          <t>33054 (Gestion ressources humaines)</t>
        </is>
      </c>
      <c r="N3754" s="50" t="inlineStr">
        <is>
          <t>NON</t>
        </is>
      </c>
      <c r="O3754" s="45" t="inlineStr"/>
    </row>
    <row r="3755" customFormat="1" s="3">
      <c r="A3755" s="45" t="n"/>
      <c r="B3755" s="46" t="inlineStr">
        <is>
          <t>33086</t>
        </is>
      </c>
      <c r="C3755" s="46">
        <f>LEFT(Tableau1[[#This Row],[Formacode]],3)</f>
        <v/>
      </c>
      <c r="D3755" s="47" t="n">
        <v>41295</v>
      </c>
      <c r="E3755" s="48">
        <f>"RNCP"&amp;D3755</f>
        <v/>
      </c>
      <c r="F3755" s="48" t="inlineStr">
        <is>
          <t>Manager des ressources humaines</t>
        </is>
      </c>
      <c r="G3755" s="49">
        <f>E3755&amp;" - "&amp;F3755</f>
        <v/>
      </c>
      <c r="H3755" s="36" t="inlineStr">
        <is>
          <t>RAS</t>
        </is>
      </c>
      <c r="I3755" s="45" t="inlineStr"/>
      <c r="J3755" s="45" t="inlineStr">
        <is>
          <t>RNCP41295</t>
        </is>
      </c>
      <c r="K3755" s="45" t="inlineStr">
        <is>
          <t>Manager des ressources humaines</t>
        </is>
      </c>
      <c r="L3755" s="45" t="inlineStr">
        <is>
          <t>24/09/2030</t>
        </is>
      </c>
      <c r="M3755" s="45" t="inlineStr">
        <is>
          <t>33054 (Gestion ressources humaines)</t>
        </is>
      </c>
      <c r="N3755" s="50" t="inlineStr">
        <is>
          <t>NON</t>
        </is>
      </c>
      <c r="O3755" s="45" t="inlineStr"/>
    </row>
    <row r="3756" customFormat="1" s="3">
      <c r="A3756" s="45" t="n"/>
      <c r="B3756" s="46" t="inlineStr">
        <is>
          <t>33086</t>
        </is>
      </c>
      <c r="C3756" s="46">
        <f>LEFT(Tableau1[[#This Row],[Formacode]],3)</f>
        <v/>
      </c>
      <c r="D3756" s="47" t="n">
        <v>41803</v>
      </c>
      <c r="E3756" s="48">
        <f>"RNCP"&amp;D3756</f>
        <v/>
      </c>
      <c r="F3756" s="48" t="inlineStr">
        <is>
          <t>Manager des ressources humaines</t>
        </is>
      </c>
      <c r="G3756" s="49">
        <f>E3756&amp;" - "&amp;F3756</f>
        <v/>
      </c>
      <c r="H3756" s="36" t="inlineStr">
        <is>
          <t>RAS</t>
        </is>
      </c>
      <c r="I3756" s="45" t="inlineStr"/>
      <c r="J3756" s="45" t="inlineStr">
        <is>
          <t>RNCP41803</t>
        </is>
      </c>
      <c r="K3756" s="45" t="inlineStr">
        <is>
          <t>Manager des ressources humaines</t>
        </is>
      </c>
      <c r="L3756" s="45" t="inlineStr">
        <is>
          <t>18/12/2030</t>
        </is>
      </c>
      <c r="M3756" s="45" t="inlineStr">
        <is>
          <t>33054 (Gestion ressources humaines)</t>
        </is>
      </c>
      <c r="N3756" s="50" t="inlineStr">
        <is>
          <t>NON</t>
        </is>
      </c>
      <c r="O3756" s="45" t="inlineStr"/>
    </row>
    <row r="3757" customFormat="1" s="3">
      <c r="A3757" s="63" t="n"/>
      <c r="B3757" s="64" t="inlineStr">
        <is>
          <t>33091</t>
        </is>
      </c>
      <c r="C3757" s="64">
        <f>LEFT(Tableau1[[#This Row],[Formacode]],3)</f>
        <v/>
      </c>
      <c r="D3757" s="65" t="n">
        <v>35604</v>
      </c>
      <c r="E3757" s="66">
        <f>"RNCP"&amp;D3757</f>
        <v/>
      </c>
      <c r="F3757" s="66" t="inlineStr">
        <is>
          <t>Manager du développement des ressources humaines</t>
        </is>
      </c>
      <c r="G3757" s="67">
        <f>E3757&amp;" - "&amp;F3757</f>
        <v/>
      </c>
      <c r="H3757" s="38" t="inlineStr">
        <is>
          <t>Expiré / remplacé</t>
        </is>
      </c>
      <c r="I3757" s="63" t="inlineStr">
        <is>
          <t>Fiche inactive — remplacée par RNCP42518 (Manager du développement des ressources humaines (MDRH))</t>
        </is>
      </c>
      <c r="J3757" s="63" t="inlineStr">
        <is>
          <t>RNCP42518</t>
        </is>
      </c>
      <c r="K3757" s="63" t="inlineStr">
        <is>
          <t>Manager du développement des ressources humaines (MDRH)</t>
        </is>
      </c>
      <c r="L3757" s="63" t="inlineStr">
        <is>
          <t>19/05/2026</t>
        </is>
      </c>
      <c r="M3757" s="63" t="inlineStr">
        <is>
          <t>33054 (Gestion ressources humaines)</t>
        </is>
      </c>
      <c r="N3757" s="68" t="inlineStr">
        <is>
          <t>NON</t>
        </is>
      </c>
      <c r="O3757" s="63" t="inlineStr"/>
    </row>
    <row r="3758" customFormat="1" s="3">
      <c r="A3758" s="51" t="n"/>
      <c r="B3758" s="52" t="inlineStr">
        <is>
          <t>33091</t>
        </is>
      </c>
      <c r="C3758" s="52">
        <f>LEFT(Tableau1[[#This Row],[Formacode]],3)</f>
        <v/>
      </c>
      <c r="D3758" s="53" t="n">
        <v>35878</v>
      </c>
      <c r="E3758" s="54">
        <f>"RNCP"&amp;D3758</f>
        <v/>
      </c>
      <c r="F3758" s="54" t="inlineStr">
        <is>
          <t>Chargé des ressources humaines</t>
        </is>
      </c>
      <c r="G3758" s="55">
        <f>E3758&amp;" - "&amp;F3758</f>
        <v/>
      </c>
      <c r="H3758" s="37" t="inlineStr">
        <is>
          <t>À vérifier</t>
        </is>
      </c>
      <c r="I3758" s="51" t="inlineStr">
        <is>
          <t>Successeur déjà publié : RNCP42313 (Chargé des ressources humaines) — préparer la bascule de l'offre CPF | Échéance le 15/09/2026 (dans 59 j)</t>
        </is>
      </c>
      <c r="J3758" s="51" t="inlineStr">
        <is>
          <t>RNCP42313</t>
        </is>
      </c>
      <c r="K3758" s="51" t="inlineStr">
        <is>
          <t>Chargé des ressources humaines</t>
        </is>
      </c>
      <c r="L3758" s="51" t="inlineStr">
        <is>
          <t>15/09/2026</t>
        </is>
      </c>
      <c r="M3758" s="51" t="inlineStr">
        <is>
          <t>33054 (Gestion ressources humaines)</t>
        </is>
      </c>
      <c r="N3758" s="62" t="inlineStr">
        <is>
          <t>NON</t>
        </is>
      </c>
      <c r="O3758" s="51" t="inlineStr"/>
    </row>
    <row r="3759" customFormat="1" s="3">
      <c r="A3759" s="45" t="n"/>
      <c r="B3759" s="46" t="inlineStr">
        <is>
          <t>33091</t>
        </is>
      </c>
      <c r="C3759" s="46">
        <f>LEFT(Tableau1[[#This Row],[Formacode]],3)</f>
        <v/>
      </c>
      <c r="D3759" s="47" t="n">
        <v>36143</v>
      </c>
      <c r="E3759" s="48">
        <f>"RNCP"&amp;D3759</f>
        <v/>
      </c>
      <c r="F3759" s="48" t="inlineStr">
        <is>
          <t>Chargé des ressources humaines</t>
        </is>
      </c>
      <c r="G3759" s="49">
        <f>E3759&amp;" - "&amp;F3759</f>
        <v/>
      </c>
      <c r="H3759" s="36" t="inlineStr">
        <is>
          <t>RAS</t>
        </is>
      </c>
      <c r="I3759" s="45" t="inlineStr"/>
      <c r="J3759" s="45" t="inlineStr">
        <is>
          <t>RNCP36143</t>
        </is>
      </c>
      <c r="K3759" s="45" t="inlineStr">
        <is>
          <t>Chargé des ressources humaines</t>
        </is>
      </c>
      <c r="L3759" s="45" t="inlineStr">
        <is>
          <t>26/01/2027</t>
        </is>
      </c>
      <c r="M3759" s="45" t="inlineStr">
        <is>
          <t>33054 (Gestion ressources humaines)</t>
        </is>
      </c>
      <c r="N3759" s="50" t="inlineStr">
        <is>
          <t>NON</t>
        </is>
      </c>
      <c r="O3759" s="45" t="inlineStr"/>
    </row>
    <row r="3760" customFormat="1" s="3">
      <c r="A3760" s="45" t="n"/>
      <c r="B3760" s="46" t="inlineStr">
        <is>
          <t>33091</t>
        </is>
      </c>
      <c r="C3760" s="46">
        <f>LEFT(Tableau1[[#This Row],[Formacode]],3)</f>
        <v/>
      </c>
      <c r="D3760" s="47" t="n">
        <v>37274</v>
      </c>
      <c r="E3760" s="48">
        <f>"RNCP"&amp;D3760</f>
        <v/>
      </c>
      <c r="F3760" s="48" t="inlineStr">
        <is>
          <t>TP - Conseiller en insertion professionnelle</t>
        </is>
      </c>
      <c r="G3760" s="49">
        <f>E3760&amp;" - "&amp;F3760</f>
        <v/>
      </c>
      <c r="H3760" s="36" t="inlineStr">
        <is>
          <t>RAS</t>
        </is>
      </c>
      <c r="I3760" s="45" t="inlineStr"/>
      <c r="J3760" s="45" t="inlineStr">
        <is>
          <t>RNCP37274</t>
        </is>
      </c>
      <c r="K3760" s="45" t="inlineStr">
        <is>
          <t>Conseiller en insertion professionnelle</t>
        </is>
      </c>
      <c r="L3760" s="45" t="inlineStr">
        <is>
          <t>23/03/2028</t>
        </is>
      </c>
      <c r="M3760" s="45" t="inlineStr">
        <is>
          <t>44569 (Conseil insertion professionnelle) ; 33091 (GEPP)</t>
        </is>
      </c>
      <c r="N3760" s="50" t="inlineStr">
        <is>
          <t>NON</t>
        </is>
      </c>
      <c r="O3760" s="45" t="inlineStr"/>
    </row>
    <row r="3761" customFormat="1" s="3">
      <c r="A3761" s="51" t="n"/>
      <c r="B3761" s="52" t="inlineStr">
        <is>
          <t>33091</t>
        </is>
      </c>
      <c r="C3761" s="52">
        <f>LEFT(Tableau1[[#This Row],[Formacode]],3)</f>
        <v/>
      </c>
      <c r="D3761" s="53" t="n">
        <v>37851</v>
      </c>
      <c r="E3761" s="54">
        <f>"RNCP"&amp;D3761</f>
        <v/>
      </c>
      <c r="F3761" s="54" t="inlineStr">
        <is>
          <t>Manager des ressources humaines</t>
        </is>
      </c>
      <c r="G3761" s="55">
        <f>E3761&amp;" - "&amp;F3761</f>
        <v/>
      </c>
      <c r="H3761" s="37" t="inlineStr">
        <is>
          <t>À vérifier</t>
        </is>
      </c>
      <c r="I3761" s="51" t="inlineStr">
        <is>
          <t>Échéance le 19/07/2026 (dans 1 j)</t>
        </is>
      </c>
      <c r="J3761" s="51" t="inlineStr">
        <is>
          <t>RNCP37851</t>
        </is>
      </c>
      <c r="K3761" s="51" t="inlineStr">
        <is>
          <t>Manager des ressources humaines</t>
        </is>
      </c>
      <c r="L3761" s="51" t="inlineStr">
        <is>
          <t>19/07/2026</t>
        </is>
      </c>
      <c r="M3761" s="51" t="inlineStr">
        <is>
          <t>33054 (Gestion ressources humaines)</t>
        </is>
      </c>
      <c r="N3761" s="62" t="inlineStr">
        <is>
          <t>NON</t>
        </is>
      </c>
      <c r="O3761" s="51" t="inlineStr"/>
    </row>
    <row r="3762" customFormat="1" s="3">
      <c r="A3762" s="51" t="n"/>
      <c r="B3762" s="52" t="inlineStr">
        <is>
          <t>33091</t>
        </is>
      </c>
      <c r="C3762" s="52">
        <f>LEFT(Tableau1[[#This Row],[Formacode]],3)</f>
        <v/>
      </c>
      <c r="D3762" s="53" t="n">
        <v>38241</v>
      </c>
      <c r="E3762" s="54">
        <f>"RNCP"&amp;D3762</f>
        <v/>
      </c>
      <c r="F3762" s="54" t="inlineStr">
        <is>
          <t>CQP Chargé de ressources humaines</t>
        </is>
      </c>
      <c r="G3762" s="55">
        <f>E3762&amp;" - "&amp;F3762</f>
        <v/>
      </c>
      <c r="H3762" s="37" t="inlineStr">
        <is>
          <t>À vérifier</t>
        </is>
      </c>
      <c r="I3762" s="51" t="inlineStr">
        <is>
          <t>Échéance le 15/11/2026 (dans 120 j)</t>
        </is>
      </c>
      <c r="J3762" s="51" t="inlineStr">
        <is>
          <t>RNCP38241</t>
        </is>
      </c>
      <c r="K3762" s="51" t="inlineStr">
        <is>
          <t>CQP Chargé de ressources humaines</t>
        </is>
      </c>
      <c r="L3762" s="51" t="inlineStr">
        <is>
          <t>15/11/2026</t>
        </is>
      </c>
      <c r="M3762" s="51" t="inlineStr">
        <is>
          <t>33054 (Gestion ressources humaines)</t>
        </is>
      </c>
      <c r="N3762" s="62" t="inlineStr">
        <is>
          <t>NON</t>
        </is>
      </c>
      <c r="O3762" s="51" t="inlineStr"/>
    </row>
    <row r="3763" customFormat="1" s="3">
      <c r="A3763" s="51" t="n"/>
      <c r="B3763" s="52" t="inlineStr">
        <is>
          <t>33091</t>
        </is>
      </c>
      <c r="C3763" s="52">
        <f>LEFT(Tableau1[[#This Row],[Formacode]],3)</f>
        <v/>
      </c>
      <c r="D3763" s="53" t="n">
        <v>38460</v>
      </c>
      <c r="E3763" s="54">
        <f>"RNCP"&amp;D3763</f>
        <v/>
      </c>
      <c r="F3763" s="54" t="inlineStr">
        <is>
          <t>Manager en ressources humaines</t>
        </is>
      </c>
      <c r="G3763" s="55">
        <f>E3763&amp;" - "&amp;F3763</f>
        <v/>
      </c>
      <c r="H3763" s="37" t="inlineStr">
        <is>
          <t>À vérifier</t>
        </is>
      </c>
      <c r="I3763" s="51" t="inlineStr">
        <is>
          <t>Échéance le 21/12/2026 (dans 156 j)</t>
        </is>
      </c>
      <c r="J3763" s="51" t="inlineStr">
        <is>
          <t>RNCP38460</t>
        </is>
      </c>
      <c r="K3763" s="51" t="inlineStr">
        <is>
          <t>Manager en ressources humaines</t>
        </is>
      </c>
      <c r="L3763" s="51" t="inlineStr">
        <is>
          <t>21/12/2026</t>
        </is>
      </c>
      <c r="M3763" s="51" t="inlineStr">
        <is>
          <t>33054 (Gestion ressources humaines)</t>
        </is>
      </c>
      <c r="N3763" s="62" t="inlineStr">
        <is>
          <t>NON</t>
        </is>
      </c>
      <c r="O3763" s="51" t="inlineStr"/>
    </row>
    <row r="3764" customFormat="1" s="3">
      <c r="A3764" s="51" t="n"/>
      <c r="B3764" s="52" t="inlineStr">
        <is>
          <t>33091</t>
        </is>
      </c>
      <c r="C3764" s="52">
        <f>LEFT(Tableau1[[#This Row],[Formacode]],3)</f>
        <v/>
      </c>
      <c r="D3764" s="53" t="n">
        <v>38489</v>
      </c>
      <c r="E3764" s="54">
        <f>"RNCP"&amp;D3764</f>
        <v/>
      </c>
      <c r="F3764" s="54" t="inlineStr">
        <is>
          <t>Manager des ressources humaines</t>
        </is>
      </c>
      <c r="G3764" s="55">
        <f>E3764&amp;" - "&amp;F3764</f>
        <v/>
      </c>
      <c r="H3764" s="37" t="inlineStr">
        <is>
          <t>À vérifier</t>
        </is>
      </c>
      <c r="I3764" s="51" t="inlineStr">
        <is>
          <t>Échéance le 21/12/2026 (dans 156 j)</t>
        </is>
      </c>
      <c r="J3764" s="51" t="inlineStr">
        <is>
          <t>RNCP38489</t>
        </is>
      </c>
      <c r="K3764" s="51" t="inlineStr">
        <is>
          <t>Manager des ressources humaines</t>
        </is>
      </c>
      <c r="L3764" s="51" t="inlineStr">
        <is>
          <t>21/12/2026</t>
        </is>
      </c>
      <c r="M3764" s="51" t="inlineStr">
        <is>
          <t>33054 (Gestion ressources humaines)</t>
        </is>
      </c>
      <c r="N3764" s="62" t="inlineStr">
        <is>
          <t>NON</t>
        </is>
      </c>
      <c r="O3764" s="51" t="inlineStr"/>
    </row>
    <row r="3765" customFormat="1" s="3">
      <c r="A3765" s="45" t="n"/>
      <c r="B3765" s="46" t="inlineStr">
        <is>
          <t>33091</t>
        </is>
      </c>
      <c r="C3765" s="46">
        <f>LEFT(Tableau1[[#This Row],[Formacode]],3)</f>
        <v/>
      </c>
      <c r="D3765" s="47" t="n">
        <v>38824</v>
      </c>
      <c r="E3765" s="48">
        <f>"RNCP"&amp;D3765</f>
        <v/>
      </c>
      <c r="F3765" s="48" t="inlineStr">
        <is>
          <t>Manager en ressources humaines</t>
        </is>
      </c>
      <c r="G3765" s="49">
        <f>E3765&amp;" - "&amp;F3765</f>
        <v/>
      </c>
      <c r="H3765" s="36" t="inlineStr">
        <is>
          <t>RAS</t>
        </is>
      </c>
      <c r="I3765" s="45" t="inlineStr"/>
      <c r="J3765" s="45" t="inlineStr">
        <is>
          <t>RNCP38824</t>
        </is>
      </c>
      <c r="K3765" s="45" t="inlineStr">
        <is>
          <t>Manager en ressources humaines</t>
        </is>
      </c>
      <c r="L3765" s="45" t="inlineStr">
        <is>
          <t>27/03/2028</t>
        </is>
      </c>
      <c r="M3765" s="45" t="inlineStr">
        <is>
          <t>44508 (Plan développement compétences) ; 33060 (Recrutement) ; 33047 (Relations sociales) ; 32015 (Conduite changement) ; 33091 (GEPP)</t>
        </is>
      </c>
      <c r="N3765" s="50" t="inlineStr">
        <is>
          <t>NON</t>
        </is>
      </c>
      <c r="O3765" s="45" t="inlineStr"/>
    </row>
    <row r="3766" customFormat="1" s="3">
      <c r="A3766" s="45" t="n"/>
      <c r="B3766" s="46" t="inlineStr">
        <is>
          <t>33091</t>
        </is>
      </c>
      <c r="C3766" s="46">
        <f>LEFT(Tableau1[[#This Row],[Formacode]],3)</f>
        <v/>
      </c>
      <c r="D3766" s="47" t="n">
        <v>38833</v>
      </c>
      <c r="E3766" s="48">
        <f>"RNCP"&amp;D3766</f>
        <v/>
      </c>
      <c r="F3766" s="48" t="inlineStr">
        <is>
          <t>Manager des ressources humaines</t>
        </is>
      </c>
      <c r="G3766" s="49">
        <f>E3766&amp;" - "&amp;F3766</f>
        <v/>
      </c>
      <c r="H3766" s="36" t="inlineStr">
        <is>
          <t>RAS</t>
        </is>
      </c>
      <c r="I3766" s="45" t="inlineStr"/>
      <c r="J3766" s="45" t="inlineStr">
        <is>
          <t>RNCP38833</t>
        </is>
      </c>
      <c r="K3766" s="45" t="inlineStr">
        <is>
          <t>Manager des ressources humaines</t>
        </is>
      </c>
      <c r="L3766" s="45" t="inlineStr">
        <is>
          <t>27/03/2029</t>
        </is>
      </c>
      <c r="M3766" s="45" t="inlineStr">
        <is>
          <t>33035 (Audit ressources humaines) ; 33036 (Stratégie sociale entreprise) ; 33091 (GEPP)</t>
        </is>
      </c>
      <c r="N3766" s="50" t="inlineStr">
        <is>
          <t>NON</t>
        </is>
      </c>
      <c r="O3766" s="45" t="inlineStr"/>
    </row>
    <row r="3767" customFormat="1" s="3">
      <c r="A3767" s="45" t="n"/>
      <c r="B3767" s="46" t="inlineStr">
        <is>
          <t>33091</t>
        </is>
      </c>
      <c r="C3767" s="46">
        <f>LEFT(Tableau1[[#This Row],[Formacode]],3)</f>
        <v/>
      </c>
      <c r="D3767" s="47" t="n">
        <v>38836</v>
      </c>
      <c r="E3767" s="48">
        <f>"RNCP"&amp;D3767</f>
        <v/>
      </c>
      <c r="F3767" s="48" t="inlineStr">
        <is>
          <t>Responsable du développement des ressources humaines</t>
        </is>
      </c>
      <c r="G3767" s="49">
        <f>E3767&amp;" - "&amp;F3767</f>
        <v/>
      </c>
      <c r="H3767" s="36" t="inlineStr">
        <is>
          <t>RAS</t>
        </is>
      </c>
      <c r="I3767" s="45" t="inlineStr"/>
      <c r="J3767" s="45" t="inlineStr">
        <is>
          <t>RNCP38836</t>
        </is>
      </c>
      <c r="K3767" s="45" t="inlineStr">
        <is>
          <t>Responsable du développement des ressources humaines</t>
        </is>
      </c>
      <c r="L3767" s="45" t="inlineStr">
        <is>
          <t>27/03/2029</t>
        </is>
      </c>
      <c r="M3767" s="45" t="inlineStr">
        <is>
          <t>33054 (Gestion ressources humaines)</t>
        </is>
      </c>
      <c r="N3767" s="50" t="inlineStr">
        <is>
          <t>NON</t>
        </is>
      </c>
      <c r="O3767" s="45" t="inlineStr"/>
    </row>
    <row r="3768" customFormat="1" s="3">
      <c r="A3768" s="45" t="n"/>
      <c r="B3768" s="46" t="inlineStr">
        <is>
          <t>33091</t>
        </is>
      </c>
      <c r="C3768" s="46">
        <f>LEFT(Tableau1[[#This Row],[Formacode]],3)</f>
        <v/>
      </c>
      <c r="D3768" s="47" t="n">
        <v>39364</v>
      </c>
      <c r="E3768" s="48">
        <f>"RNCP"&amp;D3768</f>
        <v/>
      </c>
      <c r="F3768" s="48" t="inlineStr">
        <is>
          <t>Manager en stratégie et développement des ressources humaines</t>
        </is>
      </c>
      <c r="G3768" s="49">
        <f>E3768&amp;" - "&amp;F3768</f>
        <v/>
      </c>
      <c r="H3768" s="36" t="inlineStr">
        <is>
          <t>RAS</t>
        </is>
      </c>
      <c r="I3768" s="45" t="inlineStr"/>
      <c r="J3768" s="45" t="inlineStr">
        <is>
          <t>RNCP39364</t>
        </is>
      </c>
      <c r="K3768" s="45" t="inlineStr">
        <is>
          <t>Manager en stratégie et développement des ressources humaines</t>
        </is>
      </c>
      <c r="L3768" s="45" t="inlineStr">
        <is>
          <t>19/07/2028</t>
        </is>
      </c>
      <c r="M3768" s="45" t="inlineStr">
        <is>
          <t>33054 (Gestion ressources humaines) ; 32025 (Stratégie entreprise)</t>
        </is>
      </c>
      <c r="N3768" s="50" t="inlineStr">
        <is>
          <t>NON</t>
        </is>
      </c>
      <c r="O3768" s="45" t="inlineStr"/>
    </row>
    <row r="3769" customFormat="1" s="3">
      <c r="A3769" s="45" t="n"/>
      <c r="B3769" s="46" t="inlineStr">
        <is>
          <t>33091</t>
        </is>
      </c>
      <c r="C3769" s="46">
        <f>LEFT(Tableau1[[#This Row],[Formacode]],3)</f>
        <v/>
      </c>
      <c r="D3769" s="47" t="n">
        <v>39864</v>
      </c>
      <c r="E3769" s="48">
        <f>"RNCP"&amp;D3769</f>
        <v/>
      </c>
      <c r="F3769" s="48" t="inlineStr">
        <is>
          <t>Manager du développement des ressources humaines</t>
        </is>
      </c>
      <c r="G3769" s="49">
        <f>E3769&amp;" - "&amp;F3769</f>
        <v/>
      </c>
      <c r="H3769" s="36" t="inlineStr">
        <is>
          <t>RAS</t>
        </is>
      </c>
      <c r="I3769" s="45" t="inlineStr"/>
      <c r="J3769" s="45" t="inlineStr">
        <is>
          <t>RNCP39864</t>
        </is>
      </c>
      <c r="K3769" s="45" t="inlineStr">
        <is>
          <t>Manager du développement des ressources humaines</t>
        </is>
      </c>
      <c r="L3769" s="45" t="inlineStr">
        <is>
          <t>28/11/2027</t>
        </is>
      </c>
      <c r="M3769" s="45" t="inlineStr">
        <is>
          <t>33054 (Gestion ressources humaines) ; 32154 (Encadrement management)</t>
        </is>
      </c>
      <c r="N3769" s="50" t="inlineStr">
        <is>
          <t>NON</t>
        </is>
      </c>
      <c r="O3769" s="45" t="inlineStr"/>
    </row>
    <row r="3770" customFormat="1" s="3">
      <c r="A3770" s="45" t="n"/>
      <c r="B3770" s="46" t="inlineStr">
        <is>
          <t>33091</t>
        </is>
      </c>
      <c r="C3770" s="46">
        <f>LEFT(Tableau1[[#This Row],[Formacode]],3)</f>
        <v/>
      </c>
      <c r="D3770" s="47" t="n">
        <v>40244</v>
      </c>
      <c r="E3770" s="48">
        <f>"RNCP"&amp;D3770</f>
        <v/>
      </c>
      <c r="F3770" s="48" t="inlineStr">
        <is>
          <t>Manager des ressources humaines</t>
        </is>
      </c>
      <c r="G3770" s="49">
        <f>E3770&amp;" - "&amp;F3770</f>
        <v/>
      </c>
      <c r="H3770" s="36" t="inlineStr">
        <is>
          <t>RAS</t>
        </is>
      </c>
      <c r="I3770" s="45" t="inlineStr"/>
      <c r="J3770" s="45" t="inlineStr">
        <is>
          <t>RNCP40244</t>
        </is>
      </c>
      <c r="K3770" s="45" t="inlineStr">
        <is>
          <t>Manager des ressources humaines</t>
        </is>
      </c>
      <c r="L3770" s="45" t="inlineStr">
        <is>
          <t>28/02/2030</t>
        </is>
      </c>
      <c r="M3770" s="45" t="inlineStr">
        <is>
          <t>33052 (Administration personnel) ; 33091 (GEPP) ; 33047 (Relations sociales)</t>
        </is>
      </c>
      <c r="N3770" s="50" t="inlineStr">
        <is>
          <t>NON</t>
        </is>
      </c>
      <c r="O3770" s="45" t="inlineStr"/>
    </row>
    <row r="3771" customFormat="1" s="3">
      <c r="A3771" s="45" t="n"/>
      <c r="B3771" s="46" t="inlineStr">
        <is>
          <t>33091</t>
        </is>
      </c>
      <c r="C3771" s="46">
        <f>LEFT(Tableau1[[#This Row],[Formacode]],3)</f>
        <v/>
      </c>
      <c r="D3771" s="47" t="n">
        <v>40594</v>
      </c>
      <c r="E3771" s="48">
        <f>"RNCP"&amp;D3771</f>
        <v/>
      </c>
      <c r="F3771" s="48" t="inlineStr">
        <is>
          <t>Chargé de missions RH</t>
        </is>
      </c>
      <c r="G3771" s="49">
        <f>E3771&amp;" - "&amp;F3771</f>
        <v/>
      </c>
      <c r="H3771" s="36" t="inlineStr">
        <is>
          <t>RAS</t>
        </is>
      </c>
      <c r="I3771" s="45" t="inlineStr"/>
      <c r="J3771" s="45" t="inlineStr">
        <is>
          <t>RNCP40594</t>
        </is>
      </c>
      <c r="K3771" s="45" t="inlineStr">
        <is>
          <t>Chargé de missions RH</t>
        </is>
      </c>
      <c r="L3771" s="45" t="inlineStr">
        <is>
          <t>30/04/2028</t>
        </is>
      </c>
      <c r="M3771" s="45" t="inlineStr">
        <is>
          <t>33054 (Gestion ressources humaines)</t>
        </is>
      </c>
      <c r="N3771" s="50" t="inlineStr">
        <is>
          <t>NON</t>
        </is>
      </c>
      <c r="O3771" s="45" t="inlineStr"/>
    </row>
    <row r="3772" customFormat="1" s="3">
      <c r="A3772" s="45" t="n"/>
      <c r="B3772" s="46" t="inlineStr">
        <is>
          <t>33091</t>
        </is>
      </c>
      <c r="C3772" s="46">
        <f>LEFT(Tableau1[[#This Row],[Formacode]],3)</f>
        <v/>
      </c>
      <c r="D3772" s="47" t="n">
        <v>40863</v>
      </c>
      <c r="E3772" s="48">
        <f>"RNCP"&amp;D3772</f>
        <v/>
      </c>
      <c r="F3772" s="48" t="inlineStr">
        <is>
          <t>Responsable de gestion des ressources humaines</t>
        </is>
      </c>
      <c r="G3772" s="49">
        <f>E3772&amp;" - "&amp;F3772</f>
        <v/>
      </c>
      <c r="H3772" s="36" t="inlineStr">
        <is>
          <t>RAS</t>
        </is>
      </c>
      <c r="I3772" s="45" t="inlineStr"/>
      <c r="J3772" s="45" t="inlineStr">
        <is>
          <t>RNCP40863</t>
        </is>
      </c>
      <c r="K3772" s="45" t="inlineStr">
        <is>
          <t>Responsable de gestion des ressources humaines</t>
        </is>
      </c>
      <c r="L3772" s="45" t="inlineStr">
        <is>
          <t>25/06/2028</t>
        </is>
      </c>
      <c r="M3772" s="45" t="inlineStr">
        <is>
          <t>33054 (Gestion ressources humaines)</t>
        </is>
      </c>
      <c r="N3772" s="50" t="inlineStr">
        <is>
          <t>NON</t>
        </is>
      </c>
      <c r="O3772" s="45" t="inlineStr"/>
    </row>
    <row r="3773" customFormat="1" s="3">
      <c r="A3773" s="45" t="n"/>
      <c r="B3773" s="46" t="inlineStr">
        <is>
          <t>33091</t>
        </is>
      </c>
      <c r="C3773" s="46">
        <f>LEFT(Tableau1[[#This Row],[Formacode]],3)</f>
        <v/>
      </c>
      <c r="D3773" s="47" t="n">
        <v>40908</v>
      </c>
      <c r="E3773" s="48">
        <f>"RNCP"&amp;D3773</f>
        <v/>
      </c>
      <c r="F3773" s="48" t="inlineStr">
        <is>
          <t>Chargé de développement ressources humaines</t>
        </is>
      </c>
      <c r="G3773" s="49">
        <f>E3773&amp;" - "&amp;F3773</f>
        <v/>
      </c>
      <c r="H3773" s="36" t="inlineStr">
        <is>
          <t>RAS</t>
        </is>
      </c>
      <c r="I3773" s="45" t="inlineStr"/>
      <c r="J3773" s="45" t="inlineStr">
        <is>
          <t>RNCP40908</t>
        </is>
      </c>
      <c r="K3773" s="45" t="inlineStr">
        <is>
          <t>Chargé de développement ressources humaines</t>
        </is>
      </c>
      <c r="L3773" s="45" t="inlineStr">
        <is>
          <t>25/06/2028</t>
        </is>
      </c>
      <c r="M3773" s="45" t="inlineStr">
        <is>
          <t>33091 (GEPP) ; 13303 (Contrôle urssaf) ; 44528 (Responsable formation) ; 15091 (Gestion carrière personnelle)</t>
        </is>
      </c>
      <c r="N3773" s="50" t="inlineStr">
        <is>
          <t>NON</t>
        </is>
      </c>
      <c r="O3773" s="45" t="inlineStr"/>
    </row>
    <row r="3774" customFormat="1" s="3">
      <c r="A3774" s="45" t="n"/>
      <c r="B3774" s="46" t="inlineStr">
        <is>
          <t>33091</t>
        </is>
      </c>
      <c r="C3774" s="46">
        <f>LEFT(Tableau1[[#This Row],[Formacode]],3)</f>
        <v/>
      </c>
      <c r="D3774" s="47" t="n">
        <v>41128</v>
      </c>
      <c r="E3774" s="48">
        <f>"RNCP"&amp;D3774</f>
        <v/>
      </c>
      <c r="F3774" s="48" t="inlineStr">
        <is>
          <t>Chargé de développement des ressources humaines</t>
        </is>
      </c>
      <c r="G3774" s="49">
        <f>E3774&amp;" - "&amp;F3774</f>
        <v/>
      </c>
      <c r="H3774" s="36" t="inlineStr">
        <is>
          <t>RAS</t>
        </is>
      </c>
      <c r="I3774" s="45" t="inlineStr"/>
      <c r="J3774" s="45" t="inlineStr">
        <is>
          <t>RNCP41128</t>
        </is>
      </c>
      <c r="K3774" s="45" t="inlineStr">
        <is>
          <t>Chargé de développement des ressources humaines</t>
        </is>
      </c>
      <c r="L3774" s="45" t="inlineStr">
        <is>
          <t>18/07/2028</t>
        </is>
      </c>
      <c r="M3774" s="45" t="inlineStr">
        <is>
          <t>33054 (Gestion ressources humaines)</t>
        </is>
      </c>
      <c r="N3774" s="50" t="inlineStr">
        <is>
          <t>NON</t>
        </is>
      </c>
      <c r="O3774" s="45" t="inlineStr"/>
    </row>
    <row r="3775" customFormat="1" s="3">
      <c r="A3775" s="45" t="n"/>
      <c r="B3775" s="46" t="inlineStr">
        <is>
          <t>33091</t>
        </is>
      </c>
      <c r="C3775" s="46">
        <f>LEFT(Tableau1[[#This Row],[Formacode]],3)</f>
        <v/>
      </c>
      <c r="D3775" s="47" t="n">
        <v>41295</v>
      </c>
      <c r="E3775" s="48">
        <f>"RNCP"&amp;D3775</f>
        <v/>
      </c>
      <c r="F3775" s="48" t="inlineStr">
        <is>
          <t>Manager des ressources humaines</t>
        </is>
      </c>
      <c r="G3775" s="49">
        <f>E3775&amp;" - "&amp;F3775</f>
        <v/>
      </c>
      <c r="H3775" s="36" t="inlineStr">
        <is>
          <t>RAS</t>
        </is>
      </c>
      <c r="I3775" s="45" t="inlineStr"/>
      <c r="J3775" s="45" t="inlineStr">
        <is>
          <t>RNCP41295</t>
        </is>
      </c>
      <c r="K3775" s="45" t="inlineStr">
        <is>
          <t>Manager des ressources humaines</t>
        </is>
      </c>
      <c r="L3775" s="45" t="inlineStr">
        <is>
          <t>24/09/2030</t>
        </is>
      </c>
      <c r="M3775" s="45" t="inlineStr">
        <is>
          <t>33054 (Gestion ressources humaines)</t>
        </is>
      </c>
      <c r="N3775" s="50" t="inlineStr">
        <is>
          <t>NON</t>
        </is>
      </c>
      <c r="O3775" s="45" t="inlineStr"/>
    </row>
    <row r="3776" customFormat="1" s="3">
      <c r="A3776" s="45" t="n"/>
      <c r="B3776" s="46" t="inlineStr">
        <is>
          <t>33091</t>
        </is>
      </c>
      <c r="C3776" s="46">
        <f>LEFT(Tableau1[[#This Row],[Formacode]],3)</f>
        <v/>
      </c>
      <c r="D3776" s="47" t="n">
        <v>41797</v>
      </c>
      <c r="E3776" s="48">
        <f>"RNCP"&amp;D3776</f>
        <v/>
      </c>
      <c r="F3776" s="48" t="inlineStr">
        <is>
          <t>Chargé des ressources humaines</t>
        </is>
      </c>
      <c r="G3776" s="49">
        <f>E3776&amp;" - "&amp;F3776</f>
        <v/>
      </c>
      <c r="H3776" s="36" t="inlineStr">
        <is>
          <t>RAS</t>
        </is>
      </c>
      <c r="I3776" s="45" t="inlineStr"/>
      <c r="J3776" s="45" t="inlineStr">
        <is>
          <t>RNCP41797</t>
        </is>
      </c>
      <c r="K3776" s="45" t="inlineStr">
        <is>
          <t>Chargé des ressources humaines</t>
        </is>
      </c>
      <c r="L3776" s="45" t="inlineStr">
        <is>
          <t>18/12/2028</t>
        </is>
      </c>
      <c r="M3776" s="45" t="inlineStr">
        <is>
          <t>33052 (Administration personnel) ; 15091 (Gestion carrière personnelle) ; 33047 (Relations sociales) ; 33091 (GEPP)</t>
        </is>
      </c>
      <c r="N3776" s="50" t="inlineStr">
        <is>
          <t>NON</t>
        </is>
      </c>
      <c r="O3776" s="45" t="inlineStr"/>
    </row>
    <row r="3777" customFormat="1" s="3">
      <c r="A3777" s="45" t="n"/>
      <c r="B3777" s="46" t="inlineStr">
        <is>
          <t>33091</t>
        </is>
      </c>
      <c r="C3777" s="46">
        <f>LEFT(Tableau1[[#This Row],[Formacode]],3)</f>
        <v/>
      </c>
      <c r="D3777" s="47" t="n">
        <v>41803</v>
      </c>
      <c r="E3777" s="48">
        <f>"RNCP"&amp;D3777</f>
        <v/>
      </c>
      <c r="F3777" s="48" t="inlineStr">
        <is>
          <t>Manager des ressources humaines</t>
        </is>
      </c>
      <c r="G3777" s="49">
        <f>E3777&amp;" - "&amp;F3777</f>
        <v/>
      </c>
      <c r="H3777" s="36" t="inlineStr">
        <is>
          <t>RAS</t>
        </is>
      </c>
      <c r="I3777" s="45" t="inlineStr"/>
      <c r="J3777" s="45" t="inlineStr">
        <is>
          <t>RNCP41803</t>
        </is>
      </c>
      <c r="K3777" s="45" t="inlineStr">
        <is>
          <t>Manager des ressources humaines</t>
        </is>
      </c>
      <c r="L3777" s="45" t="inlineStr">
        <is>
          <t>18/12/2030</t>
        </is>
      </c>
      <c r="M3777" s="45" t="inlineStr">
        <is>
          <t>33054 (Gestion ressources humaines)</t>
        </is>
      </c>
      <c r="N3777" s="50" t="inlineStr">
        <is>
          <t>NON</t>
        </is>
      </c>
      <c r="O3777" s="45" t="inlineStr"/>
    </row>
    <row r="3778" customFormat="1" s="3">
      <c r="A3778" s="63" t="n"/>
      <c r="B3778" s="64" t="inlineStr">
        <is>
          <t>33092</t>
        </is>
      </c>
      <c r="C3778" s="64">
        <f>LEFT(Tableau1[[#This Row],[Formacode]],3)</f>
        <v/>
      </c>
      <c r="D3778" s="65" t="n">
        <v>35604</v>
      </c>
      <c r="E3778" s="66">
        <f>"RNCP"&amp;D3778</f>
        <v/>
      </c>
      <c r="F3778" s="66" t="inlineStr">
        <is>
          <t>Manager du développement des ressources humaines</t>
        </is>
      </c>
      <c r="G3778" s="67">
        <f>E3778&amp;" - "&amp;F3778</f>
        <v/>
      </c>
      <c r="H3778" s="38" t="inlineStr">
        <is>
          <t>Expiré / remplacé</t>
        </is>
      </c>
      <c r="I3778" s="63" t="inlineStr">
        <is>
          <t>Fiche inactive — remplacée par RNCP42518 (Manager du développement des ressources humaines (MDRH))</t>
        </is>
      </c>
      <c r="J3778" s="63" t="inlineStr">
        <is>
          <t>RNCP42518</t>
        </is>
      </c>
      <c r="K3778" s="63" t="inlineStr">
        <is>
          <t>Manager du développement des ressources humaines (MDRH)</t>
        </is>
      </c>
      <c r="L3778" s="63" t="inlineStr">
        <is>
          <t>19/05/2026</t>
        </is>
      </c>
      <c r="M3778" s="63" t="inlineStr">
        <is>
          <t>33054 (Gestion ressources humaines)</t>
        </is>
      </c>
      <c r="N3778" s="68" t="inlineStr">
        <is>
          <t>NON</t>
        </is>
      </c>
      <c r="O3778" s="63" t="inlineStr"/>
    </row>
    <row r="3779" customFormat="1" s="3">
      <c r="A3779" s="51" t="n"/>
      <c r="B3779" s="52" t="inlineStr">
        <is>
          <t>33092</t>
        </is>
      </c>
      <c r="C3779" s="52">
        <f>LEFT(Tableau1[[#This Row],[Formacode]],3)</f>
        <v/>
      </c>
      <c r="D3779" s="53" t="n">
        <v>35878</v>
      </c>
      <c r="E3779" s="54">
        <f>"RNCP"&amp;D3779</f>
        <v/>
      </c>
      <c r="F3779" s="54" t="inlineStr">
        <is>
          <t>Chargé des ressources humaines</t>
        </is>
      </c>
      <c r="G3779" s="55">
        <f>E3779&amp;" - "&amp;F3779</f>
        <v/>
      </c>
      <c r="H3779" s="37" t="inlineStr">
        <is>
          <t>À vérifier</t>
        </is>
      </c>
      <c r="I3779" s="51" t="inlineStr">
        <is>
          <t>Successeur déjà publié : RNCP42313 (Chargé des ressources humaines) — préparer la bascule de l'offre CPF | Échéance le 15/09/2026 (dans 59 j)</t>
        </is>
      </c>
      <c r="J3779" s="51" t="inlineStr">
        <is>
          <t>RNCP42313</t>
        </is>
      </c>
      <c r="K3779" s="51" t="inlineStr">
        <is>
          <t>Chargé des ressources humaines</t>
        </is>
      </c>
      <c r="L3779" s="51" t="inlineStr">
        <is>
          <t>15/09/2026</t>
        </is>
      </c>
      <c r="M3779" s="51" t="inlineStr">
        <is>
          <t>33054 (Gestion ressources humaines)</t>
        </is>
      </c>
      <c r="N3779" s="62" t="inlineStr">
        <is>
          <t>NON</t>
        </is>
      </c>
      <c r="O3779" s="51" t="inlineStr"/>
    </row>
    <row r="3780" customFormat="1" s="3">
      <c r="A3780" s="45" t="n"/>
      <c r="B3780" s="46" t="inlineStr">
        <is>
          <t>33092</t>
        </is>
      </c>
      <c r="C3780" s="46">
        <f>LEFT(Tableau1[[#This Row],[Formacode]],3)</f>
        <v/>
      </c>
      <c r="D3780" s="47" t="n">
        <v>36143</v>
      </c>
      <c r="E3780" s="48">
        <f>"RNCP"&amp;D3780</f>
        <v/>
      </c>
      <c r="F3780" s="48" t="inlineStr">
        <is>
          <t>Chargé des ressources humaines</t>
        </is>
      </c>
      <c r="G3780" s="49">
        <f>E3780&amp;" - "&amp;F3780</f>
        <v/>
      </c>
      <c r="H3780" s="36" t="inlineStr">
        <is>
          <t>RAS</t>
        </is>
      </c>
      <c r="I3780" s="45" t="inlineStr"/>
      <c r="J3780" s="45" t="inlineStr">
        <is>
          <t>RNCP36143</t>
        </is>
      </c>
      <c r="K3780" s="45" t="inlineStr">
        <is>
          <t>Chargé des ressources humaines</t>
        </is>
      </c>
      <c r="L3780" s="45" t="inlineStr">
        <is>
          <t>26/01/2027</t>
        </is>
      </c>
      <c r="M3780" s="45" t="inlineStr">
        <is>
          <t>33054 (Gestion ressources humaines)</t>
        </is>
      </c>
      <c r="N3780" s="50" t="inlineStr">
        <is>
          <t>NON</t>
        </is>
      </c>
      <c r="O3780" s="45" t="inlineStr"/>
    </row>
    <row r="3781" customFormat="1" s="3">
      <c r="A3781" s="51" t="n"/>
      <c r="B3781" s="52" t="inlineStr">
        <is>
          <t>33092</t>
        </is>
      </c>
      <c r="C3781" s="52">
        <f>LEFT(Tableau1[[#This Row],[Formacode]],3)</f>
        <v/>
      </c>
      <c r="D3781" s="53" t="n">
        <v>37851</v>
      </c>
      <c r="E3781" s="54">
        <f>"RNCP"&amp;D3781</f>
        <v/>
      </c>
      <c r="F3781" s="54" t="inlineStr">
        <is>
          <t>Manager des ressources humaines</t>
        </is>
      </c>
      <c r="G3781" s="55">
        <f>E3781&amp;" - "&amp;F3781</f>
        <v/>
      </c>
      <c r="H3781" s="37" t="inlineStr">
        <is>
          <t>À vérifier</t>
        </is>
      </c>
      <c r="I3781" s="51" t="inlineStr">
        <is>
          <t>Échéance le 19/07/2026 (dans 1 j)</t>
        </is>
      </c>
      <c r="J3781" s="51" t="inlineStr">
        <is>
          <t>RNCP37851</t>
        </is>
      </c>
      <c r="K3781" s="51" t="inlineStr">
        <is>
          <t>Manager des ressources humaines</t>
        </is>
      </c>
      <c r="L3781" s="51" t="inlineStr">
        <is>
          <t>19/07/2026</t>
        </is>
      </c>
      <c r="M3781" s="51" t="inlineStr">
        <is>
          <t>33054 (Gestion ressources humaines)</t>
        </is>
      </c>
      <c r="N3781" s="62" t="inlineStr">
        <is>
          <t>NON</t>
        </is>
      </c>
      <c r="O3781" s="51" t="inlineStr"/>
    </row>
    <row r="3782" customFormat="1" s="3">
      <c r="A3782" s="51" t="n"/>
      <c r="B3782" s="52" t="inlineStr">
        <is>
          <t>33092</t>
        </is>
      </c>
      <c r="C3782" s="52">
        <f>LEFT(Tableau1[[#This Row],[Formacode]],3)</f>
        <v/>
      </c>
      <c r="D3782" s="53" t="n">
        <v>38241</v>
      </c>
      <c r="E3782" s="54">
        <f>"RNCP"&amp;D3782</f>
        <v/>
      </c>
      <c r="F3782" s="54" t="inlineStr">
        <is>
          <t>CQP Chargé de ressources humaines</t>
        </is>
      </c>
      <c r="G3782" s="55">
        <f>E3782&amp;" - "&amp;F3782</f>
        <v/>
      </c>
      <c r="H3782" s="37" t="inlineStr">
        <is>
          <t>À vérifier</t>
        </is>
      </c>
      <c r="I3782" s="51" t="inlineStr">
        <is>
          <t>Échéance le 15/11/2026 (dans 120 j)</t>
        </is>
      </c>
      <c r="J3782" s="51" t="inlineStr">
        <is>
          <t>RNCP38241</t>
        </is>
      </c>
      <c r="K3782" s="51" t="inlineStr">
        <is>
          <t>CQP Chargé de ressources humaines</t>
        </is>
      </c>
      <c r="L3782" s="51" t="inlineStr">
        <is>
          <t>15/11/2026</t>
        </is>
      </c>
      <c r="M3782" s="51" t="inlineStr">
        <is>
          <t>33054 (Gestion ressources humaines)</t>
        </is>
      </c>
      <c r="N3782" s="62" t="inlineStr">
        <is>
          <t>NON</t>
        </is>
      </c>
      <c r="O3782" s="51" t="inlineStr"/>
    </row>
    <row r="3783" customFormat="1" s="3">
      <c r="A3783" s="51" t="n"/>
      <c r="B3783" s="52" t="inlineStr">
        <is>
          <t>33092</t>
        </is>
      </c>
      <c r="C3783" s="52">
        <f>LEFT(Tableau1[[#This Row],[Formacode]],3)</f>
        <v/>
      </c>
      <c r="D3783" s="53" t="n">
        <v>38460</v>
      </c>
      <c r="E3783" s="54">
        <f>"RNCP"&amp;D3783</f>
        <v/>
      </c>
      <c r="F3783" s="54" t="inlineStr">
        <is>
          <t>Manager en ressources humaines</t>
        </is>
      </c>
      <c r="G3783" s="55">
        <f>E3783&amp;" - "&amp;F3783</f>
        <v/>
      </c>
      <c r="H3783" s="37" t="inlineStr">
        <is>
          <t>À vérifier</t>
        </is>
      </c>
      <c r="I3783" s="51" t="inlineStr">
        <is>
          <t>Échéance le 21/12/2026 (dans 156 j)</t>
        </is>
      </c>
      <c r="J3783" s="51" t="inlineStr">
        <is>
          <t>RNCP38460</t>
        </is>
      </c>
      <c r="K3783" s="51" t="inlineStr">
        <is>
          <t>Manager en ressources humaines</t>
        </is>
      </c>
      <c r="L3783" s="51" t="inlineStr">
        <is>
          <t>21/12/2026</t>
        </is>
      </c>
      <c r="M3783" s="51" t="inlineStr">
        <is>
          <t>33054 (Gestion ressources humaines)</t>
        </is>
      </c>
      <c r="N3783" s="62" t="inlineStr">
        <is>
          <t>NON</t>
        </is>
      </c>
      <c r="O3783" s="51" t="inlineStr"/>
    </row>
    <row r="3784" customFormat="1" s="3">
      <c r="A3784" s="51" t="n"/>
      <c r="B3784" s="52" t="inlineStr">
        <is>
          <t>33092</t>
        </is>
      </c>
      <c r="C3784" s="52">
        <f>LEFT(Tableau1[[#This Row],[Formacode]],3)</f>
        <v/>
      </c>
      <c r="D3784" s="53" t="n">
        <v>38489</v>
      </c>
      <c r="E3784" s="54">
        <f>"RNCP"&amp;D3784</f>
        <v/>
      </c>
      <c r="F3784" s="54" t="inlineStr">
        <is>
          <t>Manager des ressources humaines</t>
        </is>
      </c>
      <c r="G3784" s="55">
        <f>E3784&amp;" - "&amp;F3784</f>
        <v/>
      </c>
      <c r="H3784" s="37" t="inlineStr">
        <is>
          <t>À vérifier</t>
        </is>
      </c>
      <c r="I3784" s="51" t="inlineStr">
        <is>
          <t>Échéance le 21/12/2026 (dans 156 j)</t>
        </is>
      </c>
      <c r="J3784" s="51" t="inlineStr">
        <is>
          <t>RNCP38489</t>
        </is>
      </c>
      <c r="K3784" s="51" t="inlineStr">
        <is>
          <t>Manager des ressources humaines</t>
        </is>
      </c>
      <c r="L3784" s="51" t="inlineStr">
        <is>
          <t>21/12/2026</t>
        </is>
      </c>
      <c r="M3784" s="51" t="inlineStr">
        <is>
          <t>33054 (Gestion ressources humaines)</t>
        </is>
      </c>
      <c r="N3784" s="62" t="inlineStr">
        <is>
          <t>NON</t>
        </is>
      </c>
      <c r="O3784" s="51" t="inlineStr"/>
    </row>
    <row r="3785" customFormat="1" s="3">
      <c r="A3785" s="45" t="n"/>
      <c r="B3785" s="46" t="inlineStr">
        <is>
          <t>33092</t>
        </is>
      </c>
      <c r="C3785" s="46">
        <f>LEFT(Tableau1[[#This Row],[Formacode]],3)</f>
        <v/>
      </c>
      <c r="D3785" s="47" t="n">
        <v>38836</v>
      </c>
      <c r="E3785" s="48">
        <f>"RNCP"&amp;D3785</f>
        <v/>
      </c>
      <c r="F3785" s="48" t="inlineStr">
        <is>
          <t>Responsable du développement des ressources humaines</t>
        </is>
      </c>
      <c r="G3785" s="49">
        <f>E3785&amp;" - "&amp;F3785</f>
        <v/>
      </c>
      <c r="H3785" s="36" t="inlineStr">
        <is>
          <t>RAS</t>
        </is>
      </c>
      <c r="I3785" s="45" t="inlineStr"/>
      <c r="J3785" s="45" t="inlineStr">
        <is>
          <t>RNCP38836</t>
        </is>
      </c>
      <c r="K3785" s="45" t="inlineStr">
        <is>
          <t>Responsable du développement des ressources humaines</t>
        </is>
      </c>
      <c r="L3785" s="45" t="inlineStr">
        <is>
          <t>27/03/2029</t>
        </is>
      </c>
      <c r="M3785" s="45" t="inlineStr">
        <is>
          <t>33054 (Gestion ressources humaines)</t>
        </is>
      </c>
      <c r="N3785" s="50" t="inlineStr">
        <is>
          <t>NON</t>
        </is>
      </c>
      <c r="O3785" s="45" t="inlineStr"/>
    </row>
    <row r="3786" customFormat="1" s="3">
      <c r="A3786" s="45" t="n"/>
      <c r="B3786" s="46" t="inlineStr">
        <is>
          <t>33092</t>
        </is>
      </c>
      <c r="C3786" s="46">
        <f>LEFT(Tableau1[[#This Row],[Formacode]],3)</f>
        <v/>
      </c>
      <c r="D3786" s="47" t="n">
        <v>39364</v>
      </c>
      <c r="E3786" s="48">
        <f>"RNCP"&amp;D3786</f>
        <v/>
      </c>
      <c r="F3786" s="48" t="inlineStr">
        <is>
          <t>Manager en stratégie et développement des ressources humaines</t>
        </is>
      </c>
      <c r="G3786" s="49">
        <f>E3786&amp;" - "&amp;F3786</f>
        <v/>
      </c>
      <c r="H3786" s="36" t="inlineStr">
        <is>
          <t>RAS</t>
        </is>
      </c>
      <c r="I3786" s="45" t="inlineStr"/>
      <c r="J3786" s="45" t="inlineStr">
        <is>
          <t>RNCP39364</t>
        </is>
      </c>
      <c r="K3786" s="45" t="inlineStr">
        <is>
          <t>Manager en stratégie et développement des ressources humaines</t>
        </is>
      </c>
      <c r="L3786" s="45" t="inlineStr">
        <is>
          <t>19/07/2028</t>
        </is>
      </c>
      <c r="M3786" s="45" t="inlineStr">
        <is>
          <t>33054 (Gestion ressources humaines) ; 32025 (Stratégie entreprise)</t>
        </is>
      </c>
      <c r="N3786" s="50" t="inlineStr">
        <is>
          <t>NON</t>
        </is>
      </c>
      <c r="O3786" s="45" t="inlineStr"/>
    </row>
    <row r="3787" customFormat="1" s="3">
      <c r="A3787" s="45" t="n"/>
      <c r="B3787" s="46" t="inlineStr">
        <is>
          <t>33092</t>
        </is>
      </c>
      <c r="C3787" s="46">
        <f>LEFT(Tableau1[[#This Row],[Formacode]],3)</f>
        <v/>
      </c>
      <c r="D3787" s="47" t="n">
        <v>39864</v>
      </c>
      <c r="E3787" s="48">
        <f>"RNCP"&amp;D3787</f>
        <v/>
      </c>
      <c r="F3787" s="48" t="inlineStr">
        <is>
          <t>Manager du développement des ressources humaines</t>
        </is>
      </c>
      <c r="G3787" s="49">
        <f>E3787&amp;" - "&amp;F3787</f>
        <v/>
      </c>
      <c r="H3787" s="36" t="inlineStr">
        <is>
          <t>RAS</t>
        </is>
      </c>
      <c r="I3787" s="45" t="inlineStr"/>
      <c r="J3787" s="45" t="inlineStr">
        <is>
          <t>RNCP39864</t>
        </is>
      </c>
      <c r="K3787" s="45" t="inlineStr">
        <is>
          <t>Manager du développement des ressources humaines</t>
        </is>
      </c>
      <c r="L3787" s="45" t="inlineStr">
        <is>
          <t>28/11/2027</t>
        </is>
      </c>
      <c r="M3787" s="45" t="inlineStr">
        <is>
          <t>33054 (Gestion ressources humaines) ; 32154 (Encadrement management)</t>
        </is>
      </c>
      <c r="N3787" s="50" t="inlineStr">
        <is>
          <t>NON</t>
        </is>
      </c>
      <c r="O3787" s="45" t="inlineStr"/>
    </row>
    <row r="3788" customFormat="1" s="3">
      <c r="A3788" s="45" t="n"/>
      <c r="B3788" s="46" t="inlineStr">
        <is>
          <t>33092</t>
        </is>
      </c>
      <c r="C3788" s="46">
        <f>LEFT(Tableau1[[#This Row],[Formacode]],3)</f>
        <v/>
      </c>
      <c r="D3788" s="47" t="n">
        <v>40594</v>
      </c>
      <c r="E3788" s="48">
        <f>"RNCP"&amp;D3788</f>
        <v/>
      </c>
      <c r="F3788" s="48" t="inlineStr">
        <is>
          <t>Chargé de missions RH</t>
        </is>
      </c>
      <c r="G3788" s="49">
        <f>E3788&amp;" - "&amp;F3788</f>
        <v/>
      </c>
      <c r="H3788" s="36" t="inlineStr">
        <is>
          <t>RAS</t>
        </is>
      </c>
      <c r="I3788" s="45" t="inlineStr"/>
      <c r="J3788" s="45" t="inlineStr">
        <is>
          <t>RNCP40594</t>
        </is>
      </c>
      <c r="K3788" s="45" t="inlineStr">
        <is>
          <t>Chargé de missions RH</t>
        </is>
      </c>
      <c r="L3788" s="45" t="inlineStr">
        <is>
          <t>30/04/2028</t>
        </is>
      </c>
      <c r="M3788" s="45" t="inlineStr">
        <is>
          <t>33054 (Gestion ressources humaines)</t>
        </is>
      </c>
      <c r="N3788" s="50" t="inlineStr">
        <is>
          <t>NON</t>
        </is>
      </c>
      <c r="O3788" s="45" t="inlineStr"/>
    </row>
    <row r="3789" customFormat="1" s="3">
      <c r="A3789" s="45" t="n"/>
      <c r="B3789" s="46" t="inlineStr">
        <is>
          <t>33092</t>
        </is>
      </c>
      <c r="C3789" s="46">
        <f>LEFT(Tableau1[[#This Row],[Formacode]],3)</f>
        <v/>
      </c>
      <c r="D3789" s="47" t="n">
        <v>40863</v>
      </c>
      <c r="E3789" s="48">
        <f>"RNCP"&amp;D3789</f>
        <v/>
      </c>
      <c r="F3789" s="48" t="inlineStr">
        <is>
          <t>Responsable de gestion des ressources humaines</t>
        </is>
      </c>
      <c r="G3789" s="49">
        <f>E3789&amp;" - "&amp;F3789</f>
        <v/>
      </c>
      <c r="H3789" s="36" t="inlineStr">
        <is>
          <t>RAS</t>
        </is>
      </c>
      <c r="I3789" s="45" t="inlineStr"/>
      <c r="J3789" s="45" t="inlineStr">
        <is>
          <t>RNCP40863</t>
        </is>
      </c>
      <c r="K3789" s="45" t="inlineStr">
        <is>
          <t>Responsable de gestion des ressources humaines</t>
        </is>
      </c>
      <c r="L3789" s="45" t="inlineStr">
        <is>
          <t>25/06/2028</t>
        </is>
      </c>
      <c r="M3789" s="45" t="inlineStr">
        <is>
          <t>33054 (Gestion ressources humaines)</t>
        </is>
      </c>
      <c r="N3789" s="50" t="inlineStr">
        <is>
          <t>NON</t>
        </is>
      </c>
      <c r="O3789" s="45" t="inlineStr"/>
    </row>
    <row r="3790" customFormat="1" s="3">
      <c r="A3790" s="45" t="n"/>
      <c r="B3790" s="46" t="inlineStr">
        <is>
          <t>33092</t>
        </is>
      </c>
      <c r="C3790" s="46">
        <f>LEFT(Tableau1[[#This Row],[Formacode]],3)</f>
        <v/>
      </c>
      <c r="D3790" s="47" t="n">
        <v>41128</v>
      </c>
      <c r="E3790" s="48">
        <f>"RNCP"&amp;D3790</f>
        <v/>
      </c>
      <c r="F3790" s="48" t="inlineStr">
        <is>
          <t>Chargé de développement des ressources humaines</t>
        </is>
      </c>
      <c r="G3790" s="49">
        <f>E3790&amp;" - "&amp;F3790</f>
        <v/>
      </c>
      <c r="H3790" s="36" t="inlineStr">
        <is>
          <t>RAS</t>
        </is>
      </c>
      <c r="I3790" s="45" t="inlineStr"/>
      <c r="J3790" s="45" t="inlineStr">
        <is>
          <t>RNCP41128</t>
        </is>
      </c>
      <c r="K3790" s="45" t="inlineStr">
        <is>
          <t>Chargé de développement des ressources humaines</t>
        </is>
      </c>
      <c r="L3790" s="45" t="inlineStr">
        <is>
          <t>18/07/2028</t>
        </is>
      </c>
      <c r="M3790" s="45" t="inlineStr">
        <is>
          <t>33054 (Gestion ressources humaines)</t>
        </is>
      </c>
      <c r="N3790" s="50" t="inlineStr">
        <is>
          <t>NON</t>
        </is>
      </c>
      <c r="O3790" s="45" t="inlineStr"/>
    </row>
    <row r="3791" customFormat="1" s="3">
      <c r="A3791" s="45" t="n"/>
      <c r="B3791" s="46" t="inlineStr">
        <is>
          <t>33092</t>
        </is>
      </c>
      <c r="C3791" s="46">
        <f>LEFT(Tableau1[[#This Row],[Formacode]],3)</f>
        <v/>
      </c>
      <c r="D3791" s="47" t="n">
        <v>41295</v>
      </c>
      <c r="E3791" s="48">
        <f>"RNCP"&amp;D3791</f>
        <v/>
      </c>
      <c r="F3791" s="48" t="inlineStr">
        <is>
          <t>Manager des ressources humaines</t>
        </is>
      </c>
      <c r="G3791" s="49">
        <f>E3791&amp;" - "&amp;F3791</f>
        <v/>
      </c>
      <c r="H3791" s="36" t="inlineStr">
        <is>
          <t>RAS</t>
        </is>
      </c>
      <c r="I3791" s="45" t="inlineStr"/>
      <c r="J3791" s="45" t="inlineStr">
        <is>
          <t>RNCP41295</t>
        </is>
      </c>
      <c r="K3791" s="45" t="inlineStr">
        <is>
          <t>Manager des ressources humaines</t>
        </is>
      </c>
      <c r="L3791" s="45" t="inlineStr">
        <is>
          <t>24/09/2030</t>
        </is>
      </c>
      <c r="M3791" s="45" t="inlineStr">
        <is>
          <t>33054 (Gestion ressources humaines)</t>
        </is>
      </c>
      <c r="N3791" s="50" t="inlineStr">
        <is>
          <t>NON</t>
        </is>
      </c>
      <c r="O3791" s="45" t="inlineStr"/>
    </row>
    <row r="3792" customFormat="1" s="3">
      <c r="A3792" s="45" t="n"/>
      <c r="B3792" s="46" t="inlineStr">
        <is>
          <t>33092</t>
        </is>
      </c>
      <c r="C3792" s="46">
        <f>LEFT(Tableau1[[#This Row],[Formacode]],3)</f>
        <v/>
      </c>
      <c r="D3792" s="47" t="n">
        <v>41803</v>
      </c>
      <c r="E3792" s="48">
        <f>"RNCP"&amp;D3792</f>
        <v/>
      </c>
      <c r="F3792" s="48" t="inlineStr">
        <is>
          <t>Manager des ressources humaines</t>
        </is>
      </c>
      <c r="G3792" s="49">
        <f>E3792&amp;" - "&amp;F3792</f>
        <v/>
      </c>
      <c r="H3792" s="36" t="inlineStr">
        <is>
          <t>RAS</t>
        </is>
      </c>
      <c r="I3792" s="45" t="inlineStr"/>
      <c r="J3792" s="45" t="inlineStr">
        <is>
          <t>RNCP41803</t>
        </is>
      </c>
      <c r="K3792" s="45" t="inlineStr">
        <is>
          <t>Manager des ressources humaines</t>
        </is>
      </c>
      <c r="L3792" s="45" t="inlineStr">
        <is>
          <t>18/12/2030</t>
        </is>
      </c>
      <c r="M3792" s="45" t="inlineStr">
        <is>
          <t>33054 (Gestion ressources humaines)</t>
        </is>
      </c>
      <c r="N3792" s="50" t="inlineStr">
        <is>
          <t>NON</t>
        </is>
      </c>
      <c r="O3792" s="45" t="inlineStr"/>
    </row>
    <row r="3793" customFormat="1" s="3">
      <c r="A3793" s="63" t="n"/>
      <c r="B3793" s="64" t="inlineStr">
        <is>
          <t>34024</t>
        </is>
      </c>
      <c r="C3793" s="64">
        <f>LEFT(Tableau1[[#This Row],[Formacode]],3)</f>
        <v/>
      </c>
      <c r="D3793" s="65" t="n">
        <v>35462</v>
      </c>
      <c r="E3793" s="66">
        <f>"RNCP"&amp;D3793</f>
        <v/>
      </c>
      <c r="F3793" s="66" t="inlineStr">
        <is>
          <t>Manager achats et approvisionnement</t>
        </is>
      </c>
      <c r="G3793" s="67">
        <f>E3793&amp;" - "&amp;F3793</f>
        <v/>
      </c>
      <c r="H3793" s="38" t="inlineStr">
        <is>
          <t>Expiré / remplacé</t>
        </is>
      </c>
      <c r="I3793" s="63" t="inlineStr">
        <is>
          <t>Fiche inactive — remplacée par RNCP42496 (Manager achats et approvisionnement)</t>
        </is>
      </c>
      <c r="J3793" s="63" t="inlineStr">
        <is>
          <t>RNCP42496</t>
        </is>
      </c>
      <c r="K3793" s="63" t="inlineStr">
        <is>
          <t>Manager achats et approvisionnement</t>
        </is>
      </c>
      <c r="L3793" s="63" t="inlineStr">
        <is>
          <t>17/03/2026</t>
        </is>
      </c>
      <c r="M3793" s="63" t="inlineStr">
        <is>
          <t>34002 (Négociation achat) ; 34292 (Achat international) ; 31660 (Approvisionnement)</t>
        </is>
      </c>
      <c r="N3793" s="68" t="inlineStr">
        <is>
          <t>NON</t>
        </is>
      </c>
      <c r="O3793" s="63" t="inlineStr"/>
    </row>
    <row r="3794" customFormat="1" s="3">
      <c r="A3794" s="45" t="n"/>
      <c r="B3794" s="46" t="inlineStr">
        <is>
          <t>34024</t>
        </is>
      </c>
      <c r="C3794" s="46">
        <f>LEFT(Tableau1[[#This Row],[Formacode]],3)</f>
        <v/>
      </c>
      <c r="D3794" s="47" t="n">
        <v>36898</v>
      </c>
      <c r="E3794" s="48">
        <f>"RNCP"&amp;D3794</f>
        <v/>
      </c>
      <c r="F3794" s="48" t="inlineStr">
        <is>
          <t>Manager de la stratégie et de la performance achats (MS)</t>
        </is>
      </c>
      <c r="G3794" s="49">
        <f>E3794&amp;" - "&amp;F3794</f>
        <v/>
      </c>
      <c r="H3794" s="36" t="inlineStr">
        <is>
          <t>RAS</t>
        </is>
      </c>
      <c r="I3794" s="45" t="inlineStr"/>
      <c r="J3794" s="45" t="inlineStr">
        <is>
          <t>RNCP36898</t>
        </is>
      </c>
      <c r="K3794" s="45" t="inlineStr">
        <is>
          <t>Manager de la stratégie et de la performance achats (MS)</t>
        </is>
      </c>
      <c r="L3794" s="45" t="inlineStr">
        <is>
          <t>29/09/2027</t>
        </is>
      </c>
      <c r="M3794" s="45" t="inlineStr">
        <is>
          <t>34022 (Gestion fournisseur) ; 32025 (Stratégie entreprise)</t>
        </is>
      </c>
      <c r="N3794" s="50" t="inlineStr">
        <is>
          <t>NON</t>
        </is>
      </c>
      <c r="O3794" s="45" t="inlineStr"/>
    </row>
    <row r="3795" customFormat="1" s="3">
      <c r="A3795" s="45" t="n"/>
      <c r="B3795" s="46" t="inlineStr">
        <is>
          <t>34024</t>
        </is>
      </c>
      <c r="C3795" s="46">
        <f>LEFT(Tableau1[[#This Row],[Formacode]],3)</f>
        <v/>
      </c>
      <c r="D3795" s="47" t="n">
        <v>37341</v>
      </c>
      <c r="E3795" s="48">
        <f>"RNCP"&amp;D3795</f>
        <v/>
      </c>
      <c r="F3795" s="48" t="inlineStr">
        <is>
          <t>Manager des achats  (MS)</t>
        </is>
      </c>
      <c r="G3795" s="49">
        <f>E3795&amp;" - "&amp;F3795</f>
        <v/>
      </c>
      <c r="H3795" s="36" t="inlineStr">
        <is>
          <t>RAS</t>
        </is>
      </c>
      <c r="I3795" s="45" t="inlineStr"/>
      <c r="J3795" s="45" t="inlineStr">
        <is>
          <t>RNCP37341</t>
        </is>
      </c>
      <c r="K3795" s="45" t="inlineStr">
        <is>
          <t>Manager des achats (MS)</t>
        </is>
      </c>
      <c r="L3795" s="45" t="inlineStr">
        <is>
          <t>17/02/2028</t>
        </is>
      </c>
      <c r="M3795" s="45" t="inlineStr">
        <is>
          <t>34024 (Achat) ; 34292 (Achat international)</t>
        </is>
      </c>
      <c r="N3795" s="50" t="inlineStr">
        <is>
          <t>NON</t>
        </is>
      </c>
      <c r="O3795" s="45" t="inlineStr"/>
    </row>
    <row r="3796" customFormat="1" s="3">
      <c r="A3796" s="45" t="n"/>
      <c r="B3796" s="46" t="inlineStr">
        <is>
          <t>34024</t>
        </is>
      </c>
      <c r="C3796" s="46">
        <f>LEFT(Tableau1[[#This Row],[Formacode]],3)</f>
        <v/>
      </c>
      <c r="D3796" s="47" t="n">
        <v>37655</v>
      </c>
      <c r="E3796" s="48">
        <f>"RNCP"&amp;D3796</f>
        <v/>
      </c>
      <c r="F3796" s="48" t="inlineStr">
        <is>
          <t>Responsable en gestion et développement d’une business unit</t>
        </is>
      </c>
      <c r="G3796" s="49">
        <f>E3796&amp;" - "&amp;F3796</f>
        <v/>
      </c>
      <c r="H3796" s="36" t="inlineStr">
        <is>
          <t>RAS</t>
        </is>
      </c>
      <c r="I3796" s="45" t="inlineStr"/>
      <c r="J3796" s="45" t="inlineStr">
        <is>
          <t>RNCP37655</t>
        </is>
      </c>
      <c r="K3796" s="45" t="inlineStr">
        <is>
          <t>Responsable en gestion et développement d’une business unit</t>
        </is>
      </c>
      <c r="L3796" s="45" t="inlineStr">
        <is>
          <t>31/05/2028</t>
        </is>
      </c>
      <c r="M3796" s="45" t="inlineStr">
        <is>
          <t>32025 (Stratégie entreprise) ; 32154 (Encadrement management) ; 34054 (Gestion commerciale achats)</t>
        </is>
      </c>
      <c r="N3796" s="50" t="inlineStr">
        <is>
          <t>NON</t>
        </is>
      </c>
      <c r="O3796" s="45" t="inlineStr"/>
    </row>
    <row r="3797" customFormat="1" s="3">
      <c r="A3797" s="45" t="n"/>
      <c r="B3797" s="46" t="inlineStr">
        <is>
          <t>34024</t>
        </is>
      </c>
      <c r="C3797" s="46">
        <f>LEFT(Tableau1[[#This Row],[Formacode]],3)</f>
        <v/>
      </c>
      <c r="D3797" s="47" t="n">
        <v>37683</v>
      </c>
      <c r="E3797" s="48">
        <f>"RNCP"&amp;D3797</f>
        <v/>
      </c>
      <c r="F3797" s="48" t="inlineStr">
        <is>
          <t>DipViGrM - Programme grande école</t>
        </is>
      </c>
      <c r="G3797" s="49">
        <f>E3797&amp;" - "&amp;F3797</f>
        <v/>
      </c>
      <c r="H3797" s="36" t="inlineStr">
        <is>
          <t>RAS</t>
        </is>
      </c>
      <c r="I3797" s="45" t="inlineStr"/>
      <c r="J3797" s="45" t="inlineStr">
        <is>
          <t>RNCP37683</t>
        </is>
      </c>
      <c r="K3797" s="45" t="inlineStr">
        <is>
          <t>Programme grande école</t>
        </is>
      </c>
      <c r="L3797" s="45" t="inlineStr">
        <is>
          <t>31/08/2028</t>
        </is>
      </c>
      <c r="M3797" s="45" t="inlineStr">
        <is>
          <t>32654 (Gestion financière comptabilité) ; 32145 (Management transversal) ; 34054 (Gestion commerciale achats) ; 32006 (Gestion entreprise internationale)</t>
        </is>
      </c>
      <c r="N3797" s="50" t="inlineStr">
        <is>
          <t>NON</t>
        </is>
      </c>
      <c r="O3797" s="45" t="inlineStr"/>
    </row>
    <row r="3798" customFormat="1" s="3">
      <c r="A3798" s="51" t="n"/>
      <c r="B3798" s="52" t="inlineStr">
        <is>
          <t>34024</t>
        </is>
      </c>
      <c r="C3798" s="52">
        <f>LEFT(Tableau1[[#This Row],[Formacode]],3)</f>
        <v/>
      </c>
      <c r="D3798" s="53" t="n">
        <v>37988</v>
      </c>
      <c r="E3798" s="54">
        <f>"RNCP"&amp;D3798</f>
        <v/>
      </c>
      <c r="F3798" s="54" t="inlineStr">
        <is>
          <t>Diplôme visé - Diplôme supérieur en marketing, vente et gestion</t>
        </is>
      </c>
      <c r="G3798" s="55">
        <f>E3798&amp;" - "&amp;F3798</f>
        <v/>
      </c>
      <c r="H3798" s="37" t="inlineStr">
        <is>
          <t>À vérifier</t>
        </is>
      </c>
      <c r="I3798" s="51" t="inlineStr">
        <is>
          <t>Successeur déjà publié : RNCP42254 (Diplôme supérieur en marketing, vente et gestion) — préparer la bascule de l'offre CPF | Échéance le 31/08/2026 (dans 44 j)</t>
        </is>
      </c>
      <c r="J3798" s="51" t="inlineStr">
        <is>
          <t>RNCP42254</t>
        </is>
      </c>
      <c r="K3798" s="51" t="inlineStr">
        <is>
          <t>Diplôme supérieur en marketing, vente et gestion</t>
        </is>
      </c>
      <c r="L3798" s="51" t="inlineStr">
        <is>
          <t>31/08/2026</t>
        </is>
      </c>
      <c r="M3798" s="51" t="inlineStr">
        <is>
          <t>34085 (Stratégie commerciale) ; 34052 (Marketing) ; 32154 (Encadrement management) ; 32054 (Gestion des organisations)</t>
        </is>
      </c>
      <c r="N3798" s="62" t="inlineStr">
        <is>
          <t>NON</t>
        </is>
      </c>
      <c r="O3798" s="51" t="inlineStr"/>
    </row>
    <row r="3799" customFormat="1" s="3">
      <c r="A3799" s="45" t="n"/>
      <c r="B3799" s="46" t="inlineStr">
        <is>
          <t>34024</t>
        </is>
      </c>
      <c r="C3799" s="46">
        <f>LEFT(Tableau1[[#This Row],[Formacode]],3)</f>
        <v/>
      </c>
      <c r="D3799" s="47" t="n">
        <v>38362</v>
      </c>
      <c r="E3799" s="48">
        <f>"RNCP"&amp;D3799</f>
        <v/>
      </c>
      <c r="F3799" s="48" t="inlineStr">
        <is>
          <t>BTS - Management commercial opérationnel</t>
        </is>
      </c>
      <c r="G3799" s="49">
        <f>E3799&amp;" - "&amp;F3799</f>
        <v/>
      </c>
      <c r="H3799" s="36" t="inlineStr">
        <is>
          <t>RAS</t>
        </is>
      </c>
      <c r="I3799" s="45" t="inlineStr"/>
      <c r="J3799" s="45" t="inlineStr">
        <is>
          <t>RNCP38362</t>
        </is>
      </c>
      <c r="K3799" s="45" t="inlineStr">
        <is>
          <t>Management commercial opérationnel</t>
        </is>
      </c>
      <c r="L3799" s="45" t="inlineStr">
        <is>
          <t>31/12/2028</t>
        </is>
      </c>
      <c r="M3799" s="45" t="inlineStr">
        <is>
          <t>34054 (Gestion commerciale achats) ; 32154 (Encadrement management)</t>
        </is>
      </c>
      <c r="N3799" s="50" t="inlineStr">
        <is>
          <t>NON</t>
        </is>
      </c>
      <c r="O3799" s="45" t="inlineStr"/>
    </row>
    <row r="3800" customFormat="1" s="3">
      <c r="A3800" s="45" t="n"/>
      <c r="B3800" s="46" t="inlineStr">
        <is>
          <t>34024</t>
        </is>
      </c>
      <c r="C3800" s="46">
        <f>LEFT(Tableau1[[#This Row],[Formacode]],3)</f>
        <v/>
      </c>
      <c r="D3800" s="47" t="n">
        <v>38496</v>
      </c>
      <c r="E3800" s="48">
        <f>"RNCP"&amp;D3800</f>
        <v/>
      </c>
      <c r="F3800" s="48" t="inlineStr">
        <is>
          <t>Manager des achats et de la supply Chain</t>
        </is>
      </c>
      <c r="G3800" s="49">
        <f>E3800&amp;" - "&amp;F3800</f>
        <v/>
      </c>
      <c r="H3800" s="36" t="inlineStr">
        <is>
          <t>RAS</t>
        </is>
      </c>
      <c r="I3800" s="45" t="inlineStr"/>
      <c r="J3800" s="45" t="inlineStr">
        <is>
          <t>RNCP38496</t>
        </is>
      </c>
      <c r="K3800" s="45" t="inlineStr">
        <is>
          <t>Manager des achats et de la supply Chain</t>
        </is>
      </c>
      <c r="L3800" s="45" t="inlineStr">
        <is>
          <t>21/12/2028</t>
        </is>
      </c>
      <c r="M3800" s="45" t="inlineStr">
        <is>
          <t>31660 (Approvisionnement) ; 34292 (Achat international) ; 34287 (Logistique internationale) ; 34024 (Achat) ; 31845 (Logistique)</t>
        </is>
      </c>
      <c r="N3800" s="50" t="inlineStr">
        <is>
          <t>NON</t>
        </is>
      </c>
      <c r="O3800" s="45" t="inlineStr"/>
    </row>
    <row r="3801" ht="28.8" customFormat="1" customHeight="1" s="3">
      <c r="A3801" s="45" t="n"/>
      <c r="B3801" s="46" t="inlineStr">
        <is>
          <t>34024</t>
        </is>
      </c>
      <c r="C3801" s="46">
        <f>LEFT(Tableau1[[#This Row],[Formacode]],3)</f>
        <v/>
      </c>
      <c r="D3801" s="47" t="n">
        <v>39571</v>
      </c>
      <c r="E3801" s="48">
        <f>"RNCP"&amp;D3801</f>
        <v/>
      </c>
      <c r="F3801" s="48" t="inlineStr">
        <is>
          <t>DipViGrM - Diplôme d’études supérieures en marketing, gestion commerciale et management international</t>
        </is>
      </c>
      <c r="G3801" s="49">
        <f>E3801&amp;" - "&amp;F3801</f>
        <v/>
      </c>
      <c r="H3801" s="36" t="inlineStr">
        <is>
          <t>RAS</t>
        </is>
      </c>
      <c r="I3801" s="45" t="inlineStr"/>
      <c r="J3801" s="45" t="inlineStr">
        <is>
          <t>RNCP39571</t>
        </is>
      </c>
      <c r="K3801" s="45" t="inlineStr">
        <is>
          <t>Diplôme d’études supérieures en marketing, gestion commerciale et management international</t>
        </is>
      </c>
      <c r="L3801" s="45" t="inlineStr">
        <is>
          <t>31/08/2027</t>
        </is>
      </c>
      <c r="M3801" s="45" t="inlineStr">
        <is>
          <t>34254 (Commerce international) ; 34016 (Marketing achat) ; 41023 (Marché financier) ; 34554 (Commerce)</t>
        </is>
      </c>
      <c r="N3801" s="50" t="inlineStr">
        <is>
          <t>NON</t>
        </is>
      </c>
      <c r="O3801" s="45" t="inlineStr"/>
    </row>
    <row r="3802" customFormat="1" s="3">
      <c r="A3802" s="45" t="n"/>
      <c r="B3802" s="46" t="inlineStr">
        <is>
          <t>34024</t>
        </is>
      </c>
      <c r="C3802" s="46">
        <f>LEFT(Tableau1[[#This Row],[Formacode]],3)</f>
        <v/>
      </c>
      <c r="D3802" s="47" t="n">
        <v>39734</v>
      </c>
      <c r="E3802" s="48">
        <f>"RNCP"&amp;D3802</f>
        <v/>
      </c>
      <c r="F3802" s="48" t="inlineStr">
        <is>
          <t>Manager de l’achat international</t>
        </is>
      </c>
      <c r="G3802" s="49">
        <f>E3802&amp;" - "&amp;F3802</f>
        <v/>
      </c>
      <c r="H3802" s="36" t="inlineStr">
        <is>
          <t>RAS</t>
        </is>
      </c>
      <c r="I3802" s="45" t="inlineStr"/>
      <c r="J3802" s="45" t="inlineStr">
        <is>
          <t>RNCP39734</t>
        </is>
      </c>
      <c r="K3802" s="45" t="inlineStr">
        <is>
          <t>Manager de l’achat international</t>
        </is>
      </c>
      <c r="L3802" s="45" t="inlineStr">
        <is>
          <t>31/10/2029</t>
        </is>
      </c>
      <c r="M3802" s="45" t="inlineStr">
        <is>
          <t>34025 (Achat responsable) ; 34292 (Achat international)</t>
        </is>
      </c>
      <c r="N3802" s="50" t="inlineStr">
        <is>
          <t>NON</t>
        </is>
      </c>
      <c r="O3802" s="45" t="inlineStr"/>
    </row>
    <row r="3803" customFormat="1" s="3">
      <c r="A3803" s="45" t="n"/>
      <c r="B3803" s="46" t="inlineStr">
        <is>
          <t>34024</t>
        </is>
      </c>
      <c r="C3803" s="46">
        <f>LEFT(Tableau1[[#This Row],[Formacode]],3)</f>
        <v/>
      </c>
      <c r="D3803" s="47" t="n">
        <v>40372</v>
      </c>
      <c r="E3803" s="48">
        <f>"RNCP"&amp;D3803</f>
        <v/>
      </c>
      <c r="F3803" s="48" t="inlineStr">
        <is>
          <t>Manager des achats et de la logistique</t>
        </is>
      </c>
      <c r="G3803" s="49">
        <f>E3803&amp;" - "&amp;F3803</f>
        <v/>
      </c>
      <c r="H3803" s="36" t="inlineStr">
        <is>
          <t>RAS</t>
        </is>
      </c>
      <c r="I3803" s="45" t="inlineStr"/>
      <c r="J3803" s="45" t="inlineStr">
        <is>
          <t>RNCP40372</t>
        </is>
      </c>
      <c r="K3803" s="45" t="inlineStr">
        <is>
          <t>Manager des achats et de la logistique</t>
        </is>
      </c>
      <c r="L3803" s="45" t="inlineStr">
        <is>
          <t>28/03/2028</t>
        </is>
      </c>
      <c r="M3803" s="45" t="inlineStr">
        <is>
          <t>34025 (Achat responsable) ; 34022 (Gestion fournisseur) ; 32025 (Stratégie entreprise) ; 31660 (Approvisionnement) ; 31845 (Logistique)</t>
        </is>
      </c>
      <c r="N3803" s="50" t="inlineStr">
        <is>
          <t>NON</t>
        </is>
      </c>
      <c r="O3803" s="45" t="inlineStr"/>
    </row>
    <row r="3804" customFormat="1" s="3">
      <c r="A3804" s="45" t="n"/>
      <c r="B3804" s="46" t="inlineStr">
        <is>
          <t>34024</t>
        </is>
      </c>
      <c r="C3804" s="46">
        <f>LEFT(Tableau1[[#This Row],[Formacode]],3)</f>
        <v/>
      </c>
      <c r="D3804" s="47" t="n">
        <v>40726</v>
      </c>
      <c r="E3804" s="48">
        <f>"RNCP"&amp;D3804</f>
        <v/>
      </c>
      <c r="F3804" s="48" t="inlineStr">
        <is>
          <t>DipViGrL - Diplôme d’enseignement supérieur en management</t>
        </is>
      </c>
      <c r="G3804" s="49">
        <f>E3804&amp;" - "&amp;F3804</f>
        <v/>
      </c>
      <c r="H3804" s="36" t="inlineStr">
        <is>
          <t>RAS</t>
        </is>
      </c>
      <c r="I3804" s="45" t="inlineStr"/>
      <c r="J3804" s="45" t="inlineStr">
        <is>
          <t>RNCP40726</t>
        </is>
      </c>
      <c r="K3804" s="45" t="inlineStr">
        <is>
          <t>Diplôme d’enseignement supérieur en management</t>
        </is>
      </c>
      <c r="L3804" s="45" t="inlineStr">
        <is>
          <t>31/08/2028</t>
        </is>
      </c>
      <c r="M3804" s="45" t="inlineStr">
        <is>
          <t>34054 (Gestion commerciale achats) ; 34554 (Commerce) ; 31834 (Logistique transport)</t>
        </is>
      </c>
      <c r="N3804" s="50" t="inlineStr">
        <is>
          <t>NON</t>
        </is>
      </c>
      <c r="O3804" s="45" t="inlineStr"/>
    </row>
    <row r="3805" customFormat="1" s="3">
      <c r="A3805" s="63" t="n"/>
      <c r="B3805" s="64" t="inlineStr">
        <is>
          <t>34037</t>
        </is>
      </c>
      <c r="C3805" s="64">
        <f>LEFT(Tableau1[[#This Row],[Formacode]],3)</f>
        <v/>
      </c>
      <c r="D3805" s="65" t="n">
        <v>35304</v>
      </c>
      <c r="E3805" s="66">
        <f>"RNCP"&amp;D3805</f>
        <v/>
      </c>
      <c r="F3805" s="66" t="inlineStr">
        <is>
          <t>TP - Conseiller relation client à distance</t>
        </is>
      </c>
      <c r="G3805" s="67">
        <f>E3805&amp;" - "&amp;F3805</f>
        <v/>
      </c>
      <c r="H3805" s="38" t="inlineStr">
        <is>
          <t>Expiré / remplacé</t>
        </is>
      </c>
      <c r="I3805" s="63" t="inlineStr">
        <is>
          <t>Fiche inactive — remplacée par RNCP42431 (Conseiller relation client à distance)</t>
        </is>
      </c>
      <c r="J3805" s="63" t="inlineStr">
        <is>
          <t>RNCP42431</t>
        </is>
      </c>
      <c r="K3805" s="63" t="inlineStr">
        <is>
          <t>Conseiller relation client à distance</t>
        </is>
      </c>
      <c r="L3805" s="63" t="inlineStr">
        <is>
          <t>06/07/2026</t>
        </is>
      </c>
      <c r="M3805" s="63" t="inlineStr">
        <is>
          <t>34076 (Gestion relation client) ; 34026 (Développement sens commercial) ; 34027 (Service après-vente) ; 34507 (Vente à distance)</t>
        </is>
      </c>
      <c r="N3805" s="68" t="inlineStr">
        <is>
          <t>NON</t>
        </is>
      </c>
      <c r="O3805" s="63" t="inlineStr"/>
    </row>
    <row r="3806" customFormat="1" s="3">
      <c r="A3806" s="45" t="n"/>
      <c r="B3806" s="46" t="inlineStr">
        <is>
          <t>34037</t>
        </is>
      </c>
      <c r="C3806" s="46">
        <f>LEFT(Tableau1[[#This Row],[Formacode]],3)</f>
        <v/>
      </c>
      <c r="D3806" s="47" t="n">
        <v>36885</v>
      </c>
      <c r="E3806" s="48">
        <f>"RNCP"&amp;D3806</f>
        <v/>
      </c>
      <c r="F3806" s="48" t="inlineStr">
        <is>
          <t>Réceptionnaire après-vente véhicules légers</t>
        </is>
      </c>
      <c r="G3806" s="49">
        <f>E3806&amp;" - "&amp;F3806</f>
        <v/>
      </c>
      <c r="H3806" s="36" t="inlineStr">
        <is>
          <t>RAS</t>
        </is>
      </c>
      <c r="I3806" s="45" t="inlineStr"/>
      <c r="J3806" s="45" t="inlineStr">
        <is>
          <t>RNCP36885</t>
        </is>
      </c>
      <c r="K3806" s="45" t="inlineStr">
        <is>
          <t>Réceptionnaire après-vente véhicules légers</t>
        </is>
      </c>
      <c r="L3806" s="45" t="inlineStr">
        <is>
          <t>29/09/2027</t>
        </is>
      </c>
      <c r="M3806" s="45" t="inlineStr">
        <is>
          <t>34027 (Service après-vente) ; 23637 (Mécanique automobile)</t>
        </is>
      </c>
      <c r="N3806" s="50" t="inlineStr">
        <is>
          <t>NON</t>
        </is>
      </c>
      <c r="O3806" s="45" t="inlineStr"/>
    </row>
    <row r="3807" customFormat="1" s="3">
      <c r="A3807" s="45" t="n"/>
      <c r="B3807" s="46" t="inlineStr">
        <is>
          <t>34037</t>
        </is>
      </c>
      <c r="C3807" s="46">
        <f>LEFT(Tableau1[[#This Row],[Formacode]],3)</f>
        <v/>
      </c>
      <c r="D3807" s="47" t="n">
        <v>37284</v>
      </c>
      <c r="E3807" s="48">
        <f>"RNCP"&amp;D3807</f>
        <v/>
      </c>
      <c r="F3807" s="48" t="inlineStr">
        <is>
          <t>CQP Magasinier en négoce des matériaux de construction</t>
        </is>
      </c>
      <c r="G3807" s="49">
        <f>E3807&amp;" - "&amp;F3807</f>
        <v/>
      </c>
      <c r="H3807" s="36" t="inlineStr">
        <is>
          <t>RAS</t>
        </is>
      </c>
      <c r="I3807" s="45" t="inlineStr"/>
      <c r="J3807" s="45" t="inlineStr">
        <is>
          <t>RNCP37284</t>
        </is>
      </c>
      <c r="K3807" s="45" t="inlineStr">
        <is>
          <t>CQP Magasinier en négoce des matériaux de construction</t>
        </is>
      </c>
      <c r="L3807" s="45" t="inlineStr">
        <is>
          <t>25/01/2028</t>
        </is>
      </c>
      <c r="M3807" s="45" t="inlineStr">
        <is>
          <t>31734 (Magasinage) ; 22852 (Matériau construction) ; 34037 (Satisfaction client)</t>
        </is>
      </c>
      <c r="N3807" s="50" t="inlineStr">
        <is>
          <t>NON</t>
        </is>
      </c>
      <c r="O3807" s="45" t="inlineStr"/>
    </row>
    <row r="3808" customFormat="1" s="3">
      <c r="A3808" s="45" t="n"/>
      <c r="B3808" s="46" t="inlineStr">
        <is>
          <t>34037</t>
        </is>
      </c>
      <c r="C3808" s="46">
        <f>LEFT(Tableau1[[#This Row],[Formacode]],3)</f>
        <v/>
      </c>
      <c r="D3808" s="47" t="n">
        <v>37655</v>
      </c>
      <c r="E3808" s="48">
        <f>"RNCP"&amp;D3808</f>
        <v/>
      </c>
      <c r="F3808" s="48" t="inlineStr">
        <is>
          <t>Responsable en gestion et développement d’une business unit</t>
        </is>
      </c>
      <c r="G3808" s="49">
        <f>E3808&amp;" - "&amp;F3808</f>
        <v/>
      </c>
      <c r="H3808" s="36" t="inlineStr">
        <is>
          <t>RAS</t>
        </is>
      </c>
      <c r="I3808" s="45" t="inlineStr"/>
      <c r="J3808" s="45" t="inlineStr">
        <is>
          <t>RNCP37655</t>
        </is>
      </c>
      <c r="K3808" s="45" t="inlineStr">
        <is>
          <t>Responsable en gestion et développement d’une business unit</t>
        </is>
      </c>
      <c r="L3808" s="45" t="inlineStr">
        <is>
          <t>31/05/2028</t>
        </is>
      </c>
      <c r="M3808" s="45" t="inlineStr">
        <is>
          <t>32025 (Stratégie entreprise) ; 32154 (Encadrement management) ; 34054 (Gestion commerciale achats)</t>
        </is>
      </c>
      <c r="N3808" s="50" t="inlineStr">
        <is>
          <t>NON</t>
        </is>
      </c>
      <c r="O3808" s="45" t="inlineStr"/>
    </row>
    <row r="3809" customFormat="1" s="3">
      <c r="A3809" s="45" t="n"/>
      <c r="B3809" s="46" t="inlineStr">
        <is>
          <t>34037</t>
        </is>
      </c>
      <c r="C3809" s="46">
        <f>LEFT(Tableau1[[#This Row],[Formacode]],3)</f>
        <v/>
      </c>
      <c r="D3809" s="47" t="n">
        <v>37683</v>
      </c>
      <c r="E3809" s="48">
        <f>"RNCP"&amp;D3809</f>
        <v/>
      </c>
      <c r="F3809" s="48" t="inlineStr">
        <is>
          <t>DipViGrM - Programme grande école</t>
        </is>
      </c>
      <c r="G3809" s="49">
        <f>E3809&amp;" - "&amp;F3809</f>
        <v/>
      </c>
      <c r="H3809" s="36" t="inlineStr">
        <is>
          <t>RAS</t>
        </is>
      </c>
      <c r="I3809" s="45" t="inlineStr"/>
      <c r="J3809" s="45" t="inlineStr">
        <is>
          <t>RNCP37683</t>
        </is>
      </c>
      <c r="K3809" s="45" t="inlineStr">
        <is>
          <t>Programme grande école</t>
        </is>
      </c>
      <c r="L3809" s="45" t="inlineStr">
        <is>
          <t>31/08/2028</t>
        </is>
      </c>
      <c r="M3809" s="45" t="inlineStr">
        <is>
          <t>32654 (Gestion financière comptabilité) ; 32145 (Management transversal) ; 34054 (Gestion commerciale achats) ; 32006 (Gestion entreprise internationale)</t>
        </is>
      </c>
      <c r="N3809" s="50" t="inlineStr">
        <is>
          <t>NON</t>
        </is>
      </c>
      <c r="O3809" s="45" t="inlineStr"/>
    </row>
    <row r="3810" customFormat="1" s="3">
      <c r="A3810" s="51" t="n"/>
      <c r="B3810" s="52" t="inlineStr">
        <is>
          <t>34037</t>
        </is>
      </c>
      <c r="C3810" s="52">
        <f>LEFT(Tableau1[[#This Row],[Formacode]],3)</f>
        <v/>
      </c>
      <c r="D3810" s="53" t="n">
        <v>37849</v>
      </c>
      <c r="E3810" s="54">
        <f>"RNCP"&amp;D3810</f>
        <v/>
      </c>
      <c r="F3810" s="54" t="inlineStr">
        <is>
          <t>Responsable du développement commercial</t>
        </is>
      </c>
      <c r="G3810" s="55">
        <f>E3810&amp;" - "&amp;F3810</f>
        <v/>
      </c>
      <c r="H3810" s="37" t="inlineStr">
        <is>
          <t>À vérifier</t>
        </is>
      </c>
      <c r="I3810" s="51" t="inlineStr">
        <is>
          <t>Échéance le 19/07/2026 (dans 1 j)</t>
        </is>
      </c>
      <c r="J3810" s="51" t="inlineStr">
        <is>
          <t>RNCP37849</t>
        </is>
      </c>
      <c r="K3810" s="51" t="inlineStr">
        <is>
          <t>Responsable du développement commercial</t>
        </is>
      </c>
      <c r="L3810" s="51" t="inlineStr">
        <is>
          <t>19/07/2026</t>
        </is>
      </c>
      <c r="M3810" s="51" t="inlineStr">
        <is>
          <t>34026 (Développement sens commercial) ; 34582 (Négociation commerciale)</t>
        </is>
      </c>
      <c r="N3810" s="62" t="inlineStr">
        <is>
          <t>NON</t>
        </is>
      </c>
      <c r="O3810" s="51" t="inlineStr"/>
    </row>
    <row r="3811" customFormat="1" s="3">
      <c r="A3811" s="51" t="n"/>
      <c r="B3811" s="52" t="inlineStr">
        <is>
          <t>34037</t>
        </is>
      </c>
      <c r="C3811" s="52">
        <f>LEFT(Tableau1[[#This Row],[Formacode]],3)</f>
        <v/>
      </c>
      <c r="D3811" s="53" t="n">
        <v>37988</v>
      </c>
      <c r="E3811" s="54">
        <f>"RNCP"&amp;D3811</f>
        <v/>
      </c>
      <c r="F3811" s="54" t="inlineStr">
        <is>
          <t>Diplôme visé - Diplôme supérieur en marketing, vente et gestion</t>
        </is>
      </c>
      <c r="G3811" s="55">
        <f>E3811&amp;" - "&amp;F3811</f>
        <v/>
      </c>
      <c r="H3811" s="37" t="inlineStr">
        <is>
          <t>À vérifier</t>
        </is>
      </c>
      <c r="I3811" s="51" t="inlineStr">
        <is>
          <t>Successeur déjà publié : RNCP42254 (Diplôme supérieur en marketing, vente et gestion) — préparer la bascule de l'offre CPF | Échéance le 31/08/2026 (dans 44 j)</t>
        </is>
      </c>
      <c r="J3811" s="51" t="inlineStr">
        <is>
          <t>RNCP42254</t>
        </is>
      </c>
      <c r="K3811" s="51" t="inlineStr">
        <is>
          <t>Diplôme supérieur en marketing, vente et gestion</t>
        </is>
      </c>
      <c r="L3811" s="51" t="inlineStr">
        <is>
          <t>31/08/2026</t>
        </is>
      </c>
      <c r="M3811" s="51" t="inlineStr">
        <is>
          <t>34085 (Stratégie commerciale) ; 34052 (Marketing) ; 32154 (Encadrement management) ; 32054 (Gestion des organisations)</t>
        </is>
      </c>
      <c r="N3811" s="62" t="inlineStr">
        <is>
          <t>NON</t>
        </is>
      </c>
      <c r="O3811" s="51" t="inlineStr"/>
    </row>
    <row r="3812" customFormat="1" s="3">
      <c r="A3812" s="45" t="n"/>
      <c r="B3812" s="46" t="inlineStr">
        <is>
          <t>34037</t>
        </is>
      </c>
      <c r="C3812" s="46">
        <f>LEFT(Tableau1[[#This Row],[Formacode]],3)</f>
        <v/>
      </c>
      <c r="D3812" s="47" t="n">
        <v>38362</v>
      </c>
      <c r="E3812" s="48">
        <f>"RNCP"&amp;D3812</f>
        <v/>
      </c>
      <c r="F3812" s="48" t="inlineStr">
        <is>
          <t>BTS - Management commercial opérationnel</t>
        </is>
      </c>
      <c r="G3812" s="49">
        <f>E3812&amp;" - "&amp;F3812</f>
        <v/>
      </c>
      <c r="H3812" s="36" t="inlineStr">
        <is>
          <t>RAS</t>
        </is>
      </c>
      <c r="I3812" s="45" t="inlineStr"/>
      <c r="J3812" s="45" t="inlineStr">
        <is>
          <t>RNCP38362</t>
        </is>
      </c>
      <c r="K3812" s="45" t="inlineStr">
        <is>
          <t>Management commercial opérationnel</t>
        </is>
      </c>
      <c r="L3812" s="45" t="inlineStr">
        <is>
          <t>31/12/2028</t>
        </is>
      </c>
      <c r="M3812" s="45" t="inlineStr">
        <is>
          <t>34054 (Gestion commerciale achats) ; 32154 (Encadrement management)</t>
        </is>
      </c>
      <c r="N3812" s="50" t="inlineStr">
        <is>
          <t>NON</t>
        </is>
      </c>
      <c r="O3812" s="45" t="inlineStr"/>
    </row>
    <row r="3813" customFormat="1" s="3">
      <c r="A3813" s="45" t="n"/>
      <c r="B3813" s="46" t="inlineStr">
        <is>
          <t>34037</t>
        </is>
      </c>
      <c r="C3813" s="46">
        <f>LEFT(Tableau1[[#This Row],[Formacode]],3)</f>
        <v/>
      </c>
      <c r="D3813" s="47" t="n">
        <v>38402</v>
      </c>
      <c r="E3813" s="48">
        <f>"RNCP"&amp;D3813</f>
        <v/>
      </c>
      <c r="F3813" s="48" t="inlineStr">
        <is>
          <t>Certificat de spécialisation - Assistance, conseil, vente à distance</t>
        </is>
      </c>
      <c r="G3813" s="49">
        <f>E3813&amp;" - "&amp;F3813</f>
        <v/>
      </c>
      <c r="H3813" s="36" t="inlineStr">
        <is>
          <t>RAS</t>
        </is>
      </c>
      <c r="I3813" s="45" t="inlineStr"/>
      <c r="J3813" s="45" t="inlineStr">
        <is>
          <t>RNCP38402</t>
        </is>
      </c>
      <c r="K3813" s="45" t="inlineStr">
        <is>
          <t>Assistance, conseil, vente à distance</t>
        </is>
      </c>
      <c r="L3813" s="45" t="inlineStr">
        <is>
          <t>31/12/2028</t>
        </is>
      </c>
      <c r="M3813" s="45" t="inlineStr">
        <is>
          <t>34502 (Vente spécialisée) ; 34027 (Service après-vente) ; 34501 (Vente par téléphone)</t>
        </is>
      </c>
      <c r="N3813" s="50" t="inlineStr">
        <is>
          <t>NON</t>
        </is>
      </c>
      <c r="O3813" s="45" t="inlineStr"/>
    </row>
    <row r="3814" customFormat="1" s="3">
      <c r="A3814" s="45" t="n"/>
      <c r="B3814" s="46" t="inlineStr">
        <is>
          <t>34037</t>
        </is>
      </c>
      <c r="C3814" s="46">
        <f>LEFT(Tableau1[[#This Row],[Formacode]],3)</f>
        <v/>
      </c>
      <c r="D3814" s="47" t="n">
        <v>38604</v>
      </c>
      <c r="E3814" s="48">
        <f>"RNCP"&amp;D3814</f>
        <v/>
      </c>
      <c r="F3814" s="48" t="inlineStr">
        <is>
          <t>Responsable d'activités commerciales</t>
        </is>
      </c>
      <c r="G3814" s="49">
        <f>E3814&amp;" - "&amp;F3814</f>
        <v/>
      </c>
      <c r="H3814" s="36" t="inlineStr">
        <is>
          <t>RAS</t>
        </is>
      </c>
      <c r="I3814" s="45" t="inlineStr"/>
      <c r="J3814" s="45" t="inlineStr">
        <is>
          <t>RNCP38604</t>
        </is>
      </c>
      <c r="K3814" s="45" t="inlineStr">
        <is>
          <t>Responsable d'activités commerciales</t>
        </is>
      </c>
      <c r="L3814" s="45" t="inlineStr">
        <is>
          <t>09/02/2027</t>
        </is>
      </c>
      <c r="M3814" s="45" t="inlineStr">
        <is>
          <t>34593 (Prospection vente) ; 34026 (Développement sens commercial)</t>
        </is>
      </c>
      <c r="N3814" s="50" t="inlineStr">
        <is>
          <t>NON</t>
        </is>
      </c>
      <c r="O3814" s="45" t="inlineStr"/>
    </row>
    <row r="3815" customFormat="1" s="3">
      <c r="A3815" s="45" t="n"/>
      <c r="B3815" s="46" t="inlineStr">
        <is>
          <t>34037</t>
        </is>
      </c>
      <c r="C3815" s="46">
        <f>LEFT(Tableau1[[#This Row],[Formacode]],3)</f>
        <v/>
      </c>
      <c r="D3815" s="47" t="n">
        <v>38665</v>
      </c>
      <c r="E3815" s="48">
        <f>"RNCP"&amp;D3815</f>
        <v/>
      </c>
      <c r="F3815" s="48" t="inlineStr">
        <is>
          <t>TP - Manager d'équipe relation client à distance</t>
        </is>
      </c>
      <c r="G3815" s="49">
        <f>E3815&amp;" - "&amp;F3815</f>
        <v/>
      </c>
      <c r="H3815" s="36" t="inlineStr">
        <is>
          <t>RAS</t>
        </is>
      </c>
      <c r="I3815" s="45" t="inlineStr"/>
      <c r="J3815" s="45" t="inlineStr">
        <is>
          <t>RNCP38665</t>
        </is>
      </c>
      <c r="K3815" s="45" t="inlineStr">
        <is>
          <t>Manager d'équipe relation client à distance</t>
        </is>
      </c>
      <c r="L3815" s="45" t="inlineStr">
        <is>
          <t>12/05/2029</t>
        </is>
      </c>
      <c r="M3815" s="45" t="inlineStr">
        <is>
          <t>34076 (Gestion relation client) ; 34026 (Développement sens commercial) ; 34507 (Vente à distance) ; 34027 (Service après-vente)</t>
        </is>
      </c>
      <c r="N3815" s="50" t="inlineStr">
        <is>
          <t>NON</t>
        </is>
      </c>
      <c r="O3815" s="45" t="inlineStr"/>
    </row>
    <row r="3816" customFormat="1" s="3">
      <c r="A3816" s="45" t="n"/>
      <c r="B3816" s="46" t="inlineStr">
        <is>
          <t>34037</t>
        </is>
      </c>
      <c r="C3816" s="46">
        <f>LEFT(Tableau1[[#This Row],[Formacode]],3)</f>
        <v/>
      </c>
      <c r="D3816" s="47" t="n">
        <v>39177</v>
      </c>
      <c r="E3816" s="48">
        <f>"RNCP"&amp;D3816</f>
        <v/>
      </c>
      <c r="F3816" s="48" t="inlineStr">
        <is>
          <t>TP - Technicien d'après-vente en électroménager et audiovisuel</t>
        </is>
      </c>
      <c r="G3816" s="49">
        <f>E3816&amp;" - "&amp;F3816</f>
        <v/>
      </c>
      <c r="H3816" s="36" t="inlineStr">
        <is>
          <t>RAS</t>
        </is>
      </c>
      <c r="I3816" s="45" t="inlineStr"/>
      <c r="J3816" s="45" t="inlineStr">
        <is>
          <t>RNCP39177</t>
        </is>
      </c>
      <c r="K3816" s="45" t="inlineStr">
        <is>
          <t>Technicien d'après-vente en électroménager et audiovisuel</t>
        </is>
      </c>
      <c r="L3816" s="45" t="inlineStr">
        <is>
          <t>30/06/2029</t>
        </is>
      </c>
      <c r="M3816" s="45" t="inlineStr">
        <is>
          <t>24021 (Électroménager) ; 24374 (Maintenance audiovisuelle) ; 34027 (Service après-vente)</t>
        </is>
      </c>
      <c r="N3816" s="50" t="inlineStr">
        <is>
          <t>NON</t>
        </is>
      </c>
      <c r="O3816" s="45" t="inlineStr"/>
    </row>
    <row r="3817" customFormat="1" s="3">
      <c r="A3817" s="45" t="n"/>
      <c r="B3817" s="46" t="inlineStr">
        <is>
          <t>34037</t>
        </is>
      </c>
      <c r="C3817" s="46">
        <f>LEFT(Tableau1[[#This Row],[Formacode]],3)</f>
        <v/>
      </c>
      <c r="D3817" s="47" t="n">
        <v>40726</v>
      </c>
      <c r="E3817" s="48">
        <f>"RNCP"&amp;D3817</f>
        <v/>
      </c>
      <c r="F3817" s="48" t="inlineStr">
        <is>
          <t>DipViGrL - Diplôme d’enseignement supérieur en management</t>
        </is>
      </c>
      <c r="G3817" s="49">
        <f>E3817&amp;" - "&amp;F3817</f>
        <v/>
      </c>
      <c r="H3817" s="36" t="inlineStr">
        <is>
          <t>RAS</t>
        </is>
      </c>
      <c r="I3817" s="45" t="inlineStr"/>
      <c r="J3817" s="45" t="inlineStr">
        <is>
          <t>RNCP40726</t>
        </is>
      </c>
      <c r="K3817" s="45" t="inlineStr">
        <is>
          <t>Diplôme d’enseignement supérieur en management</t>
        </is>
      </c>
      <c r="L3817" s="45" t="inlineStr">
        <is>
          <t>31/08/2028</t>
        </is>
      </c>
      <c r="M3817" s="45" t="inlineStr">
        <is>
          <t>34054 (Gestion commerciale achats) ; 34554 (Commerce) ; 31834 (Logistique transport)</t>
        </is>
      </c>
      <c r="N3817" s="50" t="inlineStr">
        <is>
          <t>NON</t>
        </is>
      </c>
      <c r="O3817" s="45" t="inlineStr"/>
    </row>
    <row r="3818" customFormat="1" s="3">
      <c r="A3818" s="45" t="n"/>
      <c r="B3818" s="46" t="inlineStr">
        <is>
          <t>34037</t>
        </is>
      </c>
      <c r="C3818" s="46">
        <f>LEFT(Tableau1[[#This Row],[Formacode]],3)</f>
        <v/>
      </c>
      <c r="D3818" s="47" t="n">
        <v>40838</v>
      </c>
      <c r="E3818" s="48">
        <f>"RNCP"&amp;D3818</f>
        <v/>
      </c>
      <c r="F3818" s="48" t="inlineStr">
        <is>
          <t>Technicien expert après-vente automobile</t>
        </is>
      </c>
      <c r="G3818" s="49">
        <f>E3818&amp;" - "&amp;F3818</f>
        <v/>
      </c>
      <c r="H3818" s="36" t="inlineStr">
        <is>
          <t>RAS</t>
        </is>
      </c>
      <c r="I3818" s="45" t="inlineStr"/>
      <c r="J3818" s="45" t="inlineStr">
        <is>
          <t>RNCP40838</t>
        </is>
      </c>
      <c r="K3818" s="45" t="inlineStr">
        <is>
          <t>Technicien expert après-vente automobile</t>
        </is>
      </c>
      <c r="L3818" s="45" t="inlineStr">
        <is>
          <t>25/06/2030</t>
        </is>
      </c>
      <c r="M3818" s="45" t="inlineStr">
        <is>
          <t>23637 (Mécanique automobile) ; 34027 (Service après-vente)</t>
        </is>
      </c>
      <c r="N3818" s="50" t="inlineStr">
        <is>
          <t>NON</t>
        </is>
      </c>
      <c r="O3818" s="45" t="inlineStr"/>
    </row>
    <row r="3819" customFormat="1" s="3">
      <c r="A3819" s="45" t="n"/>
      <c r="B3819" s="46" t="inlineStr">
        <is>
          <t>34037</t>
        </is>
      </c>
      <c r="C3819" s="46">
        <f>LEFT(Tableau1[[#This Row],[Formacode]],3)</f>
        <v/>
      </c>
      <c r="D3819" s="47" t="n">
        <v>40854</v>
      </c>
      <c r="E3819" s="48">
        <f>"RNCP"&amp;D3819</f>
        <v/>
      </c>
      <c r="F3819" s="48" t="inlineStr">
        <is>
          <t>Technicien expert après-vente motocycles</t>
        </is>
      </c>
      <c r="G3819" s="49">
        <f>E3819&amp;" - "&amp;F3819</f>
        <v/>
      </c>
      <c r="H3819" s="36" t="inlineStr">
        <is>
          <t>RAS</t>
        </is>
      </c>
      <c r="I3819" s="45" t="inlineStr"/>
      <c r="J3819" s="45" t="inlineStr">
        <is>
          <t>RNCP40854</t>
        </is>
      </c>
      <c r="K3819" s="45" t="inlineStr">
        <is>
          <t>Technicien expert après-vente motocycles</t>
        </is>
      </c>
      <c r="L3819" s="45" t="inlineStr">
        <is>
          <t>25/06/2030</t>
        </is>
      </c>
      <c r="M3819" s="45" t="inlineStr">
        <is>
          <t>23635 (Mécanique cycle motocycle) ; 34027 (Service après-vente)</t>
        </is>
      </c>
      <c r="N3819" s="50" t="inlineStr">
        <is>
          <t>NON</t>
        </is>
      </c>
      <c r="O3819" s="45" t="inlineStr"/>
    </row>
    <row r="3820" customFormat="1" s="3">
      <c r="A3820" s="45" t="n"/>
      <c r="B3820" s="46" t="inlineStr">
        <is>
          <t>34037</t>
        </is>
      </c>
      <c r="C3820" s="46">
        <f>LEFT(Tableau1[[#This Row],[Formacode]],3)</f>
        <v/>
      </c>
      <c r="D3820" s="47" t="n">
        <v>40889</v>
      </c>
      <c r="E3820" s="48">
        <f>"RNCP"&amp;D3820</f>
        <v/>
      </c>
      <c r="F3820" s="48" t="inlineStr">
        <is>
          <t>Responsable du développement des activités</t>
        </is>
      </c>
      <c r="G3820" s="49">
        <f>E3820&amp;" - "&amp;F3820</f>
        <v/>
      </c>
      <c r="H3820" s="36" t="inlineStr">
        <is>
          <t>RAS</t>
        </is>
      </c>
      <c r="I3820" s="45" t="inlineStr"/>
      <c r="J3820" s="45" t="inlineStr">
        <is>
          <t>RNCP40889</t>
        </is>
      </c>
      <c r="K3820" s="45" t="inlineStr">
        <is>
          <t>Responsable du développement des activités</t>
        </is>
      </c>
      <c r="L3820" s="45" t="inlineStr">
        <is>
          <t>25/06/2027</t>
        </is>
      </c>
      <c r="M3820" s="45" t="inlineStr">
        <is>
          <t>34573 (Action commerciale) ; 34072 (Marketing direct) ; 34031 (Marketing mix) ; 34026 (Développement sens commercial) ; 12522 (Développement durable)</t>
        </is>
      </c>
      <c r="N3820" s="50" t="inlineStr">
        <is>
          <t>NON</t>
        </is>
      </c>
      <c r="O3820" s="45" t="inlineStr"/>
    </row>
    <row r="3821" customFormat="1" s="3">
      <c r="A3821" s="45" t="n"/>
      <c r="B3821" s="46" t="inlineStr">
        <is>
          <t>34052</t>
        </is>
      </c>
      <c r="C3821" s="46">
        <f>LEFT(Tableau1[[#This Row],[Formacode]],3)</f>
        <v/>
      </c>
      <c r="D3821" s="47" t="n">
        <v>36119</v>
      </c>
      <c r="E3821" s="48">
        <f>"RNCP"&amp;D3821</f>
        <v/>
      </c>
      <c r="F3821" s="48" t="inlineStr">
        <is>
          <t>Manager du marketing et de la transformation digitale</t>
        </is>
      </c>
      <c r="G3821" s="49">
        <f>E3821&amp;" - "&amp;F3821</f>
        <v/>
      </c>
      <c r="H3821" s="36" t="inlineStr">
        <is>
          <t>RAS</t>
        </is>
      </c>
      <c r="I3821" s="45" t="inlineStr"/>
      <c r="J3821" s="45" t="inlineStr">
        <is>
          <t>RNCP36119</t>
        </is>
      </c>
      <c r="K3821" s="45" t="inlineStr">
        <is>
          <t>Manager du marketing et de la transformation digitale</t>
        </is>
      </c>
      <c r="L3821" s="45" t="inlineStr">
        <is>
          <t>26/01/2027</t>
        </is>
      </c>
      <c r="M3821" s="45" t="inlineStr">
        <is>
          <t>34530 (E-commerce) ; 46347 (Stratégie communication numérique) ; 34093 (Marketing digital)</t>
        </is>
      </c>
      <c r="N3821" s="50" t="inlineStr">
        <is>
          <t>NON</t>
        </is>
      </c>
      <c r="O3821" s="45" t="inlineStr"/>
    </row>
    <row r="3822" customFormat="1" s="3">
      <c r="A3822" s="45" t="n"/>
      <c r="B3822" s="46" t="inlineStr">
        <is>
          <t>34052</t>
        </is>
      </c>
      <c r="C3822" s="46">
        <f>LEFT(Tableau1[[#This Row],[Formacode]],3)</f>
        <v/>
      </c>
      <c r="D3822" s="47" t="n">
        <v>36677</v>
      </c>
      <c r="E3822" s="48">
        <f>"RNCP"&amp;D3822</f>
        <v/>
      </c>
      <c r="F3822" s="48" t="inlineStr">
        <is>
          <t>DIPLOVIS - Responsable en marketing, commercialisation et gestion</t>
        </is>
      </c>
      <c r="G3822" s="49">
        <f>E3822&amp;" - "&amp;F3822</f>
        <v/>
      </c>
      <c r="H3822" s="36" t="inlineStr">
        <is>
          <t>RAS</t>
        </is>
      </c>
      <c r="I3822" s="45" t="inlineStr"/>
      <c r="J3822" s="45" t="inlineStr">
        <is>
          <t>RNCP36677</t>
        </is>
      </c>
      <c r="K3822" s="45" t="inlineStr">
        <is>
          <t>Responsable en marketing, commercialisation et gestion</t>
        </is>
      </c>
      <c r="L3822" s="45" t="inlineStr">
        <is>
          <t>31/08/2027</t>
        </is>
      </c>
      <c r="M3822" s="45" t="inlineStr">
        <is>
          <t>34052 (Marketing) ; 34554 (Commerce) ; 32054 (Gestion des organisations)</t>
        </is>
      </c>
      <c r="N3822" s="50" t="inlineStr">
        <is>
          <t>NON</t>
        </is>
      </c>
      <c r="O3822" s="45" t="inlineStr"/>
    </row>
    <row r="3823" customFormat="1" s="3">
      <c r="A3823" s="45" t="n"/>
      <c r="B3823" s="46" t="inlineStr">
        <is>
          <t>34052</t>
        </is>
      </c>
      <c r="C3823" s="46">
        <f>LEFT(Tableau1[[#This Row],[Formacode]],3)</f>
        <v/>
      </c>
      <c r="D3823" s="47" t="n">
        <v>36864</v>
      </c>
      <c r="E3823" s="48">
        <f>"RNCP"&amp;D3823</f>
        <v/>
      </c>
      <c r="F3823" s="48" t="inlineStr">
        <is>
          <t>Manager de la stratégie et de la transformation digitale (MS)</t>
        </is>
      </c>
      <c r="G3823" s="49">
        <f>E3823&amp;" - "&amp;F3823</f>
        <v/>
      </c>
      <c r="H3823" s="36" t="inlineStr">
        <is>
          <t>RAS</t>
        </is>
      </c>
      <c r="I3823" s="45" t="inlineStr"/>
      <c r="J3823" s="45" t="inlineStr">
        <is>
          <t>RNCP36864</t>
        </is>
      </c>
      <c r="K3823" s="45" t="inlineStr">
        <is>
          <t>Manager de la stratégie et de la transformation digitale (MS)</t>
        </is>
      </c>
      <c r="L3823" s="45" t="inlineStr">
        <is>
          <t>29/09/2027</t>
        </is>
      </c>
      <c r="M3823" s="45" t="inlineStr">
        <is>
          <t>32066 (Transition numérique) ; 46347 (Stratégie communication numérique) ; 34093 (Marketing digital)</t>
        </is>
      </c>
      <c r="N3823" s="50" t="inlineStr">
        <is>
          <t>NON</t>
        </is>
      </c>
      <c r="O3823" s="45" t="inlineStr"/>
    </row>
    <row r="3824" ht="28.8" customFormat="1" customHeight="1" s="3">
      <c r="A3824" s="45" t="n"/>
      <c r="B3824" s="46" t="inlineStr">
        <is>
          <t>34052</t>
        </is>
      </c>
      <c r="C3824" s="46">
        <f>LEFT(Tableau1[[#This Row],[Formacode]],3)</f>
        <v/>
      </c>
      <c r="D3824" s="47" t="n">
        <v>37375</v>
      </c>
      <c r="E3824" s="48">
        <f>"RNCP"&amp;D3824</f>
        <v/>
      </c>
      <c r="F3824" s="48" t="inlineStr">
        <is>
          <t>Brevet de technicien supérieur - Métiers de l’esthétique, de la cosmétique et de la parfumerie</t>
        </is>
      </c>
      <c r="G3824" s="49">
        <f>E3824&amp;" - "&amp;F3824</f>
        <v/>
      </c>
      <c r="H3824" s="36" t="inlineStr">
        <is>
          <t>RAS</t>
        </is>
      </c>
      <c r="I3824" s="45" t="inlineStr"/>
      <c r="J3824" s="45" t="inlineStr">
        <is>
          <t>RNCP37375</t>
        </is>
      </c>
      <c r="K3824" s="45" t="inlineStr">
        <is>
          <t>Métiers de l’esthétique, de la cosmétique et de la parfumerie</t>
        </is>
      </c>
      <c r="L3824" s="45" t="inlineStr">
        <is>
          <t>31/08/2028</t>
        </is>
      </c>
      <c r="M3824" s="45" t="inlineStr">
        <is>
          <t>42032 (Esthétique soin corporel) ; 32154 (Encadrement management) ; 22885 (Cosmétique) ; 34059 (Gestion marque) ; 44517 (Conception action formation)</t>
        </is>
      </c>
      <c r="N3824" s="50" t="inlineStr">
        <is>
          <t>NON</t>
        </is>
      </c>
      <c r="O3824" s="45" t="inlineStr"/>
    </row>
    <row r="3825" customFormat="1" s="3">
      <c r="A3825" s="63" t="n"/>
      <c r="B3825" s="64" t="inlineStr">
        <is>
          <t>34052</t>
        </is>
      </c>
      <c r="C3825" s="64">
        <f>LEFT(Tableau1[[#This Row],[Formacode]],3)</f>
        <v/>
      </c>
      <c r="D3825" s="65" t="n">
        <v>37633</v>
      </c>
      <c r="E3825" s="66">
        <f>"RNCP"&amp;D3825</f>
        <v/>
      </c>
      <c r="F3825" s="66" t="inlineStr">
        <is>
          <t>Responsable en développement commercial et marketing</t>
        </is>
      </c>
      <c r="G3825" s="67">
        <f>E3825&amp;" - "&amp;F3825</f>
        <v/>
      </c>
      <c r="H3825" s="38" t="inlineStr">
        <is>
          <t>Expiré / remplacé</t>
        </is>
      </c>
      <c r="I3825" s="63" t="inlineStr">
        <is>
          <t>Fiche inactive — remplacée par RNCP42153 (Responsable en développement commercial et marketing)</t>
        </is>
      </c>
      <c r="J3825" s="63" t="inlineStr">
        <is>
          <t>RNCP42153</t>
        </is>
      </c>
      <c r="K3825" s="63" t="inlineStr">
        <is>
          <t>Responsable en développement commercial et marketing</t>
        </is>
      </c>
      <c r="L3825" s="63" t="inlineStr">
        <is>
          <t>31/05/2026</t>
        </is>
      </c>
      <c r="M3825" s="63" t="inlineStr">
        <is>
          <t>34053 (Marketing opérationnel) ; 34085 (Stratégie commerciale) ; 34582 (Négociation commerciale) ; 34566 (Vente distribution)</t>
        </is>
      </c>
      <c r="N3825" s="68" t="inlineStr">
        <is>
          <t>NON</t>
        </is>
      </c>
      <c r="O3825" s="63" t="inlineStr"/>
    </row>
    <row r="3826" customFormat="1" s="3">
      <c r="A3826" s="45" t="n"/>
      <c r="B3826" s="46" t="inlineStr">
        <is>
          <t>34052</t>
        </is>
      </c>
      <c r="C3826" s="46">
        <f>LEFT(Tableau1[[#This Row],[Formacode]],3)</f>
        <v/>
      </c>
      <c r="D3826" s="47" t="n">
        <v>37655</v>
      </c>
      <c r="E3826" s="48">
        <f>"RNCP"&amp;D3826</f>
        <v/>
      </c>
      <c r="F3826" s="48" t="inlineStr">
        <is>
          <t>Responsable en gestion et développement d’une business unit</t>
        </is>
      </c>
      <c r="G3826" s="49">
        <f>E3826&amp;" - "&amp;F3826</f>
        <v/>
      </c>
      <c r="H3826" s="36" t="inlineStr">
        <is>
          <t>RAS</t>
        </is>
      </c>
      <c r="I3826" s="45" t="inlineStr"/>
      <c r="J3826" s="45" t="inlineStr">
        <is>
          <t>RNCP37655</t>
        </is>
      </c>
      <c r="K3826" s="45" t="inlineStr">
        <is>
          <t>Responsable en gestion et développement d’une business unit</t>
        </is>
      </c>
      <c r="L3826" s="45" t="inlineStr">
        <is>
          <t>31/05/2028</t>
        </is>
      </c>
      <c r="M3826" s="45" t="inlineStr">
        <is>
          <t>32025 (Stratégie entreprise) ; 32154 (Encadrement management) ; 34054 (Gestion commerciale achats)</t>
        </is>
      </c>
      <c r="N3826" s="50" t="inlineStr">
        <is>
          <t>NON</t>
        </is>
      </c>
      <c r="O3826" s="45" t="inlineStr"/>
    </row>
    <row r="3827" customFormat="1" s="3">
      <c r="A3827" s="45" t="n"/>
      <c r="B3827" s="46" t="inlineStr">
        <is>
          <t>34052</t>
        </is>
      </c>
      <c r="C3827" s="46">
        <f>LEFT(Tableau1[[#This Row],[Formacode]],3)</f>
        <v/>
      </c>
      <c r="D3827" s="47" t="n">
        <v>37683</v>
      </c>
      <c r="E3827" s="48">
        <f>"RNCP"&amp;D3827</f>
        <v/>
      </c>
      <c r="F3827" s="48" t="inlineStr">
        <is>
          <t>DipViGrM - Programme grande école</t>
        </is>
      </c>
      <c r="G3827" s="49">
        <f>E3827&amp;" - "&amp;F3827</f>
        <v/>
      </c>
      <c r="H3827" s="36" t="inlineStr">
        <is>
          <t>RAS</t>
        </is>
      </c>
      <c r="I3827" s="45" t="inlineStr"/>
      <c r="J3827" s="45" t="inlineStr">
        <is>
          <t>RNCP37683</t>
        </is>
      </c>
      <c r="K3827" s="45" t="inlineStr">
        <is>
          <t>Programme grande école</t>
        </is>
      </c>
      <c r="L3827" s="45" t="inlineStr">
        <is>
          <t>31/08/2028</t>
        </is>
      </c>
      <c r="M3827" s="45" t="inlineStr">
        <is>
          <t>32654 (Gestion financière comptabilité) ; 32145 (Management transversal) ; 34054 (Gestion commerciale achats) ; 32006 (Gestion entreprise internationale)</t>
        </is>
      </c>
      <c r="N3827" s="50" t="inlineStr">
        <is>
          <t>NON</t>
        </is>
      </c>
      <c r="O3827" s="45" t="inlineStr"/>
    </row>
    <row r="3828" customFormat="1" s="3">
      <c r="A3828" s="51" t="n"/>
      <c r="B3828" s="52" t="inlineStr">
        <is>
          <t>34052</t>
        </is>
      </c>
      <c r="C3828" s="52">
        <f>LEFT(Tableau1[[#This Row],[Formacode]],3)</f>
        <v/>
      </c>
      <c r="D3828" s="53" t="n">
        <v>37776</v>
      </c>
      <c r="E3828" s="54">
        <f>"RNCP"&amp;D3828</f>
        <v/>
      </c>
      <c r="F3828" s="54" t="inlineStr">
        <is>
          <t>Manager du contenu - content manager</t>
        </is>
      </c>
      <c r="G3828" s="55">
        <f>E3828&amp;" - "&amp;F3828</f>
        <v/>
      </c>
      <c r="H3828" s="37" t="inlineStr">
        <is>
          <t>À vérifier</t>
        </is>
      </c>
      <c r="I3828" s="51" t="inlineStr">
        <is>
          <t>Successeur déjà publié : RNCP41795 (Manager du contenu - Content manager) — préparer la bascule de l'offre CPF | Échéance le 19/07/2026 (dans 1 j)</t>
        </is>
      </c>
      <c r="J3828" s="51" t="inlineStr">
        <is>
          <t>RNCP41795</t>
        </is>
      </c>
      <c r="K3828" s="51" t="inlineStr">
        <is>
          <t>Manager du contenu - Content manager</t>
        </is>
      </c>
      <c r="L3828" s="51" t="inlineStr">
        <is>
          <t>19/07/2026</t>
        </is>
      </c>
      <c r="M3828" s="51" t="inlineStr">
        <is>
          <t>46301 (Communication entreprise) ; 46347 (Stratégie communication numérique)</t>
        </is>
      </c>
      <c r="N3828" s="62" t="inlineStr">
        <is>
          <t>NON</t>
        </is>
      </c>
      <c r="O3828" s="51" t="inlineStr"/>
    </row>
    <row r="3829" customFormat="1" s="3">
      <c r="A3829" s="51" t="n"/>
      <c r="B3829" s="52" t="inlineStr">
        <is>
          <t>34052</t>
        </is>
      </c>
      <c r="C3829" s="52">
        <f>LEFT(Tableau1[[#This Row],[Formacode]],3)</f>
        <v/>
      </c>
      <c r="D3829" s="53" t="n">
        <v>37786</v>
      </c>
      <c r="E3829" s="54">
        <f>"RNCP"&amp;D3829</f>
        <v/>
      </c>
      <c r="F3829" s="54" t="inlineStr">
        <is>
          <t>Chargé de marketing et communication</t>
        </is>
      </c>
      <c r="G3829" s="55">
        <f>E3829&amp;" - "&amp;F3829</f>
        <v/>
      </c>
      <c r="H3829" s="37" t="inlineStr">
        <is>
          <t>À vérifier</t>
        </is>
      </c>
      <c r="I3829" s="51" t="inlineStr">
        <is>
          <t>Successeur déjà publié : RNCP41736 (Chargé de marketing et communication) — préparer la bascule de l'offre CPF | Échéance le 19/07/2026 (dans 1 j)</t>
        </is>
      </c>
      <c r="J3829" s="51" t="inlineStr">
        <is>
          <t>RNCP41736</t>
        </is>
      </c>
      <c r="K3829" s="51" t="inlineStr">
        <is>
          <t>Chargé de marketing et communication</t>
        </is>
      </c>
      <c r="L3829" s="51" t="inlineStr">
        <is>
          <t>19/07/2026</t>
        </is>
      </c>
      <c r="M3829" s="51" t="inlineStr">
        <is>
          <t>34093 (Marketing digital) ; 46301 (Communication entreprise) ; 34085 (Stratégie commerciale) ; 32135 (Conduite projet)</t>
        </is>
      </c>
      <c r="N3829" s="62" t="inlineStr">
        <is>
          <t>NON</t>
        </is>
      </c>
      <c r="O3829" s="51" t="inlineStr"/>
    </row>
    <row r="3830" customFormat="1" s="3">
      <c r="A3830" s="51" t="n"/>
      <c r="B3830" s="52" t="inlineStr">
        <is>
          <t>34052</t>
        </is>
      </c>
      <c r="C3830" s="52">
        <f>LEFT(Tableau1[[#This Row],[Formacode]],3)</f>
        <v/>
      </c>
      <c r="D3830" s="53" t="n">
        <v>37793</v>
      </c>
      <c r="E3830" s="54">
        <f>"RNCP"&amp;D3830</f>
        <v/>
      </c>
      <c r="F3830" s="54" t="inlineStr">
        <is>
          <t>Manager de la stratégie digitale</t>
        </is>
      </c>
      <c r="G3830" s="55">
        <f>E3830&amp;" - "&amp;F3830</f>
        <v/>
      </c>
      <c r="H3830" s="37" t="inlineStr">
        <is>
          <t>À vérifier</t>
        </is>
      </c>
      <c r="I3830" s="51" t="inlineStr">
        <is>
          <t>Successeur déjà publié : RNCP42488 (Manager de la stratégie digitale) — préparer la bascule de l'offre CPF | Échéance le 19/07/2026 (dans 1 j)</t>
        </is>
      </c>
      <c r="J3830" s="51" t="inlineStr">
        <is>
          <t>RNCP42488</t>
        </is>
      </c>
      <c r="K3830" s="51" t="inlineStr">
        <is>
          <t>Manager de la stratégie digitale</t>
        </is>
      </c>
      <c r="L3830" s="51" t="inlineStr">
        <is>
          <t>19/07/2026</t>
        </is>
      </c>
      <c r="M3830" s="51" t="inlineStr">
        <is>
          <t>34093 (Marketing digital) ; 32066 (Transition numérique) ; 46347 (Stratégie communication numérique) ; 34057 (Marketing stratégique)</t>
        </is>
      </c>
      <c r="N3830" s="62" t="inlineStr">
        <is>
          <t>NON</t>
        </is>
      </c>
      <c r="O3830" s="51" t="inlineStr"/>
    </row>
    <row r="3831" customFormat="1" s="3">
      <c r="A3831" s="51" t="n"/>
      <c r="B3831" s="52" t="inlineStr">
        <is>
          <t>34052</t>
        </is>
      </c>
      <c r="C3831" s="52">
        <f>LEFT(Tableau1[[#This Row],[Formacode]],3)</f>
        <v/>
      </c>
      <c r="D3831" s="53" t="n">
        <v>37988</v>
      </c>
      <c r="E3831" s="54">
        <f>"RNCP"&amp;D3831</f>
        <v/>
      </c>
      <c r="F3831" s="54" t="inlineStr">
        <is>
          <t>Diplôme visé - Diplôme supérieur en marketing, vente et gestion</t>
        </is>
      </c>
      <c r="G3831" s="55">
        <f>E3831&amp;" - "&amp;F3831</f>
        <v/>
      </c>
      <c r="H3831" s="37" t="inlineStr">
        <is>
          <t>À vérifier</t>
        </is>
      </c>
      <c r="I3831" s="51" t="inlineStr">
        <is>
          <t>Successeur déjà publié : RNCP42254 (Diplôme supérieur en marketing, vente et gestion) — préparer la bascule de l'offre CPF | Échéance le 31/08/2026 (dans 44 j)</t>
        </is>
      </c>
      <c r="J3831" s="51" t="inlineStr">
        <is>
          <t>RNCP42254</t>
        </is>
      </c>
      <c r="K3831" s="51" t="inlineStr">
        <is>
          <t>Diplôme supérieur en marketing, vente et gestion</t>
        </is>
      </c>
      <c r="L3831" s="51" t="inlineStr">
        <is>
          <t>31/08/2026</t>
        </is>
      </c>
      <c r="M3831" s="51" t="inlineStr">
        <is>
          <t>34085 (Stratégie commerciale) ; 34052 (Marketing) ; 32154 (Encadrement management) ; 32054 (Gestion des organisations)</t>
        </is>
      </c>
      <c r="N3831" s="62" t="inlineStr">
        <is>
          <t>NON</t>
        </is>
      </c>
      <c r="O3831" s="51" t="inlineStr"/>
    </row>
    <row r="3832" customFormat="1" s="3">
      <c r="A3832" s="51" t="n"/>
      <c r="B3832" s="52" t="inlineStr">
        <is>
          <t>34052</t>
        </is>
      </c>
      <c r="C3832" s="52">
        <f>LEFT(Tableau1[[#This Row],[Formacode]],3)</f>
        <v/>
      </c>
      <c r="D3832" s="53" t="n">
        <v>38018</v>
      </c>
      <c r="E3832" s="54">
        <f>"RNCP"&amp;D3832</f>
        <v/>
      </c>
      <c r="F3832" s="54" t="inlineStr">
        <is>
          <t>Chef de projet digital</t>
        </is>
      </c>
      <c r="G3832" s="55">
        <f>E3832&amp;" - "&amp;F3832</f>
        <v/>
      </c>
      <c r="H3832" s="37" t="inlineStr">
        <is>
          <t>À vérifier</t>
        </is>
      </c>
      <c r="I3832" s="51" t="inlineStr">
        <is>
          <t>Échéance le 20/09/2026 (dans 64 j)</t>
        </is>
      </c>
      <c r="J3832" s="51" t="inlineStr">
        <is>
          <t>RNCP38018</t>
        </is>
      </c>
      <c r="K3832" s="51" t="inlineStr">
        <is>
          <t>Chef de projet digital</t>
        </is>
      </c>
      <c r="L3832" s="51" t="inlineStr">
        <is>
          <t>20/09/2026</t>
        </is>
      </c>
      <c r="M3832" s="51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3832" s="62" t="inlineStr">
        <is>
          <t>NON</t>
        </is>
      </c>
      <c r="O3832" s="51" t="inlineStr"/>
    </row>
    <row r="3833" customFormat="1" s="3">
      <c r="A3833" s="51" t="n"/>
      <c r="B3833" s="52" t="inlineStr">
        <is>
          <t>34052</t>
        </is>
      </c>
      <c r="C3833" s="52">
        <f>LEFT(Tableau1[[#This Row],[Formacode]],3)</f>
        <v/>
      </c>
      <c r="D3833" s="53" t="n">
        <v>38025</v>
      </c>
      <c r="E3833" s="54">
        <f>"RNCP"&amp;D3833</f>
        <v/>
      </c>
      <c r="F3833" s="54" t="inlineStr">
        <is>
          <t>Chargé de développement commercial et marketing</t>
        </is>
      </c>
      <c r="G3833" s="55">
        <f>E3833&amp;" - "&amp;F3833</f>
        <v/>
      </c>
      <c r="H3833" s="37" t="inlineStr">
        <is>
          <t>À vérifier</t>
        </is>
      </c>
      <c r="I3833" s="51" t="inlineStr">
        <is>
          <t>Échéance le 20/09/2026 (dans 64 j)</t>
        </is>
      </c>
      <c r="J3833" s="51" t="inlineStr">
        <is>
          <t>RNCP38025</t>
        </is>
      </c>
      <c r="K3833" s="51" t="inlineStr">
        <is>
          <t>Chargé de développement commercial et marketing</t>
        </is>
      </c>
      <c r="L3833" s="51" t="inlineStr">
        <is>
          <t>20/09/2026</t>
        </is>
      </c>
      <c r="M3833" s="51" t="inlineStr">
        <is>
          <t>34085 (Stratégie commerciale) ; 34052 (Marketing) ; 34566 (Vente distribution)</t>
        </is>
      </c>
      <c r="N3833" s="62" t="inlineStr">
        <is>
          <t>NON</t>
        </is>
      </c>
      <c r="O3833" s="51" t="inlineStr"/>
    </row>
    <row r="3834" customFormat="1" s="3">
      <c r="A3834" s="51" t="n"/>
      <c r="B3834" s="52" t="inlineStr">
        <is>
          <t>34052</t>
        </is>
      </c>
      <c r="C3834" s="52">
        <f>LEFT(Tableau1[[#This Row],[Formacode]],3)</f>
        <v/>
      </c>
      <c r="D3834" s="53" t="n">
        <v>38131</v>
      </c>
      <c r="E3834" s="54">
        <f>"RNCP"&amp;D3834</f>
        <v/>
      </c>
      <c r="F3834" s="54" t="inlineStr">
        <is>
          <t>Responsable marketing et communication</t>
        </is>
      </c>
      <c r="G3834" s="55">
        <f>E3834&amp;" - "&amp;F3834</f>
        <v/>
      </c>
      <c r="H3834" s="37" t="inlineStr">
        <is>
          <t>À vérifier</t>
        </is>
      </c>
      <c r="I3834" s="51" t="inlineStr">
        <is>
          <t>Échéance le 18/10/2026 (dans 92 j)</t>
        </is>
      </c>
      <c r="J3834" s="51" t="inlineStr">
        <is>
          <t>RNCP38131</t>
        </is>
      </c>
      <c r="K3834" s="51" t="inlineStr">
        <is>
          <t>Responsable marketing et communication</t>
        </is>
      </c>
      <c r="L3834" s="51" t="inlineStr">
        <is>
          <t>18/10/2026</t>
        </is>
      </c>
      <c r="M3834" s="51" t="inlineStr">
        <is>
          <t>34052 (Marketing) ; 34085 (Stratégie commerciale)</t>
        </is>
      </c>
      <c r="N3834" s="62" t="inlineStr">
        <is>
          <t>NON</t>
        </is>
      </c>
      <c r="O3834" s="51" t="inlineStr"/>
    </row>
    <row r="3835" customFormat="1" s="3">
      <c r="A3835" s="45" t="n"/>
      <c r="B3835" s="46" t="inlineStr">
        <is>
          <t>34052</t>
        </is>
      </c>
      <c r="C3835" s="46">
        <f>LEFT(Tableau1[[#This Row],[Formacode]],3)</f>
        <v/>
      </c>
      <c r="D3835" s="47" t="n">
        <v>38362</v>
      </c>
      <c r="E3835" s="48">
        <f>"RNCP"&amp;D3835</f>
        <v/>
      </c>
      <c r="F3835" s="48" t="inlineStr">
        <is>
          <t>BTS - Management commercial opérationnel</t>
        </is>
      </c>
      <c r="G3835" s="49">
        <f>E3835&amp;" - "&amp;F3835</f>
        <v/>
      </c>
      <c r="H3835" s="36" t="inlineStr">
        <is>
          <t>RAS</t>
        </is>
      </c>
      <c r="I3835" s="45" t="inlineStr"/>
      <c r="J3835" s="45" t="inlineStr">
        <is>
          <t>RNCP38362</t>
        </is>
      </c>
      <c r="K3835" s="45" t="inlineStr">
        <is>
          <t>Management commercial opérationnel</t>
        </is>
      </c>
      <c r="L3835" s="45" t="inlineStr">
        <is>
          <t>31/12/2028</t>
        </is>
      </c>
      <c r="M3835" s="45" t="inlineStr">
        <is>
          <t>34054 (Gestion commerciale achats) ; 32154 (Encadrement management)</t>
        </is>
      </c>
      <c r="N3835" s="50" t="inlineStr">
        <is>
          <t>NON</t>
        </is>
      </c>
      <c r="O3835" s="45" t="inlineStr"/>
    </row>
    <row r="3836" customFormat="1" s="3">
      <c r="A3836" s="45" t="n"/>
      <c r="B3836" s="46" t="inlineStr">
        <is>
          <t>34052</t>
        </is>
      </c>
      <c r="C3836" s="46">
        <f>LEFT(Tableau1[[#This Row],[Formacode]],3)</f>
        <v/>
      </c>
      <c r="D3836" s="47" t="n">
        <v>38368</v>
      </c>
      <c r="E3836" s="48">
        <f>"RNCP"&amp;D3836</f>
        <v/>
      </c>
      <c r="F3836" s="48" t="inlineStr">
        <is>
          <t>BTS - Négociation et digitalisation de la relation client</t>
        </is>
      </c>
      <c r="G3836" s="49">
        <f>E3836&amp;" - "&amp;F3836</f>
        <v/>
      </c>
      <c r="H3836" s="36" t="inlineStr">
        <is>
          <t>RAS</t>
        </is>
      </c>
      <c r="I3836" s="45" t="inlineStr"/>
      <c r="J3836" s="45" t="inlineStr">
        <is>
          <t>RNCP38368</t>
        </is>
      </c>
      <c r="K3836" s="45" t="inlineStr">
        <is>
          <t>Négociation et digitalisation de la relation client</t>
        </is>
      </c>
      <c r="L3836" s="45" t="inlineStr">
        <is>
          <t>31/12/2028</t>
        </is>
      </c>
      <c r="M3836" s="45" t="inlineStr">
        <is>
          <t>34076 (Gestion relation client) ; 34561 (Force vente) ; 34040 (Étude produit)</t>
        </is>
      </c>
      <c r="N3836" s="50" t="inlineStr">
        <is>
          <t>NON</t>
        </is>
      </c>
      <c r="O3836" s="45" t="inlineStr"/>
    </row>
    <row r="3837" customFormat="1" s="3">
      <c r="A3837" s="45" t="n"/>
      <c r="B3837" s="46" t="inlineStr">
        <is>
          <t>34052</t>
        </is>
      </c>
      <c r="C3837" s="46">
        <f>LEFT(Tableau1[[#This Row],[Formacode]],3)</f>
        <v/>
      </c>
      <c r="D3837" s="47" t="n">
        <v>38586</v>
      </c>
      <c r="E3837" s="48">
        <f>"RNCP"&amp;D3837</f>
        <v/>
      </c>
      <c r="F3837" s="48" t="inlineStr">
        <is>
          <t>Manager de la stratégie marketing</t>
        </is>
      </c>
      <c r="G3837" s="49">
        <f>E3837&amp;" - "&amp;F3837</f>
        <v/>
      </c>
      <c r="H3837" s="36" t="inlineStr">
        <is>
          <t>RAS</t>
        </is>
      </c>
      <c r="I3837" s="45" t="inlineStr"/>
      <c r="J3837" s="45" t="inlineStr">
        <is>
          <t>RNCP38586</t>
        </is>
      </c>
      <c r="K3837" s="45" t="inlineStr">
        <is>
          <t>Manager de la stratégie marketing</t>
        </is>
      </c>
      <c r="L3837" s="45" t="inlineStr">
        <is>
          <t>09/02/2027</t>
        </is>
      </c>
      <c r="M3837" s="45" t="inlineStr">
        <is>
          <t>34093 (Marketing digital) ; 34057 (Marketing stratégique) ; 46359 (Réseau social)</t>
        </is>
      </c>
      <c r="N3837" s="50" t="inlineStr">
        <is>
          <t>NON</t>
        </is>
      </c>
      <c r="O3837" s="45" t="inlineStr"/>
    </row>
    <row r="3838" customFormat="1" s="3">
      <c r="A3838" s="45" t="n"/>
      <c r="B3838" s="46" t="inlineStr">
        <is>
          <t>34052</t>
        </is>
      </c>
      <c r="C3838" s="46">
        <f>LEFT(Tableau1[[#This Row],[Formacode]],3)</f>
        <v/>
      </c>
      <c r="D3838" s="47" t="n">
        <v>38597</v>
      </c>
      <c r="E3838" s="48">
        <f>"RNCP"&amp;D3838</f>
        <v/>
      </c>
      <c r="F3838" s="48" t="inlineStr">
        <is>
          <t>Manager du marketing et de la stratégie de marque</t>
        </is>
      </c>
      <c r="G3838" s="49">
        <f>E3838&amp;" - "&amp;F3838</f>
        <v/>
      </c>
      <c r="H3838" s="36" t="inlineStr">
        <is>
          <t>RAS</t>
        </is>
      </c>
      <c r="I3838" s="45" t="inlineStr"/>
      <c r="J3838" s="45" t="inlineStr">
        <is>
          <t>RNCP38597</t>
        </is>
      </c>
      <c r="K3838" s="45" t="inlineStr">
        <is>
          <t>Manager du marketing et de la stratégie de marque</t>
        </is>
      </c>
      <c r="L3838" s="45" t="inlineStr">
        <is>
          <t>09/02/2027</t>
        </is>
      </c>
      <c r="M3838" s="45" t="inlineStr">
        <is>
          <t>34059 (Gestion marque) ; 34260 (Marketing international)</t>
        </is>
      </c>
      <c r="N3838" s="50" t="inlineStr">
        <is>
          <t>NON</t>
        </is>
      </c>
      <c r="O3838" s="45" t="inlineStr"/>
    </row>
    <row r="3839" customFormat="1" s="3">
      <c r="A3839" s="45" t="n"/>
      <c r="B3839" s="46" t="inlineStr">
        <is>
          <t>34052</t>
        </is>
      </c>
      <c r="C3839" s="46">
        <f>LEFT(Tableau1[[#This Row],[Formacode]],3)</f>
        <v/>
      </c>
      <c r="D3839" s="47" t="n">
        <v>38598</v>
      </c>
      <c r="E3839" s="48">
        <f>"RNCP"&amp;D3839</f>
        <v/>
      </c>
      <c r="F3839" s="48" t="inlineStr">
        <is>
          <t>Manager du marketing de l'expérience client</t>
        </is>
      </c>
      <c r="G3839" s="49">
        <f>E3839&amp;" - "&amp;F3839</f>
        <v/>
      </c>
      <c r="H3839" s="36" t="inlineStr">
        <is>
          <t>RAS</t>
        </is>
      </c>
      <c r="I3839" s="45" t="inlineStr"/>
      <c r="J3839" s="45" t="inlineStr">
        <is>
          <t>RNCP38598</t>
        </is>
      </c>
      <c r="K3839" s="45" t="inlineStr">
        <is>
          <t>Manager du marketing de l'expérience client</t>
        </is>
      </c>
      <c r="L3839" s="45" t="inlineStr">
        <is>
          <t>09/02/2027</t>
        </is>
      </c>
      <c r="M3839" s="45" t="inlineStr">
        <is>
          <t>34260 (Marketing international) ; 34057 (Marketing stratégique) ; 34076 (Gestion relation client)</t>
        </is>
      </c>
      <c r="N3839" s="50" t="inlineStr">
        <is>
          <t>NON</t>
        </is>
      </c>
      <c r="O3839" s="45" t="inlineStr"/>
    </row>
    <row r="3840" customFormat="1" s="3">
      <c r="A3840" s="45" t="n"/>
      <c r="B3840" s="46" t="inlineStr">
        <is>
          <t>34052</t>
        </is>
      </c>
      <c r="C3840" s="46">
        <f>LEFT(Tableau1[[#This Row],[Formacode]],3)</f>
        <v/>
      </c>
      <c r="D3840" s="47" t="n">
        <v>38605</v>
      </c>
      <c r="E3840" s="48">
        <f>"RNCP"&amp;D3840</f>
        <v/>
      </c>
      <c r="F3840" s="48" t="inlineStr">
        <is>
          <t>Responsable de projet marketing communication</t>
        </is>
      </c>
      <c r="G3840" s="49">
        <f>E3840&amp;" - "&amp;F3840</f>
        <v/>
      </c>
      <c r="H3840" s="36" t="inlineStr">
        <is>
          <t>RAS</t>
        </is>
      </c>
      <c r="I3840" s="45" t="inlineStr"/>
      <c r="J3840" s="45" t="inlineStr">
        <is>
          <t>RNCP38605</t>
        </is>
      </c>
      <c r="K3840" s="45" t="inlineStr">
        <is>
          <t>Responsable de projet marketing communication</t>
        </is>
      </c>
      <c r="L3840" s="45" t="inlineStr">
        <is>
          <t>09/02/2027</t>
        </is>
      </c>
      <c r="M3840" s="45" t="inlineStr">
        <is>
          <t>34093 (Marketing digital) ; 46301 (Communication entreprise)</t>
        </is>
      </c>
      <c r="N3840" s="50" t="inlineStr">
        <is>
          <t>NON</t>
        </is>
      </c>
      <c r="O3840" s="45" t="inlineStr"/>
    </row>
    <row r="3841" customFormat="1" s="3">
      <c r="A3841" s="45" t="n"/>
      <c r="B3841" s="46" t="inlineStr">
        <is>
          <t>34052</t>
        </is>
      </c>
      <c r="C3841" s="46">
        <f>LEFT(Tableau1[[#This Row],[Formacode]],3)</f>
        <v/>
      </c>
      <c r="D3841" s="47" t="n">
        <v>38808</v>
      </c>
      <c r="E3841" s="48">
        <f>"RNCP"&amp;D3841</f>
        <v/>
      </c>
      <c r="F3841" s="48" t="inlineStr">
        <is>
          <t>Responsable d'activité commerciale et marketing</t>
        </is>
      </c>
      <c r="G3841" s="49">
        <f>E3841&amp;" - "&amp;F3841</f>
        <v/>
      </c>
      <c r="H3841" s="36" t="inlineStr">
        <is>
          <t>RAS</t>
        </is>
      </c>
      <c r="I3841" s="45" t="inlineStr"/>
      <c r="J3841" s="45" t="inlineStr">
        <is>
          <t>RNCP38808</t>
        </is>
      </c>
      <c r="K3841" s="45" t="inlineStr">
        <is>
          <t>Responsable d'activité commerciale et marketing</t>
        </is>
      </c>
      <c r="L3841" s="45" t="inlineStr">
        <is>
          <t>27/03/2027</t>
        </is>
      </c>
      <c r="M3841" s="45" t="inlineStr">
        <is>
          <t>34053 (Marketing opérationnel) ; 34085 (Stratégie commerciale) ; 34582 (Négociation commerciale) ; 34566 (Vente distribution)</t>
        </is>
      </c>
      <c r="N3841" s="50" t="inlineStr">
        <is>
          <t>NON</t>
        </is>
      </c>
      <c r="O3841" s="45" t="inlineStr"/>
    </row>
    <row r="3842" customFormat="1" s="3">
      <c r="A3842" s="45" t="n"/>
      <c r="B3842" s="46" t="inlineStr">
        <is>
          <t>34052</t>
        </is>
      </c>
      <c r="C3842" s="46">
        <f>LEFT(Tableau1[[#This Row],[Formacode]],3)</f>
        <v/>
      </c>
      <c r="D3842" s="47" t="n">
        <v>38938</v>
      </c>
      <c r="E3842" s="48">
        <f>"RNCP"&amp;D3842</f>
        <v/>
      </c>
      <c r="F3842" s="48" t="inlineStr">
        <is>
          <t>Manager du marketing et de la relation client</t>
        </is>
      </c>
      <c r="G3842" s="49">
        <f>E3842&amp;" - "&amp;F3842</f>
        <v/>
      </c>
      <c r="H3842" s="36" t="inlineStr">
        <is>
          <t>RAS</t>
        </is>
      </c>
      <c r="I3842" s="45" t="inlineStr"/>
      <c r="J3842" s="45" t="inlineStr">
        <is>
          <t>RNCP38938</t>
        </is>
      </c>
      <c r="K3842" s="45" t="inlineStr">
        <is>
          <t>Manager du marketing et de la relation client</t>
        </is>
      </c>
      <c r="L3842" s="45" t="inlineStr">
        <is>
          <t>26/04/2027</t>
        </is>
      </c>
      <c r="M3842" s="45" t="inlineStr">
        <is>
          <t>34076 (Gestion relation client) ; 34093 (Marketing digital) ; 34053 (Marketing opérationnel) ; 34057 (Marketing stratégique) ; 34085 (Stratégie commerciale)</t>
        </is>
      </c>
      <c r="N3842" s="50" t="inlineStr">
        <is>
          <t>NON</t>
        </is>
      </c>
      <c r="O3842" s="45" t="inlineStr"/>
    </row>
    <row r="3843" customFormat="1" s="3">
      <c r="A3843" s="45" t="n"/>
      <c r="B3843" s="46" t="inlineStr">
        <is>
          <t>34052</t>
        </is>
      </c>
      <c r="C3843" s="46">
        <f>LEFT(Tableau1[[#This Row],[Formacode]],3)</f>
        <v/>
      </c>
      <c r="D3843" s="47" t="n">
        <v>39591</v>
      </c>
      <c r="E3843" s="48">
        <f>"RNCP"&amp;D3843</f>
        <v/>
      </c>
      <c r="F3843" s="48" t="inlineStr">
        <is>
          <t>Manager en data marketing</t>
        </is>
      </c>
      <c r="G3843" s="49">
        <f>E3843&amp;" - "&amp;F3843</f>
        <v/>
      </c>
      <c r="H3843" s="36" t="inlineStr">
        <is>
          <t>RAS</t>
        </is>
      </c>
      <c r="I3843" s="45" t="inlineStr"/>
      <c r="J3843" s="45" t="inlineStr">
        <is>
          <t>RNCP39591</t>
        </is>
      </c>
      <c r="K3843" s="45" t="inlineStr">
        <is>
          <t>Manager en data marketing</t>
        </is>
      </c>
      <c r="L3843" s="45" t="inlineStr">
        <is>
          <t>01/10/2027</t>
        </is>
      </c>
      <c r="M3843" s="45" t="inlineStr">
        <is>
          <t>31023 (Gestion données massives) ; 34093 (Marketing digital) ; 34057 (Marketing stratégique)</t>
        </is>
      </c>
      <c r="N3843" s="50" t="inlineStr">
        <is>
          <t>NON</t>
        </is>
      </c>
      <c r="O3843" s="45" t="inlineStr"/>
    </row>
    <row r="3844" customFormat="1" s="3">
      <c r="A3844" s="45" t="n"/>
      <c r="B3844" s="46" t="inlineStr">
        <is>
          <t>34052</t>
        </is>
      </c>
      <c r="C3844" s="46">
        <f>LEFT(Tableau1[[#This Row],[Formacode]],3)</f>
        <v/>
      </c>
      <c r="D3844" s="47" t="n">
        <v>39592</v>
      </c>
      <c r="E3844" s="48">
        <f>"RNCP"&amp;D3844</f>
        <v/>
      </c>
      <c r="F3844" s="48" t="inlineStr">
        <is>
          <t>Manager de la communication et du marketing digital</t>
        </is>
      </c>
      <c r="G3844" s="49">
        <f>E3844&amp;" - "&amp;F3844</f>
        <v/>
      </c>
      <c r="H3844" s="36" t="inlineStr">
        <is>
          <t>RAS</t>
        </is>
      </c>
      <c r="I3844" s="45" t="inlineStr"/>
      <c r="J3844" s="45" t="inlineStr">
        <is>
          <t>RNCP39592</t>
        </is>
      </c>
      <c r="K3844" s="45" t="inlineStr">
        <is>
          <t>Manager de la communication et du marketing digital</t>
        </is>
      </c>
      <c r="L3844" s="45" t="inlineStr">
        <is>
          <t>01/10/2027</t>
        </is>
      </c>
      <c r="M3844" s="45" t="inlineStr">
        <is>
          <t>34093 (Marketing digital) ; 34057 (Marketing stratégique) ; 46347 (Stratégie communication numérique)</t>
        </is>
      </c>
      <c r="N3844" s="50" t="inlineStr">
        <is>
          <t>NON</t>
        </is>
      </c>
      <c r="O3844" s="45" t="inlineStr"/>
    </row>
    <row r="3845" customFormat="1" s="3">
      <c r="A3845" s="45" t="n"/>
      <c r="B3845" s="46" t="inlineStr">
        <is>
          <t>34052</t>
        </is>
      </c>
      <c r="C3845" s="46">
        <f>LEFT(Tableau1[[#This Row],[Formacode]],3)</f>
        <v/>
      </c>
      <c r="D3845" s="47" t="n">
        <v>39953</v>
      </c>
      <c r="E3845" s="48">
        <f>"RNCP"&amp;D3845</f>
        <v/>
      </c>
      <c r="F3845" s="48" t="inlineStr">
        <is>
          <t>Manager marketing digital (MS)</t>
        </is>
      </c>
      <c r="G3845" s="49">
        <f>E3845&amp;" - "&amp;F3845</f>
        <v/>
      </c>
      <c r="H3845" s="36" t="inlineStr">
        <is>
          <t>RAS</t>
        </is>
      </c>
      <c r="I3845" s="45" t="inlineStr"/>
      <c r="J3845" s="45" t="inlineStr">
        <is>
          <t>RNCP39953</t>
        </is>
      </c>
      <c r="K3845" s="45" t="inlineStr">
        <is>
          <t>Manager marketing digital (MS)</t>
        </is>
      </c>
      <c r="L3845" s="45" t="inlineStr">
        <is>
          <t>18/12/2029</t>
        </is>
      </c>
      <c r="M3845" s="45" t="inlineStr">
        <is>
          <t>34093 (Marketing digital) ; 34260 (Marketing international) ; 34031 (Marketing mix) ; 34085 (Stratégie commerciale)</t>
        </is>
      </c>
      <c r="N3845" s="50" t="inlineStr">
        <is>
          <t>NON</t>
        </is>
      </c>
      <c r="O3845" s="45" t="inlineStr"/>
    </row>
    <row r="3846" customFormat="1" s="3">
      <c r="A3846" s="45" t="n"/>
      <c r="B3846" s="46" t="inlineStr">
        <is>
          <t>34052</t>
        </is>
      </c>
      <c r="C3846" s="46">
        <f>LEFT(Tableau1[[#This Row],[Formacode]],3)</f>
        <v/>
      </c>
      <c r="D3846" s="47" t="n">
        <v>40351</v>
      </c>
      <c r="E3846" s="48">
        <f>"RNCP"&amp;D3846</f>
        <v/>
      </c>
      <c r="F3846" s="48" t="inlineStr">
        <is>
          <t>Manager du marketing et du développement de produits de mode</t>
        </is>
      </c>
      <c r="G3846" s="49">
        <f>E3846&amp;" - "&amp;F3846</f>
        <v/>
      </c>
      <c r="H3846" s="36" t="inlineStr">
        <is>
          <t>RAS</t>
        </is>
      </c>
      <c r="I3846" s="45" t="inlineStr"/>
      <c r="J3846" s="45" t="inlineStr">
        <is>
          <t>RNCP40351</t>
        </is>
      </c>
      <c r="K3846" s="45" t="inlineStr">
        <is>
          <t>Manager du marketing et du développement de produits de mode</t>
        </is>
      </c>
      <c r="L3846" s="45" t="inlineStr">
        <is>
          <t>28/03/2030</t>
        </is>
      </c>
      <c r="M3846" s="45" t="inlineStr">
        <is>
          <t>45075 (Commerce art) ; 34030 (Chef produit) ; 34085 (Stratégie commerciale) ; 34060 (Étude marché)</t>
        </is>
      </c>
      <c r="N3846" s="50" t="inlineStr">
        <is>
          <t>NON</t>
        </is>
      </c>
      <c r="O3846" s="45" t="inlineStr"/>
    </row>
    <row r="3847" customFormat="1" s="3">
      <c r="A3847" s="45" t="n"/>
      <c r="B3847" s="46" t="inlineStr">
        <is>
          <t>34052</t>
        </is>
      </c>
      <c r="C3847" s="46">
        <f>LEFT(Tableau1[[#This Row],[Formacode]],3)</f>
        <v/>
      </c>
      <c r="D3847" s="47" t="n">
        <v>40360</v>
      </c>
      <c r="E3847" s="48">
        <f>"RNCP"&amp;D3847</f>
        <v/>
      </c>
      <c r="F3847" s="48" t="inlineStr">
        <is>
          <t>Manager marketing et communication</t>
        </is>
      </c>
      <c r="G3847" s="49">
        <f>E3847&amp;" - "&amp;F3847</f>
        <v/>
      </c>
      <c r="H3847" s="36" t="inlineStr">
        <is>
          <t>RAS</t>
        </is>
      </c>
      <c r="I3847" s="45" t="inlineStr"/>
      <c r="J3847" s="45" t="inlineStr">
        <is>
          <t>RNCP40360</t>
        </is>
      </c>
      <c r="K3847" s="45" t="inlineStr">
        <is>
          <t>Manager marketing et communication</t>
        </is>
      </c>
      <c r="L3847" s="45" t="inlineStr">
        <is>
          <t>28/03/2028</t>
        </is>
      </c>
      <c r="M3847" s="45" t="inlineStr">
        <is>
          <t>34052 (Marketing) ; 34085 (Stratégie commerciale) ; 32145 (Management transversal)</t>
        </is>
      </c>
      <c r="N3847" s="50" t="inlineStr">
        <is>
          <t>NON</t>
        </is>
      </c>
      <c r="O3847" s="45" t="inlineStr"/>
    </row>
    <row r="3848" customFormat="1" s="3">
      <c r="A3848" s="45" t="n"/>
      <c r="B3848" s="46" t="inlineStr">
        <is>
          <t>34052</t>
        </is>
      </c>
      <c r="C3848" s="46">
        <f>LEFT(Tableau1[[#This Row],[Formacode]],3)</f>
        <v/>
      </c>
      <c r="D3848" s="47" t="n">
        <v>40589</v>
      </c>
      <c r="E3848" s="48">
        <f>"RNCP"&amp;D3848</f>
        <v/>
      </c>
      <c r="F3848" s="48" t="inlineStr">
        <is>
          <t>Manager expert en transformation numérique</t>
        </is>
      </c>
      <c r="G3848" s="49">
        <f>E3848&amp;" - "&amp;F3848</f>
        <v/>
      </c>
      <c r="H3848" s="36" t="inlineStr">
        <is>
          <t>RAS</t>
        </is>
      </c>
      <c r="I3848" s="45" t="inlineStr"/>
      <c r="J3848" s="45" t="inlineStr">
        <is>
          <t>RNCP40589</t>
        </is>
      </c>
      <c r="K3848" s="45" t="inlineStr">
        <is>
          <t>Manager expert en transformation numérique</t>
        </is>
      </c>
      <c r="L3848" s="45" t="inlineStr">
        <is>
          <t>30/04/2030</t>
        </is>
      </c>
      <c r="M3848" s="45" t="inlineStr">
        <is>
          <t>32016 (Conduite changement technologique) ; 34093 (Marketing digital) ; 31025 (Analyse de données) ; 46347 (Stratégie communication numérique)</t>
        </is>
      </c>
      <c r="N3848" s="50" t="inlineStr">
        <is>
          <t>NON</t>
        </is>
      </c>
      <c r="O3848" s="45" t="inlineStr"/>
    </row>
    <row r="3849" customFormat="1" s="3">
      <c r="A3849" s="45" t="n"/>
      <c r="B3849" s="46" t="inlineStr">
        <is>
          <t>34052</t>
        </is>
      </c>
      <c r="C3849" s="46">
        <f>LEFT(Tableau1[[#This Row],[Formacode]],3)</f>
        <v/>
      </c>
      <c r="D3849" s="47" t="n">
        <v>40592</v>
      </c>
      <c r="E3849" s="48">
        <f>"RNCP"&amp;D3849</f>
        <v/>
      </c>
      <c r="F3849" s="48" t="inlineStr">
        <is>
          <t>Manager de la stratégie marketing</t>
        </is>
      </c>
      <c r="G3849" s="49">
        <f>E3849&amp;" - "&amp;F3849</f>
        <v/>
      </c>
      <c r="H3849" s="36" t="inlineStr">
        <is>
          <t>RAS</t>
        </is>
      </c>
      <c r="I3849" s="45" t="inlineStr"/>
      <c r="J3849" s="45" t="inlineStr">
        <is>
          <t>RNCP40592</t>
        </is>
      </c>
      <c r="K3849" s="45" t="inlineStr">
        <is>
          <t>Manager de la stratégie marketing</t>
        </is>
      </c>
      <c r="L3849" s="45" t="inlineStr">
        <is>
          <t>30/04/2030</t>
        </is>
      </c>
      <c r="M3849" s="45" t="inlineStr">
        <is>
          <t>34093 (Marketing digital) ; 34260 (Marketing international) ; 34057 (Marketing stratégique)</t>
        </is>
      </c>
      <c r="N3849" s="50" t="inlineStr">
        <is>
          <t>NON</t>
        </is>
      </c>
      <c r="O3849" s="45" t="inlineStr"/>
    </row>
    <row r="3850" ht="28.8" customFormat="1" customHeight="1" s="3">
      <c r="A3850" s="45" t="n"/>
      <c r="B3850" s="46" t="inlineStr">
        <is>
          <t>34052</t>
        </is>
      </c>
      <c r="C3850" s="46">
        <f>LEFT(Tableau1[[#This Row],[Formacode]],3)</f>
        <v/>
      </c>
      <c r="D3850" s="47" t="n">
        <v>40724</v>
      </c>
      <c r="E3850" s="48">
        <f>"RNCP"&amp;D3850</f>
        <v/>
      </c>
      <c r="F3850" s="48" t="inlineStr">
        <is>
          <t>DipViGrL - Diplôme d’enseignement supérieure en management des affaires internationales</t>
        </is>
      </c>
      <c r="G3850" s="49">
        <f>E3850&amp;" - "&amp;F3850</f>
        <v/>
      </c>
      <c r="H3850" s="36" t="inlineStr">
        <is>
          <t>RAS</t>
        </is>
      </c>
      <c r="I3850" s="45" t="inlineStr"/>
      <c r="J3850" s="45" t="inlineStr">
        <is>
          <t>RNCP40724</t>
        </is>
      </c>
      <c r="K3850" s="45" t="inlineStr">
        <is>
          <t>Diplôme d’enseignement supérieure en management des affaires internationales</t>
        </is>
      </c>
      <c r="L3850" s="45" t="inlineStr">
        <is>
          <t>31/08/2028</t>
        </is>
      </c>
      <c r="M3850" s="45" t="inlineStr">
        <is>
          <t>34254 (Commerce international) ; 34052 (Marketing) ; 34056 (Administration ventes) ; 32006 (Gestion entreprise internationale)</t>
        </is>
      </c>
      <c r="N3850" s="50" t="inlineStr">
        <is>
          <t>NON</t>
        </is>
      </c>
      <c r="O3850" s="45" t="inlineStr"/>
    </row>
    <row r="3851" customFormat="1" s="3">
      <c r="A3851" s="45" t="n"/>
      <c r="B3851" s="46" t="inlineStr">
        <is>
          <t>34052</t>
        </is>
      </c>
      <c r="C3851" s="46">
        <f>LEFT(Tableau1[[#This Row],[Formacode]],3)</f>
        <v/>
      </c>
      <c r="D3851" s="47" t="n">
        <v>40726</v>
      </c>
      <c r="E3851" s="48">
        <f>"RNCP"&amp;D3851</f>
        <v/>
      </c>
      <c r="F3851" s="48" t="inlineStr">
        <is>
          <t>DipViGrL - Diplôme d’enseignement supérieur en management</t>
        </is>
      </c>
      <c r="G3851" s="49">
        <f>E3851&amp;" - "&amp;F3851</f>
        <v/>
      </c>
      <c r="H3851" s="36" t="inlineStr">
        <is>
          <t>RAS</t>
        </is>
      </c>
      <c r="I3851" s="45" t="inlineStr"/>
      <c r="J3851" s="45" t="inlineStr">
        <is>
          <t>RNCP40726</t>
        </is>
      </c>
      <c r="K3851" s="45" t="inlineStr">
        <is>
          <t>Diplôme d’enseignement supérieur en management</t>
        </is>
      </c>
      <c r="L3851" s="45" t="inlineStr">
        <is>
          <t>31/08/2028</t>
        </is>
      </c>
      <c r="M3851" s="45" t="inlineStr">
        <is>
          <t>34054 (Gestion commerciale achats) ; 34554 (Commerce) ; 31834 (Logistique transport)</t>
        </is>
      </c>
      <c r="N3851" s="50" t="inlineStr">
        <is>
          <t>NON</t>
        </is>
      </c>
      <c r="O3851" s="45" t="inlineStr"/>
    </row>
    <row r="3852" customFormat="1" s="3">
      <c r="A3852" s="45" t="n"/>
      <c r="B3852" s="46" t="inlineStr">
        <is>
          <t>34052</t>
        </is>
      </c>
      <c r="C3852" s="46">
        <f>LEFT(Tableau1[[#This Row],[Formacode]],3)</f>
        <v/>
      </c>
      <c r="D3852" s="47" t="n">
        <v>40851</v>
      </c>
      <c r="E3852" s="48">
        <f>"RNCP"&amp;D3852</f>
        <v/>
      </c>
      <c r="F3852" s="48" t="inlineStr">
        <is>
          <t>Chef de projet webmarketing et e-commerce</t>
        </is>
      </c>
      <c r="G3852" s="49">
        <f>E3852&amp;" - "&amp;F3852</f>
        <v/>
      </c>
      <c r="H3852" s="36" t="inlineStr">
        <is>
          <t>RAS</t>
        </is>
      </c>
      <c r="I3852" s="45" t="inlineStr"/>
      <c r="J3852" s="45" t="inlineStr">
        <is>
          <t>RNCP40851</t>
        </is>
      </c>
      <c r="K3852" s="45" t="inlineStr">
        <is>
          <t>Chef de projet webmarketing et e-commerce</t>
        </is>
      </c>
      <c r="L3852" s="45" t="inlineStr">
        <is>
          <t>25/06/2028</t>
        </is>
      </c>
      <c r="M3852" s="45" t="inlineStr">
        <is>
          <t>34093 (Marketing digital) ; 46347 (Stratégie communication numérique) ; 34530 (E-commerce) ; 34053 (Marketing opérationnel)</t>
        </is>
      </c>
      <c r="N3852" s="50" t="inlineStr">
        <is>
          <t>NON</t>
        </is>
      </c>
      <c r="O3852" s="45" t="inlineStr"/>
    </row>
    <row r="3853" customFormat="1" s="3">
      <c r="A3853" s="45" t="n"/>
      <c r="B3853" s="46" t="inlineStr">
        <is>
          <t>34052</t>
        </is>
      </c>
      <c r="C3853" s="46">
        <f>LEFT(Tableau1[[#This Row],[Formacode]],3)</f>
        <v/>
      </c>
      <c r="D3853" s="47" t="n">
        <v>40860</v>
      </c>
      <c r="E3853" s="48">
        <f>"RNCP"&amp;D3853</f>
        <v/>
      </c>
      <c r="F3853" s="48" t="inlineStr">
        <is>
          <t>Manager marketing digital et communication</t>
        </is>
      </c>
      <c r="G3853" s="49">
        <f>E3853&amp;" - "&amp;F3853</f>
        <v/>
      </c>
      <c r="H3853" s="36" t="inlineStr">
        <is>
          <t>RAS</t>
        </is>
      </c>
      <c r="I3853" s="45" t="inlineStr"/>
      <c r="J3853" s="45" t="inlineStr">
        <is>
          <t>RNCP40860</t>
        </is>
      </c>
      <c r="K3853" s="45" t="inlineStr">
        <is>
          <t>Manager marketing digital et communication</t>
        </is>
      </c>
      <c r="L3853" s="45" t="inlineStr">
        <is>
          <t>25/06/2028</t>
        </is>
      </c>
      <c r="M3853" s="45" t="inlineStr">
        <is>
          <t>34093 (Marketing digital) ; 46347 (Stratégie communication numérique) ; 46301 (Communication entreprise) ; 34076 (Gestion relation client)</t>
        </is>
      </c>
      <c r="N3853" s="50" t="inlineStr">
        <is>
          <t>NON</t>
        </is>
      </c>
      <c r="O3853" s="45" t="inlineStr"/>
    </row>
    <row r="3854" customFormat="1" s="3">
      <c r="A3854" s="45" t="n"/>
      <c r="B3854" s="46" t="inlineStr">
        <is>
          <t>34052</t>
        </is>
      </c>
      <c r="C3854" s="46">
        <f>LEFT(Tableau1[[#This Row],[Formacode]],3)</f>
        <v/>
      </c>
      <c r="D3854" s="47" t="n">
        <v>40866</v>
      </c>
      <c r="E3854" s="48">
        <f>"RNCP"&amp;D3854</f>
        <v/>
      </c>
      <c r="F3854" s="48" t="inlineStr">
        <is>
          <t>Chargé de communication et du marketing</t>
        </is>
      </c>
      <c r="G3854" s="49">
        <f>E3854&amp;" - "&amp;F3854</f>
        <v/>
      </c>
      <c r="H3854" s="36" t="inlineStr">
        <is>
          <t>RAS</t>
        </is>
      </c>
      <c r="I3854" s="45" t="inlineStr"/>
      <c r="J3854" s="45" t="inlineStr">
        <is>
          <t>RNCP40866</t>
        </is>
      </c>
      <c r="K3854" s="45" t="inlineStr">
        <is>
          <t>Chargé de communication et du marketing</t>
        </is>
      </c>
      <c r="L3854" s="45" t="inlineStr">
        <is>
          <t>25/06/2027</t>
        </is>
      </c>
      <c r="M3854" s="45" t="inlineStr">
        <is>
          <t>46301 (Communication entreprise) ; 34093 (Marketing digital) ; 34031 (Marketing mix)</t>
        </is>
      </c>
      <c r="N3854" s="50" t="inlineStr">
        <is>
          <t>NON</t>
        </is>
      </c>
      <c r="O3854" s="45" t="inlineStr"/>
    </row>
    <row r="3855" customFormat="1" s="3">
      <c r="A3855" s="45" t="n"/>
      <c r="B3855" s="46" t="inlineStr">
        <is>
          <t>34052</t>
        </is>
      </c>
      <c r="C3855" s="46">
        <f>LEFT(Tableau1[[#This Row],[Formacode]],3)</f>
        <v/>
      </c>
      <c r="D3855" s="47" t="n">
        <v>40889</v>
      </c>
      <c r="E3855" s="48">
        <f>"RNCP"&amp;D3855</f>
        <v/>
      </c>
      <c r="F3855" s="48" t="inlineStr">
        <is>
          <t>Responsable du développement des activités</t>
        </is>
      </c>
      <c r="G3855" s="49">
        <f>E3855&amp;" - "&amp;F3855</f>
        <v/>
      </c>
      <c r="H3855" s="36" t="inlineStr">
        <is>
          <t>RAS</t>
        </is>
      </c>
      <c r="I3855" s="45" t="inlineStr"/>
      <c r="J3855" s="45" t="inlineStr">
        <is>
          <t>RNCP40889</t>
        </is>
      </c>
      <c r="K3855" s="45" t="inlineStr">
        <is>
          <t>Responsable du développement des activités</t>
        </is>
      </c>
      <c r="L3855" s="45" t="inlineStr">
        <is>
          <t>25/06/2027</t>
        </is>
      </c>
      <c r="M3855" s="45" t="inlineStr">
        <is>
          <t>34573 (Action commerciale) ; 34072 (Marketing direct) ; 34031 (Marketing mix) ; 34026 (Développement sens commercial) ; 12522 (Développement durable)</t>
        </is>
      </c>
      <c r="N3855" s="50" t="inlineStr">
        <is>
          <t>NON</t>
        </is>
      </c>
      <c r="O3855" s="45" t="inlineStr"/>
    </row>
    <row r="3856" customFormat="1" s="3">
      <c r="A3856" s="45" t="n"/>
      <c r="B3856" s="46" t="inlineStr">
        <is>
          <t>34052</t>
        </is>
      </c>
      <c r="C3856" s="46">
        <f>LEFT(Tableau1[[#This Row],[Formacode]],3)</f>
        <v/>
      </c>
      <c r="D3856" s="47" t="n">
        <v>40893</v>
      </c>
      <c r="E3856" s="48">
        <f>"RNCP"&amp;D3856</f>
        <v/>
      </c>
      <c r="F3856" s="48" t="inlineStr">
        <is>
          <t>Chef de projets marketing et communication</t>
        </is>
      </c>
      <c r="G3856" s="49">
        <f>E3856&amp;" - "&amp;F3856</f>
        <v/>
      </c>
      <c r="H3856" s="36" t="inlineStr">
        <is>
          <t>RAS</t>
        </is>
      </c>
      <c r="I3856" s="45" t="inlineStr"/>
      <c r="J3856" s="45" t="inlineStr">
        <is>
          <t>RNCP40893</t>
        </is>
      </c>
      <c r="K3856" s="45" t="inlineStr">
        <is>
          <t>Chef de projets marketing et communication</t>
        </is>
      </c>
      <c r="L3856" s="45" t="inlineStr">
        <is>
          <t>25/06/2028</t>
        </is>
      </c>
      <c r="M3856" s="45" t="inlineStr">
        <is>
          <t>34093 (Marketing digital) ; 46347 (Stratégie communication numérique) ; 46301 (Communication entreprise)</t>
        </is>
      </c>
      <c r="N3856" s="50" t="inlineStr">
        <is>
          <t>NON</t>
        </is>
      </c>
      <c r="O3856" s="45" t="inlineStr"/>
    </row>
    <row r="3857" customFormat="1" s="3">
      <c r="A3857" s="45" t="n"/>
      <c r="B3857" s="46" t="inlineStr">
        <is>
          <t>34052</t>
        </is>
      </c>
      <c r="C3857" s="46">
        <f>LEFT(Tableau1[[#This Row],[Formacode]],3)</f>
        <v/>
      </c>
      <c r="D3857" s="47" t="n">
        <v>41053</v>
      </c>
      <c r="E3857" s="48">
        <f>"RNCP"&amp;D3857</f>
        <v/>
      </c>
      <c r="F3857" s="48" t="inlineStr">
        <is>
          <t>DipViGrM - EM Normandie - Programme Grande Ecole</t>
        </is>
      </c>
      <c r="G3857" s="49">
        <f>E3857&amp;" - "&amp;F3857</f>
        <v/>
      </c>
      <c r="H3857" s="36" t="inlineStr">
        <is>
          <t>RAS</t>
        </is>
      </c>
      <c r="I3857" s="45" t="inlineStr"/>
      <c r="J3857" s="45" t="inlineStr">
        <is>
          <t>RNCP41053</t>
        </is>
      </c>
      <c r="K3857" s="45" t="inlineStr">
        <is>
          <t>EM Normandie - Programme Grande Ecole</t>
        </is>
      </c>
      <c r="L3857" s="45" t="inlineStr">
        <is>
          <t>31/08/2030</t>
        </is>
      </c>
      <c r="M3857" s="45" t="inlineStr">
        <is>
          <t>32025 (Stratégie entreprise) ; 32654 (Gestion financière comptabilité) ; 34052 (Marketing)</t>
        </is>
      </c>
      <c r="N3857" s="50" t="inlineStr">
        <is>
          <t>NON</t>
        </is>
      </c>
      <c r="O3857" s="45" t="inlineStr"/>
    </row>
    <row r="3858" customFormat="1" s="3">
      <c r="A3858" s="45" t="n"/>
      <c r="B3858" s="46" t="inlineStr">
        <is>
          <t>34052</t>
        </is>
      </c>
      <c r="C3858" s="46">
        <f>LEFT(Tableau1[[#This Row],[Formacode]],3)</f>
        <v/>
      </c>
      <c r="D3858" s="47" t="n">
        <v>41141</v>
      </c>
      <c r="E3858" s="48">
        <f>"RNCP"&amp;D3858</f>
        <v/>
      </c>
      <c r="F3858" s="48" t="inlineStr">
        <is>
          <t>Product manager</t>
        </is>
      </c>
      <c r="G3858" s="49">
        <f>E3858&amp;" - "&amp;F3858</f>
        <v/>
      </c>
      <c r="H3858" s="36" t="inlineStr">
        <is>
          <t>RAS</t>
        </is>
      </c>
      <c r="I3858" s="45" t="inlineStr"/>
      <c r="J3858" s="45" t="inlineStr">
        <is>
          <t>RNCP41141</t>
        </is>
      </c>
      <c r="K3858" s="45" t="inlineStr">
        <is>
          <t>Product manager</t>
        </is>
      </c>
      <c r="L3858" s="45" t="inlineStr">
        <is>
          <t>18/07/2028</t>
        </is>
      </c>
      <c r="M3858" s="45" t="inlineStr">
        <is>
          <t>34030 (Chef produit) ; 46339 (Conduite projet numérique) ; 31094 (Gestion projet informatique)</t>
        </is>
      </c>
      <c r="N3858" s="50" t="inlineStr">
        <is>
          <t>NON</t>
        </is>
      </c>
      <c r="O3858" s="45" t="inlineStr"/>
    </row>
    <row r="3859" customFormat="1" s="3">
      <c r="A3859" s="45" t="n"/>
      <c r="B3859" s="46" t="inlineStr">
        <is>
          <t>34052</t>
        </is>
      </c>
      <c r="C3859" s="46">
        <f>LEFT(Tableau1[[#This Row],[Formacode]],3)</f>
        <v/>
      </c>
      <c r="D3859" s="47" t="n">
        <v>41718</v>
      </c>
      <c r="E3859" s="48">
        <f>"RNCP"&amp;D3859</f>
        <v/>
      </c>
      <c r="F3859" s="48" t="inlineStr">
        <is>
          <t>Manager de la transformation digitale et technologique no code</t>
        </is>
      </c>
      <c r="G3859" s="49">
        <f>E3859&amp;" - "&amp;F3859</f>
        <v/>
      </c>
      <c r="H3859" s="36" t="inlineStr">
        <is>
          <t>RAS</t>
        </is>
      </c>
      <c r="I3859" s="45" t="inlineStr"/>
      <c r="J3859" s="45" t="inlineStr">
        <is>
          <t>RNCP41718</t>
        </is>
      </c>
      <c r="K3859" s="45" t="inlineStr">
        <is>
          <t>Manager de la transformation digitale et technologique no code</t>
        </is>
      </c>
      <c r="L3859" s="45" t="inlineStr">
        <is>
          <t>27/11/2028</t>
        </is>
      </c>
      <c r="M3859" s="45" t="inlineStr">
        <is>
          <t>31094 (Gestion projet informatique) ; 34093 (Marketing digital) ; 34530 (E-commerce) ; 46347 (Stratégie communication numérique)</t>
        </is>
      </c>
      <c r="N3859" s="50" t="inlineStr">
        <is>
          <t>NON</t>
        </is>
      </c>
      <c r="O3859" s="45" t="inlineStr"/>
    </row>
    <row r="3860" customFormat="1" s="3">
      <c r="A3860" s="45" t="n"/>
      <c r="B3860" s="46" t="inlineStr">
        <is>
          <t>34052</t>
        </is>
      </c>
      <c r="C3860" s="46">
        <f>LEFT(Tableau1[[#This Row],[Formacode]],3)</f>
        <v/>
      </c>
      <c r="D3860" s="47" t="n">
        <v>41802</v>
      </c>
      <c r="E3860" s="48">
        <f>"RNCP"&amp;D3860</f>
        <v/>
      </c>
      <c r="F3860" s="48" t="inlineStr">
        <is>
          <t>Chargé de marketing et de communication digitale</t>
        </is>
      </c>
      <c r="G3860" s="49">
        <f>E3860&amp;" - "&amp;F3860</f>
        <v/>
      </c>
      <c r="H3860" s="36" t="inlineStr">
        <is>
          <t>RAS</t>
        </is>
      </c>
      <c r="I3860" s="45" t="inlineStr"/>
      <c r="J3860" s="45" t="inlineStr">
        <is>
          <t>RNCP41802</t>
        </is>
      </c>
      <c r="K3860" s="45" t="inlineStr">
        <is>
          <t>Chargé de marketing et de communication digitale</t>
        </is>
      </c>
      <c r="L3860" s="45" t="inlineStr">
        <is>
          <t>18/12/2028</t>
        </is>
      </c>
      <c r="M3860" s="45" t="inlineStr">
        <is>
          <t>34093 (Marketing digital) ; 46301 (Communication entreprise) ; 46339 (Conduite projet numérique) ; 46333 (Gestion contenu site web) ; 46347 (Stratégie communication numérique)</t>
        </is>
      </c>
      <c r="N3860" s="50" t="inlineStr">
        <is>
          <t>NON</t>
        </is>
      </c>
      <c r="O3860" s="45" t="inlineStr"/>
    </row>
    <row r="3861" customFormat="1" s="3">
      <c r="A3861" s="45" t="n"/>
      <c r="B3861" s="46" t="inlineStr">
        <is>
          <t>34052</t>
        </is>
      </c>
      <c r="C3861" s="46">
        <f>LEFT(Tableau1[[#This Row],[Formacode]],3)</f>
        <v/>
      </c>
      <c r="D3861" s="47" t="n">
        <v>41809</v>
      </c>
      <c r="E3861" s="48">
        <f>"RNCP"&amp;D3861</f>
        <v/>
      </c>
      <c r="F3861" s="48" t="inlineStr">
        <is>
          <t>Manager de la stratégie marketing digital</t>
        </is>
      </c>
      <c r="G3861" s="49">
        <f>E3861&amp;" - "&amp;F3861</f>
        <v/>
      </c>
      <c r="H3861" s="36" t="inlineStr">
        <is>
          <t>RAS</t>
        </is>
      </c>
      <c r="I3861" s="45" t="inlineStr"/>
      <c r="J3861" s="45" t="inlineStr">
        <is>
          <t>RNCP41809</t>
        </is>
      </c>
      <c r="K3861" s="45" t="inlineStr">
        <is>
          <t>Manager de la stratégie marketing digital</t>
        </is>
      </c>
      <c r="L3861" s="45" t="inlineStr">
        <is>
          <t>18/12/2028</t>
        </is>
      </c>
      <c r="M3861" s="45" t="inlineStr">
        <is>
          <t>46301 (Communication entreprise) ; 15004 (Communication professionnelle) ; 32154 (Encadrement management) ; 34052 (Marketing)</t>
        </is>
      </c>
      <c r="N3861" s="50" t="inlineStr">
        <is>
          <t>NON</t>
        </is>
      </c>
      <c r="O3861" s="45" t="inlineStr"/>
    </row>
    <row r="3862" customFormat="1" s="3">
      <c r="A3862" s="45" t="n"/>
      <c r="B3862" s="46" t="inlineStr">
        <is>
          <t>34056</t>
        </is>
      </c>
      <c r="C3862" s="46">
        <f>LEFT(Tableau1[[#This Row],[Formacode]],3)</f>
        <v/>
      </c>
      <c r="D3862" s="47" t="n">
        <v>37655</v>
      </c>
      <c r="E3862" s="48">
        <f>"RNCP"&amp;D3862</f>
        <v/>
      </c>
      <c r="F3862" s="48" t="inlineStr">
        <is>
          <t>Responsable en gestion et développement d’une business unit</t>
        </is>
      </c>
      <c r="G3862" s="49">
        <f>E3862&amp;" - "&amp;F3862</f>
        <v/>
      </c>
      <c r="H3862" s="36" t="inlineStr">
        <is>
          <t>RAS</t>
        </is>
      </c>
      <c r="I3862" s="45" t="inlineStr"/>
      <c r="J3862" s="45" t="inlineStr">
        <is>
          <t>RNCP37655</t>
        </is>
      </c>
      <c r="K3862" s="45" t="inlineStr">
        <is>
          <t>Responsable en gestion et développement d’une business unit</t>
        </is>
      </c>
      <c r="L3862" s="45" t="inlineStr">
        <is>
          <t>31/05/2028</t>
        </is>
      </c>
      <c r="M3862" s="45" t="inlineStr">
        <is>
          <t>32025 (Stratégie entreprise) ; 32154 (Encadrement management) ; 34054 (Gestion commerciale achats)</t>
        </is>
      </c>
      <c r="N3862" s="50" t="inlineStr">
        <is>
          <t>NON</t>
        </is>
      </c>
      <c r="O3862" s="45" t="inlineStr"/>
    </row>
    <row r="3863" customFormat="1" s="3">
      <c r="A3863" s="45" t="n"/>
      <c r="B3863" s="46" t="inlineStr">
        <is>
          <t>34056</t>
        </is>
      </c>
      <c r="C3863" s="46">
        <f>LEFT(Tableau1[[#This Row],[Formacode]],3)</f>
        <v/>
      </c>
      <c r="D3863" s="47" t="n">
        <v>37683</v>
      </c>
      <c r="E3863" s="48">
        <f>"RNCP"&amp;D3863</f>
        <v/>
      </c>
      <c r="F3863" s="48" t="inlineStr">
        <is>
          <t>DipViGrM - Programme grande école</t>
        </is>
      </c>
      <c r="G3863" s="49">
        <f>E3863&amp;" - "&amp;F3863</f>
        <v/>
      </c>
      <c r="H3863" s="36" t="inlineStr">
        <is>
          <t>RAS</t>
        </is>
      </c>
      <c r="I3863" s="45" t="inlineStr"/>
      <c r="J3863" s="45" t="inlineStr">
        <is>
          <t>RNCP37683</t>
        </is>
      </c>
      <c r="K3863" s="45" t="inlineStr">
        <is>
          <t>Programme grande école</t>
        </is>
      </c>
      <c r="L3863" s="45" t="inlineStr">
        <is>
          <t>31/08/2028</t>
        </is>
      </c>
      <c r="M3863" s="45" t="inlineStr">
        <is>
          <t>32654 (Gestion financière comptabilité) ; 32145 (Management transversal) ; 34054 (Gestion commerciale achats) ; 32006 (Gestion entreprise internationale)</t>
        </is>
      </c>
      <c r="N3863" s="50" t="inlineStr">
        <is>
          <t>NON</t>
        </is>
      </c>
      <c r="O3863" s="45" t="inlineStr"/>
    </row>
    <row r="3864" customFormat="1" s="3">
      <c r="A3864" s="51" t="n"/>
      <c r="B3864" s="52" t="inlineStr">
        <is>
          <t>34056</t>
        </is>
      </c>
      <c r="C3864" s="52">
        <f>LEFT(Tableau1[[#This Row],[Formacode]],3)</f>
        <v/>
      </c>
      <c r="D3864" s="53" t="n">
        <v>37988</v>
      </c>
      <c r="E3864" s="54">
        <f>"RNCP"&amp;D3864</f>
        <v/>
      </c>
      <c r="F3864" s="54" t="inlineStr">
        <is>
          <t>Diplôme visé - Diplôme supérieur en marketing, vente et gestion</t>
        </is>
      </c>
      <c r="G3864" s="55">
        <f>E3864&amp;" - "&amp;F3864</f>
        <v/>
      </c>
      <c r="H3864" s="37" t="inlineStr">
        <is>
          <t>À vérifier</t>
        </is>
      </c>
      <c r="I3864" s="51" t="inlineStr">
        <is>
          <t>Successeur déjà publié : RNCP42254 (Diplôme supérieur en marketing, vente et gestion) — préparer la bascule de l'offre CPF | Échéance le 31/08/2026 (dans 44 j)</t>
        </is>
      </c>
      <c r="J3864" s="51" t="inlineStr">
        <is>
          <t>RNCP42254</t>
        </is>
      </c>
      <c r="K3864" s="51" t="inlineStr">
        <is>
          <t>Diplôme supérieur en marketing, vente et gestion</t>
        </is>
      </c>
      <c r="L3864" s="51" t="inlineStr">
        <is>
          <t>31/08/2026</t>
        </is>
      </c>
      <c r="M3864" s="51" t="inlineStr">
        <is>
          <t>34085 (Stratégie commerciale) ; 34052 (Marketing) ; 32154 (Encadrement management) ; 32054 (Gestion des organisations)</t>
        </is>
      </c>
      <c r="N3864" s="62" t="inlineStr">
        <is>
          <t>NON</t>
        </is>
      </c>
      <c r="O3864" s="51" t="inlineStr"/>
    </row>
    <row r="3865" customFormat="1" s="3">
      <c r="A3865" s="45" t="n"/>
      <c r="B3865" s="46" t="inlineStr">
        <is>
          <t>34056</t>
        </is>
      </c>
      <c r="C3865" s="46">
        <f>LEFT(Tableau1[[#This Row],[Formacode]],3)</f>
        <v/>
      </c>
      <c r="D3865" s="47" t="n">
        <v>38362</v>
      </c>
      <c r="E3865" s="48">
        <f>"RNCP"&amp;D3865</f>
        <v/>
      </c>
      <c r="F3865" s="48" t="inlineStr">
        <is>
          <t>BTS - Management commercial opérationnel</t>
        </is>
      </c>
      <c r="G3865" s="49">
        <f>E3865&amp;" - "&amp;F3865</f>
        <v/>
      </c>
      <c r="H3865" s="36" t="inlineStr">
        <is>
          <t>RAS</t>
        </is>
      </c>
      <c r="I3865" s="45" t="inlineStr"/>
      <c r="J3865" s="45" t="inlineStr">
        <is>
          <t>RNCP38362</t>
        </is>
      </c>
      <c r="K3865" s="45" t="inlineStr">
        <is>
          <t>Management commercial opérationnel</t>
        </is>
      </c>
      <c r="L3865" s="45" t="inlineStr">
        <is>
          <t>31/12/2028</t>
        </is>
      </c>
      <c r="M3865" s="45" t="inlineStr">
        <is>
          <t>34054 (Gestion commerciale achats) ; 32154 (Encadrement management)</t>
        </is>
      </c>
      <c r="N3865" s="50" t="inlineStr">
        <is>
          <t>NON</t>
        </is>
      </c>
      <c r="O3865" s="45" t="inlineStr"/>
    </row>
    <row r="3866" ht="28.8" customFormat="1" customHeight="1" s="3">
      <c r="A3866" s="45" t="n"/>
      <c r="B3866" s="46" t="inlineStr">
        <is>
          <t>34056</t>
        </is>
      </c>
      <c r="C3866" s="46">
        <f>LEFT(Tableau1[[#This Row],[Formacode]],3)</f>
        <v/>
      </c>
      <c r="D3866" s="47" t="n">
        <v>40724</v>
      </c>
      <c r="E3866" s="48">
        <f>"RNCP"&amp;D3866</f>
        <v/>
      </c>
      <c r="F3866" s="48" t="inlineStr">
        <is>
          <t>DipViGrL - Diplôme d’enseignement supérieure en management des affaires internationales</t>
        </is>
      </c>
      <c r="G3866" s="49">
        <f>E3866&amp;" - "&amp;F3866</f>
        <v/>
      </c>
      <c r="H3866" s="36" t="inlineStr">
        <is>
          <t>RAS</t>
        </is>
      </c>
      <c r="I3866" s="45" t="inlineStr"/>
      <c r="J3866" s="45" t="inlineStr">
        <is>
          <t>RNCP40724</t>
        </is>
      </c>
      <c r="K3866" s="45" t="inlineStr">
        <is>
          <t>Diplôme d’enseignement supérieure en management des affaires internationales</t>
        </is>
      </c>
      <c r="L3866" s="45" t="inlineStr">
        <is>
          <t>31/08/2028</t>
        </is>
      </c>
      <c r="M3866" s="45" t="inlineStr">
        <is>
          <t>34254 (Commerce international) ; 34052 (Marketing) ; 34056 (Administration ventes) ; 32006 (Gestion entreprise internationale)</t>
        </is>
      </c>
      <c r="N3866" s="50" t="inlineStr">
        <is>
          <t>NON</t>
        </is>
      </c>
      <c r="O3866" s="45" t="inlineStr"/>
    </row>
    <row r="3867" customFormat="1" s="3">
      <c r="A3867" s="45" t="n"/>
      <c r="B3867" s="46" t="inlineStr">
        <is>
          <t>34056</t>
        </is>
      </c>
      <c r="C3867" s="46">
        <f>LEFT(Tableau1[[#This Row],[Formacode]],3)</f>
        <v/>
      </c>
      <c r="D3867" s="47" t="n">
        <v>40726</v>
      </c>
      <c r="E3867" s="48">
        <f>"RNCP"&amp;D3867</f>
        <v/>
      </c>
      <c r="F3867" s="48" t="inlineStr">
        <is>
          <t>DipViGrL - Diplôme d’enseignement supérieur en management</t>
        </is>
      </c>
      <c r="G3867" s="49">
        <f>E3867&amp;" - "&amp;F3867</f>
        <v/>
      </c>
      <c r="H3867" s="36" t="inlineStr">
        <is>
          <t>RAS</t>
        </is>
      </c>
      <c r="I3867" s="45" t="inlineStr"/>
      <c r="J3867" s="45" t="inlineStr">
        <is>
          <t>RNCP40726</t>
        </is>
      </c>
      <c r="K3867" s="45" t="inlineStr">
        <is>
          <t>Diplôme d’enseignement supérieur en management</t>
        </is>
      </c>
      <c r="L3867" s="45" t="inlineStr">
        <is>
          <t>31/08/2028</t>
        </is>
      </c>
      <c r="M3867" s="45" t="inlineStr">
        <is>
          <t>34054 (Gestion commerciale achats) ; 34554 (Commerce) ; 31834 (Logistique transport)</t>
        </is>
      </c>
      <c r="N3867" s="50" t="inlineStr">
        <is>
          <t>NON</t>
        </is>
      </c>
      <c r="O3867" s="45" t="inlineStr"/>
    </row>
    <row r="3868" customFormat="1" s="3">
      <c r="A3868" s="45" t="n"/>
      <c r="B3868" s="46" t="inlineStr">
        <is>
          <t>34056</t>
        </is>
      </c>
      <c r="C3868" s="46">
        <f>LEFT(Tableau1[[#This Row],[Formacode]],3)</f>
        <v/>
      </c>
      <c r="D3868" s="47" t="n">
        <v>40994</v>
      </c>
      <c r="E3868" s="48">
        <f>"RNCP"&amp;D3868</f>
        <v/>
      </c>
      <c r="F3868" s="48" t="inlineStr">
        <is>
          <t>CAP - Equipier polyvalent du commerce</t>
        </is>
      </c>
      <c r="G3868" s="49">
        <f>E3868&amp;" - "&amp;F3868</f>
        <v/>
      </c>
      <c r="H3868" s="36" t="inlineStr">
        <is>
          <t>RAS</t>
        </is>
      </c>
      <c r="I3868" s="45" t="inlineStr"/>
      <c r="J3868" s="45" t="inlineStr">
        <is>
          <t>RNCP40994</t>
        </is>
      </c>
      <c r="K3868" s="45" t="inlineStr">
        <is>
          <t>Equipier polyvalent du commerce</t>
        </is>
      </c>
      <c r="L3868" s="45" t="inlineStr">
        <is>
          <t>31/08/2030</t>
        </is>
      </c>
      <c r="M3868" s="45" t="inlineStr">
        <is>
          <t>34566 (Vente distribution) ; 34056 (Administration ventes)</t>
        </is>
      </c>
      <c r="N3868" s="50" t="inlineStr">
        <is>
          <t>NON</t>
        </is>
      </c>
      <c r="O3868" s="45" t="inlineStr"/>
    </row>
    <row r="3869" customFormat="1" s="3">
      <c r="A3869" s="45" t="n"/>
      <c r="B3869" s="46" t="inlineStr">
        <is>
          <t>34056</t>
        </is>
      </c>
      <c r="C3869" s="46">
        <f>LEFT(Tableau1[[#This Row],[Formacode]],3)</f>
        <v/>
      </c>
      <c r="D3869" s="47" t="n">
        <v>41060</v>
      </c>
      <c r="E3869" s="48">
        <f>"RNCP"&amp;D3869</f>
        <v/>
      </c>
      <c r="F3869" s="48" t="inlineStr">
        <is>
          <t>DIPLOVIS - Responsable du marketing et du développement commercial</t>
        </is>
      </c>
      <c r="G3869" s="49">
        <f>E3869&amp;" - "&amp;F3869</f>
        <v/>
      </c>
      <c r="H3869" s="36" t="inlineStr">
        <is>
          <t>RAS</t>
        </is>
      </c>
      <c r="I3869" s="45" t="inlineStr"/>
      <c r="J3869" s="45" t="inlineStr">
        <is>
          <t>RNCP41060</t>
        </is>
      </c>
      <c r="K3869" s="45" t="inlineStr">
        <is>
          <t>Responsable du marketing et du développement commercial</t>
        </is>
      </c>
      <c r="L3869" s="45" t="inlineStr">
        <is>
          <t>31/08/2030</t>
        </is>
      </c>
      <c r="M3869" s="45" t="inlineStr">
        <is>
          <t>34056 (Administration ventes)</t>
        </is>
      </c>
      <c r="N3869" s="50" t="inlineStr">
        <is>
          <t>NON</t>
        </is>
      </c>
      <c r="O3869" s="45" t="inlineStr"/>
    </row>
    <row r="3870" customFormat="1" s="3">
      <c r="A3870" s="45" t="n"/>
      <c r="B3870" s="46" t="inlineStr">
        <is>
          <t>34056</t>
        </is>
      </c>
      <c r="C3870" s="46">
        <f>LEFT(Tableau1[[#This Row],[Formacode]],3)</f>
        <v/>
      </c>
      <c r="D3870" s="47" t="n">
        <v>41717</v>
      </c>
      <c r="E3870" s="48">
        <f>"RNCP"&amp;D3870</f>
        <v/>
      </c>
      <c r="F3870" s="48" t="inlineStr">
        <is>
          <t>Chargé de clientèle et fidélisation</t>
        </is>
      </c>
      <c r="G3870" s="49">
        <f>E3870&amp;" - "&amp;F3870</f>
        <v/>
      </c>
      <c r="H3870" s="36" t="inlineStr">
        <is>
          <t>RAS</t>
        </is>
      </c>
      <c r="I3870" s="45" t="inlineStr"/>
      <c r="J3870" s="45" t="inlineStr">
        <is>
          <t>RNCP41717</t>
        </is>
      </c>
      <c r="K3870" s="45" t="inlineStr">
        <is>
          <t>Chargé de clientèle et fidélisation</t>
        </is>
      </c>
      <c r="L3870" s="45" t="inlineStr">
        <is>
          <t>27/11/2028</t>
        </is>
      </c>
      <c r="M3870" s="45" t="inlineStr">
        <is>
          <t>34076 (Gestion relation client) ; 34592 (Entretien vente) ; 34056 (Administration ventes)</t>
        </is>
      </c>
      <c r="N3870" s="50" t="inlineStr">
        <is>
          <t>NON</t>
        </is>
      </c>
      <c r="O3870" s="45" t="inlineStr"/>
    </row>
    <row r="3871" customFormat="1" s="3">
      <c r="A3871" s="45" t="n"/>
      <c r="B3871" s="46" t="inlineStr">
        <is>
          <t>34074</t>
        </is>
      </c>
      <c r="C3871" s="46">
        <f>LEFT(Tableau1[[#This Row],[Formacode]],3)</f>
        <v/>
      </c>
      <c r="D3871" s="47" t="n">
        <v>36991</v>
      </c>
      <c r="E3871" s="48">
        <f>"RNCP"&amp;D3871</f>
        <v/>
      </c>
      <c r="F3871" s="48" t="inlineStr">
        <is>
          <t>Manager de la communication</t>
        </is>
      </c>
      <c r="G3871" s="49">
        <f>E3871&amp;" - "&amp;F3871</f>
        <v/>
      </c>
      <c r="H3871" s="36" t="inlineStr">
        <is>
          <t>RAS</t>
        </is>
      </c>
      <c r="I3871" s="45" t="inlineStr"/>
      <c r="J3871" s="45" t="inlineStr">
        <is>
          <t>RNCP36991</t>
        </is>
      </c>
      <c r="K3871" s="45" t="inlineStr">
        <is>
          <t>Manager de la communication</t>
        </is>
      </c>
      <c r="L3871" s="45" t="inlineStr">
        <is>
          <t>24/10/2027</t>
        </is>
      </c>
      <c r="M3871" s="45" t="inlineStr">
        <is>
          <t>46330 (E-réputation) ; 34260 (Marketing international) ; 34074 (Publicité) ; 32025 (Stratégie entreprise) ; 46341 (Communication externe)</t>
        </is>
      </c>
      <c r="N3871" s="50" t="inlineStr">
        <is>
          <t>NON</t>
        </is>
      </c>
      <c r="O3871" s="45" t="inlineStr"/>
    </row>
    <row r="3872" customFormat="1" s="3">
      <c r="A3872" s="45" t="n"/>
      <c r="B3872" s="46" t="inlineStr">
        <is>
          <t>34074</t>
        </is>
      </c>
      <c r="C3872" s="46">
        <f>LEFT(Tableau1[[#This Row],[Formacode]],3)</f>
        <v/>
      </c>
      <c r="D3872" s="47" t="n">
        <v>37198</v>
      </c>
      <c r="E3872" s="48">
        <f>"RNCP"&amp;D3872</f>
        <v/>
      </c>
      <c r="F3872" s="48" t="inlineStr">
        <is>
          <t>Brevet de technicien supérieur - Communication</t>
        </is>
      </c>
      <c r="G3872" s="49">
        <f>E3872&amp;" - "&amp;F3872</f>
        <v/>
      </c>
      <c r="H3872" s="36" t="inlineStr">
        <is>
          <t>RAS</t>
        </is>
      </c>
      <c r="I3872" s="45" t="inlineStr"/>
      <c r="J3872" s="45" t="inlineStr">
        <is>
          <t>RNCP37198</t>
        </is>
      </c>
      <c r="K3872" s="45" t="inlineStr">
        <is>
          <t>Communication</t>
        </is>
      </c>
      <c r="L3872" s="45" t="inlineStr">
        <is>
          <t>31/08/2028</t>
        </is>
      </c>
      <c r="M3872" s="45" t="inlineStr">
        <is>
          <t>46301 (Communication entreprise) ; 34074 (Publicité)</t>
        </is>
      </c>
      <c r="N3872" s="50" t="inlineStr">
        <is>
          <t>NON</t>
        </is>
      </c>
      <c r="O3872" s="45" t="inlineStr"/>
    </row>
    <row r="3873" customFormat="1" s="3">
      <c r="A3873" s="45" t="n"/>
      <c r="B3873" s="46" t="inlineStr">
        <is>
          <t>34074</t>
        </is>
      </c>
      <c r="C3873" s="46">
        <f>LEFT(Tableau1[[#This Row],[Formacode]],3)</f>
        <v/>
      </c>
      <c r="D3873" s="47" t="n">
        <v>37655</v>
      </c>
      <c r="E3873" s="48">
        <f>"RNCP"&amp;D3873</f>
        <v/>
      </c>
      <c r="F3873" s="48" t="inlineStr">
        <is>
          <t>Responsable en gestion et développement d’une business unit</t>
        </is>
      </c>
      <c r="G3873" s="49">
        <f>E3873&amp;" - "&amp;F3873</f>
        <v/>
      </c>
      <c r="H3873" s="36" t="inlineStr">
        <is>
          <t>RAS</t>
        </is>
      </c>
      <c r="I3873" s="45" t="inlineStr"/>
      <c r="J3873" s="45" t="inlineStr">
        <is>
          <t>RNCP37655</t>
        </is>
      </c>
      <c r="K3873" s="45" t="inlineStr">
        <is>
          <t>Responsable en gestion et développement d’une business unit</t>
        </is>
      </c>
      <c r="L3873" s="45" t="inlineStr">
        <is>
          <t>31/05/2028</t>
        </is>
      </c>
      <c r="M3873" s="45" t="inlineStr">
        <is>
          <t>32025 (Stratégie entreprise) ; 32154 (Encadrement management) ; 34054 (Gestion commerciale achats)</t>
        </is>
      </c>
      <c r="N3873" s="50" t="inlineStr">
        <is>
          <t>NON</t>
        </is>
      </c>
      <c r="O3873" s="45" t="inlineStr"/>
    </row>
    <row r="3874" customFormat="1" s="3">
      <c r="A3874" s="45" t="n"/>
      <c r="B3874" s="46" t="inlineStr">
        <is>
          <t>34074</t>
        </is>
      </c>
      <c r="C3874" s="46">
        <f>LEFT(Tableau1[[#This Row],[Formacode]],3)</f>
        <v/>
      </c>
      <c r="D3874" s="47" t="n">
        <v>37662</v>
      </c>
      <c r="E3874" s="48">
        <f>"RNCP"&amp;D3874</f>
        <v/>
      </c>
      <c r="F3874" s="48" t="inlineStr">
        <is>
          <t>Directeur artistique multimédia</t>
        </is>
      </c>
      <c r="G3874" s="49">
        <f>E3874&amp;" - "&amp;F3874</f>
        <v/>
      </c>
      <c r="H3874" s="36" t="inlineStr">
        <is>
          <t>RAS</t>
        </is>
      </c>
      <c r="I3874" s="45" t="inlineStr"/>
      <c r="J3874" s="45" t="inlineStr">
        <is>
          <t>RNCP37662</t>
        </is>
      </c>
      <c r="K3874" s="45" t="inlineStr">
        <is>
          <t>Directeur artistique multimédia</t>
        </is>
      </c>
      <c r="L3874" s="45" t="inlineStr">
        <is>
          <t>31/05/2028</t>
        </is>
      </c>
      <c r="M3874" s="45" t="inlineStr">
        <is>
          <t>34074 (Publicité) ; 46301 (Communication entreprise) ; 46354 (Information - Communication numérique) ; 46347 (Stratégie communication numérique)</t>
        </is>
      </c>
      <c r="N3874" s="50" t="inlineStr">
        <is>
          <t>NON</t>
        </is>
      </c>
      <c r="O3874" s="45" t="inlineStr"/>
    </row>
    <row r="3875" customFormat="1" s="3">
      <c r="A3875" s="45" t="n"/>
      <c r="B3875" s="46" t="inlineStr">
        <is>
          <t>34074</t>
        </is>
      </c>
      <c r="C3875" s="46">
        <f>LEFT(Tableau1[[#This Row],[Formacode]],3)</f>
        <v/>
      </c>
      <c r="D3875" s="47" t="n">
        <v>37683</v>
      </c>
      <c r="E3875" s="48">
        <f>"RNCP"&amp;D3875</f>
        <v/>
      </c>
      <c r="F3875" s="48" t="inlineStr">
        <is>
          <t>DipViGrM - Programme grande école</t>
        </is>
      </c>
      <c r="G3875" s="49">
        <f>E3875&amp;" - "&amp;F3875</f>
        <v/>
      </c>
      <c r="H3875" s="36" t="inlineStr">
        <is>
          <t>RAS</t>
        </is>
      </c>
      <c r="I3875" s="45" t="inlineStr"/>
      <c r="J3875" s="45" t="inlineStr">
        <is>
          <t>RNCP37683</t>
        </is>
      </c>
      <c r="K3875" s="45" t="inlineStr">
        <is>
          <t>Programme grande école</t>
        </is>
      </c>
      <c r="L3875" s="45" t="inlineStr">
        <is>
          <t>31/08/2028</t>
        </is>
      </c>
      <c r="M3875" s="45" t="inlineStr">
        <is>
          <t>32654 (Gestion financière comptabilité) ; 32145 (Management transversal) ; 34054 (Gestion commerciale achats) ; 32006 (Gestion entreprise internationale)</t>
        </is>
      </c>
      <c r="N3875" s="50" t="inlineStr">
        <is>
          <t>NON</t>
        </is>
      </c>
      <c r="O3875" s="45" t="inlineStr"/>
    </row>
    <row r="3876" customFormat="1" s="3">
      <c r="A3876" s="51" t="n"/>
      <c r="B3876" s="52" t="inlineStr">
        <is>
          <t>34074</t>
        </is>
      </c>
      <c r="C3876" s="52">
        <f>LEFT(Tableau1[[#This Row],[Formacode]],3)</f>
        <v/>
      </c>
      <c r="D3876" s="53" t="n">
        <v>37775</v>
      </c>
      <c r="E3876" s="54">
        <f>"RNCP"&amp;D3876</f>
        <v/>
      </c>
      <c r="F3876" s="54" t="inlineStr">
        <is>
          <t>Manager de la communication de marque</t>
        </is>
      </c>
      <c r="G3876" s="55">
        <f>E3876&amp;" - "&amp;F3876</f>
        <v/>
      </c>
      <c r="H3876" s="37" t="inlineStr">
        <is>
          <t>À vérifier</t>
        </is>
      </c>
      <c r="I3876" s="51" t="inlineStr">
        <is>
          <t>Successeur déjà publié : RNCP42485 (Manager de la communication de marque) — préparer la bascule de l'offre CPF | Échéance le 19/07/2026 (dans 1 j)</t>
        </is>
      </c>
      <c r="J3876" s="51" t="inlineStr">
        <is>
          <t>RNCP42485</t>
        </is>
      </c>
      <c r="K3876" s="51" t="inlineStr">
        <is>
          <t>Manager de la communication de marque</t>
        </is>
      </c>
      <c r="L3876" s="51" t="inlineStr">
        <is>
          <t>19/07/2026</t>
        </is>
      </c>
      <c r="M3876" s="51" t="inlineStr">
        <is>
          <t>34074 (Publicité) ; 46302 (Gestion entreprise communication information)</t>
        </is>
      </c>
      <c r="N3876" s="62" t="inlineStr">
        <is>
          <t>NON</t>
        </is>
      </c>
      <c r="O3876" s="51" t="inlineStr"/>
    </row>
    <row r="3877" customFormat="1" s="3">
      <c r="A3877" s="51" t="n"/>
      <c r="B3877" s="52" t="inlineStr">
        <is>
          <t>34074</t>
        </is>
      </c>
      <c r="C3877" s="52">
        <f>LEFT(Tableau1[[#This Row],[Formacode]],3)</f>
        <v/>
      </c>
      <c r="D3877" s="53" t="n">
        <v>37988</v>
      </c>
      <c r="E3877" s="54">
        <f>"RNCP"&amp;D3877</f>
        <v/>
      </c>
      <c r="F3877" s="54" t="inlineStr">
        <is>
          <t>Diplôme visé - Diplôme supérieur en marketing, vente et gestion</t>
        </is>
      </c>
      <c r="G3877" s="55">
        <f>E3877&amp;" - "&amp;F3877</f>
        <v/>
      </c>
      <c r="H3877" s="37" t="inlineStr">
        <is>
          <t>À vérifier</t>
        </is>
      </c>
      <c r="I3877" s="51" t="inlineStr">
        <is>
          <t>Successeur déjà publié : RNCP42254 (Diplôme supérieur en marketing, vente et gestion) — préparer la bascule de l'offre CPF | Échéance le 31/08/2026 (dans 44 j)</t>
        </is>
      </c>
      <c r="J3877" s="51" t="inlineStr">
        <is>
          <t>RNCP42254</t>
        </is>
      </c>
      <c r="K3877" s="51" t="inlineStr">
        <is>
          <t>Diplôme supérieur en marketing, vente et gestion</t>
        </is>
      </c>
      <c r="L3877" s="51" t="inlineStr">
        <is>
          <t>31/08/2026</t>
        </is>
      </c>
      <c r="M3877" s="51" t="inlineStr">
        <is>
          <t>34085 (Stratégie commerciale) ; 34052 (Marketing) ; 32154 (Encadrement management) ; 32054 (Gestion des organisations)</t>
        </is>
      </c>
      <c r="N3877" s="62" t="inlineStr">
        <is>
          <t>NON</t>
        </is>
      </c>
      <c r="O3877" s="51" t="inlineStr"/>
    </row>
    <row r="3878" customFormat="1" s="3">
      <c r="A3878" s="45" t="n"/>
      <c r="B3878" s="46" t="inlineStr">
        <is>
          <t>34074</t>
        </is>
      </c>
      <c r="C3878" s="46">
        <f>LEFT(Tableau1[[#This Row],[Formacode]],3)</f>
        <v/>
      </c>
      <c r="D3878" s="47" t="n">
        <v>38362</v>
      </c>
      <c r="E3878" s="48">
        <f>"RNCP"&amp;D3878</f>
        <v/>
      </c>
      <c r="F3878" s="48" t="inlineStr">
        <is>
          <t>BTS - Management commercial opérationnel</t>
        </is>
      </c>
      <c r="G3878" s="49">
        <f>E3878&amp;" - "&amp;F3878</f>
        <v/>
      </c>
      <c r="H3878" s="36" t="inlineStr">
        <is>
          <t>RAS</t>
        </is>
      </c>
      <c r="I3878" s="45" t="inlineStr"/>
      <c r="J3878" s="45" t="inlineStr">
        <is>
          <t>RNCP38362</t>
        </is>
      </c>
      <c r="K3878" s="45" t="inlineStr">
        <is>
          <t>Management commercial opérationnel</t>
        </is>
      </c>
      <c r="L3878" s="45" t="inlineStr">
        <is>
          <t>31/12/2028</t>
        </is>
      </c>
      <c r="M3878" s="45" t="inlineStr">
        <is>
          <t>34054 (Gestion commerciale achats) ; 32154 (Encadrement management)</t>
        </is>
      </c>
      <c r="N3878" s="50" t="inlineStr">
        <is>
          <t>NON</t>
        </is>
      </c>
      <c r="O3878" s="45" t="inlineStr"/>
    </row>
    <row r="3879" customFormat="1" s="3">
      <c r="A3879" s="45" t="n"/>
      <c r="B3879" s="46" t="inlineStr">
        <is>
          <t>34074</t>
        </is>
      </c>
      <c r="C3879" s="46">
        <f>LEFT(Tableau1[[#This Row],[Formacode]],3)</f>
        <v/>
      </c>
      <c r="D3879" s="47" t="n">
        <v>40602</v>
      </c>
      <c r="E3879" s="48">
        <f>"RNCP"&amp;D3879</f>
        <v/>
      </c>
      <c r="F3879" s="48" t="inlineStr">
        <is>
          <t>Manager de la création et du design de marque</t>
        </is>
      </c>
      <c r="G3879" s="49">
        <f>E3879&amp;" - "&amp;F3879</f>
        <v/>
      </c>
      <c r="H3879" s="36" t="inlineStr">
        <is>
          <t>RAS</t>
        </is>
      </c>
      <c r="I3879" s="45" t="inlineStr"/>
      <c r="J3879" s="45" t="inlineStr">
        <is>
          <t>RNCP40602</t>
        </is>
      </c>
      <c r="K3879" s="45" t="inlineStr">
        <is>
          <t>Manager de la création et du design de marque</t>
        </is>
      </c>
      <c r="L3879" s="45" t="inlineStr">
        <is>
          <t>30/04/2028</t>
        </is>
      </c>
      <c r="M3879" s="45" t="inlineStr">
        <is>
          <t>46090 (Graphisme publicité) ; 46003 (Infographie) ; 32025 (Stratégie entreprise) ; 34074 (Publicité)</t>
        </is>
      </c>
      <c r="N3879" s="50" t="inlineStr">
        <is>
          <t>NON</t>
        </is>
      </c>
      <c r="O3879" s="45" t="inlineStr"/>
    </row>
    <row r="3880" customFormat="1" s="3">
      <c r="A3880" s="45" t="n"/>
      <c r="B3880" s="46" t="inlineStr">
        <is>
          <t>34074</t>
        </is>
      </c>
      <c r="C3880" s="46">
        <f>LEFT(Tableau1[[#This Row],[Formacode]],3)</f>
        <v/>
      </c>
      <c r="D3880" s="47" t="n">
        <v>40726</v>
      </c>
      <c r="E3880" s="48">
        <f>"RNCP"&amp;D3880</f>
        <v/>
      </c>
      <c r="F3880" s="48" t="inlineStr">
        <is>
          <t>DipViGrL - Diplôme d’enseignement supérieur en management</t>
        </is>
      </c>
      <c r="G3880" s="49">
        <f>E3880&amp;" - "&amp;F3880</f>
        <v/>
      </c>
      <c r="H3880" s="36" t="inlineStr">
        <is>
          <t>RAS</t>
        </is>
      </c>
      <c r="I3880" s="45" t="inlineStr"/>
      <c r="J3880" s="45" t="inlineStr">
        <is>
          <t>RNCP40726</t>
        </is>
      </c>
      <c r="K3880" s="45" t="inlineStr">
        <is>
          <t>Diplôme d’enseignement supérieur en management</t>
        </is>
      </c>
      <c r="L3880" s="45" t="inlineStr">
        <is>
          <t>31/08/2028</t>
        </is>
      </c>
      <c r="M3880" s="45" t="inlineStr">
        <is>
          <t>34054 (Gestion commerciale achats) ; 34554 (Commerce) ; 31834 (Logistique transport)</t>
        </is>
      </c>
      <c r="N3880" s="50" t="inlineStr">
        <is>
          <t>NON</t>
        </is>
      </c>
      <c r="O3880" s="45" t="inlineStr"/>
    </row>
    <row r="3881" customFormat="1" s="3">
      <c r="A3881" s="63" t="n"/>
      <c r="B3881" s="64" t="inlineStr">
        <is>
          <t>34076</t>
        </is>
      </c>
      <c r="C3881" s="64">
        <f>LEFT(Tableau1[[#This Row],[Formacode]],3)</f>
        <v/>
      </c>
      <c r="D3881" s="65" t="n">
        <v>35304</v>
      </c>
      <c r="E3881" s="66">
        <f>"RNCP"&amp;D3881</f>
        <v/>
      </c>
      <c r="F3881" s="66" t="inlineStr">
        <is>
          <t>TP - Conseiller relation client à distance</t>
        </is>
      </c>
      <c r="G3881" s="67">
        <f>E3881&amp;" - "&amp;F3881</f>
        <v/>
      </c>
      <c r="H3881" s="38" t="inlineStr">
        <is>
          <t>Expiré / remplacé</t>
        </is>
      </c>
      <c r="I3881" s="63" t="inlineStr">
        <is>
          <t>Fiche inactive — remplacée par RNCP42431 (Conseiller relation client à distance)</t>
        </is>
      </c>
      <c r="J3881" s="63" t="inlineStr">
        <is>
          <t>RNCP42431</t>
        </is>
      </c>
      <c r="K3881" s="63" t="inlineStr">
        <is>
          <t>Conseiller relation client à distance</t>
        </is>
      </c>
      <c r="L3881" s="63" t="inlineStr">
        <is>
          <t>06/07/2026</t>
        </is>
      </c>
      <c r="M3881" s="63" t="inlineStr">
        <is>
          <t>34076 (Gestion relation client) ; 34026 (Développement sens commercial) ; 34027 (Service après-vente) ; 34507 (Vente à distance)</t>
        </is>
      </c>
      <c r="N3881" s="68" t="inlineStr">
        <is>
          <t>NON</t>
        </is>
      </c>
      <c r="O3881" s="63" t="inlineStr"/>
    </row>
    <row r="3882" customFormat="1" s="3">
      <c r="A3882" s="45" t="n"/>
      <c r="B3882" s="46" t="inlineStr">
        <is>
          <t>34076</t>
        </is>
      </c>
      <c r="C3882" s="46">
        <f>LEFT(Tableau1[[#This Row],[Formacode]],3)</f>
        <v/>
      </c>
      <c r="D3882" s="47" t="n">
        <v>36393</v>
      </c>
      <c r="E3882" s="48">
        <f>"RNCP"&amp;D3882</f>
        <v/>
      </c>
      <c r="F3882" s="48" t="inlineStr">
        <is>
          <t>Technico-commercial de l'Industrie et des Services Nautiques</t>
        </is>
      </c>
      <c r="G3882" s="49">
        <f>E3882&amp;" - "&amp;F3882</f>
        <v/>
      </c>
      <c r="H3882" s="36" t="inlineStr">
        <is>
          <t>RAS</t>
        </is>
      </c>
      <c r="I3882" s="45" t="inlineStr"/>
      <c r="J3882" s="45" t="inlineStr">
        <is>
          <t>RNCP36393</t>
        </is>
      </c>
      <c r="K3882" s="45" t="inlineStr">
        <is>
          <t>Technico-commercial de l'Industrie et des Services Nautiques</t>
        </is>
      </c>
      <c r="L3882" s="45" t="inlineStr">
        <is>
          <t>25/04/2027</t>
        </is>
      </c>
      <c r="M3882" s="45" t="inlineStr">
        <is>
          <t>34581 (Technico-commercial) ; 23622 (Construction maintenance navale) ; 34582 (Négociation commerciale) ; 34076 (Gestion relation client) ; 42027 (Service location)</t>
        </is>
      </c>
      <c r="N3882" s="50" t="inlineStr">
        <is>
          <t>NON</t>
        </is>
      </c>
      <c r="O3882" s="45" t="inlineStr"/>
    </row>
    <row r="3883" customFormat="1" s="3">
      <c r="A3883" s="45" t="n"/>
      <c r="B3883" s="46" t="inlineStr">
        <is>
          <t>34076</t>
        </is>
      </c>
      <c r="C3883" s="46">
        <f>LEFT(Tableau1[[#This Row],[Formacode]],3)</f>
        <v/>
      </c>
      <c r="D3883" s="47" t="n">
        <v>36978</v>
      </c>
      <c r="E3883" s="48">
        <f>"RNCP"&amp;D3883</f>
        <v/>
      </c>
      <c r="F3883" s="48" t="inlineStr">
        <is>
          <t>Responsable de clientèle banque finance assurance</t>
        </is>
      </c>
      <c r="G3883" s="49">
        <f>E3883&amp;" - "&amp;F3883</f>
        <v/>
      </c>
      <c r="H3883" s="36" t="inlineStr">
        <is>
          <t>RAS</t>
        </is>
      </c>
      <c r="I3883" s="45" t="inlineStr"/>
      <c r="J3883" s="45" t="inlineStr">
        <is>
          <t>RNCP36978</t>
        </is>
      </c>
      <c r="K3883" s="45" t="inlineStr">
        <is>
          <t>Responsable de clientèle banque finance assurance</t>
        </is>
      </c>
      <c r="L3883" s="45" t="inlineStr">
        <is>
          <t>24/10/2027</t>
        </is>
      </c>
      <c r="M3883" s="45" t="inlineStr">
        <is>
          <t>41037 (Vente assurance) ; 34076 (Gestion relation client)</t>
        </is>
      </c>
      <c r="N3883" s="50" t="inlineStr">
        <is>
          <t>NON</t>
        </is>
      </c>
      <c r="O3883" s="45" t="inlineStr"/>
    </row>
    <row r="3884" customFormat="1" s="3">
      <c r="A3884" s="45" t="n"/>
      <c r="B3884" s="46" t="inlineStr">
        <is>
          <t>34076</t>
        </is>
      </c>
      <c r="C3884" s="46">
        <f>LEFT(Tableau1[[#This Row],[Formacode]],3)</f>
        <v/>
      </c>
      <c r="D3884" s="47" t="n">
        <v>37655</v>
      </c>
      <c r="E3884" s="48">
        <f>"RNCP"&amp;D3884</f>
        <v/>
      </c>
      <c r="F3884" s="48" t="inlineStr">
        <is>
          <t>Responsable en gestion et développement d’une business unit</t>
        </is>
      </c>
      <c r="G3884" s="49">
        <f>E3884&amp;" - "&amp;F3884</f>
        <v/>
      </c>
      <c r="H3884" s="36" t="inlineStr">
        <is>
          <t>RAS</t>
        </is>
      </c>
      <c r="I3884" s="45" t="inlineStr"/>
      <c r="J3884" s="45" t="inlineStr">
        <is>
          <t>RNCP37655</t>
        </is>
      </c>
      <c r="K3884" s="45" t="inlineStr">
        <is>
          <t>Responsable en gestion et développement d’une business unit</t>
        </is>
      </c>
      <c r="L3884" s="45" t="inlineStr">
        <is>
          <t>31/05/2028</t>
        </is>
      </c>
      <c r="M3884" s="45" t="inlineStr">
        <is>
          <t>32025 (Stratégie entreprise) ; 32154 (Encadrement management) ; 34054 (Gestion commerciale achats)</t>
        </is>
      </c>
      <c r="N3884" s="50" t="inlineStr">
        <is>
          <t>NON</t>
        </is>
      </c>
      <c r="O3884" s="45" t="inlineStr"/>
    </row>
    <row r="3885" customFormat="1" s="3">
      <c r="A3885" s="45" t="n"/>
      <c r="B3885" s="46" t="inlineStr">
        <is>
          <t>34076</t>
        </is>
      </c>
      <c r="C3885" s="46">
        <f>LEFT(Tableau1[[#This Row],[Formacode]],3)</f>
        <v/>
      </c>
      <c r="D3885" s="47" t="n">
        <v>37683</v>
      </c>
      <c r="E3885" s="48">
        <f>"RNCP"&amp;D3885</f>
        <v/>
      </c>
      <c r="F3885" s="48" t="inlineStr">
        <is>
          <t>DipViGrM - Programme grande école</t>
        </is>
      </c>
      <c r="G3885" s="49">
        <f>E3885&amp;" - "&amp;F3885</f>
        <v/>
      </c>
      <c r="H3885" s="36" t="inlineStr">
        <is>
          <t>RAS</t>
        </is>
      </c>
      <c r="I3885" s="45" t="inlineStr"/>
      <c r="J3885" s="45" t="inlineStr">
        <is>
          <t>RNCP37683</t>
        </is>
      </c>
      <c r="K3885" s="45" t="inlineStr">
        <is>
          <t>Programme grande école</t>
        </is>
      </c>
      <c r="L3885" s="45" t="inlineStr">
        <is>
          <t>31/08/2028</t>
        </is>
      </c>
      <c r="M3885" s="45" t="inlineStr">
        <is>
          <t>32654 (Gestion financière comptabilité) ; 32145 (Management transversal) ; 34054 (Gestion commerciale achats) ; 32006 (Gestion entreprise internationale)</t>
        </is>
      </c>
      <c r="N3885" s="50" t="inlineStr">
        <is>
          <t>NON</t>
        </is>
      </c>
      <c r="O3885" s="45" t="inlineStr"/>
    </row>
    <row r="3886" customFormat="1" s="3">
      <c r="A3886" s="51" t="n"/>
      <c r="B3886" s="52" t="inlineStr">
        <is>
          <t>34076</t>
        </is>
      </c>
      <c r="C3886" s="52">
        <f>LEFT(Tableau1[[#This Row],[Formacode]],3)</f>
        <v/>
      </c>
      <c r="D3886" s="53" t="n">
        <v>37988</v>
      </c>
      <c r="E3886" s="54">
        <f>"RNCP"&amp;D3886</f>
        <v/>
      </c>
      <c r="F3886" s="54" t="inlineStr">
        <is>
          <t>Diplôme visé - Diplôme supérieur en marketing, vente et gestion</t>
        </is>
      </c>
      <c r="G3886" s="55">
        <f>E3886&amp;" - "&amp;F3886</f>
        <v/>
      </c>
      <c r="H3886" s="37" t="inlineStr">
        <is>
          <t>À vérifier</t>
        </is>
      </c>
      <c r="I3886" s="51" t="inlineStr">
        <is>
          <t>Successeur déjà publié : RNCP42254 (Diplôme supérieur en marketing, vente et gestion) — préparer la bascule de l'offre CPF | Échéance le 31/08/2026 (dans 44 j)</t>
        </is>
      </c>
      <c r="J3886" s="51" t="inlineStr">
        <is>
          <t>RNCP42254</t>
        </is>
      </c>
      <c r="K3886" s="51" t="inlineStr">
        <is>
          <t>Diplôme supérieur en marketing, vente et gestion</t>
        </is>
      </c>
      <c r="L3886" s="51" t="inlineStr">
        <is>
          <t>31/08/2026</t>
        </is>
      </c>
      <c r="M3886" s="51" t="inlineStr">
        <is>
          <t>34085 (Stratégie commerciale) ; 34052 (Marketing) ; 32154 (Encadrement management) ; 32054 (Gestion des organisations)</t>
        </is>
      </c>
      <c r="N3886" s="62" t="inlineStr">
        <is>
          <t>NON</t>
        </is>
      </c>
      <c r="O3886" s="51" t="inlineStr"/>
    </row>
    <row r="3887" customFormat="1" s="3">
      <c r="A3887" s="45" t="n"/>
      <c r="B3887" s="46" t="inlineStr">
        <is>
          <t>34076</t>
        </is>
      </c>
      <c r="C3887" s="46">
        <f>LEFT(Tableau1[[#This Row],[Formacode]],3)</f>
        <v/>
      </c>
      <c r="D3887" s="47" t="n">
        <v>38362</v>
      </c>
      <c r="E3887" s="48">
        <f>"RNCP"&amp;D3887</f>
        <v/>
      </c>
      <c r="F3887" s="48" t="inlineStr">
        <is>
          <t>BTS - Management commercial opérationnel</t>
        </is>
      </c>
      <c r="G3887" s="49">
        <f>E3887&amp;" - "&amp;F3887</f>
        <v/>
      </c>
      <c r="H3887" s="36" t="inlineStr">
        <is>
          <t>RAS</t>
        </is>
      </c>
      <c r="I3887" s="45" t="inlineStr"/>
      <c r="J3887" s="45" t="inlineStr">
        <is>
          <t>RNCP38362</t>
        </is>
      </c>
      <c r="K3887" s="45" t="inlineStr">
        <is>
          <t>Management commercial opérationnel</t>
        </is>
      </c>
      <c r="L3887" s="45" t="inlineStr">
        <is>
          <t>31/12/2028</t>
        </is>
      </c>
      <c r="M3887" s="45" t="inlineStr">
        <is>
          <t>34054 (Gestion commerciale achats) ; 32154 (Encadrement management)</t>
        </is>
      </c>
      <c r="N3887" s="50" t="inlineStr">
        <is>
          <t>NON</t>
        </is>
      </c>
      <c r="O3887" s="45" t="inlineStr"/>
    </row>
    <row r="3888" customFormat="1" s="3">
      <c r="A3888" s="45" t="n"/>
      <c r="B3888" s="46" t="inlineStr">
        <is>
          <t>34076</t>
        </is>
      </c>
      <c r="C3888" s="46">
        <f>LEFT(Tableau1[[#This Row],[Formacode]],3)</f>
        <v/>
      </c>
      <c r="D3888" s="47" t="n">
        <v>38368</v>
      </c>
      <c r="E3888" s="48">
        <f>"RNCP"&amp;D3888</f>
        <v/>
      </c>
      <c r="F3888" s="48" t="inlineStr">
        <is>
          <t>BTS - Négociation et digitalisation de la relation client</t>
        </is>
      </c>
      <c r="G3888" s="49">
        <f>E3888&amp;" - "&amp;F3888</f>
        <v/>
      </c>
      <c r="H3888" s="36" t="inlineStr">
        <is>
          <t>RAS</t>
        </is>
      </c>
      <c r="I3888" s="45" t="inlineStr"/>
      <c r="J3888" s="45" t="inlineStr">
        <is>
          <t>RNCP38368</t>
        </is>
      </c>
      <c r="K3888" s="45" t="inlineStr">
        <is>
          <t>Négociation et digitalisation de la relation client</t>
        </is>
      </c>
      <c r="L3888" s="45" t="inlineStr">
        <is>
          <t>31/12/2028</t>
        </is>
      </c>
      <c r="M3888" s="45" t="inlineStr">
        <is>
          <t>34076 (Gestion relation client) ; 34561 (Force vente) ; 34040 (Étude produit)</t>
        </is>
      </c>
      <c r="N3888" s="50" t="inlineStr">
        <is>
          <t>NON</t>
        </is>
      </c>
      <c r="O3888" s="45" t="inlineStr"/>
    </row>
    <row r="3889" customFormat="1" s="3">
      <c r="A3889" s="45" t="n"/>
      <c r="B3889" s="46" t="inlineStr">
        <is>
          <t>34076</t>
        </is>
      </c>
      <c r="C3889" s="46">
        <f>LEFT(Tableau1[[#This Row],[Formacode]],3)</f>
        <v/>
      </c>
      <c r="D3889" s="47" t="n">
        <v>38583</v>
      </c>
      <c r="E3889" s="48">
        <f>"RNCP"&amp;D3889</f>
        <v/>
      </c>
      <c r="F3889" s="48" t="inlineStr">
        <is>
          <t>Manager du développement commercial</t>
        </is>
      </c>
      <c r="G3889" s="49">
        <f>E3889&amp;" - "&amp;F3889</f>
        <v/>
      </c>
      <c r="H3889" s="36" t="inlineStr">
        <is>
          <t>RAS</t>
        </is>
      </c>
      <c r="I3889" s="45" t="inlineStr"/>
      <c r="J3889" s="45" t="inlineStr">
        <is>
          <t>RNCP38583</t>
        </is>
      </c>
      <c r="K3889" s="45" t="inlineStr">
        <is>
          <t>Manager du développement commercial</t>
        </is>
      </c>
      <c r="L3889" s="45" t="inlineStr">
        <is>
          <t>09/02/2027</t>
        </is>
      </c>
      <c r="M3889" s="45" t="inlineStr">
        <is>
          <t>34085 (Stratégie commerciale) ; 34554 (Commerce) ; 34076 (Gestion relation client)</t>
        </is>
      </c>
      <c r="N3889" s="50" t="inlineStr">
        <is>
          <t>NON</t>
        </is>
      </c>
      <c r="O3889" s="45" t="inlineStr"/>
    </row>
    <row r="3890" customFormat="1" s="3">
      <c r="A3890" s="45" t="n"/>
      <c r="B3890" s="46" t="inlineStr">
        <is>
          <t>34076</t>
        </is>
      </c>
      <c r="C3890" s="46">
        <f>LEFT(Tableau1[[#This Row],[Formacode]],3)</f>
        <v/>
      </c>
      <c r="D3890" s="47" t="n">
        <v>38598</v>
      </c>
      <c r="E3890" s="48">
        <f>"RNCP"&amp;D3890</f>
        <v/>
      </c>
      <c r="F3890" s="48" t="inlineStr">
        <is>
          <t>Manager du marketing de l'expérience client</t>
        </is>
      </c>
      <c r="G3890" s="49">
        <f>E3890&amp;" - "&amp;F3890</f>
        <v/>
      </c>
      <c r="H3890" s="36" t="inlineStr">
        <is>
          <t>RAS</t>
        </is>
      </c>
      <c r="I3890" s="45" t="inlineStr"/>
      <c r="J3890" s="45" t="inlineStr">
        <is>
          <t>RNCP38598</t>
        </is>
      </c>
      <c r="K3890" s="45" t="inlineStr">
        <is>
          <t>Manager du marketing de l'expérience client</t>
        </is>
      </c>
      <c r="L3890" s="45" t="inlineStr">
        <is>
          <t>09/02/2027</t>
        </is>
      </c>
      <c r="M3890" s="45" t="inlineStr">
        <is>
          <t>34260 (Marketing international) ; 34057 (Marketing stratégique) ; 34076 (Gestion relation client)</t>
        </is>
      </c>
      <c r="N3890" s="50" t="inlineStr">
        <is>
          <t>NON</t>
        </is>
      </c>
      <c r="O3890" s="45" t="inlineStr"/>
    </row>
    <row r="3891" customFormat="1" s="3">
      <c r="A3891" s="45" t="n"/>
      <c r="B3891" s="46" t="inlineStr">
        <is>
          <t>34076</t>
        </is>
      </c>
      <c r="C3891" s="46">
        <f>LEFT(Tableau1[[#This Row],[Formacode]],3)</f>
        <v/>
      </c>
      <c r="D3891" s="47" t="n">
        <v>38636</v>
      </c>
      <c r="E3891" s="48">
        <f>"RNCP"&amp;D3891</f>
        <v/>
      </c>
      <c r="F3891" s="48" t="inlineStr">
        <is>
          <t>Certificat de spécialisation - Vente-conseil en boucherie</t>
        </is>
      </c>
      <c r="G3891" s="49">
        <f>E3891&amp;" - "&amp;F3891</f>
        <v/>
      </c>
      <c r="H3891" s="36" t="inlineStr">
        <is>
          <t>RAS</t>
        </is>
      </c>
      <c r="I3891" s="45" t="inlineStr"/>
      <c r="J3891" s="45" t="inlineStr">
        <is>
          <t>RNCP38636</t>
        </is>
      </c>
      <c r="K3891" s="45" t="inlineStr">
        <is>
          <t>Vente-conseil en boucherie</t>
        </is>
      </c>
      <c r="L3891" s="45" t="inlineStr">
        <is>
          <t>31/08/2029</t>
        </is>
      </c>
      <c r="M3891" s="45" t="inlineStr">
        <is>
          <t>21599 (Boucherie) ; 21589 (Charcuterie) ; 34505 (Vente produit carné) ; 34519 (Étalage) ; 34076 (Gestion relation client)</t>
        </is>
      </c>
      <c r="N3891" s="50" t="inlineStr">
        <is>
          <t>NON</t>
        </is>
      </c>
      <c r="O3891" s="45" t="inlineStr"/>
    </row>
    <row r="3892" customFormat="1" s="3">
      <c r="A3892" s="45" t="n"/>
      <c r="B3892" s="46" t="inlineStr">
        <is>
          <t>34076</t>
        </is>
      </c>
      <c r="C3892" s="46">
        <f>LEFT(Tableau1[[#This Row],[Formacode]],3)</f>
        <v/>
      </c>
      <c r="D3892" s="47" t="n">
        <v>38665</v>
      </c>
      <c r="E3892" s="48">
        <f>"RNCP"&amp;D3892</f>
        <v/>
      </c>
      <c r="F3892" s="48" t="inlineStr">
        <is>
          <t>TP - Manager d'équipe relation client à distance</t>
        </is>
      </c>
      <c r="G3892" s="49">
        <f>E3892&amp;" - "&amp;F3892</f>
        <v/>
      </c>
      <c r="H3892" s="36" t="inlineStr">
        <is>
          <t>RAS</t>
        </is>
      </c>
      <c r="I3892" s="45" t="inlineStr"/>
      <c r="J3892" s="45" t="inlineStr">
        <is>
          <t>RNCP38665</t>
        </is>
      </c>
      <c r="K3892" s="45" t="inlineStr">
        <is>
          <t>Manager d'équipe relation client à distance</t>
        </is>
      </c>
      <c r="L3892" s="45" t="inlineStr">
        <is>
          <t>12/05/2029</t>
        </is>
      </c>
      <c r="M3892" s="45" t="inlineStr">
        <is>
          <t>34076 (Gestion relation client) ; 34026 (Développement sens commercial) ; 34507 (Vente à distance) ; 34027 (Service après-vente)</t>
        </is>
      </c>
      <c r="N3892" s="50" t="inlineStr">
        <is>
          <t>NON</t>
        </is>
      </c>
      <c r="O3892" s="45" t="inlineStr"/>
    </row>
    <row r="3893" customFormat="1" s="3">
      <c r="A3893" s="45" t="n"/>
      <c r="B3893" s="46" t="inlineStr">
        <is>
          <t>34076</t>
        </is>
      </c>
      <c r="C3893" s="46">
        <f>LEFT(Tableau1[[#This Row],[Formacode]],3)</f>
        <v/>
      </c>
      <c r="D3893" s="47" t="n">
        <v>38938</v>
      </c>
      <c r="E3893" s="48">
        <f>"RNCP"&amp;D3893</f>
        <v/>
      </c>
      <c r="F3893" s="48" t="inlineStr">
        <is>
          <t>Manager du marketing et de la relation client</t>
        </is>
      </c>
      <c r="G3893" s="49">
        <f>E3893&amp;" - "&amp;F3893</f>
        <v/>
      </c>
      <c r="H3893" s="36" t="inlineStr">
        <is>
          <t>RAS</t>
        </is>
      </c>
      <c r="I3893" s="45" t="inlineStr"/>
      <c r="J3893" s="45" t="inlineStr">
        <is>
          <t>RNCP38938</t>
        </is>
      </c>
      <c r="K3893" s="45" t="inlineStr">
        <is>
          <t>Manager du marketing et de la relation client</t>
        </is>
      </c>
      <c r="L3893" s="45" t="inlineStr">
        <is>
          <t>26/04/2027</t>
        </is>
      </c>
      <c r="M3893" s="45" t="inlineStr">
        <is>
          <t>34076 (Gestion relation client) ; 34093 (Marketing digital) ; 34053 (Marketing opérationnel) ; 34057 (Marketing stratégique) ; 34085 (Stratégie commerciale)</t>
        </is>
      </c>
      <c r="N3893" s="50" t="inlineStr">
        <is>
          <t>NON</t>
        </is>
      </c>
      <c r="O3893" s="45" t="inlineStr"/>
    </row>
    <row r="3894" customFormat="1" s="3">
      <c r="A3894" s="45" t="n"/>
      <c r="B3894" s="46" t="inlineStr">
        <is>
          <t>34076</t>
        </is>
      </c>
      <c r="C3894" s="46">
        <f>LEFT(Tableau1[[#This Row],[Formacode]],3)</f>
        <v/>
      </c>
      <c r="D3894" s="47" t="n">
        <v>39135</v>
      </c>
      <c r="E3894" s="48">
        <f>"RNCP"&amp;D3894</f>
        <v/>
      </c>
      <c r="F3894" s="48" t="inlineStr">
        <is>
          <t>DIPLOVIS - Gestion et Développement Commercial</t>
        </is>
      </c>
      <c r="G3894" s="49">
        <f>E3894&amp;" - "&amp;F3894</f>
        <v/>
      </c>
      <c r="H3894" s="36" t="inlineStr">
        <is>
          <t>RAS</t>
        </is>
      </c>
      <c r="I3894" s="45" t="inlineStr"/>
      <c r="J3894" s="45" t="inlineStr">
        <is>
          <t>RNCP39135</t>
        </is>
      </c>
      <c r="K3894" s="45" t="inlineStr">
        <is>
          <t>Gestion et Développement Commercial</t>
        </is>
      </c>
      <c r="L3894" s="45" t="inlineStr">
        <is>
          <t>31/08/2027</t>
        </is>
      </c>
      <c r="M3894" s="45" t="inlineStr">
        <is>
          <t>32079 (Gestion performance) ; 32094 (Gestion PME PMI) ; 32145 (Management transversal) ; 34085 (Stratégie commerciale) ; 34076 (Gestion relation client)</t>
        </is>
      </c>
      <c r="N3894" s="50" t="inlineStr">
        <is>
          <t>NON</t>
        </is>
      </c>
      <c r="O3894" s="45" t="inlineStr"/>
    </row>
    <row r="3895" customFormat="1" s="3">
      <c r="A3895" s="45" t="n"/>
      <c r="B3895" s="46" t="inlineStr">
        <is>
          <t>34076</t>
        </is>
      </c>
      <c r="C3895" s="46">
        <f>LEFT(Tableau1[[#This Row],[Formacode]],3)</f>
        <v/>
      </c>
      <c r="D3895" s="47" t="n">
        <v>40576</v>
      </c>
      <c r="E3895" s="48">
        <f>"RNCP"&amp;D3895</f>
        <v/>
      </c>
      <c r="F3895" s="48" t="inlineStr">
        <is>
          <t>CQP Technico-commercial industriel</t>
        </is>
      </c>
      <c r="G3895" s="49">
        <f>E3895&amp;" - "&amp;F3895</f>
        <v/>
      </c>
      <c r="H3895" s="36" t="inlineStr">
        <is>
          <t>RAS</t>
        </is>
      </c>
      <c r="I3895" s="45" t="inlineStr"/>
      <c r="J3895" s="45" t="inlineStr">
        <is>
          <t>RNCP40576</t>
        </is>
      </c>
      <c r="K3895" s="45" t="inlineStr">
        <is>
          <t>CQP Technico-commercial industriel</t>
        </is>
      </c>
      <c r="L3895" s="45" t="inlineStr">
        <is>
          <t>30/04/2030</t>
        </is>
      </c>
      <c r="M3895" s="45" t="inlineStr">
        <is>
          <t>34581 (Technico-commercial) ; 34582 (Négociation commerciale) ; 34593 (Prospection vente) ; 34076 (Gestion relation client)</t>
        </is>
      </c>
      <c r="N3895" s="50" t="inlineStr">
        <is>
          <t>NON</t>
        </is>
      </c>
      <c r="O3895" s="45" t="inlineStr"/>
    </row>
    <row r="3896" customFormat="1" s="3">
      <c r="A3896" s="45" t="n"/>
      <c r="B3896" s="46" t="inlineStr">
        <is>
          <t>34076</t>
        </is>
      </c>
      <c r="C3896" s="46">
        <f>LEFT(Tableau1[[#This Row],[Formacode]],3)</f>
        <v/>
      </c>
      <c r="D3896" s="47" t="n">
        <v>40582</v>
      </c>
      <c r="E3896" s="48">
        <f>"RNCP"&amp;D3896</f>
        <v/>
      </c>
      <c r="F3896" s="48" t="inlineStr">
        <is>
          <t>Chargé de clientèle</t>
        </is>
      </c>
      <c r="G3896" s="49">
        <f>E3896&amp;" - "&amp;F3896</f>
        <v/>
      </c>
      <c r="H3896" s="36" t="inlineStr">
        <is>
          <t>RAS</t>
        </is>
      </c>
      <c r="I3896" s="45" t="inlineStr"/>
      <c r="J3896" s="45" t="inlineStr">
        <is>
          <t>RNCP40582</t>
        </is>
      </c>
      <c r="K3896" s="45" t="inlineStr">
        <is>
          <t>Chargé de clientèle</t>
        </is>
      </c>
      <c r="L3896" s="45" t="inlineStr">
        <is>
          <t>30/04/2030</t>
        </is>
      </c>
      <c r="M3896" s="45" t="inlineStr">
        <is>
          <t>34593 (Prospection vente) ; 34584 (Animation vente) ; 34076 (Gestion relation client) ; 34566 (Vente distribution) ; 34582 (Négociation commerciale)</t>
        </is>
      </c>
      <c r="N3896" s="50" t="inlineStr">
        <is>
          <t>NON</t>
        </is>
      </c>
      <c r="O3896" s="45" t="inlineStr"/>
    </row>
    <row r="3897" customFormat="1" s="3">
      <c r="A3897" s="45" t="n"/>
      <c r="B3897" s="46" t="inlineStr">
        <is>
          <t>34076</t>
        </is>
      </c>
      <c r="C3897" s="46">
        <f>LEFT(Tableau1[[#This Row],[Formacode]],3)</f>
        <v/>
      </c>
      <c r="D3897" s="47" t="n">
        <v>40726</v>
      </c>
      <c r="E3897" s="48">
        <f>"RNCP"&amp;D3897</f>
        <v/>
      </c>
      <c r="F3897" s="48" t="inlineStr">
        <is>
          <t>DipViGrL - Diplôme d’enseignement supérieur en management</t>
        </is>
      </c>
      <c r="G3897" s="49">
        <f>E3897&amp;" - "&amp;F3897</f>
        <v/>
      </c>
      <c r="H3897" s="36" t="inlineStr">
        <is>
          <t>RAS</t>
        </is>
      </c>
      <c r="I3897" s="45" t="inlineStr"/>
      <c r="J3897" s="45" t="inlineStr">
        <is>
          <t>RNCP40726</t>
        </is>
      </c>
      <c r="K3897" s="45" t="inlineStr">
        <is>
          <t>Diplôme d’enseignement supérieur en management</t>
        </is>
      </c>
      <c r="L3897" s="45" t="inlineStr">
        <is>
          <t>31/08/2028</t>
        </is>
      </c>
      <c r="M3897" s="45" t="inlineStr">
        <is>
          <t>34054 (Gestion commerciale achats) ; 34554 (Commerce) ; 31834 (Logistique transport)</t>
        </is>
      </c>
      <c r="N3897" s="50" t="inlineStr">
        <is>
          <t>NON</t>
        </is>
      </c>
      <c r="O3897" s="45" t="inlineStr"/>
    </row>
    <row r="3898" customFormat="1" s="3">
      <c r="A3898" s="45" t="n"/>
      <c r="B3898" s="46" t="inlineStr">
        <is>
          <t>34076</t>
        </is>
      </c>
      <c r="C3898" s="46">
        <f>LEFT(Tableau1[[#This Row],[Formacode]],3)</f>
        <v/>
      </c>
      <c r="D3898" s="47" t="n">
        <v>40860</v>
      </c>
      <c r="E3898" s="48">
        <f>"RNCP"&amp;D3898</f>
        <v/>
      </c>
      <c r="F3898" s="48" t="inlineStr">
        <is>
          <t>Manager marketing digital et communication</t>
        </is>
      </c>
      <c r="G3898" s="49">
        <f>E3898&amp;" - "&amp;F3898</f>
        <v/>
      </c>
      <c r="H3898" s="36" t="inlineStr">
        <is>
          <t>RAS</t>
        </is>
      </c>
      <c r="I3898" s="45" t="inlineStr"/>
      <c r="J3898" s="45" t="inlineStr">
        <is>
          <t>RNCP40860</t>
        </is>
      </c>
      <c r="K3898" s="45" t="inlineStr">
        <is>
          <t>Manager marketing digital et communication</t>
        </is>
      </c>
      <c r="L3898" s="45" t="inlineStr">
        <is>
          <t>25/06/2028</t>
        </is>
      </c>
      <c r="M3898" s="45" t="inlineStr">
        <is>
          <t>34093 (Marketing digital) ; 46347 (Stratégie communication numérique) ; 46301 (Communication entreprise) ; 34076 (Gestion relation client)</t>
        </is>
      </c>
      <c r="N3898" s="50" t="inlineStr">
        <is>
          <t>NON</t>
        </is>
      </c>
      <c r="O3898" s="45" t="inlineStr"/>
    </row>
    <row r="3899" customFormat="1" s="3">
      <c r="A3899" s="45" t="n"/>
      <c r="B3899" s="46" t="inlineStr">
        <is>
          <t>34076</t>
        </is>
      </c>
      <c r="C3899" s="46">
        <f>LEFT(Tableau1[[#This Row],[Formacode]],3)</f>
        <v/>
      </c>
      <c r="D3899" s="47" t="n">
        <v>41717</v>
      </c>
      <c r="E3899" s="48">
        <f>"RNCP"&amp;D3899</f>
        <v/>
      </c>
      <c r="F3899" s="48" t="inlineStr">
        <is>
          <t>Chargé de clientèle et fidélisation</t>
        </is>
      </c>
      <c r="G3899" s="49">
        <f>E3899&amp;" - "&amp;F3899</f>
        <v/>
      </c>
      <c r="H3899" s="36" t="inlineStr">
        <is>
          <t>RAS</t>
        </is>
      </c>
      <c r="I3899" s="45" t="inlineStr"/>
      <c r="J3899" s="45" t="inlineStr">
        <is>
          <t>RNCP41717</t>
        </is>
      </c>
      <c r="K3899" s="45" t="inlineStr">
        <is>
          <t>Chargé de clientèle et fidélisation</t>
        </is>
      </c>
      <c r="L3899" s="45" t="inlineStr">
        <is>
          <t>27/11/2028</t>
        </is>
      </c>
      <c r="M3899" s="45" t="inlineStr">
        <is>
          <t>34076 (Gestion relation client) ; 34592 (Entretien vente) ; 34056 (Administration ventes)</t>
        </is>
      </c>
      <c r="N3899" s="50" t="inlineStr">
        <is>
          <t>NON</t>
        </is>
      </c>
      <c r="O3899" s="45" t="inlineStr"/>
    </row>
    <row r="3900" customFormat="1" s="3">
      <c r="A3900" s="51" t="n"/>
      <c r="B3900" s="52" t="inlineStr">
        <is>
          <t>34085</t>
        </is>
      </c>
      <c r="C3900" s="52">
        <f>LEFT(Tableau1[[#This Row],[Formacode]],3)</f>
        <v/>
      </c>
      <c r="D3900" s="53" t="n">
        <v>36320</v>
      </c>
      <c r="E3900" s="54">
        <f>"RNCP"&amp;D3900</f>
        <v/>
      </c>
      <c r="F3900" s="54" t="inlineStr">
        <is>
          <t>DIPLOVIS - Ingénieur d'affaires</t>
        </is>
      </c>
      <c r="G3900" s="55">
        <f>E3900&amp;" - "&amp;F3900</f>
        <v/>
      </c>
      <c r="H3900" s="37" t="inlineStr">
        <is>
          <t>À vérifier</t>
        </is>
      </c>
      <c r="I3900" s="51" t="inlineStr">
        <is>
          <t>Successeur déjà publié : RNCP42246 (Ingénieur d'affaires) — préparer la bascule de l'offre CPF | Échéance le 31/08/2026 (dans 44 j)</t>
        </is>
      </c>
      <c r="J3900" s="51" t="inlineStr">
        <is>
          <t>RNCP42246</t>
        </is>
      </c>
      <c r="K3900" s="51" t="inlineStr">
        <is>
          <t>Ingénieur d'affaires</t>
        </is>
      </c>
      <c r="L3900" s="51" t="inlineStr">
        <is>
          <t>31/08/2026</t>
        </is>
      </c>
      <c r="M3900" s="51" t="inlineStr">
        <is>
          <t>34590 (Ingénieur d'affaires) ; 34254 (Commerce international) ; 34085 (Stratégie commerciale)</t>
        </is>
      </c>
      <c r="N3900" s="62" t="inlineStr">
        <is>
          <t>NON</t>
        </is>
      </c>
      <c r="O3900" s="51" t="inlineStr"/>
    </row>
    <row r="3901" customFormat="1" s="3">
      <c r="A3901" s="45" t="n"/>
      <c r="B3901" s="46" t="inlineStr">
        <is>
          <t>34085</t>
        </is>
      </c>
      <c r="C3901" s="46">
        <f>LEFT(Tableau1[[#This Row],[Formacode]],3)</f>
        <v/>
      </c>
      <c r="D3901" s="47" t="n">
        <v>37282</v>
      </c>
      <c r="E3901" s="48">
        <f>"RNCP"&amp;D3901</f>
        <v/>
      </c>
      <c r="F3901" s="48" t="inlineStr">
        <is>
          <t>CQP Manager d’équipe en négoce des matériaux de construction</t>
        </is>
      </c>
      <c r="G3901" s="49">
        <f>E3901&amp;" - "&amp;F3901</f>
        <v/>
      </c>
      <c r="H3901" s="36" t="inlineStr">
        <is>
          <t>RAS</t>
        </is>
      </c>
      <c r="I3901" s="45" t="inlineStr"/>
      <c r="J3901" s="45" t="inlineStr">
        <is>
          <t>RNCP37282</t>
        </is>
      </c>
      <c r="K3901" s="45" t="inlineStr">
        <is>
          <t>CQP Manager d’équipe en négoce des matériaux de construction</t>
        </is>
      </c>
      <c r="L3901" s="45" t="inlineStr">
        <is>
          <t>25/01/2028</t>
        </is>
      </c>
      <c r="M3901" s="45" t="inlineStr">
        <is>
          <t>22852 (Matériau construction) ; 31663 (Gestion stock) ; 34085 (Stratégie commerciale) ; 32154 (Encadrement management)</t>
        </is>
      </c>
      <c r="N3901" s="50" t="inlineStr">
        <is>
          <t>NON</t>
        </is>
      </c>
      <c r="O3901" s="45" t="inlineStr"/>
    </row>
    <row r="3902" customFormat="1" s="3">
      <c r="A3902" s="45" t="n"/>
      <c r="B3902" s="46" t="inlineStr">
        <is>
          <t>34085</t>
        </is>
      </c>
      <c r="C3902" s="46">
        <f>LEFT(Tableau1[[#This Row],[Formacode]],3)</f>
        <v/>
      </c>
      <c r="D3902" s="47" t="n">
        <v>37285</v>
      </c>
      <c r="E3902" s="48">
        <f>"RNCP"&amp;D3902</f>
        <v/>
      </c>
      <c r="F3902" s="48" t="inlineStr">
        <is>
          <t>CQP Chef d’agence en négoce des matériaux de construction</t>
        </is>
      </c>
      <c r="G3902" s="49">
        <f>E3902&amp;" - "&amp;F3902</f>
        <v/>
      </c>
      <c r="H3902" s="36" t="inlineStr">
        <is>
          <t>RAS</t>
        </is>
      </c>
      <c r="I3902" s="45" t="inlineStr"/>
      <c r="J3902" s="45" t="inlineStr">
        <is>
          <t>RNCP37285</t>
        </is>
      </c>
      <c r="K3902" s="45" t="inlineStr">
        <is>
          <t>CQP Chef d’agence en négoce des matériaux de construction</t>
        </is>
      </c>
      <c r="L3902" s="45" t="inlineStr">
        <is>
          <t>25/01/2028</t>
        </is>
      </c>
      <c r="M3902" s="45" t="inlineStr">
        <is>
          <t>22852 (Matériau construction) ; 32650 (Gestion budgétaire) ; 31663 (Gestion stock) ; 34085 (Stratégie commerciale) ; 32154 (Encadrement management)</t>
        </is>
      </c>
      <c r="N3902" s="50" t="inlineStr">
        <is>
          <t>NON</t>
        </is>
      </c>
      <c r="O3902" s="45" t="inlineStr"/>
    </row>
    <row r="3903" customFormat="1" s="3">
      <c r="A3903" s="63" t="n"/>
      <c r="B3903" s="64" t="inlineStr">
        <is>
          <t>34085</t>
        </is>
      </c>
      <c r="C3903" s="64">
        <f>LEFT(Tableau1[[#This Row],[Formacode]],3)</f>
        <v/>
      </c>
      <c r="D3903" s="65" t="n">
        <v>37633</v>
      </c>
      <c r="E3903" s="66">
        <f>"RNCP"&amp;D3903</f>
        <v/>
      </c>
      <c r="F3903" s="66" t="inlineStr">
        <is>
          <t>Responsable en développement commercial et marketing</t>
        </is>
      </c>
      <c r="G3903" s="67">
        <f>E3903&amp;" - "&amp;F3903</f>
        <v/>
      </c>
      <c r="H3903" s="38" t="inlineStr">
        <is>
          <t>Expiré / remplacé</t>
        </is>
      </c>
      <c r="I3903" s="63" t="inlineStr">
        <is>
          <t>Fiche inactive — remplacée par RNCP42153 (Responsable en développement commercial et marketing)</t>
        </is>
      </c>
      <c r="J3903" s="63" t="inlineStr">
        <is>
          <t>RNCP42153</t>
        </is>
      </c>
      <c r="K3903" s="63" t="inlineStr">
        <is>
          <t>Responsable en développement commercial et marketing</t>
        </is>
      </c>
      <c r="L3903" s="63" t="inlineStr">
        <is>
          <t>31/05/2026</t>
        </is>
      </c>
      <c r="M3903" s="63" t="inlineStr">
        <is>
          <t>34053 (Marketing opérationnel) ; 34085 (Stratégie commerciale) ; 34582 (Négociation commerciale) ; 34566 (Vente distribution)</t>
        </is>
      </c>
      <c r="N3903" s="68" t="inlineStr">
        <is>
          <t>NON</t>
        </is>
      </c>
      <c r="O3903" s="63" t="inlineStr"/>
    </row>
    <row r="3904" customFormat="1" s="3">
      <c r="A3904" s="45" t="n"/>
      <c r="B3904" s="46" t="inlineStr">
        <is>
          <t>34085</t>
        </is>
      </c>
      <c r="C3904" s="46">
        <f>LEFT(Tableau1[[#This Row],[Formacode]],3)</f>
        <v/>
      </c>
      <c r="D3904" s="47" t="n">
        <v>37655</v>
      </c>
      <c r="E3904" s="48">
        <f>"RNCP"&amp;D3904</f>
        <v/>
      </c>
      <c r="F3904" s="48" t="inlineStr">
        <is>
          <t>Responsable en gestion et développement d’une business unit</t>
        </is>
      </c>
      <c r="G3904" s="49">
        <f>E3904&amp;" - "&amp;F3904</f>
        <v/>
      </c>
      <c r="H3904" s="36" t="inlineStr">
        <is>
          <t>RAS</t>
        </is>
      </c>
      <c r="I3904" s="45" t="inlineStr"/>
      <c r="J3904" s="45" t="inlineStr">
        <is>
          <t>RNCP37655</t>
        </is>
      </c>
      <c r="K3904" s="45" t="inlineStr">
        <is>
          <t>Responsable en gestion et développement d’une business unit</t>
        </is>
      </c>
      <c r="L3904" s="45" t="inlineStr">
        <is>
          <t>31/05/2028</t>
        </is>
      </c>
      <c r="M3904" s="45" t="inlineStr">
        <is>
          <t>32025 (Stratégie entreprise) ; 32154 (Encadrement management) ; 34054 (Gestion commerciale achats)</t>
        </is>
      </c>
      <c r="N3904" s="50" t="inlineStr">
        <is>
          <t>NON</t>
        </is>
      </c>
      <c r="O3904" s="45" t="inlineStr"/>
    </row>
    <row r="3905" customFormat="1" s="3">
      <c r="A3905" s="45" t="n"/>
      <c r="B3905" s="46" t="inlineStr">
        <is>
          <t>34085</t>
        </is>
      </c>
      <c r="C3905" s="46">
        <f>LEFT(Tableau1[[#This Row],[Formacode]],3)</f>
        <v/>
      </c>
      <c r="D3905" s="47" t="n">
        <v>37683</v>
      </c>
      <c r="E3905" s="48">
        <f>"RNCP"&amp;D3905</f>
        <v/>
      </c>
      <c r="F3905" s="48" t="inlineStr">
        <is>
          <t>DipViGrM - Programme grande école</t>
        </is>
      </c>
      <c r="G3905" s="49">
        <f>E3905&amp;" - "&amp;F3905</f>
        <v/>
      </c>
      <c r="H3905" s="36" t="inlineStr">
        <is>
          <t>RAS</t>
        </is>
      </c>
      <c r="I3905" s="45" t="inlineStr"/>
      <c r="J3905" s="45" t="inlineStr">
        <is>
          <t>RNCP37683</t>
        </is>
      </c>
      <c r="K3905" s="45" t="inlineStr">
        <is>
          <t>Programme grande école</t>
        </is>
      </c>
      <c r="L3905" s="45" t="inlineStr">
        <is>
          <t>31/08/2028</t>
        </is>
      </c>
      <c r="M3905" s="45" t="inlineStr">
        <is>
          <t>32654 (Gestion financière comptabilité) ; 32145 (Management transversal) ; 34054 (Gestion commerciale achats) ; 32006 (Gestion entreprise internationale)</t>
        </is>
      </c>
      <c r="N3905" s="50" t="inlineStr">
        <is>
          <t>NON</t>
        </is>
      </c>
      <c r="O3905" s="45" t="inlineStr"/>
    </row>
    <row r="3906" customFormat="1" s="3">
      <c r="A3906" s="51" t="n"/>
      <c r="B3906" s="52" t="inlineStr">
        <is>
          <t>34085</t>
        </is>
      </c>
      <c r="C3906" s="52">
        <f>LEFT(Tableau1[[#This Row],[Formacode]],3)</f>
        <v/>
      </c>
      <c r="D3906" s="53" t="n">
        <v>37786</v>
      </c>
      <c r="E3906" s="54">
        <f>"RNCP"&amp;D3906</f>
        <v/>
      </c>
      <c r="F3906" s="54" t="inlineStr">
        <is>
          <t>Chargé de marketing et communication</t>
        </is>
      </c>
      <c r="G3906" s="55">
        <f>E3906&amp;" - "&amp;F3906</f>
        <v/>
      </c>
      <c r="H3906" s="37" t="inlineStr">
        <is>
          <t>À vérifier</t>
        </is>
      </c>
      <c r="I3906" s="51" t="inlineStr">
        <is>
          <t>Successeur déjà publié : RNCP41736 (Chargé de marketing et communication) — préparer la bascule de l'offre CPF | Échéance le 19/07/2026 (dans 1 j)</t>
        </is>
      </c>
      <c r="J3906" s="51" t="inlineStr">
        <is>
          <t>RNCP41736</t>
        </is>
      </c>
      <c r="K3906" s="51" t="inlineStr">
        <is>
          <t>Chargé de marketing et communication</t>
        </is>
      </c>
      <c r="L3906" s="51" t="inlineStr">
        <is>
          <t>19/07/2026</t>
        </is>
      </c>
      <c r="M3906" s="51" t="inlineStr">
        <is>
          <t>34093 (Marketing digital) ; 46301 (Communication entreprise) ; 34085 (Stratégie commerciale) ; 32135 (Conduite projet)</t>
        </is>
      </c>
      <c r="N3906" s="62" t="inlineStr">
        <is>
          <t>NON</t>
        </is>
      </c>
      <c r="O3906" s="51" t="inlineStr"/>
    </row>
    <row r="3907" customFormat="1" s="3">
      <c r="A3907" s="51" t="n"/>
      <c r="B3907" s="52" t="inlineStr">
        <is>
          <t>34085</t>
        </is>
      </c>
      <c r="C3907" s="52">
        <f>LEFT(Tableau1[[#This Row],[Formacode]],3)</f>
        <v/>
      </c>
      <c r="D3907" s="53" t="n">
        <v>37988</v>
      </c>
      <c r="E3907" s="54">
        <f>"RNCP"&amp;D3907</f>
        <v/>
      </c>
      <c r="F3907" s="54" t="inlineStr">
        <is>
          <t>Diplôme visé - Diplôme supérieur en marketing, vente et gestion</t>
        </is>
      </c>
      <c r="G3907" s="55">
        <f>E3907&amp;" - "&amp;F3907</f>
        <v/>
      </c>
      <c r="H3907" s="37" t="inlineStr">
        <is>
          <t>À vérifier</t>
        </is>
      </c>
      <c r="I3907" s="51" t="inlineStr">
        <is>
          <t>Successeur déjà publié : RNCP42254 (Diplôme supérieur en marketing, vente et gestion) — préparer la bascule de l'offre CPF | Échéance le 31/08/2026 (dans 44 j)</t>
        </is>
      </c>
      <c r="J3907" s="51" t="inlineStr">
        <is>
          <t>RNCP42254</t>
        </is>
      </c>
      <c r="K3907" s="51" t="inlineStr">
        <is>
          <t>Diplôme supérieur en marketing, vente et gestion</t>
        </is>
      </c>
      <c r="L3907" s="51" t="inlineStr">
        <is>
          <t>31/08/2026</t>
        </is>
      </c>
      <c r="M3907" s="51" t="inlineStr">
        <is>
          <t>34085 (Stratégie commerciale) ; 34052 (Marketing) ; 32154 (Encadrement management) ; 32054 (Gestion des organisations)</t>
        </is>
      </c>
      <c r="N3907" s="62" t="inlineStr">
        <is>
          <t>NON</t>
        </is>
      </c>
      <c r="O3907" s="51" t="inlineStr"/>
    </row>
    <row r="3908" customFormat="1" s="3">
      <c r="A3908" s="51" t="n"/>
      <c r="B3908" s="52" t="inlineStr">
        <is>
          <t>34085</t>
        </is>
      </c>
      <c r="C3908" s="52">
        <f>LEFT(Tableau1[[#This Row],[Formacode]],3)</f>
        <v/>
      </c>
      <c r="D3908" s="53" t="n">
        <v>38025</v>
      </c>
      <c r="E3908" s="54">
        <f>"RNCP"&amp;D3908</f>
        <v/>
      </c>
      <c r="F3908" s="54" t="inlineStr">
        <is>
          <t>Chargé de développement commercial et marketing</t>
        </is>
      </c>
      <c r="G3908" s="55">
        <f>E3908&amp;" - "&amp;F3908</f>
        <v/>
      </c>
      <c r="H3908" s="37" t="inlineStr">
        <is>
          <t>À vérifier</t>
        </is>
      </c>
      <c r="I3908" s="51" t="inlineStr">
        <is>
          <t>Échéance le 20/09/2026 (dans 64 j)</t>
        </is>
      </c>
      <c r="J3908" s="51" t="inlineStr">
        <is>
          <t>RNCP38025</t>
        </is>
      </c>
      <c r="K3908" s="51" t="inlineStr">
        <is>
          <t>Chargé de développement commercial et marketing</t>
        </is>
      </c>
      <c r="L3908" s="51" t="inlineStr">
        <is>
          <t>20/09/2026</t>
        </is>
      </c>
      <c r="M3908" s="51" t="inlineStr">
        <is>
          <t>34085 (Stratégie commerciale) ; 34052 (Marketing) ; 34566 (Vente distribution)</t>
        </is>
      </c>
      <c r="N3908" s="62" t="inlineStr">
        <is>
          <t>NON</t>
        </is>
      </c>
      <c r="O3908" s="51" t="inlineStr"/>
    </row>
    <row r="3909" customFormat="1" s="3">
      <c r="A3909" s="51" t="n"/>
      <c r="B3909" s="52" t="inlineStr">
        <is>
          <t>34085</t>
        </is>
      </c>
      <c r="C3909" s="52">
        <f>LEFT(Tableau1[[#This Row],[Formacode]],3)</f>
        <v/>
      </c>
      <c r="D3909" s="53" t="n">
        <v>38123</v>
      </c>
      <c r="E3909" s="54">
        <f>"RNCP"&amp;D3909</f>
        <v/>
      </c>
      <c r="F3909" s="54" t="inlineStr">
        <is>
          <t>Responsable du développement commercial</t>
        </is>
      </c>
      <c r="G3909" s="55">
        <f>E3909&amp;" - "&amp;F3909</f>
        <v/>
      </c>
      <c r="H3909" s="37" t="inlineStr">
        <is>
          <t>À vérifier</t>
        </is>
      </c>
      <c r="I3909" s="51" t="inlineStr">
        <is>
          <t>Échéance le 18/10/2026 (dans 92 j)</t>
        </is>
      </c>
      <c r="J3909" s="51" t="inlineStr">
        <is>
          <t>RNCP38123</t>
        </is>
      </c>
      <c r="K3909" s="51" t="inlineStr">
        <is>
          <t>Responsable du développement commercial</t>
        </is>
      </c>
      <c r="L3909" s="51" t="inlineStr">
        <is>
          <t>18/10/2026</t>
        </is>
      </c>
      <c r="M3909" s="51" t="inlineStr">
        <is>
          <t>34085 (Stratégie commerciale) ; 34554 (Commerce)</t>
        </is>
      </c>
      <c r="N3909" s="62" t="inlineStr">
        <is>
          <t>NON</t>
        </is>
      </c>
      <c r="O3909" s="51" t="inlineStr"/>
    </row>
    <row r="3910" customFormat="1" s="3">
      <c r="A3910" s="51" t="n"/>
      <c r="B3910" s="52" t="inlineStr">
        <is>
          <t>34085</t>
        </is>
      </c>
      <c r="C3910" s="52">
        <f>LEFT(Tableau1[[#This Row],[Formacode]],3)</f>
        <v/>
      </c>
      <c r="D3910" s="53" t="n">
        <v>38131</v>
      </c>
      <c r="E3910" s="54">
        <f>"RNCP"&amp;D3910</f>
        <v/>
      </c>
      <c r="F3910" s="54" t="inlineStr">
        <is>
          <t>Responsable marketing et communication</t>
        </is>
      </c>
      <c r="G3910" s="55">
        <f>E3910&amp;" - "&amp;F3910</f>
        <v/>
      </c>
      <c r="H3910" s="37" t="inlineStr">
        <is>
          <t>À vérifier</t>
        </is>
      </c>
      <c r="I3910" s="51" t="inlineStr">
        <is>
          <t>Échéance le 18/10/2026 (dans 92 j)</t>
        </is>
      </c>
      <c r="J3910" s="51" t="inlineStr">
        <is>
          <t>RNCP38131</t>
        </is>
      </c>
      <c r="K3910" s="51" t="inlineStr">
        <is>
          <t>Responsable marketing et communication</t>
        </is>
      </c>
      <c r="L3910" s="51" t="inlineStr">
        <is>
          <t>18/10/2026</t>
        </is>
      </c>
      <c r="M3910" s="51" t="inlineStr">
        <is>
          <t>34052 (Marketing) ; 34085 (Stratégie commerciale)</t>
        </is>
      </c>
      <c r="N3910" s="62" t="inlineStr">
        <is>
          <t>NON</t>
        </is>
      </c>
      <c r="O3910" s="51" t="inlineStr"/>
    </row>
    <row r="3911" customFormat="1" s="3">
      <c r="A3911" s="51" t="n"/>
      <c r="B3911" s="52" t="inlineStr">
        <is>
          <t>34085</t>
        </is>
      </c>
      <c r="C3911" s="52">
        <f>LEFT(Tableau1[[#This Row],[Formacode]],3)</f>
        <v/>
      </c>
      <c r="D3911" s="53" t="n">
        <v>38146</v>
      </c>
      <c r="E3911" s="54">
        <f>"RNCP"&amp;D3911</f>
        <v/>
      </c>
      <c r="F3911" s="54" t="inlineStr">
        <is>
          <t>Responsable commercial</t>
        </is>
      </c>
      <c r="G3911" s="55">
        <f>E3911&amp;" - "&amp;F3911</f>
        <v/>
      </c>
      <c r="H3911" s="37" t="inlineStr">
        <is>
          <t>À vérifier</t>
        </is>
      </c>
      <c r="I3911" s="51" t="inlineStr">
        <is>
          <t>Échéance le 18/10/2026 (dans 92 j)</t>
        </is>
      </c>
      <c r="J3911" s="51" t="inlineStr">
        <is>
          <t>RNCP38146</t>
        </is>
      </c>
      <c r="K3911" s="51" t="inlineStr">
        <is>
          <t>Responsable commercial</t>
        </is>
      </c>
      <c r="L3911" s="51" t="inlineStr">
        <is>
          <t>18/10/2026</t>
        </is>
      </c>
      <c r="M3911" s="51" t="inlineStr">
        <is>
          <t>34584 (Animation vente) ; 34561 (Force vente) ; 34085 (Stratégie commerciale) ; 34582 (Négociation commerciale)</t>
        </is>
      </c>
      <c r="N3911" s="62" t="inlineStr">
        <is>
          <t>NON</t>
        </is>
      </c>
      <c r="O3911" s="51" t="inlineStr"/>
    </row>
    <row r="3912" customFormat="1" s="3">
      <c r="A3912" s="45" t="n"/>
      <c r="B3912" s="46" t="inlineStr">
        <is>
          <t>34085</t>
        </is>
      </c>
      <c r="C3912" s="46">
        <f>LEFT(Tableau1[[#This Row],[Formacode]],3)</f>
        <v/>
      </c>
      <c r="D3912" s="47" t="n">
        <v>38362</v>
      </c>
      <c r="E3912" s="48">
        <f>"RNCP"&amp;D3912</f>
        <v/>
      </c>
      <c r="F3912" s="48" t="inlineStr">
        <is>
          <t>BTS - Management commercial opérationnel</t>
        </is>
      </c>
      <c r="G3912" s="49">
        <f>E3912&amp;" - "&amp;F3912</f>
        <v/>
      </c>
      <c r="H3912" s="36" t="inlineStr">
        <is>
          <t>RAS</t>
        </is>
      </c>
      <c r="I3912" s="45" t="inlineStr"/>
      <c r="J3912" s="45" t="inlineStr">
        <is>
          <t>RNCP38362</t>
        </is>
      </c>
      <c r="K3912" s="45" t="inlineStr">
        <is>
          <t>Management commercial opérationnel</t>
        </is>
      </c>
      <c r="L3912" s="45" t="inlineStr">
        <is>
          <t>31/12/2028</t>
        </is>
      </c>
      <c r="M3912" s="45" t="inlineStr">
        <is>
          <t>34054 (Gestion commerciale achats) ; 32154 (Encadrement management)</t>
        </is>
      </c>
      <c r="N3912" s="50" t="inlineStr">
        <is>
          <t>NON</t>
        </is>
      </c>
      <c r="O3912" s="45" t="inlineStr"/>
    </row>
    <row r="3913" customFormat="1" s="3">
      <c r="A3913" s="51" t="n"/>
      <c r="B3913" s="52" t="inlineStr">
        <is>
          <t>34085</t>
        </is>
      </c>
      <c r="C3913" s="52">
        <f>LEFT(Tableau1[[#This Row],[Formacode]],3)</f>
        <v/>
      </c>
      <c r="D3913" s="53" t="n">
        <v>38505</v>
      </c>
      <c r="E3913" s="54">
        <f>"RNCP"&amp;D3913</f>
        <v/>
      </c>
      <c r="F3913" s="54" t="inlineStr">
        <is>
          <t>Responsable du développement commercial</t>
        </is>
      </c>
      <c r="G3913" s="55">
        <f>E3913&amp;" - "&amp;F3913</f>
        <v/>
      </c>
      <c r="H3913" s="37" t="inlineStr">
        <is>
          <t>À vérifier</t>
        </is>
      </c>
      <c r="I3913" s="51" t="inlineStr">
        <is>
          <t>Échéance le 21/12/2026 (dans 156 j)</t>
        </is>
      </c>
      <c r="J3913" s="51" t="inlineStr">
        <is>
          <t>RNCP38505</t>
        </is>
      </c>
      <c r="K3913" s="51" t="inlineStr">
        <is>
          <t>Responsable du développement commercial</t>
        </is>
      </c>
      <c r="L3913" s="51" t="inlineStr">
        <is>
          <t>21/12/2026</t>
        </is>
      </c>
      <c r="M3913" s="51" t="inlineStr">
        <is>
          <t>34572 (Négociation grand compte) ; 34085 (Stratégie commerciale)</t>
        </is>
      </c>
      <c r="N3913" s="62" t="inlineStr">
        <is>
          <t>NON</t>
        </is>
      </c>
      <c r="O3913" s="51" t="inlineStr"/>
    </row>
    <row r="3914" customFormat="1" s="3">
      <c r="A3914" s="45" t="n"/>
      <c r="B3914" s="46" t="inlineStr">
        <is>
          <t>34085</t>
        </is>
      </c>
      <c r="C3914" s="46">
        <f>LEFT(Tableau1[[#This Row],[Formacode]],3)</f>
        <v/>
      </c>
      <c r="D3914" s="47" t="n">
        <v>38583</v>
      </c>
      <c r="E3914" s="48">
        <f>"RNCP"&amp;D3914</f>
        <v/>
      </c>
      <c r="F3914" s="48" t="inlineStr">
        <is>
          <t>Manager du développement commercial</t>
        </is>
      </c>
      <c r="G3914" s="49">
        <f>E3914&amp;" - "&amp;F3914</f>
        <v/>
      </c>
      <c r="H3914" s="36" t="inlineStr">
        <is>
          <t>RAS</t>
        </is>
      </c>
      <c r="I3914" s="45" t="inlineStr"/>
      <c r="J3914" s="45" t="inlineStr">
        <is>
          <t>RNCP38583</t>
        </is>
      </c>
      <c r="K3914" s="45" t="inlineStr">
        <is>
          <t>Manager du développement commercial</t>
        </is>
      </c>
      <c r="L3914" s="45" t="inlineStr">
        <is>
          <t>09/02/2027</t>
        </is>
      </c>
      <c r="M3914" s="45" t="inlineStr">
        <is>
          <t>34085 (Stratégie commerciale) ; 34554 (Commerce) ; 34076 (Gestion relation client)</t>
        </is>
      </c>
      <c r="N3914" s="50" t="inlineStr">
        <is>
          <t>NON</t>
        </is>
      </c>
      <c r="O3914" s="45" t="inlineStr"/>
    </row>
    <row r="3915" customFormat="1" s="3">
      <c r="A3915" s="45" t="n"/>
      <c r="B3915" s="46" t="inlineStr">
        <is>
          <t>34085</t>
        </is>
      </c>
      <c r="C3915" s="46">
        <f>LEFT(Tableau1[[#This Row],[Formacode]],3)</f>
        <v/>
      </c>
      <c r="D3915" s="47" t="n">
        <v>38602</v>
      </c>
      <c r="E3915" s="48">
        <f>"RNCP"&amp;D3915</f>
        <v/>
      </c>
      <c r="F3915" s="48" t="inlineStr">
        <is>
          <t>Responsable du développement des affaires</t>
        </is>
      </c>
      <c r="G3915" s="49">
        <f>E3915&amp;" - "&amp;F3915</f>
        <v/>
      </c>
      <c r="H3915" s="36" t="inlineStr">
        <is>
          <t>RAS</t>
        </is>
      </c>
      <c r="I3915" s="45" t="inlineStr"/>
      <c r="J3915" s="45" t="inlineStr">
        <is>
          <t>RNCP38602</t>
        </is>
      </c>
      <c r="K3915" s="45" t="inlineStr">
        <is>
          <t>Responsable du développement des affaires</t>
        </is>
      </c>
      <c r="L3915" s="45" t="inlineStr">
        <is>
          <t>09/02/2029</t>
        </is>
      </c>
      <c r="M3915" s="45" t="inlineStr">
        <is>
          <t>34085 (Stratégie commerciale) ; 34561 (Force vente) ; 34582 (Négociation commerciale)</t>
        </is>
      </c>
      <c r="N3915" s="50" t="inlineStr">
        <is>
          <t>NON</t>
        </is>
      </c>
      <c r="O3915" s="45" t="inlineStr"/>
    </row>
    <row r="3916" customFormat="1" s="3">
      <c r="A3916" s="45" t="n"/>
      <c r="B3916" s="46" t="inlineStr">
        <is>
          <t>34085</t>
        </is>
      </c>
      <c r="C3916" s="46">
        <f>LEFT(Tableau1[[#This Row],[Formacode]],3)</f>
        <v/>
      </c>
      <c r="D3916" s="47" t="n">
        <v>38808</v>
      </c>
      <c r="E3916" s="48">
        <f>"RNCP"&amp;D3916</f>
        <v/>
      </c>
      <c r="F3916" s="48" t="inlineStr">
        <is>
          <t>Responsable d'activité commerciale et marketing</t>
        </is>
      </c>
      <c r="G3916" s="49">
        <f>E3916&amp;" - "&amp;F3916</f>
        <v/>
      </c>
      <c r="H3916" s="36" t="inlineStr">
        <is>
          <t>RAS</t>
        </is>
      </c>
      <c r="I3916" s="45" t="inlineStr"/>
      <c r="J3916" s="45" t="inlineStr">
        <is>
          <t>RNCP38808</t>
        </is>
      </c>
      <c r="K3916" s="45" t="inlineStr">
        <is>
          <t>Responsable d'activité commerciale et marketing</t>
        </is>
      </c>
      <c r="L3916" s="45" t="inlineStr">
        <is>
          <t>27/03/2027</t>
        </is>
      </c>
      <c r="M3916" s="45" t="inlineStr">
        <is>
          <t>34053 (Marketing opérationnel) ; 34085 (Stratégie commerciale) ; 34582 (Négociation commerciale) ; 34566 (Vente distribution)</t>
        </is>
      </c>
      <c r="N3916" s="50" t="inlineStr">
        <is>
          <t>NON</t>
        </is>
      </c>
      <c r="O3916" s="45" t="inlineStr"/>
    </row>
    <row r="3917" customFormat="1" s="3">
      <c r="A3917" s="45" t="n"/>
      <c r="B3917" s="46" t="inlineStr">
        <is>
          <t>34085</t>
        </is>
      </c>
      <c r="C3917" s="46">
        <f>LEFT(Tableau1[[#This Row],[Formacode]],3)</f>
        <v/>
      </c>
      <c r="D3917" s="47" t="n">
        <v>38830</v>
      </c>
      <c r="E3917" s="48">
        <f>"RNCP"&amp;D3917</f>
        <v/>
      </c>
      <c r="F3917" s="48" t="inlineStr">
        <is>
          <t>Chargé d'affaires commerciales</t>
        </is>
      </c>
      <c r="G3917" s="49">
        <f>E3917&amp;" - "&amp;F3917</f>
        <v/>
      </c>
      <c r="H3917" s="36" t="inlineStr">
        <is>
          <t>RAS</t>
        </is>
      </c>
      <c r="I3917" s="45" t="inlineStr"/>
      <c r="J3917" s="45" t="inlineStr">
        <is>
          <t>RNCP38830</t>
        </is>
      </c>
      <c r="K3917" s="45" t="inlineStr">
        <is>
          <t>Chargé d'affaires commerciales</t>
        </is>
      </c>
      <c r="L3917" s="45" t="inlineStr">
        <is>
          <t>27/03/2027</t>
        </is>
      </c>
      <c r="M3917" s="45" t="inlineStr">
        <is>
          <t>34085 (Stratégie commerciale) ; 34582 (Négociation commerciale)</t>
        </is>
      </c>
      <c r="N3917" s="50" t="inlineStr">
        <is>
          <t>NON</t>
        </is>
      </c>
      <c r="O3917" s="45" t="inlineStr"/>
    </row>
    <row r="3918" customFormat="1" s="3">
      <c r="A3918" s="45" t="n"/>
      <c r="B3918" s="46" t="inlineStr">
        <is>
          <t>34085</t>
        </is>
      </c>
      <c r="C3918" s="46">
        <f>LEFT(Tableau1[[#This Row],[Formacode]],3)</f>
        <v/>
      </c>
      <c r="D3918" s="47" t="n">
        <v>38938</v>
      </c>
      <c r="E3918" s="48">
        <f>"RNCP"&amp;D3918</f>
        <v/>
      </c>
      <c r="F3918" s="48" t="inlineStr">
        <is>
          <t>Manager du marketing et de la relation client</t>
        </is>
      </c>
      <c r="G3918" s="49">
        <f>E3918&amp;" - "&amp;F3918</f>
        <v/>
      </c>
      <c r="H3918" s="36" t="inlineStr">
        <is>
          <t>RAS</t>
        </is>
      </c>
      <c r="I3918" s="45" t="inlineStr"/>
      <c r="J3918" s="45" t="inlineStr">
        <is>
          <t>RNCP38938</t>
        </is>
      </c>
      <c r="K3918" s="45" t="inlineStr">
        <is>
          <t>Manager du marketing et de la relation client</t>
        </is>
      </c>
      <c r="L3918" s="45" t="inlineStr">
        <is>
          <t>26/04/2027</t>
        </is>
      </c>
      <c r="M3918" s="45" t="inlineStr">
        <is>
          <t>34076 (Gestion relation client) ; 34093 (Marketing digital) ; 34053 (Marketing opérationnel) ; 34057 (Marketing stratégique) ; 34085 (Stratégie commerciale)</t>
        </is>
      </c>
      <c r="N3918" s="50" t="inlineStr">
        <is>
          <t>NON</t>
        </is>
      </c>
      <c r="O3918" s="45" t="inlineStr"/>
    </row>
    <row r="3919" customFormat="1" s="3">
      <c r="A3919" s="45" t="n"/>
      <c r="B3919" s="46" t="inlineStr">
        <is>
          <t>34085</t>
        </is>
      </c>
      <c r="C3919" s="46">
        <f>LEFT(Tableau1[[#This Row],[Formacode]],3)</f>
        <v/>
      </c>
      <c r="D3919" s="47" t="n">
        <v>39135</v>
      </c>
      <c r="E3919" s="48">
        <f>"RNCP"&amp;D3919</f>
        <v/>
      </c>
      <c r="F3919" s="48" t="inlineStr">
        <is>
          <t>DIPLOVIS - Gestion et Développement Commercial</t>
        </is>
      </c>
      <c r="G3919" s="49">
        <f>E3919&amp;" - "&amp;F3919</f>
        <v/>
      </c>
      <c r="H3919" s="36" t="inlineStr">
        <is>
          <t>RAS</t>
        </is>
      </c>
      <c r="I3919" s="45" t="inlineStr"/>
      <c r="J3919" s="45" t="inlineStr">
        <is>
          <t>RNCP39135</t>
        </is>
      </c>
      <c r="K3919" s="45" t="inlineStr">
        <is>
          <t>Gestion et Développement Commercial</t>
        </is>
      </c>
      <c r="L3919" s="45" t="inlineStr">
        <is>
          <t>31/08/2027</t>
        </is>
      </c>
      <c r="M3919" s="45" t="inlineStr">
        <is>
          <t>32079 (Gestion performance) ; 32094 (Gestion PME PMI) ; 32145 (Management transversal) ; 34085 (Stratégie commerciale) ; 34076 (Gestion relation client)</t>
        </is>
      </c>
      <c r="N3919" s="50" t="inlineStr">
        <is>
          <t>NON</t>
        </is>
      </c>
      <c r="O3919" s="45" t="inlineStr"/>
    </row>
    <row r="3920" customFormat="1" s="3">
      <c r="A3920" s="45" t="n"/>
      <c r="B3920" s="46" t="inlineStr">
        <is>
          <t>34085</t>
        </is>
      </c>
      <c r="C3920" s="46">
        <f>LEFT(Tableau1[[#This Row],[Formacode]],3)</f>
        <v/>
      </c>
      <c r="D3920" s="47" t="n">
        <v>39354</v>
      </c>
      <c r="E3920" s="48">
        <f>"RNCP"&amp;D3920</f>
        <v/>
      </c>
      <c r="F3920" s="48" t="inlineStr">
        <is>
          <t>Manager du développement d'entreprise et commercial</t>
        </is>
      </c>
      <c r="G3920" s="49">
        <f>E3920&amp;" - "&amp;F3920</f>
        <v/>
      </c>
      <c r="H3920" s="36" t="inlineStr">
        <is>
          <t>RAS</t>
        </is>
      </c>
      <c r="I3920" s="45" t="inlineStr"/>
      <c r="J3920" s="45" t="inlineStr">
        <is>
          <t>RNCP39354</t>
        </is>
      </c>
      <c r="K3920" s="45" t="inlineStr">
        <is>
          <t>Manager du développement d'entreprise et commercial</t>
        </is>
      </c>
      <c r="L3920" s="45" t="inlineStr">
        <is>
          <t>19/07/2027</t>
        </is>
      </c>
      <c r="M3920" s="45" t="inlineStr">
        <is>
          <t>34085 (Stratégie commerciale) ; 32025 (Stratégie entreprise) ; 32024 (Gestion centre profit) ; 32154 (Encadrement management)</t>
        </is>
      </c>
      <c r="N3920" s="50" t="inlineStr">
        <is>
          <t>NON</t>
        </is>
      </c>
      <c r="O3920" s="45" t="inlineStr"/>
    </row>
    <row r="3921" customFormat="1" s="3">
      <c r="A3921" s="45" t="n"/>
      <c r="B3921" s="46" t="inlineStr">
        <is>
          <t>34085</t>
        </is>
      </c>
      <c r="C3921" s="46">
        <f>LEFT(Tableau1[[#This Row],[Formacode]],3)</f>
        <v/>
      </c>
      <c r="D3921" s="47" t="n">
        <v>39787</v>
      </c>
      <c r="E3921" s="48">
        <f>"RNCP"&amp;D3921</f>
        <v/>
      </c>
      <c r="F3921" s="48" t="inlineStr">
        <is>
          <t>Directeur de la performance commerciale</t>
        </is>
      </c>
      <c r="G3921" s="49">
        <f>E3921&amp;" - "&amp;F3921</f>
        <v/>
      </c>
      <c r="H3921" s="36" t="inlineStr">
        <is>
          <t>RAS</t>
        </is>
      </c>
      <c r="I3921" s="45" t="inlineStr"/>
      <c r="J3921" s="45" t="inlineStr">
        <is>
          <t>RNCP39787</t>
        </is>
      </c>
      <c r="K3921" s="45" t="inlineStr">
        <is>
          <t>Directeur de la performance commerciale</t>
        </is>
      </c>
      <c r="L3921" s="45" t="inlineStr">
        <is>
          <t>31/10/2029</t>
        </is>
      </c>
      <c r="M3921" s="45" t="inlineStr">
        <is>
          <t>32079 (Gestion performance) ; 32154 (Encadrement management) ; 34085 (Stratégie commerciale)</t>
        </is>
      </c>
      <c r="N3921" s="50" t="inlineStr">
        <is>
          <t>NON</t>
        </is>
      </c>
      <c r="O3921" s="45" t="inlineStr"/>
    </row>
    <row r="3922" customFormat="1" s="3">
      <c r="A3922" s="45" t="n"/>
      <c r="B3922" s="46" t="inlineStr">
        <is>
          <t>34085</t>
        </is>
      </c>
      <c r="C3922" s="46">
        <f>LEFT(Tableau1[[#This Row],[Formacode]],3)</f>
        <v/>
      </c>
      <c r="D3922" s="47" t="n">
        <v>39884</v>
      </c>
      <c r="E3922" s="48">
        <f>"RNCP"&amp;D3922</f>
        <v/>
      </c>
      <c r="F3922" s="48" t="inlineStr">
        <is>
          <t>Manager du Développement Commercial</t>
        </is>
      </c>
      <c r="G3922" s="49">
        <f>E3922&amp;" - "&amp;F3922</f>
        <v/>
      </c>
      <c r="H3922" s="36" t="inlineStr">
        <is>
          <t>RAS</t>
        </is>
      </c>
      <c r="I3922" s="45" t="inlineStr"/>
      <c r="J3922" s="45" t="inlineStr">
        <is>
          <t>RNCP39884</t>
        </is>
      </c>
      <c r="K3922" s="45" t="inlineStr">
        <is>
          <t>Manager du Développement Commercial</t>
        </is>
      </c>
      <c r="L3922" s="45" t="inlineStr">
        <is>
          <t>28/11/2027</t>
        </is>
      </c>
      <c r="M3922" s="45" t="inlineStr">
        <is>
          <t>34554 (Commerce) ; 21540 (Commercialisation vin spiritueux) ; 34085 (Stratégie commerciale)</t>
        </is>
      </c>
      <c r="N3922" s="50" t="inlineStr">
        <is>
          <t>NON</t>
        </is>
      </c>
      <c r="O3922" s="45" t="inlineStr"/>
    </row>
    <row r="3923" customFormat="1" s="3">
      <c r="A3923" s="45" t="n"/>
      <c r="B3923" s="46" t="inlineStr">
        <is>
          <t>34085</t>
        </is>
      </c>
      <c r="C3923" s="46">
        <f>LEFT(Tableau1[[#This Row],[Formacode]],3)</f>
        <v/>
      </c>
      <c r="D3923" s="47" t="n">
        <v>39953</v>
      </c>
      <c r="E3923" s="48">
        <f>"RNCP"&amp;D3923</f>
        <v/>
      </c>
      <c r="F3923" s="48" t="inlineStr">
        <is>
          <t>Manager marketing digital (MS)</t>
        </is>
      </c>
      <c r="G3923" s="49">
        <f>E3923&amp;" - "&amp;F3923</f>
        <v/>
      </c>
      <c r="H3923" s="36" t="inlineStr">
        <is>
          <t>RAS</t>
        </is>
      </c>
      <c r="I3923" s="45" t="inlineStr"/>
      <c r="J3923" s="45" t="inlineStr">
        <is>
          <t>RNCP39953</t>
        </is>
      </c>
      <c r="K3923" s="45" t="inlineStr">
        <is>
          <t>Manager marketing digital (MS)</t>
        </is>
      </c>
      <c r="L3923" s="45" t="inlineStr">
        <is>
          <t>18/12/2029</t>
        </is>
      </c>
      <c r="M3923" s="45" t="inlineStr">
        <is>
          <t>34093 (Marketing digital) ; 34260 (Marketing international) ; 34031 (Marketing mix) ; 34085 (Stratégie commerciale)</t>
        </is>
      </c>
      <c r="N3923" s="50" t="inlineStr">
        <is>
          <t>NON</t>
        </is>
      </c>
      <c r="O3923" s="45" t="inlineStr"/>
    </row>
    <row r="3924" customFormat="1" s="3">
      <c r="A3924" s="45" t="n"/>
      <c r="B3924" s="46" t="inlineStr">
        <is>
          <t>34085</t>
        </is>
      </c>
      <c r="C3924" s="46">
        <f>LEFT(Tableau1[[#This Row],[Formacode]],3)</f>
        <v/>
      </c>
      <c r="D3924" s="47" t="n">
        <v>40172</v>
      </c>
      <c r="E3924" s="48">
        <f>"RNCP"&amp;D3924</f>
        <v/>
      </c>
      <c r="F3924" s="48" t="inlineStr">
        <is>
          <t>Chargé de développement commercial</t>
        </is>
      </c>
      <c r="G3924" s="49">
        <f>E3924&amp;" - "&amp;F3924</f>
        <v/>
      </c>
      <c r="H3924" s="36" t="inlineStr">
        <is>
          <t>RAS</t>
        </is>
      </c>
      <c r="I3924" s="45" t="inlineStr"/>
      <c r="J3924" s="45" t="inlineStr">
        <is>
          <t>RNCP40172</t>
        </is>
      </c>
      <c r="K3924" s="45" t="inlineStr">
        <is>
          <t>Chargé de développement commercial</t>
        </is>
      </c>
      <c r="L3924" s="45" t="inlineStr">
        <is>
          <t>31/01/2028</t>
        </is>
      </c>
      <c r="M3924" s="45" t="inlineStr">
        <is>
          <t>34085 (Stratégie commerciale) ; 34254 (Commerce international) ; 34582 (Négociation commerciale)</t>
        </is>
      </c>
      <c r="N3924" s="50" t="inlineStr">
        <is>
          <t>NON</t>
        </is>
      </c>
      <c r="O3924" s="45" t="inlineStr"/>
    </row>
    <row r="3925" customFormat="1" s="3">
      <c r="A3925" s="45" t="n"/>
      <c r="B3925" s="46" t="inlineStr">
        <is>
          <t>34085</t>
        </is>
      </c>
      <c r="C3925" s="46">
        <f>LEFT(Tableau1[[#This Row],[Formacode]],3)</f>
        <v/>
      </c>
      <c r="D3925" s="47" t="n">
        <v>40257</v>
      </c>
      <c r="E3925" s="48">
        <f>"RNCP"&amp;D3925</f>
        <v/>
      </c>
      <c r="F3925" s="48" t="inlineStr">
        <is>
          <t>Manager d'affaires</t>
        </is>
      </c>
      <c r="G3925" s="49">
        <f>E3925&amp;" - "&amp;F3925</f>
        <v/>
      </c>
      <c r="H3925" s="36" t="inlineStr">
        <is>
          <t>RAS</t>
        </is>
      </c>
      <c r="I3925" s="45" t="inlineStr"/>
      <c r="J3925" s="45" t="inlineStr">
        <is>
          <t>RNCP40257</t>
        </is>
      </c>
      <c r="K3925" s="45" t="inlineStr">
        <is>
          <t>Manager d'affaires</t>
        </is>
      </c>
      <c r="L3925" s="45" t="inlineStr">
        <is>
          <t>28/02/2028</t>
        </is>
      </c>
      <c r="M3925" s="45" t="inlineStr">
        <is>
          <t>34582 (Négociation commerciale) ; 34085 (Stratégie commerciale) ; 34590 (Ingénieur d'affaires)</t>
        </is>
      </c>
      <c r="N3925" s="50" t="inlineStr">
        <is>
          <t>NON</t>
        </is>
      </c>
      <c r="O3925" s="45" t="inlineStr"/>
    </row>
    <row r="3926" customFormat="1" s="3">
      <c r="A3926" s="45" t="n"/>
      <c r="B3926" s="46" t="inlineStr">
        <is>
          <t>34085</t>
        </is>
      </c>
      <c r="C3926" s="46">
        <f>LEFT(Tableau1[[#This Row],[Formacode]],3)</f>
        <v/>
      </c>
      <c r="D3926" s="47" t="n">
        <v>40351</v>
      </c>
      <c r="E3926" s="48">
        <f>"RNCP"&amp;D3926</f>
        <v/>
      </c>
      <c r="F3926" s="48" t="inlineStr">
        <is>
          <t>Manager du marketing et du développement de produits de mode</t>
        </is>
      </c>
      <c r="G3926" s="49">
        <f>E3926&amp;" - "&amp;F3926</f>
        <v/>
      </c>
      <c r="H3926" s="36" t="inlineStr">
        <is>
          <t>RAS</t>
        </is>
      </c>
      <c r="I3926" s="45" t="inlineStr"/>
      <c r="J3926" s="45" t="inlineStr">
        <is>
          <t>RNCP40351</t>
        </is>
      </c>
      <c r="K3926" s="45" t="inlineStr">
        <is>
          <t>Manager du marketing et du développement de produits de mode</t>
        </is>
      </c>
      <c r="L3926" s="45" t="inlineStr">
        <is>
          <t>28/03/2030</t>
        </is>
      </c>
      <c r="M3926" s="45" t="inlineStr">
        <is>
          <t>45075 (Commerce art) ; 34030 (Chef produit) ; 34085 (Stratégie commerciale) ; 34060 (Étude marché)</t>
        </is>
      </c>
      <c r="N3926" s="50" t="inlineStr">
        <is>
          <t>NON</t>
        </is>
      </c>
      <c r="O3926" s="45" t="inlineStr"/>
    </row>
    <row r="3927" customFormat="1" s="3">
      <c r="A3927" s="45" t="n"/>
      <c r="B3927" s="46" t="inlineStr">
        <is>
          <t>34085</t>
        </is>
      </c>
      <c r="C3927" s="46">
        <f>LEFT(Tableau1[[#This Row],[Formacode]],3)</f>
        <v/>
      </c>
      <c r="D3927" s="47" t="n">
        <v>40359</v>
      </c>
      <c r="E3927" s="48">
        <f>"RNCP"&amp;D3927</f>
        <v/>
      </c>
      <c r="F3927" s="48" t="inlineStr">
        <is>
          <t>Manager du développement commercial</t>
        </is>
      </c>
      <c r="G3927" s="49">
        <f>E3927&amp;" - "&amp;F3927</f>
        <v/>
      </c>
      <c r="H3927" s="36" t="inlineStr">
        <is>
          <t>RAS</t>
        </is>
      </c>
      <c r="I3927" s="45" t="inlineStr"/>
      <c r="J3927" s="45" t="inlineStr">
        <is>
          <t>RNCP40359</t>
        </is>
      </c>
      <c r="K3927" s="45" t="inlineStr">
        <is>
          <t>Manager du développement commercial</t>
        </is>
      </c>
      <c r="L3927" s="45" t="inlineStr">
        <is>
          <t>28/03/2028</t>
        </is>
      </c>
      <c r="M3927" s="45" t="inlineStr">
        <is>
          <t>34085 (Stratégie commerciale) ; 34554 (Commerce) ; 32145 (Management transversal)</t>
        </is>
      </c>
      <c r="N3927" s="50" t="inlineStr">
        <is>
          <t>NON</t>
        </is>
      </c>
      <c r="O3927" s="45" t="inlineStr"/>
    </row>
    <row r="3928" customFormat="1" s="3">
      <c r="A3928" s="45" t="n"/>
      <c r="B3928" s="46" t="inlineStr">
        <is>
          <t>34085</t>
        </is>
      </c>
      <c r="C3928" s="46">
        <f>LEFT(Tableau1[[#This Row],[Formacode]],3)</f>
        <v/>
      </c>
      <c r="D3928" s="47" t="n">
        <v>40360</v>
      </c>
      <c r="E3928" s="48">
        <f>"RNCP"&amp;D3928</f>
        <v/>
      </c>
      <c r="F3928" s="48" t="inlineStr">
        <is>
          <t>Manager marketing et communication</t>
        </is>
      </c>
      <c r="G3928" s="49">
        <f>E3928&amp;" - "&amp;F3928</f>
        <v/>
      </c>
      <c r="H3928" s="36" t="inlineStr">
        <is>
          <t>RAS</t>
        </is>
      </c>
      <c r="I3928" s="45" t="inlineStr"/>
      <c r="J3928" s="45" t="inlineStr">
        <is>
          <t>RNCP40360</t>
        </is>
      </c>
      <c r="K3928" s="45" t="inlineStr">
        <is>
          <t>Manager marketing et communication</t>
        </is>
      </c>
      <c r="L3928" s="45" t="inlineStr">
        <is>
          <t>28/03/2028</t>
        </is>
      </c>
      <c r="M3928" s="45" t="inlineStr">
        <is>
          <t>34052 (Marketing) ; 34085 (Stratégie commerciale) ; 32145 (Management transversal)</t>
        </is>
      </c>
      <c r="N3928" s="50" t="inlineStr">
        <is>
          <t>NON</t>
        </is>
      </c>
      <c r="O3928" s="45" t="inlineStr"/>
    </row>
    <row r="3929" customFormat="1" s="3">
      <c r="A3929" s="45" t="n"/>
      <c r="B3929" s="46" t="inlineStr">
        <is>
          <t>34085</t>
        </is>
      </c>
      <c r="C3929" s="46">
        <f>LEFT(Tableau1[[#This Row],[Formacode]],3)</f>
        <v/>
      </c>
      <c r="D3929" s="47" t="n">
        <v>40591</v>
      </c>
      <c r="E3929" s="48">
        <f>"RNCP"&amp;D3929</f>
        <v/>
      </c>
      <c r="F3929" s="48" t="inlineStr">
        <is>
          <t>Manager de la stratégie commerciale</t>
        </is>
      </c>
      <c r="G3929" s="49">
        <f>E3929&amp;" - "&amp;F3929</f>
        <v/>
      </c>
      <c r="H3929" s="36" t="inlineStr">
        <is>
          <t>RAS</t>
        </is>
      </c>
      <c r="I3929" s="45" t="inlineStr"/>
      <c r="J3929" s="45" t="inlineStr">
        <is>
          <t>RNCP40591</t>
        </is>
      </c>
      <c r="K3929" s="45" t="inlineStr">
        <is>
          <t>Manager de la stratégie commerciale</t>
        </is>
      </c>
      <c r="L3929" s="45" t="inlineStr">
        <is>
          <t>30/04/2030</t>
        </is>
      </c>
      <c r="M3929" s="45" t="inlineStr">
        <is>
          <t>34085 (Stratégie commerciale) ; 34590 (Ingénieur d'affaires) ; 34254 (Commerce international)</t>
        </is>
      </c>
      <c r="N3929" s="50" t="inlineStr">
        <is>
          <t>NON</t>
        </is>
      </c>
      <c r="O3929" s="45" t="inlineStr"/>
    </row>
    <row r="3930" customFormat="1" s="3">
      <c r="A3930" s="45" t="n"/>
      <c r="B3930" s="46" t="inlineStr">
        <is>
          <t>34085</t>
        </is>
      </c>
      <c r="C3930" s="46">
        <f>LEFT(Tableau1[[#This Row],[Formacode]],3)</f>
        <v/>
      </c>
      <c r="D3930" s="47" t="n">
        <v>40726</v>
      </c>
      <c r="E3930" s="48">
        <f>"RNCP"&amp;D3930</f>
        <v/>
      </c>
      <c r="F3930" s="48" t="inlineStr">
        <is>
          <t>DipViGrL - Diplôme d’enseignement supérieur en management</t>
        </is>
      </c>
      <c r="G3930" s="49">
        <f>E3930&amp;" - "&amp;F3930</f>
        <v/>
      </c>
      <c r="H3930" s="36" t="inlineStr">
        <is>
          <t>RAS</t>
        </is>
      </c>
      <c r="I3930" s="45" t="inlineStr"/>
      <c r="J3930" s="45" t="inlineStr">
        <is>
          <t>RNCP40726</t>
        </is>
      </c>
      <c r="K3930" s="45" t="inlineStr">
        <is>
          <t>Diplôme d’enseignement supérieur en management</t>
        </is>
      </c>
      <c r="L3930" s="45" t="inlineStr">
        <is>
          <t>31/08/2028</t>
        </is>
      </c>
      <c r="M3930" s="45" t="inlineStr">
        <is>
          <t>34054 (Gestion commerciale achats) ; 34554 (Commerce) ; 31834 (Logistique transport)</t>
        </is>
      </c>
      <c r="N3930" s="50" t="inlineStr">
        <is>
          <t>NON</t>
        </is>
      </c>
      <c r="O3930" s="45" t="inlineStr"/>
    </row>
    <row r="3931" customFormat="1" s="3">
      <c r="A3931" s="45" t="n"/>
      <c r="B3931" s="46" t="inlineStr">
        <is>
          <t>34085</t>
        </is>
      </c>
      <c r="C3931" s="46">
        <f>LEFT(Tableau1[[#This Row],[Formacode]],3)</f>
        <v/>
      </c>
      <c r="D3931" s="47" t="n">
        <v>41672</v>
      </c>
      <c r="E3931" s="48">
        <f>"RNCP"&amp;D3931</f>
        <v/>
      </c>
      <c r="F3931" s="48" t="inlineStr">
        <is>
          <t>Chargé de développement commercial</t>
        </is>
      </c>
      <c r="G3931" s="49">
        <f>E3931&amp;" - "&amp;F3931</f>
        <v/>
      </c>
      <c r="H3931" s="36" t="inlineStr">
        <is>
          <t>RAS</t>
        </is>
      </c>
      <c r="I3931" s="45" t="inlineStr"/>
      <c r="J3931" s="45" t="inlineStr">
        <is>
          <t>RNCP41672</t>
        </is>
      </c>
      <c r="K3931" s="45" t="inlineStr">
        <is>
          <t>Chargé de développement commercial</t>
        </is>
      </c>
      <c r="L3931" s="45" t="inlineStr">
        <is>
          <t>27/11/2027</t>
        </is>
      </c>
      <c r="M3931" s="45" t="inlineStr">
        <is>
          <t>34582 (Négociation commerciale) ; 34085 (Stratégie commerciale)</t>
        </is>
      </c>
      <c r="N3931" s="50" t="inlineStr">
        <is>
          <t>NON</t>
        </is>
      </c>
      <c r="O3931" s="45" t="inlineStr"/>
    </row>
    <row r="3932" customFormat="1" s="3">
      <c r="A3932" s="45" t="n"/>
      <c r="B3932" s="46" t="inlineStr">
        <is>
          <t>34085</t>
        </is>
      </c>
      <c r="C3932" s="46">
        <f>LEFT(Tableau1[[#This Row],[Formacode]],3)</f>
        <v/>
      </c>
      <c r="D3932" s="47" t="n">
        <v>41688</v>
      </c>
      <c r="E3932" s="48">
        <f>"RNCP"&amp;D3932</f>
        <v/>
      </c>
      <c r="F3932" s="48" t="inlineStr">
        <is>
          <t>Manager en ingénierie d'affaires et performance commerciale</t>
        </is>
      </c>
      <c r="G3932" s="49">
        <f>E3932&amp;" - "&amp;F3932</f>
        <v/>
      </c>
      <c r="H3932" s="36" t="inlineStr">
        <is>
          <t>RAS</t>
        </is>
      </c>
      <c r="I3932" s="45" t="inlineStr"/>
      <c r="J3932" s="45" t="inlineStr">
        <is>
          <t>RNCP41688</t>
        </is>
      </c>
      <c r="K3932" s="45" t="inlineStr">
        <is>
          <t>Manager en ingénierie d'affaires et performance commerciale</t>
        </is>
      </c>
      <c r="L3932" s="45" t="inlineStr">
        <is>
          <t>27/11/2030</t>
        </is>
      </c>
      <c r="M3932" s="45" t="inlineStr">
        <is>
          <t>34590 (Ingénieur d'affaires) ; 34085 (Stratégie commerciale) ; 34572 (Négociation grand compte)</t>
        </is>
      </c>
      <c r="N3932" s="50" t="inlineStr">
        <is>
          <t>NON</t>
        </is>
      </c>
      <c r="O3932" s="45" t="inlineStr"/>
    </row>
    <row r="3933" customFormat="1" s="3">
      <c r="A3933" s="51" t="n"/>
      <c r="B3933" s="52" t="inlineStr">
        <is>
          <t>34232</t>
        </is>
      </c>
      <c r="C3933" s="52">
        <f>LEFT(Tableau1[[#This Row],[Formacode]],3)</f>
        <v/>
      </c>
      <c r="D3933" s="53" t="n">
        <v>35800</v>
      </c>
      <c r="E3933" s="54">
        <f>"RNCP"&amp;D3933</f>
        <v/>
      </c>
      <c r="F3933" s="54" t="inlineStr">
        <is>
          <t>Brevet de technicien supérieur - Commerce international</t>
        </is>
      </c>
      <c r="G3933" s="55">
        <f>E3933&amp;" - "&amp;F3933</f>
        <v/>
      </c>
      <c r="H3933" s="37" t="inlineStr">
        <is>
          <t>À vérifier</t>
        </is>
      </c>
      <c r="I3933" s="51" t="inlineStr">
        <is>
          <t>Successeur déjà publié : RNCP41759 (Commerce international) — préparer la bascule de l'offre CPF | Échéance le 31/08/2026 (dans 44 j)</t>
        </is>
      </c>
      <c r="J3933" s="51" t="inlineStr">
        <is>
          <t>RNCP41759</t>
        </is>
      </c>
      <c r="K3933" s="51" t="inlineStr">
        <is>
          <t>Commerce international</t>
        </is>
      </c>
      <c r="L3933" s="51" t="inlineStr">
        <is>
          <t>31/08/2026</t>
        </is>
      </c>
      <c r="M3933" s="51" t="inlineStr">
        <is>
          <t>34254 (Commerce international) ; 34582 (Négociation commerciale) ; 34593 (Prospection vente)</t>
        </is>
      </c>
      <c r="N3933" s="62" t="inlineStr">
        <is>
          <t>NON</t>
        </is>
      </c>
      <c r="O3933" s="51" t="inlineStr"/>
    </row>
    <row r="3934" customFormat="1" s="3">
      <c r="A3934" s="51" t="n"/>
      <c r="B3934" s="52" t="inlineStr">
        <is>
          <t>34232</t>
        </is>
      </c>
      <c r="C3934" s="52">
        <f>LEFT(Tableau1[[#This Row],[Formacode]],3)</f>
        <v/>
      </c>
      <c r="D3934" s="53" t="n">
        <v>36320</v>
      </c>
      <c r="E3934" s="54">
        <f>"RNCP"&amp;D3934</f>
        <v/>
      </c>
      <c r="F3934" s="54" t="inlineStr">
        <is>
          <t>DIPLOVIS - Ingénieur d'affaires</t>
        </is>
      </c>
      <c r="G3934" s="55">
        <f>E3934&amp;" - "&amp;F3934</f>
        <v/>
      </c>
      <c r="H3934" s="37" t="inlineStr">
        <is>
          <t>À vérifier</t>
        </is>
      </c>
      <c r="I3934" s="51" t="inlineStr">
        <is>
          <t>Successeur déjà publié : RNCP42246 (Ingénieur d'affaires) — préparer la bascule de l'offre CPF | Échéance le 31/08/2026 (dans 44 j)</t>
        </is>
      </c>
      <c r="J3934" s="51" t="inlineStr">
        <is>
          <t>RNCP42246</t>
        </is>
      </c>
      <c r="K3934" s="51" t="inlineStr">
        <is>
          <t>Ingénieur d'affaires</t>
        </is>
      </c>
      <c r="L3934" s="51" t="inlineStr">
        <is>
          <t>31/08/2026</t>
        </is>
      </c>
      <c r="M3934" s="51" t="inlineStr">
        <is>
          <t>34590 (Ingénieur d'affaires) ; 34254 (Commerce international) ; 34085 (Stratégie commerciale)</t>
        </is>
      </c>
      <c r="N3934" s="62" t="inlineStr">
        <is>
          <t>NON</t>
        </is>
      </c>
      <c r="O3934" s="51" t="inlineStr"/>
    </row>
    <row r="3935" customFormat="1" s="3">
      <c r="A3935" s="45" t="n"/>
      <c r="B3935" s="46" t="inlineStr">
        <is>
          <t>34232</t>
        </is>
      </c>
      <c r="C3935" s="46">
        <f>LEFT(Tableau1[[#This Row],[Formacode]],3)</f>
        <v/>
      </c>
      <c r="D3935" s="47" t="n">
        <v>39268</v>
      </c>
      <c r="E3935" s="48">
        <f>"RNCP"&amp;D3935</f>
        <v/>
      </c>
      <c r="F3935" s="48" t="inlineStr">
        <is>
          <t>DIPLOVIS - Diplôme d’Etudes Spécialisées en Management International</t>
        </is>
      </c>
      <c r="G3935" s="49">
        <f>E3935&amp;" - "&amp;F3935</f>
        <v/>
      </c>
      <c r="H3935" s="36" t="inlineStr">
        <is>
          <t>RAS</t>
        </is>
      </c>
      <c r="I3935" s="45" t="inlineStr"/>
      <c r="J3935" s="45" t="inlineStr">
        <is>
          <t>RNCP39268</t>
        </is>
      </c>
      <c r="K3935" s="45" t="inlineStr">
        <is>
          <t>Diplôme d’Etudes Spécialisées en Management International</t>
        </is>
      </c>
      <c r="L3935" s="45" t="inlineStr">
        <is>
          <t>31/08/2029</t>
        </is>
      </c>
      <c r="M3935" s="45" t="inlineStr">
        <is>
          <t>32005 (Stratégie internationale) ; 32006 (Gestion entreprise internationale) ; 32008 (Responsabilité sociétale entreprise) ; 34254 (Commerce international)</t>
        </is>
      </c>
      <c r="N3935" s="50" t="inlineStr">
        <is>
          <t>NON</t>
        </is>
      </c>
      <c r="O3935" s="45" t="inlineStr"/>
    </row>
    <row r="3936" customFormat="1" s="3">
      <c r="A3936" s="45" t="n"/>
      <c r="B3936" s="46" t="inlineStr">
        <is>
          <t>34232</t>
        </is>
      </c>
      <c r="C3936" s="46">
        <f>LEFT(Tableau1[[#This Row],[Formacode]],3)</f>
        <v/>
      </c>
      <c r="D3936" s="47" t="n">
        <v>39368</v>
      </c>
      <c r="E3936" s="48">
        <f>"RNCP"&amp;D3936</f>
        <v/>
      </c>
      <c r="F3936" s="48" t="inlineStr">
        <is>
          <t>CQP Animateur du développement commercial de la PME/PMI par l’international</t>
        </is>
      </c>
      <c r="G3936" s="49">
        <f>E3936&amp;" - "&amp;F3936</f>
        <v/>
      </c>
      <c r="H3936" s="36" t="inlineStr">
        <is>
          <t>RAS</t>
        </is>
      </c>
      <c r="I3936" s="45" t="inlineStr"/>
      <c r="J3936" s="45" t="inlineStr">
        <is>
          <t>RNCP39368</t>
        </is>
      </c>
      <c r="K3936" s="45" t="inlineStr">
        <is>
          <t>CQP Animateur du développement commercial de la PME/PMI par l’international</t>
        </is>
      </c>
      <c r="L3936" s="45" t="inlineStr">
        <is>
          <t>19/07/2028</t>
        </is>
      </c>
      <c r="M3936" s="45" t="inlineStr">
        <is>
          <t>34254 (Commerce international) ; 32094 (Gestion PME PMI)</t>
        </is>
      </c>
      <c r="N3936" s="50" t="inlineStr">
        <is>
          <t>NON</t>
        </is>
      </c>
      <c r="O3936" s="45" t="inlineStr"/>
    </row>
    <row r="3937" ht="28.8" customFormat="1" customHeight="1" s="3">
      <c r="A3937" s="45" t="n"/>
      <c r="B3937" s="46" t="inlineStr">
        <is>
          <t>34232</t>
        </is>
      </c>
      <c r="C3937" s="46">
        <f>LEFT(Tableau1[[#This Row],[Formacode]],3)</f>
        <v/>
      </c>
      <c r="D3937" s="47" t="n">
        <v>39571</v>
      </c>
      <c r="E3937" s="48">
        <f>"RNCP"&amp;D3937</f>
        <v/>
      </c>
      <c r="F3937" s="48" t="inlineStr">
        <is>
          <t>DipViGrM - Diplôme d’études supérieures en marketing, gestion commerciale et management international</t>
        </is>
      </c>
      <c r="G3937" s="49">
        <f>E3937&amp;" - "&amp;F3937</f>
        <v/>
      </c>
      <c r="H3937" s="36" t="inlineStr">
        <is>
          <t>RAS</t>
        </is>
      </c>
      <c r="I3937" s="45" t="inlineStr"/>
      <c r="J3937" s="45" t="inlineStr">
        <is>
          <t>RNCP39571</t>
        </is>
      </c>
      <c r="K3937" s="45" t="inlineStr">
        <is>
          <t>Diplôme d’études supérieures en marketing, gestion commerciale et management international</t>
        </is>
      </c>
      <c r="L3937" s="45" t="inlineStr">
        <is>
          <t>31/08/2027</t>
        </is>
      </c>
      <c r="M3937" s="45" t="inlineStr">
        <is>
          <t>34254 (Commerce international) ; 34016 (Marketing achat) ; 41023 (Marché financier) ; 34554 (Commerce)</t>
        </is>
      </c>
      <c r="N3937" s="50" t="inlineStr">
        <is>
          <t>NON</t>
        </is>
      </c>
      <c r="O3937" s="45" t="inlineStr"/>
    </row>
    <row r="3938" customFormat="1" s="3">
      <c r="A3938" s="45" t="n"/>
      <c r="B3938" s="46" t="inlineStr">
        <is>
          <t>34232</t>
        </is>
      </c>
      <c r="C3938" s="46">
        <f>LEFT(Tableau1[[#This Row],[Formacode]],3)</f>
        <v/>
      </c>
      <c r="D3938" s="47" t="n">
        <v>40172</v>
      </c>
      <c r="E3938" s="48">
        <f>"RNCP"&amp;D3938</f>
        <v/>
      </c>
      <c r="F3938" s="48" t="inlineStr">
        <is>
          <t>Chargé de développement commercial</t>
        </is>
      </c>
      <c r="G3938" s="49">
        <f>E3938&amp;" - "&amp;F3938</f>
        <v/>
      </c>
      <c r="H3938" s="36" t="inlineStr">
        <is>
          <t>RAS</t>
        </is>
      </c>
      <c r="I3938" s="45" t="inlineStr"/>
      <c r="J3938" s="45" t="inlineStr">
        <is>
          <t>RNCP40172</t>
        </is>
      </c>
      <c r="K3938" s="45" t="inlineStr">
        <is>
          <t>Chargé de développement commercial</t>
        </is>
      </c>
      <c r="L3938" s="45" t="inlineStr">
        <is>
          <t>31/01/2028</t>
        </is>
      </c>
      <c r="M3938" s="45" t="inlineStr">
        <is>
          <t>34085 (Stratégie commerciale) ; 34254 (Commerce international) ; 34582 (Négociation commerciale)</t>
        </is>
      </c>
      <c r="N3938" s="50" t="inlineStr">
        <is>
          <t>NON</t>
        </is>
      </c>
      <c r="O3938" s="45" t="inlineStr"/>
    </row>
    <row r="3939" customFormat="1" s="3">
      <c r="A3939" s="45" t="n"/>
      <c r="B3939" s="46" t="inlineStr">
        <is>
          <t>34232</t>
        </is>
      </c>
      <c r="C3939" s="46">
        <f>LEFT(Tableau1[[#This Row],[Formacode]],3)</f>
        <v/>
      </c>
      <c r="D3939" s="47" t="n">
        <v>40352</v>
      </c>
      <c r="E3939" s="48">
        <f>"RNCP"&amp;D3939</f>
        <v/>
      </c>
      <c r="F3939" s="48" t="inlineStr">
        <is>
          <t>Manager du développement international</t>
        </is>
      </c>
      <c r="G3939" s="49">
        <f>E3939&amp;" - "&amp;F3939</f>
        <v/>
      </c>
      <c r="H3939" s="36" t="inlineStr">
        <is>
          <t>RAS</t>
        </is>
      </c>
      <c r="I3939" s="45" t="inlineStr"/>
      <c r="J3939" s="45" t="inlineStr">
        <is>
          <t>RNCP40352</t>
        </is>
      </c>
      <c r="K3939" s="45" t="inlineStr">
        <is>
          <t>Manager du développement international</t>
        </is>
      </c>
      <c r="L3939" s="45" t="inlineStr">
        <is>
          <t>28/03/2030</t>
        </is>
      </c>
      <c r="M3939" s="45" t="inlineStr">
        <is>
          <t>32005 (Stratégie internationale) ; 32006 (Gestion entreprise internationale) ; 34254 (Commerce international) ; 32136 (Conduite projet international)</t>
        </is>
      </c>
      <c r="N3939" s="50" t="inlineStr">
        <is>
          <t>NON</t>
        </is>
      </c>
      <c r="O3939" s="45" t="inlineStr"/>
    </row>
    <row r="3940" customFormat="1" s="3">
      <c r="A3940" s="45" t="n"/>
      <c r="B3940" s="46" t="inlineStr">
        <is>
          <t>34232</t>
        </is>
      </c>
      <c r="C3940" s="46">
        <f>LEFT(Tableau1[[#This Row],[Formacode]],3)</f>
        <v/>
      </c>
      <c r="D3940" s="47" t="n">
        <v>40591</v>
      </c>
      <c r="E3940" s="48">
        <f>"RNCP"&amp;D3940</f>
        <v/>
      </c>
      <c r="F3940" s="48" t="inlineStr">
        <is>
          <t>Manager de la stratégie commerciale</t>
        </is>
      </c>
      <c r="G3940" s="49">
        <f>E3940&amp;" - "&amp;F3940</f>
        <v/>
      </c>
      <c r="H3940" s="36" t="inlineStr">
        <is>
          <t>RAS</t>
        </is>
      </c>
      <c r="I3940" s="45" t="inlineStr"/>
      <c r="J3940" s="45" t="inlineStr">
        <is>
          <t>RNCP40591</t>
        </is>
      </c>
      <c r="K3940" s="45" t="inlineStr">
        <is>
          <t>Manager de la stratégie commerciale</t>
        </is>
      </c>
      <c r="L3940" s="45" t="inlineStr">
        <is>
          <t>30/04/2030</t>
        </is>
      </c>
      <c r="M3940" s="45" t="inlineStr">
        <is>
          <t>34085 (Stratégie commerciale) ; 34590 (Ingénieur d'affaires) ; 34254 (Commerce international)</t>
        </is>
      </c>
      <c r="N3940" s="50" t="inlineStr">
        <is>
          <t>NON</t>
        </is>
      </c>
      <c r="O3940" s="45" t="inlineStr"/>
    </row>
    <row r="3941" ht="28.8" customFormat="1" customHeight="1" s="3">
      <c r="A3941" s="45" t="n"/>
      <c r="B3941" s="46" t="inlineStr">
        <is>
          <t>34232</t>
        </is>
      </c>
      <c r="C3941" s="46">
        <f>LEFT(Tableau1[[#This Row],[Formacode]],3)</f>
        <v/>
      </c>
      <c r="D3941" s="47" t="n">
        <v>40724</v>
      </c>
      <c r="E3941" s="48">
        <f>"RNCP"&amp;D3941</f>
        <v/>
      </c>
      <c r="F3941" s="48" t="inlineStr">
        <is>
          <t>DipViGrL - Diplôme d’enseignement supérieure en management des affaires internationales</t>
        </is>
      </c>
      <c r="G3941" s="49">
        <f>E3941&amp;" - "&amp;F3941</f>
        <v/>
      </c>
      <c r="H3941" s="36" t="inlineStr">
        <is>
          <t>RAS</t>
        </is>
      </c>
      <c r="I3941" s="45" t="inlineStr"/>
      <c r="J3941" s="45" t="inlineStr">
        <is>
          <t>RNCP40724</t>
        </is>
      </c>
      <c r="K3941" s="45" t="inlineStr">
        <is>
          <t>Diplôme d’enseignement supérieure en management des affaires internationales</t>
        </is>
      </c>
      <c r="L3941" s="45" t="inlineStr">
        <is>
          <t>31/08/2028</t>
        </is>
      </c>
      <c r="M3941" s="45" t="inlineStr">
        <is>
          <t>34254 (Commerce international) ; 34052 (Marketing) ; 34056 (Administration ventes) ; 32006 (Gestion entreprise internationale)</t>
        </is>
      </c>
      <c r="N3941" s="50" t="inlineStr">
        <is>
          <t>NON</t>
        </is>
      </c>
      <c r="O3941" s="45" t="inlineStr"/>
    </row>
    <row r="3942" customFormat="1" s="3">
      <c r="A3942" s="51" t="n"/>
      <c r="B3942" s="52" t="inlineStr">
        <is>
          <t>34236</t>
        </is>
      </c>
      <c r="C3942" s="52">
        <f>LEFT(Tableau1[[#This Row],[Formacode]],3)</f>
        <v/>
      </c>
      <c r="D3942" s="53" t="n">
        <v>35800</v>
      </c>
      <c r="E3942" s="54">
        <f>"RNCP"&amp;D3942</f>
        <v/>
      </c>
      <c r="F3942" s="54" t="inlineStr">
        <is>
          <t>Brevet de technicien supérieur - Commerce international</t>
        </is>
      </c>
      <c r="G3942" s="55">
        <f>E3942&amp;" - "&amp;F3942</f>
        <v/>
      </c>
      <c r="H3942" s="37" t="inlineStr">
        <is>
          <t>À vérifier</t>
        </is>
      </c>
      <c r="I3942" s="51" t="inlineStr">
        <is>
          <t>Successeur déjà publié : RNCP41759 (Commerce international) — préparer la bascule de l'offre CPF | Échéance le 31/08/2026 (dans 44 j)</t>
        </is>
      </c>
      <c r="J3942" s="51" t="inlineStr">
        <is>
          <t>RNCP41759</t>
        </is>
      </c>
      <c r="K3942" s="51" t="inlineStr">
        <is>
          <t>Commerce international</t>
        </is>
      </c>
      <c r="L3942" s="51" t="inlineStr">
        <is>
          <t>31/08/2026</t>
        </is>
      </c>
      <c r="M3942" s="51" t="inlineStr">
        <is>
          <t>34254 (Commerce international) ; 34582 (Négociation commerciale) ; 34593 (Prospection vente)</t>
        </is>
      </c>
      <c r="N3942" s="62" t="inlineStr">
        <is>
          <t>NON</t>
        </is>
      </c>
      <c r="O3942" s="51" t="inlineStr"/>
    </row>
    <row r="3943" customFormat="1" s="3">
      <c r="A3943" s="51" t="n"/>
      <c r="B3943" s="52" t="inlineStr">
        <is>
          <t>34236</t>
        </is>
      </c>
      <c r="C3943" s="52">
        <f>LEFT(Tableau1[[#This Row],[Formacode]],3)</f>
        <v/>
      </c>
      <c r="D3943" s="53" t="n">
        <v>36320</v>
      </c>
      <c r="E3943" s="54">
        <f>"RNCP"&amp;D3943</f>
        <v/>
      </c>
      <c r="F3943" s="54" t="inlineStr">
        <is>
          <t>DIPLOVIS - Ingénieur d'affaires</t>
        </is>
      </c>
      <c r="G3943" s="55">
        <f>E3943&amp;" - "&amp;F3943</f>
        <v/>
      </c>
      <c r="H3943" s="37" t="inlineStr">
        <is>
          <t>À vérifier</t>
        </is>
      </c>
      <c r="I3943" s="51" t="inlineStr">
        <is>
          <t>Successeur déjà publié : RNCP42246 (Ingénieur d'affaires) — préparer la bascule de l'offre CPF | Échéance le 31/08/2026 (dans 44 j)</t>
        </is>
      </c>
      <c r="J3943" s="51" t="inlineStr">
        <is>
          <t>RNCP42246</t>
        </is>
      </c>
      <c r="K3943" s="51" t="inlineStr">
        <is>
          <t>Ingénieur d'affaires</t>
        </is>
      </c>
      <c r="L3943" s="51" t="inlineStr">
        <is>
          <t>31/08/2026</t>
        </is>
      </c>
      <c r="M3943" s="51" t="inlineStr">
        <is>
          <t>34590 (Ingénieur d'affaires) ; 34254 (Commerce international) ; 34085 (Stratégie commerciale)</t>
        </is>
      </c>
      <c r="N3943" s="62" t="inlineStr">
        <is>
          <t>NON</t>
        </is>
      </c>
      <c r="O3943" s="51" t="inlineStr"/>
    </row>
    <row r="3944" customFormat="1" s="3">
      <c r="A3944" s="45" t="n"/>
      <c r="B3944" s="46" t="inlineStr">
        <is>
          <t>34236</t>
        </is>
      </c>
      <c r="C3944" s="46">
        <f>LEFT(Tableau1[[#This Row],[Formacode]],3)</f>
        <v/>
      </c>
      <c r="D3944" s="47" t="n">
        <v>39268</v>
      </c>
      <c r="E3944" s="48">
        <f>"RNCP"&amp;D3944</f>
        <v/>
      </c>
      <c r="F3944" s="48" t="inlineStr">
        <is>
          <t>DIPLOVIS - Diplôme d’Etudes Spécialisées en Management International</t>
        </is>
      </c>
      <c r="G3944" s="49">
        <f>E3944&amp;" - "&amp;F3944</f>
        <v/>
      </c>
      <c r="H3944" s="36" t="inlineStr">
        <is>
          <t>RAS</t>
        </is>
      </c>
      <c r="I3944" s="45" t="inlineStr"/>
      <c r="J3944" s="45" t="inlineStr">
        <is>
          <t>RNCP39268</t>
        </is>
      </c>
      <c r="K3944" s="45" t="inlineStr">
        <is>
          <t>Diplôme d’Etudes Spécialisées en Management International</t>
        </is>
      </c>
      <c r="L3944" s="45" t="inlineStr">
        <is>
          <t>31/08/2029</t>
        </is>
      </c>
      <c r="M3944" s="45" t="inlineStr">
        <is>
          <t>32005 (Stratégie internationale) ; 32006 (Gestion entreprise internationale) ; 32008 (Responsabilité sociétale entreprise) ; 34254 (Commerce international)</t>
        </is>
      </c>
      <c r="N3944" s="50" t="inlineStr">
        <is>
          <t>NON</t>
        </is>
      </c>
      <c r="O3944" s="45" t="inlineStr"/>
    </row>
    <row r="3945" customFormat="1" s="3">
      <c r="A3945" s="45" t="n"/>
      <c r="B3945" s="46" t="inlineStr">
        <is>
          <t>34236</t>
        </is>
      </c>
      <c r="C3945" s="46">
        <f>LEFT(Tableau1[[#This Row],[Formacode]],3)</f>
        <v/>
      </c>
      <c r="D3945" s="47" t="n">
        <v>39368</v>
      </c>
      <c r="E3945" s="48">
        <f>"RNCP"&amp;D3945</f>
        <v/>
      </c>
      <c r="F3945" s="48" t="inlineStr">
        <is>
          <t>CQP Animateur du développement commercial de la PME/PMI par l’international</t>
        </is>
      </c>
      <c r="G3945" s="49">
        <f>E3945&amp;" - "&amp;F3945</f>
        <v/>
      </c>
      <c r="H3945" s="36" t="inlineStr">
        <is>
          <t>RAS</t>
        </is>
      </c>
      <c r="I3945" s="45" t="inlineStr"/>
      <c r="J3945" s="45" t="inlineStr">
        <is>
          <t>RNCP39368</t>
        </is>
      </c>
      <c r="K3945" s="45" t="inlineStr">
        <is>
          <t>CQP Animateur du développement commercial de la PME/PMI par l’international</t>
        </is>
      </c>
      <c r="L3945" s="45" t="inlineStr">
        <is>
          <t>19/07/2028</t>
        </is>
      </c>
      <c r="M3945" s="45" t="inlineStr">
        <is>
          <t>34254 (Commerce international) ; 32094 (Gestion PME PMI)</t>
        </is>
      </c>
      <c r="N3945" s="50" t="inlineStr">
        <is>
          <t>NON</t>
        </is>
      </c>
      <c r="O3945" s="45" t="inlineStr"/>
    </row>
    <row r="3946" ht="28.8" customFormat="1" customHeight="1" s="3">
      <c r="A3946" s="45" t="n"/>
      <c r="B3946" s="46" t="inlineStr">
        <is>
          <t>34236</t>
        </is>
      </c>
      <c r="C3946" s="46">
        <f>LEFT(Tableau1[[#This Row],[Formacode]],3)</f>
        <v/>
      </c>
      <c r="D3946" s="47" t="n">
        <v>39571</v>
      </c>
      <c r="E3946" s="48">
        <f>"RNCP"&amp;D3946</f>
        <v/>
      </c>
      <c r="F3946" s="48" t="inlineStr">
        <is>
          <t>DipViGrM - Diplôme d’études supérieures en marketing, gestion commerciale et management international</t>
        </is>
      </c>
      <c r="G3946" s="49">
        <f>E3946&amp;" - "&amp;F3946</f>
        <v/>
      </c>
      <c r="H3946" s="36" t="inlineStr">
        <is>
          <t>RAS</t>
        </is>
      </c>
      <c r="I3946" s="45" t="inlineStr"/>
      <c r="J3946" s="45" t="inlineStr">
        <is>
          <t>RNCP39571</t>
        </is>
      </c>
      <c r="K3946" s="45" t="inlineStr">
        <is>
          <t>Diplôme d’études supérieures en marketing, gestion commerciale et management international</t>
        </is>
      </c>
      <c r="L3946" s="45" t="inlineStr">
        <is>
          <t>31/08/2027</t>
        </is>
      </c>
      <c r="M3946" s="45" t="inlineStr">
        <is>
          <t>34254 (Commerce international) ; 34016 (Marketing achat) ; 41023 (Marché financier) ; 34554 (Commerce)</t>
        </is>
      </c>
      <c r="N3946" s="50" t="inlineStr">
        <is>
          <t>NON</t>
        </is>
      </c>
      <c r="O3946" s="45" t="inlineStr"/>
    </row>
    <row r="3947" customFormat="1" s="3">
      <c r="A3947" s="45" t="n"/>
      <c r="B3947" s="46" t="inlineStr">
        <is>
          <t>34236</t>
        </is>
      </c>
      <c r="C3947" s="46">
        <f>LEFT(Tableau1[[#This Row],[Formacode]],3)</f>
        <v/>
      </c>
      <c r="D3947" s="47" t="n">
        <v>40172</v>
      </c>
      <c r="E3947" s="48">
        <f>"RNCP"&amp;D3947</f>
        <v/>
      </c>
      <c r="F3947" s="48" t="inlineStr">
        <is>
          <t>Chargé de développement commercial</t>
        </is>
      </c>
      <c r="G3947" s="49">
        <f>E3947&amp;" - "&amp;F3947</f>
        <v/>
      </c>
      <c r="H3947" s="36" t="inlineStr">
        <is>
          <t>RAS</t>
        </is>
      </c>
      <c r="I3947" s="45" t="inlineStr"/>
      <c r="J3947" s="45" t="inlineStr">
        <is>
          <t>RNCP40172</t>
        </is>
      </c>
      <c r="K3947" s="45" t="inlineStr">
        <is>
          <t>Chargé de développement commercial</t>
        </is>
      </c>
      <c r="L3947" s="45" t="inlineStr">
        <is>
          <t>31/01/2028</t>
        </is>
      </c>
      <c r="M3947" s="45" t="inlineStr">
        <is>
          <t>34085 (Stratégie commerciale) ; 34254 (Commerce international) ; 34582 (Négociation commerciale)</t>
        </is>
      </c>
      <c r="N3947" s="50" t="inlineStr">
        <is>
          <t>NON</t>
        </is>
      </c>
      <c r="O3947" s="45" t="inlineStr"/>
    </row>
    <row r="3948" customFormat="1" s="3">
      <c r="A3948" s="45" t="n"/>
      <c r="B3948" s="46" t="inlineStr">
        <is>
          <t>34236</t>
        </is>
      </c>
      <c r="C3948" s="46">
        <f>LEFT(Tableau1[[#This Row],[Formacode]],3)</f>
        <v/>
      </c>
      <c r="D3948" s="47" t="n">
        <v>40352</v>
      </c>
      <c r="E3948" s="48">
        <f>"RNCP"&amp;D3948</f>
        <v/>
      </c>
      <c r="F3948" s="48" t="inlineStr">
        <is>
          <t>Manager du développement international</t>
        </is>
      </c>
      <c r="G3948" s="49">
        <f>E3948&amp;" - "&amp;F3948</f>
        <v/>
      </c>
      <c r="H3948" s="36" t="inlineStr">
        <is>
          <t>RAS</t>
        </is>
      </c>
      <c r="I3948" s="45" t="inlineStr"/>
      <c r="J3948" s="45" t="inlineStr">
        <is>
          <t>RNCP40352</t>
        </is>
      </c>
      <c r="K3948" s="45" t="inlineStr">
        <is>
          <t>Manager du développement international</t>
        </is>
      </c>
      <c r="L3948" s="45" t="inlineStr">
        <is>
          <t>28/03/2030</t>
        </is>
      </c>
      <c r="M3948" s="45" t="inlineStr">
        <is>
          <t>32005 (Stratégie internationale) ; 32006 (Gestion entreprise internationale) ; 34254 (Commerce international) ; 32136 (Conduite projet international)</t>
        </is>
      </c>
      <c r="N3948" s="50" t="inlineStr">
        <is>
          <t>NON</t>
        </is>
      </c>
      <c r="O3948" s="45" t="inlineStr"/>
    </row>
    <row r="3949" customFormat="1" s="3">
      <c r="A3949" s="45" t="n"/>
      <c r="B3949" s="46" t="inlineStr">
        <is>
          <t>34236</t>
        </is>
      </c>
      <c r="C3949" s="46">
        <f>LEFT(Tableau1[[#This Row],[Formacode]],3)</f>
        <v/>
      </c>
      <c r="D3949" s="47" t="n">
        <v>40591</v>
      </c>
      <c r="E3949" s="48">
        <f>"RNCP"&amp;D3949</f>
        <v/>
      </c>
      <c r="F3949" s="48" t="inlineStr">
        <is>
          <t>Manager de la stratégie commerciale</t>
        </is>
      </c>
      <c r="G3949" s="49">
        <f>E3949&amp;" - "&amp;F3949</f>
        <v/>
      </c>
      <c r="H3949" s="36" t="inlineStr">
        <is>
          <t>RAS</t>
        </is>
      </c>
      <c r="I3949" s="45" t="inlineStr"/>
      <c r="J3949" s="45" t="inlineStr">
        <is>
          <t>RNCP40591</t>
        </is>
      </c>
      <c r="K3949" s="45" t="inlineStr">
        <is>
          <t>Manager de la stratégie commerciale</t>
        </is>
      </c>
      <c r="L3949" s="45" t="inlineStr">
        <is>
          <t>30/04/2030</t>
        </is>
      </c>
      <c r="M3949" s="45" t="inlineStr">
        <is>
          <t>34085 (Stratégie commerciale) ; 34590 (Ingénieur d'affaires) ; 34254 (Commerce international)</t>
        </is>
      </c>
      <c r="N3949" s="50" t="inlineStr">
        <is>
          <t>NON</t>
        </is>
      </c>
      <c r="O3949" s="45" t="inlineStr"/>
    </row>
    <row r="3950" ht="28.8" customFormat="1" customHeight="1" s="3">
      <c r="A3950" s="45" t="n"/>
      <c r="B3950" s="46" t="inlineStr">
        <is>
          <t>34236</t>
        </is>
      </c>
      <c r="C3950" s="46">
        <f>LEFT(Tableau1[[#This Row],[Formacode]],3)</f>
        <v/>
      </c>
      <c r="D3950" s="47" t="n">
        <v>40724</v>
      </c>
      <c r="E3950" s="48">
        <f>"RNCP"&amp;D3950</f>
        <v/>
      </c>
      <c r="F3950" s="48" t="inlineStr">
        <is>
          <t>DipViGrL - Diplôme d’enseignement supérieure en management des affaires internationales</t>
        </is>
      </c>
      <c r="G3950" s="49">
        <f>E3950&amp;" - "&amp;F3950</f>
        <v/>
      </c>
      <c r="H3950" s="36" t="inlineStr">
        <is>
          <t>RAS</t>
        </is>
      </c>
      <c r="I3950" s="45" t="inlineStr"/>
      <c r="J3950" s="45" t="inlineStr">
        <is>
          <t>RNCP40724</t>
        </is>
      </c>
      <c r="K3950" s="45" t="inlineStr">
        <is>
          <t>Diplôme d’enseignement supérieure en management des affaires internationales</t>
        </is>
      </c>
      <c r="L3950" s="45" t="inlineStr">
        <is>
          <t>31/08/2028</t>
        </is>
      </c>
      <c r="M3950" s="45" t="inlineStr">
        <is>
          <t>34254 (Commerce international) ; 34052 (Marketing) ; 34056 (Administration ventes) ; 32006 (Gestion entreprise internationale)</t>
        </is>
      </c>
      <c r="N3950" s="50" t="inlineStr">
        <is>
          <t>NON</t>
        </is>
      </c>
      <c r="O3950" s="45" t="inlineStr"/>
    </row>
    <row r="3951" customFormat="1" s="3">
      <c r="A3951" s="51" t="n"/>
      <c r="B3951" s="52" t="inlineStr">
        <is>
          <t>34240</t>
        </is>
      </c>
      <c r="C3951" s="52">
        <f>LEFT(Tableau1[[#This Row],[Formacode]],3)</f>
        <v/>
      </c>
      <c r="D3951" s="53" t="n">
        <v>35800</v>
      </c>
      <c r="E3951" s="54">
        <f>"RNCP"&amp;D3951</f>
        <v/>
      </c>
      <c r="F3951" s="54" t="inlineStr">
        <is>
          <t>Brevet de technicien supérieur - Commerce international</t>
        </is>
      </c>
      <c r="G3951" s="55">
        <f>E3951&amp;" - "&amp;F3951</f>
        <v/>
      </c>
      <c r="H3951" s="37" t="inlineStr">
        <is>
          <t>À vérifier</t>
        </is>
      </c>
      <c r="I3951" s="51" t="inlineStr">
        <is>
          <t>Successeur déjà publié : RNCP41759 (Commerce international) — préparer la bascule de l'offre CPF | Échéance le 31/08/2026 (dans 44 j)</t>
        </is>
      </c>
      <c r="J3951" s="51" t="inlineStr">
        <is>
          <t>RNCP41759</t>
        </is>
      </c>
      <c r="K3951" s="51" t="inlineStr">
        <is>
          <t>Commerce international</t>
        </is>
      </c>
      <c r="L3951" s="51" t="inlineStr">
        <is>
          <t>31/08/2026</t>
        </is>
      </c>
      <c r="M3951" s="51" t="inlineStr">
        <is>
          <t>34254 (Commerce international) ; 34582 (Négociation commerciale) ; 34593 (Prospection vente)</t>
        </is>
      </c>
      <c r="N3951" s="62" t="inlineStr">
        <is>
          <t>NON</t>
        </is>
      </c>
      <c r="O3951" s="51" t="inlineStr"/>
    </row>
    <row r="3952" customFormat="1" s="3">
      <c r="A3952" s="51" t="n"/>
      <c r="B3952" s="52" t="inlineStr">
        <is>
          <t>34240</t>
        </is>
      </c>
      <c r="C3952" s="52">
        <f>LEFT(Tableau1[[#This Row],[Formacode]],3)</f>
        <v/>
      </c>
      <c r="D3952" s="53" t="n">
        <v>36320</v>
      </c>
      <c r="E3952" s="54">
        <f>"RNCP"&amp;D3952</f>
        <v/>
      </c>
      <c r="F3952" s="54" t="inlineStr">
        <is>
          <t>DIPLOVIS - Ingénieur d'affaires</t>
        </is>
      </c>
      <c r="G3952" s="55">
        <f>E3952&amp;" - "&amp;F3952</f>
        <v/>
      </c>
      <c r="H3952" s="37" t="inlineStr">
        <is>
          <t>À vérifier</t>
        </is>
      </c>
      <c r="I3952" s="51" t="inlineStr">
        <is>
          <t>Successeur déjà publié : RNCP42246 (Ingénieur d'affaires) — préparer la bascule de l'offre CPF | Échéance le 31/08/2026 (dans 44 j)</t>
        </is>
      </c>
      <c r="J3952" s="51" t="inlineStr">
        <is>
          <t>RNCP42246</t>
        </is>
      </c>
      <c r="K3952" s="51" t="inlineStr">
        <is>
          <t>Ingénieur d'affaires</t>
        </is>
      </c>
      <c r="L3952" s="51" t="inlineStr">
        <is>
          <t>31/08/2026</t>
        </is>
      </c>
      <c r="M3952" s="51" t="inlineStr">
        <is>
          <t>34590 (Ingénieur d'affaires) ; 34254 (Commerce international) ; 34085 (Stratégie commerciale)</t>
        </is>
      </c>
      <c r="N3952" s="62" t="inlineStr">
        <is>
          <t>NON</t>
        </is>
      </c>
      <c r="O3952" s="51" t="inlineStr"/>
    </row>
    <row r="3953" customFormat="1" s="3">
      <c r="A3953" s="45" t="n"/>
      <c r="B3953" s="46" t="inlineStr">
        <is>
          <t>34240</t>
        </is>
      </c>
      <c r="C3953" s="46">
        <f>LEFT(Tableau1[[#This Row],[Formacode]],3)</f>
        <v/>
      </c>
      <c r="D3953" s="47" t="n">
        <v>36991</v>
      </c>
      <c r="E3953" s="48">
        <f>"RNCP"&amp;D3953</f>
        <v/>
      </c>
      <c r="F3953" s="48" t="inlineStr">
        <is>
          <t>Manager de la communication</t>
        </is>
      </c>
      <c r="G3953" s="49">
        <f>E3953&amp;" - "&amp;F3953</f>
        <v/>
      </c>
      <c r="H3953" s="36" t="inlineStr">
        <is>
          <t>RAS</t>
        </is>
      </c>
      <c r="I3953" s="45" t="inlineStr"/>
      <c r="J3953" s="45" t="inlineStr">
        <is>
          <t>RNCP36991</t>
        </is>
      </c>
      <c r="K3953" s="45" t="inlineStr">
        <is>
          <t>Manager de la communication</t>
        </is>
      </c>
      <c r="L3953" s="45" t="inlineStr">
        <is>
          <t>24/10/2027</t>
        </is>
      </c>
      <c r="M3953" s="45" t="inlineStr">
        <is>
          <t>46330 (E-réputation) ; 34260 (Marketing international) ; 34074 (Publicité) ; 32025 (Stratégie entreprise) ; 46341 (Communication externe)</t>
        </is>
      </c>
      <c r="N3953" s="50" t="inlineStr">
        <is>
          <t>NON</t>
        </is>
      </c>
      <c r="O3953" s="45" t="inlineStr"/>
    </row>
    <row r="3954" customFormat="1" s="3">
      <c r="A3954" s="45" t="n"/>
      <c r="B3954" s="46" t="inlineStr">
        <is>
          <t>34240</t>
        </is>
      </c>
      <c r="C3954" s="46">
        <f>LEFT(Tableau1[[#This Row],[Formacode]],3)</f>
        <v/>
      </c>
      <c r="D3954" s="47" t="n">
        <v>38597</v>
      </c>
      <c r="E3954" s="48">
        <f>"RNCP"&amp;D3954</f>
        <v/>
      </c>
      <c r="F3954" s="48" t="inlineStr">
        <is>
          <t>Manager du marketing et de la stratégie de marque</t>
        </is>
      </c>
      <c r="G3954" s="49">
        <f>E3954&amp;" - "&amp;F3954</f>
        <v/>
      </c>
      <c r="H3954" s="36" t="inlineStr">
        <is>
          <t>RAS</t>
        </is>
      </c>
      <c r="I3954" s="45" t="inlineStr"/>
      <c r="J3954" s="45" t="inlineStr">
        <is>
          <t>RNCP38597</t>
        </is>
      </c>
      <c r="K3954" s="45" t="inlineStr">
        <is>
          <t>Manager du marketing et de la stratégie de marque</t>
        </is>
      </c>
      <c r="L3954" s="45" t="inlineStr">
        <is>
          <t>09/02/2027</t>
        </is>
      </c>
      <c r="M3954" s="45" t="inlineStr">
        <is>
          <t>34059 (Gestion marque) ; 34260 (Marketing international)</t>
        </is>
      </c>
      <c r="N3954" s="50" t="inlineStr">
        <is>
          <t>NON</t>
        </is>
      </c>
      <c r="O3954" s="45" t="inlineStr"/>
    </row>
    <row r="3955" customFormat="1" s="3">
      <c r="A3955" s="45" t="n"/>
      <c r="B3955" s="46" t="inlineStr">
        <is>
          <t>34240</t>
        </is>
      </c>
      <c r="C3955" s="46">
        <f>LEFT(Tableau1[[#This Row],[Formacode]],3)</f>
        <v/>
      </c>
      <c r="D3955" s="47" t="n">
        <v>38598</v>
      </c>
      <c r="E3955" s="48">
        <f>"RNCP"&amp;D3955</f>
        <v/>
      </c>
      <c r="F3955" s="48" t="inlineStr">
        <is>
          <t>Manager du marketing de l'expérience client</t>
        </is>
      </c>
      <c r="G3955" s="49">
        <f>E3955&amp;" - "&amp;F3955</f>
        <v/>
      </c>
      <c r="H3955" s="36" t="inlineStr">
        <is>
          <t>RAS</t>
        </is>
      </c>
      <c r="I3955" s="45" t="inlineStr"/>
      <c r="J3955" s="45" t="inlineStr">
        <is>
          <t>RNCP38598</t>
        </is>
      </c>
      <c r="K3955" s="45" t="inlineStr">
        <is>
          <t>Manager du marketing de l'expérience client</t>
        </is>
      </c>
      <c r="L3955" s="45" t="inlineStr">
        <is>
          <t>09/02/2027</t>
        </is>
      </c>
      <c r="M3955" s="45" t="inlineStr">
        <is>
          <t>34260 (Marketing international) ; 34057 (Marketing stratégique) ; 34076 (Gestion relation client)</t>
        </is>
      </c>
      <c r="N3955" s="50" t="inlineStr">
        <is>
          <t>NON</t>
        </is>
      </c>
      <c r="O3955" s="45" t="inlineStr"/>
    </row>
    <row r="3956" customFormat="1" s="3">
      <c r="A3956" s="45" t="n"/>
      <c r="B3956" s="46" t="inlineStr">
        <is>
          <t>34240</t>
        </is>
      </c>
      <c r="C3956" s="46">
        <f>LEFT(Tableau1[[#This Row],[Formacode]],3)</f>
        <v/>
      </c>
      <c r="D3956" s="47" t="n">
        <v>39268</v>
      </c>
      <c r="E3956" s="48">
        <f>"RNCP"&amp;D3956</f>
        <v/>
      </c>
      <c r="F3956" s="48" t="inlineStr">
        <is>
          <t>DIPLOVIS - Diplôme d’Etudes Spécialisées en Management International</t>
        </is>
      </c>
      <c r="G3956" s="49">
        <f>E3956&amp;" - "&amp;F3956</f>
        <v/>
      </c>
      <c r="H3956" s="36" t="inlineStr">
        <is>
          <t>RAS</t>
        </is>
      </c>
      <c r="I3956" s="45" t="inlineStr"/>
      <c r="J3956" s="45" t="inlineStr">
        <is>
          <t>RNCP39268</t>
        </is>
      </c>
      <c r="K3956" s="45" t="inlineStr">
        <is>
          <t>Diplôme d’Etudes Spécialisées en Management International</t>
        </is>
      </c>
      <c r="L3956" s="45" t="inlineStr">
        <is>
          <t>31/08/2029</t>
        </is>
      </c>
      <c r="M3956" s="45" t="inlineStr">
        <is>
          <t>32005 (Stratégie internationale) ; 32006 (Gestion entreprise internationale) ; 32008 (Responsabilité sociétale entreprise) ; 34254 (Commerce international)</t>
        </is>
      </c>
      <c r="N3956" s="50" t="inlineStr">
        <is>
          <t>NON</t>
        </is>
      </c>
      <c r="O3956" s="45" t="inlineStr"/>
    </row>
    <row r="3957" customFormat="1" s="3">
      <c r="A3957" s="45" t="n"/>
      <c r="B3957" s="46" t="inlineStr">
        <is>
          <t>34240</t>
        </is>
      </c>
      <c r="C3957" s="46">
        <f>LEFT(Tableau1[[#This Row],[Formacode]],3)</f>
        <v/>
      </c>
      <c r="D3957" s="47" t="n">
        <v>39368</v>
      </c>
      <c r="E3957" s="48">
        <f>"RNCP"&amp;D3957</f>
        <v/>
      </c>
      <c r="F3957" s="48" t="inlineStr">
        <is>
          <t>CQP Animateur du développement commercial de la PME/PMI par l’international</t>
        </is>
      </c>
      <c r="G3957" s="49">
        <f>E3957&amp;" - "&amp;F3957</f>
        <v/>
      </c>
      <c r="H3957" s="36" t="inlineStr">
        <is>
          <t>RAS</t>
        </is>
      </c>
      <c r="I3957" s="45" t="inlineStr"/>
      <c r="J3957" s="45" t="inlineStr">
        <is>
          <t>RNCP39368</t>
        </is>
      </c>
      <c r="K3957" s="45" t="inlineStr">
        <is>
          <t>CQP Animateur du développement commercial de la PME/PMI par l’international</t>
        </is>
      </c>
      <c r="L3957" s="45" t="inlineStr">
        <is>
          <t>19/07/2028</t>
        </is>
      </c>
      <c r="M3957" s="45" t="inlineStr">
        <is>
          <t>34254 (Commerce international) ; 32094 (Gestion PME PMI)</t>
        </is>
      </c>
      <c r="N3957" s="50" t="inlineStr">
        <is>
          <t>NON</t>
        </is>
      </c>
      <c r="O3957" s="45" t="inlineStr"/>
    </row>
    <row r="3958" ht="28.8" customFormat="1" customHeight="1" s="3">
      <c r="A3958" s="45" t="n"/>
      <c r="B3958" s="46" t="inlineStr">
        <is>
          <t>34240</t>
        </is>
      </c>
      <c r="C3958" s="46">
        <f>LEFT(Tableau1[[#This Row],[Formacode]],3)</f>
        <v/>
      </c>
      <c r="D3958" s="47" t="n">
        <v>39571</v>
      </c>
      <c r="E3958" s="48">
        <f>"RNCP"&amp;D3958</f>
        <v/>
      </c>
      <c r="F3958" s="48" t="inlineStr">
        <is>
          <t>DipViGrM - Diplôme d’études supérieures en marketing, gestion commerciale et management international</t>
        </is>
      </c>
      <c r="G3958" s="49">
        <f>E3958&amp;" - "&amp;F3958</f>
        <v/>
      </c>
      <c r="H3958" s="36" t="inlineStr">
        <is>
          <t>RAS</t>
        </is>
      </c>
      <c r="I3958" s="45" t="inlineStr"/>
      <c r="J3958" s="45" t="inlineStr">
        <is>
          <t>RNCP39571</t>
        </is>
      </c>
      <c r="K3958" s="45" t="inlineStr">
        <is>
          <t>Diplôme d’études supérieures en marketing, gestion commerciale et management international</t>
        </is>
      </c>
      <c r="L3958" s="45" t="inlineStr">
        <is>
          <t>31/08/2027</t>
        </is>
      </c>
      <c r="M3958" s="45" t="inlineStr">
        <is>
          <t>34254 (Commerce international) ; 34016 (Marketing achat) ; 41023 (Marché financier) ; 34554 (Commerce)</t>
        </is>
      </c>
      <c r="N3958" s="50" t="inlineStr">
        <is>
          <t>NON</t>
        </is>
      </c>
      <c r="O3958" s="45" t="inlineStr"/>
    </row>
    <row r="3959" customFormat="1" s="3">
      <c r="A3959" s="45" t="n"/>
      <c r="B3959" s="46" t="inlineStr">
        <is>
          <t>34240</t>
        </is>
      </c>
      <c r="C3959" s="46">
        <f>LEFT(Tableau1[[#This Row],[Formacode]],3)</f>
        <v/>
      </c>
      <c r="D3959" s="47" t="n">
        <v>39953</v>
      </c>
      <c r="E3959" s="48">
        <f>"RNCP"&amp;D3959</f>
        <v/>
      </c>
      <c r="F3959" s="48" t="inlineStr">
        <is>
          <t>Manager marketing digital (MS)</t>
        </is>
      </c>
      <c r="G3959" s="49">
        <f>E3959&amp;" - "&amp;F3959</f>
        <v/>
      </c>
      <c r="H3959" s="36" t="inlineStr">
        <is>
          <t>RAS</t>
        </is>
      </c>
      <c r="I3959" s="45" t="inlineStr"/>
      <c r="J3959" s="45" t="inlineStr">
        <is>
          <t>RNCP39953</t>
        </is>
      </c>
      <c r="K3959" s="45" t="inlineStr">
        <is>
          <t>Manager marketing digital (MS)</t>
        </is>
      </c>
      <c r="L3959" s="45" t="inlineStr">
        <is>
          <t>18/12/2029</t>
        </is>
      </c>
      <c r="M3959" s="45" t="inlineStr">
        <is>
          <t>34093 (Marketing digital) ; 34260 (Marketing international) ; 34031 (Marketing mix) ; 34085 (Stratégie commerciale)</t>
        </is>
      </c>
      <c r="N3959" s="50" t="inlineStr">
        <is>
          <t>NON</t>
        </is>
      </c>
      <c r="O3959" s="45" t="inlineStr"/>
    </row>
    <row r="3960" customFormat="1" s="3">
      <c r="A3960" s="45" t="n"/>
      <c r="B3960" s="46" t="inlineStr">
        <is>
          <t>34240</t>
        </is>
      </c>
      <c r="C3960" s="46">
        <f>LEFT(Tableau1[[#This Row],[Formacode]],3)</f>
        <v/>
      </c>
      <c r="D3960" s="47" t="n">
        <v>40172</v>
      </c>
      <c r="E3960" s="48">
        <f>"RNCP"&amp;D3960</f>
        <v/>
      </c>
      <c r="F3960" s="48" t="inlineStr">
        <is>
          <t>Chargé de développement commercial</t>
        </is>
      </c>
      <c r="G3960" s="49">
        <f>E3960&amp;" - "&amp;F3960</f>
        <v/>
      </c>
      <c r="H3960" s="36" t="inlineStr">
        <is>
          <t>RAS</t>
        </is>
      </c>
      <c r="I3960" s="45" t="inlineStr"/>
      <c r="J3960" s="45" t="inlineStr">
        <is>
          <t>RNCP40172</t>
        </is>
      </c>
      <c r="K3960" s="45" t="inlineStr">
        <is>
          <t>Chargé de développement commercial</t>
        </is>
      </c>
      <c r="L3960" s="45" t="inlineStr">
        <is>
          <t>31/01/2028</t>
        </is>
      </c>
      <c r="M3960" s="45" t="inlineStr">
        <is>
          <t>34085 (Stratégie commerciale) ; 34254 (Commerce international) ; 34582 (Négociation commerciale)</t>
        </is>
      </c>
      <c r="N3960" s="50" t="inlineStr">
        <is>
          <t>NON</t>
        </is>
      </c>
      <c r="O3960" s="45" t="inlineStr"/>
    </row>
    <row r="3961" customFormat="1" s="3">
      <c r="A3961" s="45" t="n"/>
      <c r="B3961" s="46" t="inlineStr">
        <is>
          <t>34240</t>
        </is>
      </c>
      <c r="C3961" s="46">
        <f>LEFT(Tableau1[[#This Row],[Formacode]],3)</f>
        <v/>
      </c>
      <c r="D3961" s="47" t="n">
        <v>40352</v>
      </c>
      <c r="E3961" s="48">
        <f>"RNCP"&amp;D3961</f>
        <v/>
      </c>
      <c r="F3961" s="48" t="inlineStr">
        <is>
          <t>Manager du développement international</t>
        </is>
      </c>
      <c r="G3961" s="49">
        <f>E3961&amp;" - "&amp;F3961</f>
        <v/>
      </c>
      <c r="H3961" s="36" t="inlineStr">
        <is>
          <t>RAS</t>
        </is>
      </c>
      <c r="I3961" s="45" t="inlineStr"/>
      <c r="J3961" s="45" t="inlineStr">
        <is>
          <t>RNCP40352</t>
        </is>
      </c>
      <c r="K3961" s="45" t="inlineStr">
        <is>
          <t>Manager du développement international</t>
        </is>
      </c>
      <c r="L3961" s="45" t="inlineStr">
        <is>
          <t>28/03/2030</t>
        </is>
      </c>
      <c r="M3961" s="45" t="inlineStr">
        <is>
          <t>32005 (Stratégie internationale) ; 32006 (Gestion entreprise internationale) ; 34254 (Commerce international) ; 32136 (Conduite projet international)</t>
        </is>
      </c>
      <c r="N3961" s="50" t="inlineStr">
        <is>
          <t>NON</t>
        </is>
      </c>
      <c r="O3961" s="45" t="inlineStr"/>
    </row>
    <row r="3962" customFormat="1" s="3">
      <c r="A3962" s="45" t="n"/>
      <c r="B3962" s="46" t="inlineStr">
        <is>
          <t>34240</t>
        </is>
      </c>
      <c r="C3962" s="46">
        <f>LEFT(Tableau1[[#This Row],[Formacode]],3)</f>
        <v/>
      </c>
      <c r="D3962" s="47" t="n">
        <v>40591</v>
      </c>
      <c r="E3962" s="48">
        <f>"RNCP"&amp;D3962</f>
        <v/>
      </c>
      <c r="F3962" s="48" t="inlineStr">
        <is>
          <t>Manager de la stratégie commerciale</t>
        </is>
      </c>
      <c r="G3962" s="49">
        <f>E3962&amp;" - "&amp;F3962</f>
        <v/>
      </c>
      <c r="H3962" s="36" t="inlineStr">
        <is>
          <t>RAS</t>
        </is>
      </c>
      <c r="I3962" s="45" t="inlineStr"/>
      <c r="J3962" s="45" t="inlineStr">
        <is>
          <t>RNCP40591</t>
        </is>
      </c>
      <c r="K3962" s="45" t="inlineStr">
        <is>
          <t>Manager de la stratégie commerciale</t>
        </is>
      </c>
      <c r="L3962" s="45" t="inlineStr">
        <is>
          <t>30/04/2030</t>
        </is>
      </c>
      <c r="M3962" s="45" t="inlineStr">
        <is>
          <t>34085 (Stratégie commerciale) ; 34590 (Ingénieur d'affaires) ; 34254 (Commerce international)</t>
        </is>
      </c>
      <c r="N3962" s="50" t="inlineStr">
        <is>
          <t>NON</t>
        </is>
      </c>
      <c r="O3962" s="45" t="inlineStr"/>
    </row>
    <row r="3963" customFormat="1" s="3">
      <c r="A3963" s="45" t="n"/>
      <c r="B3963" s="46" t="inlineStr">
        <is>
          <t>34240</t>
        </is>
      </c>
      <c r="C3963" s="46">
        <f>LEFT(Tableau1[[#This Row],[Formacode]],3)</f>
        <v/>
      </c>
      <c r="D3963" s="47" t="n">
        <v>40592</v>
      </c>
      <c r="E3963" s="48">
        <f>"RNCP"&amp;D3963</f>
        <v/>
      </c>
      <c r="F3963" s="48" t="inlineStr">
        <is>
          <t>Manager de la stratégie marketing</t>
        </is>
      </c>
      <c r="G3963" s="49">
        <f>E3963&amp;" - "&amp;F3963</f>
        <v/>
      </c>
      <c r="H3963" s="36" t="inlineStr">
        <is>
          <t>RAS</t>
        </is>
      </c>
      <c r="I3963" s="45" t="inlineStr"/>
      <c r="J3963" s="45" t="inlineStr">
        <is>
          <t>RNCP40592</t>
        </is>
      </c>
      <c r="K3963" s="45" t="inlineStr">
        <is>
          <t>Manager de la stratégie marketing</t>
        </is>
      </c>
      <c r="L3963" s="45" t="inlineStr">
        <is>
          <t>30/04/2030</t>
        </is>
      </c>
      <c r="M3963" s="45" t="inlineStr">
        <is>
          <t>34093 (Marketing digital) ; 34260 (Marketing international) ; 34057 (Marketing stratégique)</t>
        </is>
      </c>
      <c r="N3963" s="50" t="inlineStr">
        <is>
          <t>NON</t>
        </is>
      </c>
      <c r="O3963" s="45" t="inlineStr"/>
    </row>
    <row r="3964" ht="28.8" customFormat="1" customHeight="1" s="3">
      <c r="A3964" s="45" t="n"/>
      <c r="B3964" s="46" t="inlineStr">
        <is>
          <t>34240</t>
        </is>
      </c>
      <c r="C3964" s="46">
        <f>LEFT(Tableau1[[#This Row],[Formacode]],3)</f>
        <v/>
      </c>
      <c r="D3964" s="47" t="n">
        <v>40724</v>
      </c>
      <c r="E3964" s="48">
        <f>"RNCP"&amp;D3964</f>
        <v/>
      </c>
      <c r="F3964" s="48" t="inlineStr">
        <is>
          <t>DipViGrL - Diplôme d’enseignement supérieure en management des affaires internationales</t>
        </is>
      </c>
      <c r="G3964" s="49">
        <f>E3964&amp;" - "&amp;F3964</f>
        <v/>
      </c>
      <c r="H3964" s="36" t="inlineStr">
        <is>
          <t>RAS</t>
        </is>
      </c>
      <c r="I3964" s="45" t="inlineStr"/>
      <c r="J3964" s="45" t="inlineStr">
        <is>
          <t>RNCP40724</t>
        </is>
      </c>
      <c r="K3964" s="45" t="inlineStr">
        <is>
          <t>Diplôme d’enseignement supérieure en management des affaires internationales</t>
        </is>
      </c>
      <c r="L3964" s="45" t="inlineStr">
        <is>
          <t>31/08/2028</t>
        </is>
      </c>
      <c r="M3964" s="45" t="inlineStr">
        <is>
          <t>34254 (Commerce international) ; 34052 (Marketing) ; 34056 (Administration ventes) ; 32006 (Gestion entreprise internationale)</t>
        </is>
      </c>
      <c r="N3964" s="50" t="inlineStr">
        <is>
          <t>NON</t>
        </is>
      </c>
      <c r="O3964" s="45" t="inlineStr"/>
    </row>
    <row r="3965" customFormat="1" s="3">
      <c r="A3965" s="51" t="n"/>
      <c r="B3965" s="52" t="inlineStr">
        <is>
          <t>34271</t>
        </is>
      </c>
      <c r="C3965" s="52">
        <f>LEFT(Tableau1[[#This Row],[Formacode]],3)</f>
        <v/>
      </c>
      <c r="D3965" s="53" t="n">
        <v>35800</v>
      </c>
      <c r="E3965" s="54">
        <f>"RNCP"&amp;D3965</f>
        <v/>
      </c>
      <c r="F3965" s="54" t="inlineStr">
        <is>
          <t>Brevet de technicien supérieur - Commerce international</t>
        </is>
      </c>
      <c r="G3965" s="55">
        <f>E3965&amp;" - "&amp;F3965</f>
        <v/>
      </c>
      <c r="H3965" s="37" t="inlineStr">
        <is>
          <t>À vérifier</t>
        </is>
      </c>
      <c r="I3965" s="51" t="inlineStr">
        <is>
          <t>Successeur déjà publié : RNCP41759 (Commerce international) — préparer la bascule de l'offre CPF | Échéance le 31/08/2026 (dans 44 j)</t>
        </is>
      </c>
      <c r="J3965" s="51" t="inlineStr">
        <is>
          <t>RNCP41759</t>
        </is>
      </c>
      <c r="K3965" s="51" t="inlineStr">
        <is>
          <t>Commerce international</t>
        </is>
      </c>
      <c r="L3965" s="51" t="inlineStr">
        <is>
          <t>31/08/2026</t>
        </is>
      </c>
      <c r="M3965" s="51" t="inlineStr">
        <is>
          <t>34254 (Commerce international) ; 34582 (Négociation commerciale) ; 34593 (Prospection vente)</t>
        </is>
      </c>
      <c r="N3965" s="62" t="inlineStr">
        <is>
          <t>NON</t>
        </is>
      </c>
      <c r="O3965" s="51" t="inlineStr"/>
    </row>
    <row r="3966" customFormat="1" s="3">
      <c r="A3966" s="51" t="n"/>
      <c r="B3966" s="52" t="inlineStr">
        <is>
          <t>34271</t>
        </is>
      </c>
      <c r="C3966" s="52">
        <f>LEFT(Tableau1[[#This Row],[Formacode]],3)</f>
        <v/>
      </c>
      <c r="D3966" s="53" t="n">
        <v>36320</v>
      </c>
      <c r="E3966" s="54">
        <f>"RNCP"&amp;D3966</f>
        <v/>
      </c>
      <c r="F3966" s="54" t="inlineStr">
        <is>
          <t>DIPLOVIS - Ingénieur d'affaires</t>
        </is>
      </c>
      <c r="G3966" s="55">
        <f>E3966&amp;" - "&amp;F3966</f>
        <v/>
      </c>
      <c r="H3966" s="37" t="inlineStr">
        <is>
          <t>À vérifier</t>
        </is>
      </c>
      <c r="I3966" s="51" t="inlineStr">
        <is>
          <t>Successeur déjà publié : RNCP42246 (Ingénieur d'affaires) — préparer la bascule de l'offre CPF | Échéance le 31/08/2026 (dans 44 j)</t>
        </is>
      </c>
      <c r="J3966" s="51" t="inlineStr">
        <is>
          <t>RNCP42246</t>
        </is>
      </c>
      <c r="K3966" s="51" t="inlineStr">
        <is>
          <t>Ingénieur d'affaires</t>
        </is>
      </c>
      <c r="L3966" s="51" t="inlineStr">
        <is>
          <t>31/08/2026</t>
        </is>
      </c>
      <c r="M3966" s="51" t="inlineStr">
        <is>
          <t>34590 (Ingénieur d'affaires) ; 34254 (Commerce international) ; 34085 (Stratégie commerciale)</t>
        </is>
      </c>
      <c r="N3966" s="62" t="inlineStr">
        <is>
          <t>NON</t>
        </is>
      </c>
      <c r="O3966" s="51" t="inlineStr"/>
    </row>
    <row r="3967" customFormat="1" s="3">
      <c r="A3967" s="45" t="n"/>
      <c r="B3967" s="46" t="inlineStr">
        <is>
          <t>34271</t>
        </is>
      </c>
      <c r="C3967" s="46">
        <f>LEFT(Tableau1[[#This Row],[Formacode]],3)</f>
        <v/>
      </c>
      <c r="D3967" s="47" t="n">
        <v>39268</v>
      </c>
      <c r="E3967" s="48">
        <f>"RNCP"&amp;D3967</f>
        <v/>
      </c>
      <c r="F3967" s="48" t="inlineStr">
        <is>
          <t>DIPLOVIS - Diplôme d’Etudes Spécialisées en Management International</t>
        </is>
      </c>
      <c r="G3967" s="49">
        <f>E3967&amp;" - "&amp;F3967</f>
        <v/>
      </c>
      <c r="H3967" s="36" t="inlineStr">
        <is>
          <t>RAS</t>
        </is>
      </c>
      <c r="I3967" s="45" t="inlineStr"/>
      <c r="J3967" s="45" t="inlineStr">
        <is>
          <t>RNCP39268</t>
        </is>
      </c>
      <c r="K3967" s="45" t="inlineStr">
        <is>
          <t>Diplôme d’Etudes Spécialisées en Management International</t>
        </is>
      </c>
      <c r="L3967" s="45" t="inlineStr">
        <is>
          <t>31/08/2029</t>
        </is>
      </c>
      <c r="M3967" s="45" t="inlineStr">
        <is>
          <t>32005 (Stratégie internationale) ; 32006 (Gestion entreprise internationale) ; 32008 (Responsabilité sociétale entreprise) ; 34254 (Commerce international)</t>
        </is>
      </c>
      <c r="N3967" s="50" t="inlineStr">
        <is>
          <t>NON</t>
        </is>
      </c>
      <c r="O3967" s="45" t="inlineStr"/>
    </row>
    <row r="3968" customFormat="1" s="3">
      <c r="A3968" s="45" t="n"/>
      <c r="B3968" s="46" t="inlineStr">
        <is>
          <t>34271</t>
        </is>
      </c>
      <c r="C3968" s="46">
        <f>LEFT(Tableau1[[#This Row],[Formacode]],3)</f>
        <v/>
      </c>
      <c r="D3968" s="47" t="n">
        <v>39368</v>
      </c>
      <c r="E3968" s="48">
        <f>"RNCP"&amp;D3968</f>
        <v/>
      </c>
      <c r="F3968" s="48" t="inlineStr">
        <is>
          <t>CQP Animateur du développement commercial de la PME/PMI par l’international</t>
        </is>
      </c>
      <c r="G3968" s="49">
        <f>E3968&amp;" - "&amp;F3968</f>
        <v/>
      </c>
      <c r="H3968" s="36" t="inlineStr">
        <is>
          <t>RAS</t>
        </is>
      </c>
      <c r="I3968" s="45" t="inlineStr"/>
      <c r="J3968" s="45" t="inlineStr">
        <is>
          <t>RNCP39368</t>
        </is>
      </c>
      <c r="K3968" s="45" t="inlineStr">
        <is>
          <t>CQP Animateur du développement commercial de la PME/PMI par l’international</t>
        </is>
      </c>
      <c r="L3968" s="45" t="inlineStr">
        <is>
          <t>19/07/2028</t>
        </is>
      </c>
      <c r="M3968" s="45" t="inlineStr">
        <is>
          <t>34254 (Commerce international) ; 32094 (Gestion PME PMI)</t>
        </is>
      </c>
      <c r="N3968" s="50" t="inlineStr">
        <is>
          <t>NON</t>
        </is>
      </c>
      <c r="O3968" s="45" t="inlineStr"/>
    </row>
    <row r="3969" ht="28.8" customFormat="1" customHeight="1" s="3">
      <c r="A3969" s="45" t="n"/>
      <c r="B3969" s="46" t="inlineStr">
        <is>
          <t>34271</t>
        </is>
      </c>
      <c r="C3969" s="46">
        <f>LEFT(Tableau1[[#This Row],[Formacode]],3)</f>
        <v/>
      </c>
      <c r="D3969" s="47" t="n">
        <v>39571</v>
      </c>
      <c r="E3969" s="48">
        <f>"RNCP"&amp;D3969</f>
        <v/>
      </c>
      <c r="F3969" s="48" t="inlineStr">
        <is>
          <t>DipViGrM - Diplôme d’études supérieures en marketing, gestion commerciale et management international</t>
        </is>
      </c>
      <c r="G3969" s="49">
        <f>E3969&amp;" - "&amp;F3969</f>
        <v/>
      </c>
      <c r="H3969" s="36" t="inlineStr">
        <is>
          <t>RAS</t>
        </is>
      </c>
      <c r="I3969" s="45" t="inlineStr"/>
      <c r="J3969" s="45" t="inlineStr">
        <is>
          <t>RNCP39571</t>
        </is>
      </c>
      <c r="K3969" s="45" t="inlineStr">
        <is>
          <t>Diplôme d’études supérieures en marketing, gestion commerciale et management international</t>
        </is>
      </c>
      <c r="L3969" s="45" t="inlineStr">
        <is>
          <t>31/08/2027</t>
        </is>
      </c>
      <c r="M3969" s="45" t="inlineStr">
        <is>
          <t>34254 (Commerce international) ; 34016 (Marketing achat) ; 41023 (Marché financier) ; 34554 (Commerce)</t>
        </is>
      </c>
      <c r="N3969" s="50" t="inlineStr">
        <is>
          <t>NON</t>
        </is>
      </c>
      <c r="O3969" s="45" t="inlineStr"/>
    </row>
    <row r="3970" customFormat="1" s="3">
      <c r="A3970" s="45" t="n"/>
      <c r="B3970" s="46" t="inlineStr">
        <is>
          <t>34271</t>
        </is>
      </c>
      <c r="C3970" s="46">
        <f>LEFT(Tableau1[[#This Row],[Formacode]],3)</f>
        <v/>
      </c>
      <c r="D3970" s="47" t="n">
        <v>40172</v>
      </c>
      <c r="E3970" s="48">
        <f>"RNCP"&amp;D3970</f>
        <v/>
      </c>
      <c r="F3970" s="48" t="inlineStr">
        <is>
          <t>Chargé de développement commercial</t>
        </is>
      </c>
      <c r="G3970" s="49">
        <f>E3970&amp;" - "&amp;F3970</f>
        <v/>
      </c>
      <c r="H3970" s="36" t="inlineStr">
        <is>
          <t>RAS</t>
        </is>
      </c>
      <c r="I3970" s="45" t="inlineStr"/>
      <c r="J3970" s="45" t="inlineStr">
        <is>
          <t>RNCP40172</t>
        </is>
      </c>
      <c r="K3970" s="45" t="inlineStr">
        <is>
          <t>Chargé de développement commercial</t>
        </is>
      </c>
      <c r="L3970" s="45" t="inlineStr">
        <is>
          <t>31/01/2028</t>
        </is>
      </c>
      <c r="M3970" s="45" t="inlineStr">
        <is>
          <t>34085 (Stratégie commerciale) ; 34254 (Commerce international) ; 34582 (Négociation commerciale)</t>
        </is>
      </c>
      <c r="N3970" s="50" t="inlineStr">
        <is>
          <t>NON</t>
        </is>
      </c>
      <c r="O3970" s="45" t="inlineStr"/>
    </row>
    <row r="3971" customFormat="1" s="3">
      <c r="A3971" s="45" t="n"/>
      <c r="B3971" s="46" t="inlineStr">
        <is>
          <t>34271</t>
        </is>
      </c>
      <c r="C3971" s="46">
        <f>LEFT(Tableau1[[#This Row],[Formacode]],3)</f>
        <v/>
      </c>
      <c r="D3971" s="47" t="n">
        <v>40352</v>
      </c>
      <c r="E3971" s="48">
        <f>"RNCP"&amp;D3971</f>
        <v/>
      </c>
      <c r="F3971" s="48" t="inlineStr">
        <is>
          <t>Manager du développement international</t>
        </is>
      </c>
      <c r="G3971" s="49">
        <f>E3971&amp;" - "&amp;F3971</f>
        <v/>
      </c>
      <c r="H3971" s="36" t="inlineStr">
        <is>
          <t>RAS</t>
        </is>
      </c>
      <c r="I3971" s="45" t="inlineStr"/>
      <c r="J3971" s="45" t="inlineStr">
        <is>
          <t>RNCP40352</t>
        </is>
      </c>
      <c r="K3971" s="45" t="inlineStr">
        <is>
          <t>Manager du développement international</t>
        </is>
      </c>
      <c r="L3971" s="45" t="inlineStr">
        <is>
          <t>28/03/2030</t>
        </is>
      </c>
      <c r="M3971" s="45" t="inlineStr">
        <is>
          <t>32005 (Stratégie internationale) ; 32006 (Gestion entreprise internationale) ; 34254 (Commerce international) ; 32136 (Conduite projet international)</t>
        </is>
      </c>
      <c r="N3971" s="50" t="inlineStr">
        <is>
          <t>NON</t>
        </is>
      </c>
      <c r="O3971" s="45" t="inlineStr"/>
    </row>
    <row r="3972" customFormat="1" s="3">
      <c r="A3972" s="45" t="n"/>
      <c r="B3972" s="46" t="inlineStr">
        <is>
          <t>34271</t>
        </is>
      </c>
      <c r="C3972" s="46">
        <f>LEFT(Tableau1[[#This Row],[Formacode]],3)</f>
        <v/>
      </c>
      <c r="D3972" s="47" t="n">
        <v>40591</v>
      </c>
      <c r="E3972" s="48">
        <f>"RNCP"&amp;D3972</f>
        <v/>
      </c>
      <c r="F3972" s="48" t="inlineStr">
        <is>
          <t>Manager de la stratégie commerciale</t>
        </is>
      </c>
      <c r="G3972" s="49">
        <f>E3972&amp;" - "&amp;F3972</f>
        <v/>
      </c>
      <c r="H3972" s="36" t="inlineStr">
        <is>
          <t>RAS</t>
        </is>
      </c>
      <c r="I3972" s="45" t="inlineStr"/>
      <c r="J3972" s="45" t="inlineStr">
        <is>
          <t>RNCP40591</t>
        </is>
      </c>
      <c r="K3972" s="45" t="inlineStr">
        <is>
          <t>Manager de la stratégie commerciale</t>
        </is>
      </c>
      <c r="L3972" s="45" t="inlineStr">
        <is>
          <t>30/04/2030</t>
        </is>
      </c>
      <c r="M3972" s="45" t="inlineStr">
        <is>
          <t>34085 (Stratégie commerciale) ; 34590 (Ingénieur d'affaires) ; 34254 (Commerce international)</t>
        </is>
      </c>
      <c r="N3972" s="50" t="inlineStr">
        <is>
          <t>NON</t>
        </is>
      </c>
      <c r="O3972" s="45" t="inlineStr"/>
    </row>
    <row r="3973" ht="28.8" customFormat="1" customHeight="1" s="3">
      <c r="A3973" s="45" t="n"/>
      <c r="B3973" s="46" t="inlineStr">
        <is>
          <t>34271</t>
        </is>
      </c>
      <c r="C3973" s="46">
        <f>LEFT(Tableau1[[#This Row],[Formacode]],3)</f>
        <v/>
      </c>
      <c r="D3973" s="47" t="n">
        <v>40724</v>
      </c>
      <c r="E3973" s="48">
        <f>"RNCP"&amp;D3973</f>
        <v/>
      </c>
      <c r="F3973" s="48" t="inlineStr">
        <is>
          <t>DipViGrL - Diplôme d’enseignement supérieure en management des affaires internationales</t>
        </is>
      </c>
      <c r="G3973" s="49">
        <f>E3973&amp;" - "&amp;F3973</f>
        <v/>
      </c>
      <c r="H3973" s="36" t="inlineStr">
        <is>
          <t>RAS</t>
        </is>
      </c>
      <c r="I3973" s="45" t="inlineStr"/>
      <c r="J3973" s="45" t="inlineStr">
        <is>
          <t>RNCP40724</t>
        </is>
      </c>
      <c r="K3973" s="45" t="inlineStr">
        <is>
          <t>Diplôme d’enseignement supérieure en management des affaires internationales</t>
        </is>
      </c>
      <c r="L3973" s="45" t="inlineStr">
        <is>
          <t>31/08/2028</t>
        </is>
      </c>
      <c r="M3973" s="45" t="inlineStr">
        <is>
          <t>34254 (Commerce international) ; 34052 (Marketing) ; 34056 (Administration ventes) ; 32006 (Gestion entreprise internationale)</t>
        </is>
      </c>
      <c r="N3973" s="50" t="inlineStr">
        <is>
          <t>NON</t>
        </is>
      </c>
      <c r="O3973" s="45" t="inlineStr"/>
    </row>
    <row r="3974" customFormat="1" s="3">
      <c r="A3974" s="63" t="n"/>
      <c r="B3974" s="64" t="inlineStr">
        <is>
          <t>34285</t>
        </is>
      </c>
      <c r="C3974" s="64">
        <f>LEFT(Tableau1[[#This Row],[Formacode]],3)</f>
        <v/>
      </c>
      <c r="D3974" s="65" t="n">
        <v>35462</v>
      </c>
      <c r="E3974" s="66">
        <f>"RNCP"&amp;D3974</f>
        <v/>
      </c>
      <c r="F3974" s="66" t="inlineStr">
        <is>
          <t>Manager achats et approvisionnement</t>
        </is>
      </c>
      <c r="G3974" s="67">
        <f>E3974&amp;" - "&amp;F3974</f>
        <v/>
      </c>
      <c r="H3974" s="38" t="inlineStr">
        <is>
          <t>Expiré / remplacé</t>
        </is>
      </c>
      <c r="I3974" s="63" t="inlineStr">
        <is>
          <t>Fiche inactive — remplacée par RNCP42496 (Manager achats et approvisionnement)</t>
        </is>
      </c>
      <c r="J3974" s="63" t="inlineStr">
        <is>
          <t>RNCP42496</t>
        </is>
      </c>
      <c r="K3974" s="63" t="inlineStr">
        <is>
          <t>Manager achats et approvisionnement</t>
        </is>
      </c>
      <c r="L3974" s="63" t="inlineStr">
        <is>
          <t>17/03/2026</t>
        </is>
      </c>
      <c r="M3974" s="63" t="inlineStr">
        <is>
          <t>34002 (Négociation achat) ; 34292 (Achat international) ; 31660 (Approvisionnement)</t>
        </is>
      </c>
      <c r="N3974" s="68" t="inlineStr">
        <is>
          <t>NON</t>
        </is>
      </c>
      <c r="O3974" s="63" t="inlineStr"/>
    </row>
    <row r="3975" customFormat="1" s="3">
      <c r="A3975" s="51" t="n"/>
      <c r="B3975" s="52" t="inlineStr">
        <is>
          <t>34285</t>
        </is>
      </c>
      <c r="C3975" s="52">
        <f>LEFT(Tableau1[[#This Row],[Formacode]],3)</f>
        <v/>
      </c>
      <c r="D3975" s="53" t="n">
        <v>35800</v>
      </c>
      <c r="E3975" s="54">
        <f>"RNCP"&amp;D3975</f>
        <v/>
      </c>
      <c r="F3975" s="54" t="inlineStr">
        <is>
          <t>Brevet de technicien supérieur - Commerce international</t>
        </is>
      </c>
      <c r="G3975" s="55">
        <f>E3975&amp;" - "&amp;F3975</f>
        <v/>
      </c>
      <c r="H3975" s="37" t="inlineStr">
        <is>
          <t>À vérifier</t>
        </is>
      </c>
      <c r="I3975" s="51" t="inlineStr">
        <is>
          <t>Successeur déjà publié : RNCP41759 (Commerce international) — préparer la bascule de l'offre CPF | Échéance le 31/08/2026 (dans 44 j)</t>
        </is>
      </c>
      <c r="J3975" s="51" t="inlineStr">
        <is>
          <t>RNCP41759</t>
        </is>
      </c>
      <c r="K3975" s="51" t="inlineStr">
        <is>
          <t>Commerce international</t>
        </is>
      </c>
      <c r="L3975" s="51" t="inlineStr">
        <is>
          <t>31/08/2026</t>
        </is>
      </c>
      <c r="M3975" s="51" t="inlineStr">
        <is>
          <t>34254 (Commerce international) ; 34582 (Négociation commerciale) ; 34593 (Prospection vente)</t>
        </is>
      </c>
      <c r="N3975" s="62" t="inlineStr">
        <is>
          <t>NON</t>
        </is>
      </c>
      <c r="O3975" s="51" t="inlineStr"/>
    </row>
    <row r="3976" customFormat="1" s="3">
      <c r="A3976" s="51" t="n"/>
      <c r="B3976" s="52" t="inlineStr">
        <is>
          <t>34285</t>
        </is>
      </c>
      <c r="C3976" s="52">
        <f>LEFT(Tableau1[[#This Row],[Formacode]],3)</f>
        <v/>
      </c>
      <c r="D3976" s="53" t="n">
        <v>36320</v>
      </c>
      <c r="E3976" s="54">
        <f>"RNCP"&amp;D3976</f>
        <v/>
      </c>
      <c r="F3976" s="54" t="inlineStr">
        <is>
          <t>DIPLOVIS - Ingénieur d'affaires</t>
        </is>
      </c>
      <c r="G3976" s="55">
        <f>E3976&amp;" - "&amp;F3976</f>
        <v/>
      </c>
      <c r="H3976" s="37" t="inlineStr">
        <is>
          <t>À vérifier</t>
        </is>
      </c>
      <c r="I3976" s="51" t="inlineStr">
        <is>
          <t>Successeur déjà publié : RNCP42246 (Ingénieur d'affaires) — préparer la bascule de l'offre CPF | Échéance le 31/08/2026 (dans 44 j)</t>
        </is>
      </c>
      <c r="J3976" s="51" t="inlineStr">
        <is>
          <t>RNCP42246</t>
        </is>
      </c>
      <c r="K3976" s="51" t="inlineStr">
        <is>
          <t>Ingénieur d'affaires</t>
        </is>
      </c>
      <c r="L3976" s="51" t="inlineStr">
        <is>
          <t>31/08/2026</t>
        </is>
      </c>
      <c r="M3976" s="51" t="inlineStr">
        <is>
          <t>34590 (Ingénieur d'affaires) ; 34254 (Commerce international) ; 34085 (Stratégie commerciale)</t>
        </is>
      </c>
      <c r="N3976" s="62" t="inlineStr">
        <is>
          <t>NON</t>
        </is>
      </c>
      <c r="O3976" s="51" t="inlineStr"/>
    </row>
    <row r="3977" customFormat="1" s="3">
      <c r="A3977" s="45" t="n"/>
      <c r="B3977" s="46" t="inlineStr">
        <is>
          <t>34285</t>
        </is>
      </c>
      <c r="C3977" s="46">
        <f>LEFT(Tableau1[[#This Row],[Formacode]],3)</f>
        <v/>
      </c>
      <c r="D3977" s="47" t="n">
        <v>36964</v>
      </c>
      <c r="E3977" s="48">
        <f>"RNCP"&amp;D3977</f>
        <v/>
      </c>
      <c r="F3977" s="48" t="inlineStr">
        <is>
          <t>TP - Assistant import-export</t>
        </is>
      </c>
      <c r="G3977" s="49">
        <f>E3977&amp;" - "&amp;F3977</f>
        <v/>
      </c>
      <c r="H3977" s="36" t="inlineStr">
        <is>
          <t>RAS</t>
        </is>
      </c>
      <c r="I3977" s="45" t="inlineStr"/>
      <c r="J3977" s="45" t="inlineStr">
        <is>
          <t>RNCP36964</t>
        </is>
      </c>
      <c r="K3977" s="45" t="inlineStr">
        <is>
          <t>Assistant import-export</t>
        </is>
      </c>
      <c r="L3977" s="45" t="inlineStr">
        <is>
          <t>07/01/2028</t>
        </is>
      </c>
      <c r="M3977" s="45" t="inlineStr">
        <is>
          <t>35017 (Secrétariat assistanat import export) ; 34285 (Import export) ; 15206 (Anglais secrétariat) ; 15205 (Anglais commercial)</t>
        </is>
      </c>
      <c r="N3977" s="50" t="inlineStr">
        <is>
          <t>NON</t>
        </is>
      </c>
      <c r="O3977" s="45" t="inlineStr"/>
    </row>
    <row r="3978" customFormat="1" s="3">
      <c r="A3978" s="45" t="n"/>
      <c r="B3978" s="46" t="inlineStr">
        <is>
          <t>34285</t>
        </is>
      </c>
      <c r="C3978" s="46">
        <f>LEFT(Tableau1[[#This Row],[Formacode]],3)</f>
        <v/>
      </c>
      <c r="D3978" s="47" t="n">
        <v>37341</v>
      </c>
      <c r="E3978" s="48">
        <f>"RNCP"&amp;D3978</f>
        <v/>
      </c>
      <c r="F3978" s="48" t="inlineStr">
        <is>
          <t>Manager des achats  (MS)</t>
        </is>
      </c>
      <c r="G3978" s="49">
        <f>E3978&amp;" - "&amp;F3978</f>
        <v/>
      </c>
      <c r="H3978" s="36" t="inlineStr">
        <is>
          <t>RAS</t>
        </is>
      </c>
      <c r="I3978" s="45" t="inlineStr"/>
      <c r="J3978" s="45" t="inlineStr">
        <is>
          <t>RNCP37341</t>
        </is>
      </c>
      <c r="K3978" s="45" t="inlineStr">
        <is>
          <t>Manager des achats (MS)</t>
        </is>
      </c>
      <c r="L3978" s="45" t="inlineStr">
        <is>
          <t>17/02/2028</t>
        </is>
      </c>
      <c r="M3978" s="45" t="inlineStr">
        <is>
          <t>34024 (Achat) ; 34292 (Achat international)</t>
        </is>
      </c>
      <c r="N3978" s="50" t="inlineStr">
        <is>
          <t>NON</t>
        </is>
      </c>
      <c r="O3978" s="45" t="inlineStr"/>
    </row>
    <row r="3979" customFormat="1" s="3">
      <c r="A3979" s="45" t="n"/>
      <c r="B3979" s="46" t="inlineStr">
        <is>
          <t>34285</t>
        </is>
      </c>
      <c r="C3979" s="46">
        <f>LEFT(Tableau1[[#This Row],[Formacode]],3)</f>
        <v/>
      </c>
      <c r="D3979" s="47" t="n">
        <v>38496</v>
      </c>
      <c r="E3979" s="48">
        <f>"RNCP"&amp;D3979</f>
        <v/>
      </c>
      <c r="F3979" s="48" t="inlineStr">
        <is>
          <t>Manager des achats et de la supply Chain</t>
        </is>
      </c>
      <c r="G3979" s="49">
        <f>E3979&amp;" - "&amp;F3979</f>
        <v/>
      </c>
      <c r="H3979" s="36" t="inlineStr">
        <is>
          <t>RAS</t>
        </is>
      </c>
      <c r="I3979" s="45" t="inlineStr"/>
      <c r="J3979" s="45" t="inlineStr">
        <is>
          <t>RNCP38496</t>
        </is>
      </c>
      <c r="K3979" s="45" t="inlineStr">
        <is>
          <t>Manager des achats et de la supply Chain</t>
        </is>
      </c>
      <c r="L3979" s="45" t="inlineStr">
        <is>
          <t>21/12/2028</t>
        </is>
      </c>
      <c r="M3979" s="45" t="inlineStr">
        <is>
          <t>31660 (Approvisionnement) ; 34292 (Achat international) ; 34287 (Logistique internationale) ; 34024 (Achat) ; 31845 (Logistique)</t>
        </is>
      </c>
      <c r="N3979" s="50" t="inlineStr">
        <is>
          <t>NON</t>
        </is>
      </c>
      <c r="O3979" s="45" t="inlineStr"/>
    </row>
    <row r="3980" customFormat="1" s="3">
      <c r="A3980" s="45" t="n"/>
      <c r="B3980" s="46" t="inlineStr">
        <is>
          <t>34285</t>
        </is>
      </c>
      <c r="C3980" s="46">
        <f>LEFT(Tableau1[[#This Row],[Formacode]],3)</f>
        <v/>
      </c>
      <c r="D3980" s="47" t="n">
        <v>39268</v>
      </c>
      <c r="E3980" s="48">
        <f>"RNCP"&amp;D3980</f>
        <v/>
      </c>
      <c r="F3980" s="48" t="inlineStr">
        <is>
          <t>DIPLOVIS - Diplôme d’Etudes Spécialisées en Management International</t>
        </is>
      </c>
      <c r="G3980" s="49">
        <f>E3980&amp;" - "&amp;F3980</f>
        <v/>
      </c>
      <c r="H3980" s="36" t="inlineStr">
        <is>
          <t>RAS</t>
        </is>
      </c>
      <c r="I3980" s="45" t="inlineStr"/>
      <c r="J3980" s="45" t="inlineStr">
        <is>
          <t>RNCP39268</t>
        </is>
      </c>
      <c r="K3980" s="45" t="inlineStr">
        <is>
          <t>Diplôme d’Etudes Spécialisées en Management International</t>
        </is>
      </c>
      <c r="L3980" s="45" t="inlineStr">
        <is>
          <t>31/08/2029</t>
        </is>
      </c>
      <c r="M3980" s="45" t="inlineStr">
        <is>
          <t>32005 (Stratégie internationale) ; 32006 (Gestion entreprise internationale) ; 32008 (Responsabilité sociétale entreprise) ; 34254 (Commerce international)</t>
        </is>
      </c>
      <c r="N3980" s="50" t="inlineStr">
        <is>
          <t>NON</t>
        </is>
      </c>
      <c r="O3980" s="45" t="inlineStr"/>
    </row>
    <row r="3981" customFormat="1" s="3">
      <c r="A3981" s="45" t="n"/>
      <c r="B3981" s="46" t="inlineStr">
        <is>
          <t>34285</t>
        </is>
      </c>
      <c r="C3981" s="46">
        <f>LEFT(Tableau1[[#This Row],[Formacode]],3)</f>
        <v/>
      </c>
      <c r="D3981" s="47" t="n">
        <v>39368</v>
      </c>
      <c r="E3981" s="48">
        <f>"RNCP"&amp;D3981</f>
        <v/>
      </c>
      <c r="F3981" s="48" t="inlineStr">
        <is>
          <t>CQP Animateur du développement commercial de la PME/PMI par l’international</t>
        </is>
      </c>
      <c r="G3981" s="49">
        <f>E3981&amp;" - "&amp;F3981</f>
        <v/>
      </c>
      <c r="H3981" s="36" t="inlineStr">
        <is>
          <t>RAS</t>
        </is>
      </c>
      <c r="I3981" s="45" t="inlineStr"/>
      <c r="J3981" s="45" t="inlineStr">
        <is>
          <t>RNCP39368</t>
        </is>
      </c>
      <c r="K3981" s="45" t="inlineStr">
        <is>
          <t>CQP Animateur du développement commercial de la PME/PMI par l’international</t>
        </is>
      </c>
      <c r="L3981" s="45" t="inlineStr">
        <is>
          <t>19/07/2028</t>
        </is>
      </c>
      <c r="M3981" s="45" t="inlineStr">
        <is>
          <t>34254 (Commerce international) ; 32094 (Gestion PME PMI)</t>
        </is>
      </c>
      <c r="N3981" s="50" t="inlineStr">
        <is>
          <t>NON</t>
        </is>
      </c>
      <c r="O3981" s="45" t="inlineStr"/>
    </row>
    <row r="3982" ht="28.8" customFormat="1" customHeight="1" s="3">
      <c r="A3982" s="45" t="n"/>
      <c r="B3982" s="46" t="inlineStr">
        <is>
          <t>34285</t>
        </is>
      </c>
      <c r="C3982" s="46">
        <f>LEFT(Tableau1[[#This Row],[Formacode]],3)</f>
        <v/>
      </c>
      <c r="D3982" s="47" t="n">
        <v>39571</v>
      </c>
      <c r="E3982" s="48">
        <f>"RNCP"&amp;D3982</f>
        <v/>
      </c>
      <c r="F3982" s="48" t="inlineStr">
        <is>
          <t>DipViGrM - Diplôme d’études supérieures en marketing, gestion commerciale et management international</t>
        </is>
      </c>
      <c r="G3982" s="49">
        <f>E3982&amp;" - "&amp;F3982</f>
        <v/>
      </c>
      <c r="H3982" s="36" t="inlineStr">
        <is>
          <t>RAS</t>
        </is>
      </c>
      <c r="I3982" s="45" t="inlineStr"/>
      <c r="J3982" s="45" t="inlineStr">
        <is>
          <t>RNCP39571</t>
        </is>
      </c>
      <c r="K3982" s="45" t="inlineStr">
        <is>
          <t>Diplôme d’études supérieures en marketing, gestion commerciale et management international</t>
        </is>
      </c>
      <c r="L3982" s="45" t="inlineStr">
        <is>
          <t>31/08/2027</t>
        </is>
      </c>
      <c r="M3982" s="45" t="inlineStr">
        <is>
          <t>34254 (Commerce international) ; 34016 (Marketing achat) ; 41023 (Marché financier) ; 34554 (Commerce)</t>
        </is>
      </c>
      <c r="N3982" s="50" t="inlineStr">
        <is>
          <t>NON</t>
        </is>
      </c>
      <c r="O3982" s="45" t="inlineStr"/>
    </row>
    <row r="3983" customFormat="1" s="3">
      <c r="A3983" s="45" t="n"/>
      <c r="B3983" s="46" t="inlineStr">
        <is>
          <t>34285</t>
        </is>
      </c>
      <c r="C3983" s="46">
        <f>LEFT(Tableau1[[#This Row],[Formacode]],3)</f>
        <v/>
      </c>
      <c r="D3983" s="47" t="n">
        <v>39734</v>
      </c>
      <c r="E3983" s="48">
        <f>"RNCP"&amp;D3983</f>
        <v/>
      </c>
      <c r="F3983" s="48" t="inlineStr">
        <is>
          <t>Manager de l’achat international</t>
        </is>
      </c>
      <c r="G3983" s="49">
        <f>E3983&amp;" - "&amp;F3983</f>
        <v/>
      </c>
      <c r="H3983" s="36" t="inlineStr">
        <is>
          <t>RAS</t>
        </is>
      </c>
      <c r="I3983" s="45" t="inlineStr"/>
      <c r="J3983" s="45" t="inlineStr">
        <is>
          <t>RNCP39734</t>
        </is>
      </c>
      <c r="K3983" s="45" t="inlineStr">
        <is>
          <t>Manager de l’achat international</t>
        </is>
      </c>
      <c r="L3983" s="45" t="inlineStr">
        <is>
          <t>31/10/2029</t>
        </is>
      </c>
      <c r="M3983" s="45" t="inlineStr">
        <is>
          <t>34025 (Achat responsable) ; 34292 (Achat international)</t>
        </is>
      </c>
      <c r="N3983" s="50" t="inlineStr">
        <is>
          <t>NON</t>
        </is>
      </c>
      <c r="O3983" s="45" t="inlineStr"/>
    </row>
    <row r="3984" customFormat="1" s="3">
      <c r="A3984" s="45" t="n"/>
      <c r="B3984" s="46" t="inlineStr">
        <is>
          <t>34285</t>
        </is>
      </c>
      <c r="C3984" s="46">
        <f>LEFT(Tableau1[[#This Row],[Formacode]],3)</f>
        <v/>
      </c>
      <c r="D3984" s="47" t="n">
        <v>40172</v>
      </c>
      <c r="E3984" s="48">
        <f>"RNCP"&amp;D3984</f>
        <v/>
      </c>
      <c r="F3984" s="48" t="inlineStr">
        <is>
          <t>Chargé de développement commercial</t>
        </is>
      </c>
      <c r="G3984" s="49">
        <f>E3984&amp;" - "&amp;F3984</f>
        <v/>
      </c>
      <c r="H3984" s="36" t="inlineStr">
        <is>
          <t>RAS</t>
        </is>
      </c>
      <c r="I3984" s="45" t="inlineStr"/>
      <c r="J3984" s="45" t="inlineStr">
        <is>
          <t>RNCP40172</t>
        </is>
      </c>
      <c r="K3984" s="45" t="inlineStr">
        <is>
          <t>Chargé de développement commercial</t>
        </is>
      </c>
      <c r="L3984" s="45" t="inlineStr">
        <is>
          <t>31/01/2028</t>
        </is>
      </c>
      <c r="M3984" s="45" t="inlineStr">
        <is>
          <t>34085 (Stratégie commerciale) ; 34254 (Commerce international) ; 34582 (Négociation commerciale)</t>
        </is>
      </c>
      <c r="N3984" s="50" t="inlineStr">
        <is>
          <t>NON</t>
        </is>
      </c>
      <c r="O3984" s="45" t="inlineStr"/>
    </row>
    <row r="3985" customFormat="1" s="3">
      <c r="A3985" s="45" t="n"/>
      <c r="B3985" s="46" t="inlineStr">
        <is>
          <t>34285</t>
        </is>
      </c>
      <c r="C3985" s="46">
        <f>LEFT(Tableau1[[#This Row],[Formacode]],3)</f>
        <v/>
      </c>
      <c r="D3985" s="47" t="n">
        <v>40352</v>
      </c>
      <c r="E3985" s="48">
        <f>"RNCP"&amp;D3985</f>
        <v/>
      </c>
      <c r="F3985" s="48" t="inlineStr">
        <is>
          <t>Manager du développement international</t>
        </is>
      </c>
      <c r="G3985" s="49">
        <f>E3985&amp;" - "&amp;F3985</f>
        <v/>
      </c>
      <c r="H3985" s="36" t="inlineStr">
        <is>
          <t>RAS</t>
        </is>
      </c>
      <c r="I3985" s="45" t="inlineStr"/>
      <c r="J3985" s="45" t="inlineStr">
        <is>
          <t>RNCP40352</t>
        </is>
      </c>
      <c r="K3985" s="45" t="inlineStr">
        <is>
          <t>Manager du développement international</t>
        </is>
      </c>
      <c r="L3985" s="45" t="inlineStr">
        <is>
          <t>28/03/2030</t>
        </is>
      </c>
      <c r="M3985" s="45" t="inlineStr">
        <is>
          <t>32005 (Stratégie internationale) ; 32006 (Gestion entreprise internationale) ; 34254 (Commerce international) ; 32136 (Conduite projet international)</t>
        </is>
      </c>
      <c r="N3985" s="50" t="inlineStr">
        <is>
          <t>NON</t>
        </is>
      </c>
      <c r="O3985" s="45" t="inlineStr"/>
    </row>
    <row r="3986" customFormat="1" s="3">
      <c r="A3986" s="45" t="n"/>
      <c r="B3986" s="46" t="inlineStr">
        <is>
          <t>34285</t>
        </is>
      </c>
      <c r="C3986" s="46">
        <f>LEFT(Tableau1[[#This Row],[Formacode]],3)</f>
        <v/>
      </c>
      <c r="D3986" s="47" t="n">
        <v>40591</v>
      </c>
      <c r="E3986" s="48">
        <f>"RNCP"&amp;D3986</f>
        <v/>
      </c>
      <c r="F3986" s="48" t="inlineStr">
        <is>
          <t>Manager de la stratégie commerciale</t>
        </is>
      </c>
      <c r="G3986" s="49">
        <f>E3986&amp;" - "&amp;F3986</f>
        <v/>
      </c>
      <c r="H3986" s="36" t="inlineStr">
        <is>
          <t>RAS</t>
        </is>
      </c>
      <c r="I3986" s="45" t="inlineStr"/>
      <c r="J3986" s="45" t="inlineStr">
        <is>
          <t>RNCP40591</t>
        </is>
      </c>
      <c r="K3986" s="45" t="inlineStr">
        <is>
          <t>Manager de la stratégie commerciale</t>
        </is>
      </c>
      <c r="L3986" s="45" t="inlineStr">
        <is>
          <t>30/04/2030</t>
        </is>
      </c>
      <c r="M3986" s="45" t="inlineStr">
        <is>
          <t>34085 (Stratégie commerciale) ; 34590 (Ingénieur d'affaires) ; 34254 (Commerce international)</t>
        </is>
      </c>
      <c r="N3986" s="50" t="inlineStr">
        <is>
          <t>NON</t>
        </is>
      </c>
      <c r="O3986" s="45" t="inlineStr"/>
    </row>
    <row r="3987" ht="28.8" customFormat="1" customHeight="1" s="3">
      <c r="A3987" s="45" t="n"/>
      <c r="B3987" s="46" t="inlineStr">
        <is>
          <t>34285</t>
        </is>
      </c>
      <c r="C3987" s="46">
        <f>LEFT(Tableau1[[#This Row],[Formacode]],3)</f>
        <v/>
      </c>
      <c r="D3987" s="47" t="n">
        <v>40724</v>
      </c>
      <c r="E3987" s="48">
        <f>"RNCP"&amp;D3987</f>
        <v/>
      </c>
      <c r="F3987" s="48" t="inlineStr">
        <is>
          <t>DipViGrL - Diplôme d’enseignement supérieure en management des affaires internationales</t>
        </is>
      </c>
      <c r="G3987" s="49">
        <f>E3987&amp;" - "&amp;F3987</f>
        <v/>
      </c>
      <c r="H3987" s="36" t="inlineStr">
        <is>
          <t>RAS</t>
        </is>
      </c>
      <c r="I3987" s="45" t="inlineStr"/>
      <c r="J3987" s="45" t="inlineStr">
        <is>
          <t>RNCP40724</t>
        </is>
      </c>
      <c r="K3987" s="45" t="inlineStr">
        <is>
          <t>Diplôme d’enseignement supérieure en management des affaires internationales</t>
        </is>
      </c>
      <c r="L3987" s="45" t="inlineStr">
        <is>
          <t>31/08/2028</t>
        </is>
      </c>
      <c r="M3987" s="45" t="inlineStr">
        <is>
          <t>34254 (Commerce international) ; 34052 (Marketing) ; 34056 (Administration ventes) ; 32006 (Gestion entreprise internationale)</t>
        </is>
      </c>
      <c r="N3987" s="50" t="inlineStr">
        <is>
          <t>NON</t>
        </is>
      </c>
      <c r="O3987" s="45" t="inlineStr"/>
    </row>
    <row r="3988" customFormat="1" s="3">
      <c r="A3988" s="51" t="n"/>
      <c r="B3988" s="52" t="inlineStr">
        <is>
          <t>34287</t>
        </is>
      </c>
      <c r="C3988" s="52">
        <f>LEFT(Tableau1[[#This Row],[Formacode]],3)</f>
        <v/>
      </c>
      <c r="D3988" s="53" t="n">
        <v>35800</v>
      </c>
      <c r="E3988" s="54">
        <f>"RNCP"&amp;D3988</f>
        <v/>
      </c>
      <c r="F3988" s="54" t="inlineStr">
        <is>
          <t>Brevet de technicien supérieur - Commerce international</t>
        </is>
      </c>
      <c r="G3988" s="55">
        <f>E3988&amp;" - "&amp;F3988</f>
        <v/>
      </c>
      <c r="H3988" s="37" t="inlineStr">
        <is>
          <t>À vérifier</t>
        </is>
      </c>
      <c r="I3988" s="51" t="inlineStr">
        <is>
          <t>Successeur déjà publié : RNCP41759 (Commerce international) — préparer la bascule de l'offre CPF | Échéance le 31/08/2026 (dans 44 j)</t>
        </is>
      </c>
      <c r="J3988" s="51" t="inlineStr">
        <is>
          <t>RNCP41759</t>
        </is>
      </c>
      <c r="K3988" s="51" t="inlineStr">
        <is>
          <t>Commerce international</t>
        </is>
      </c>
      <c r="L3988" s="51" t="inlineStr">
        <is>
          <t>31/08/2026</t>
        </is>
      </c>
      <c r="M3988" s="51" t="inlineStr">
        <is>
          <t>34254 (Commerce international) ; 34582 (Négociation commerciale) ; 34593 (Prospection vente)</t>
        </is>
      </c>
      <c r="N3988" s="62" t="inlineStr">
        <is>
          <t>NON</t>
        </is>
      </c>
      <c r="O3988" s="51" t="inlineStr"/>
    </row>
    <row r="3989" customFormat="1" s="3">
      <c r="A3989" s="51" t="n"/>
      <c r="B3989" s="52" t="inlineStr">
        <is>
          <t>34287</t>
        </is>
      </c>
      <c r="C3989" s="52">
        <f>LEFT(Tableau1[[#This Row],[Formacode]],3)</f>
        <v/>
      </c>
      <c r="D3989" s="53" t="n">
        <v>36320</v>
      </c>
      <c r="E3989" s="54">
        <f>"RNCP"&amp;D3989</f>
        <v/>
      </c>
      <c r="F3989" s="54" t="inlineStr">
        <is>
          <t>DIPLOVIS - Ingénieur d'affaires</t>
        </is>
      </c>
      <c r="G3989" s="55">
        <f>E3989&amp;" - "&amp;F3989</f>
        <v/>
      </c>
      <c r="H3989" s="37" t="inlineStr">
        <is>
          <t>À vérifier</t>
        </is>
      </c>
      <c r="I3989" s="51" t="inlineStr">
        <is>
          <t>Successeur déjà publié : RNCP42246 (Ingénieur d'affaires) — préparer la bascule de l'offre CPF | Échéance le 31/08/2026 (dans 44 j)</t>
        </is>
      </c>
      <c r="J3989" s="51" t="inlineStr">
        <is>
          <t>RNCP42246</t>
        </is>
      </c>
      <c r="K3989" s="51" t="inlineStr">
        <is>
          <t>Ingénieur d'affaires</t>
        </is>
      </c>
      <c r="L3989" s="51" t="inlineStr">
        <is>
          <t>31/08/2026</t>
        </is>
      </c>
      <c r="M3989" s="51" t="inlineStr">
        <is>
          <t>34590 (Ingénieur d'affaires) ; 34254 (Commerce international) ; 34085 (Stratégie commerciale)</t>
        </is>
      </c>
      <c r="N3989" s="62" t="inlineStr">
        <is>
          <t>NON</t>
        </is>
      </c>
      <c r="O3989" s="51" t="inlineStr"/>
    </row>
    <row r="3990" customFormat="1" s="3">
      <c r="A3990" s="45" t="n"/>
      <c r="B3990" s="46" t="inlineStr">
        <is>
          <t>34287</t>
        </is>
      </c>
      <c r="C3990" s="46">
        <f>LEFT(Tableau1[[#This Row],[Formacode]],3)</f>
        <v/>
      </c>
      <c r="D3990" s="47" t="n">
        <v>38365</v>
      </c>
      <c r="E3990" s="48">
        <f>"RNCP"&amp;D3990</f>
        <v/>
      </c>
      <c r="F3990" s="48" t="inlineStr">
        <is>
          <t>BTS - Gestion des transports et logistique associée</t>
        </is>
      </c>
      <c r="G3990" s="49">
        <f>E3990&amp;" - "&amp;F3990</f>
        <v/>
      </c>
      <c r="H3990" s="36" t="inlineStr">
        <is>
          <t>RAS</t>
        </is>
      </c>
      <c r="I3990" s="45" t="inlineStr"/>
      <c r="J3990" s="45" t="inlineStr">
        <is>
          <t>RNCP38365</t>
        </is>
      </c>
      <c r="K3990" s="45" t="inlineStr">
        <is>
          <t>Gestion des transports et logistique associée</t>
        </is>
      </c>
      <c r="L3990" s="45" t="inlineStr">
        <is>
          <t>31/12/2028</t>
        </is>
      </c>
      <c r="M3990" s="45" t="inlineStr">
        <is>
          <t>31837 (Logistique distribution) ; 31834 (Logistique transport) ; 31847 (Transport international marchandise) ; 34287 (Logistique internationale)</t>
        </is>
      </c>
      <c r="N3990" s="50" t="inlineStr">
        <is>
          <t>NON</t>
        </is>
      </c>
      <c r="O3990" s="45" t="inlineStr"/>
    </row>
    <row r="3991" customFormat="1" s="3">
      <c r="A3991" s="45" t="n"/>
      <c r="B3991" s="46" t="inlineStr">
        <is>
          <t>34287</t>
        </is>
      </c>
      <c r="C3991" s="46">
        <f>LEFT(Tableau1[[#This Row],[Formacode]],3)</f>
        <v/>
      </c>
      <c r="D3991" s="47" t="n">
        <v>38496</v>
      </c>
      <c r="E3991" s="48">
        <f>"RNCP"&amp;D3991</f>
        <v/>
      </c>
      <c r="F3991" s="48" t="inlineStr">
        <is>
          <t>Manager des achats et de la supply Chain</t>
        </is>
      </c>
      <c r="G3991" s="49">
        <f>E3991&amp;" - "&amp;F3991</f>
        <v/>
      </c>
      <c r="H3991" s="36" t="inlineStr">
        <is>
          <t>RAS</t>
        </is>
      </c>
      <c r="I3991" s="45" t="inlineStr"/>
      <c r="J3991" s="45" t="inlineStr">
        <is>
          <t>RNCP38496</t>
        </is>
      </c>
      <c r="K3991" s="45" t="inlineStr">
        <is>
          <t>Manager des achats et de la supply Chain</t>
        </is>
      </c>
      <c r="L3991" s="45" t="inlineStr">
        <is>
          <t>21/12/2028</t>
        </is>
      </c>
      <c r="M3991" s="45" t="inlineStr">
        <is>
          <t>31660 (Approvisionnement) ; 34292 (Achat international) ; 34287 (Logistique internationale) ; 34024 (Achat) ; 31845 (Logistique)</t>
        </is>
      </c>
      <c r="N3991" s="50" t="inlineStr">
        <is>
          <t>NON</t>
        </is>
      </c>
      <c r="O3991" s="45" t="inlineStr"/>
    </row>
    <row r="3992" customFormat="1" s="3">
      <c r="A3992" s="45" t="n"/>
      <c r="B3992" s="46" t="inlineStr">
        <is>
          <t>34287</t>
        </is>
      </c>
      <c r="C3992" s="46">
        <f>LEFT(Tableau1[[#This Row],[Formacode]],3)</f>
        <v/>
      </c>
      <c r="D3992" s="47" t="n">
        <v>39268</v>
      </c>
      <c r="E3992" s="48">
        <f>"RNCP"&amp;D3992</f>
        <v/>
      </c>
      <c r="F3992" s="48" t="inlineStr">
        <is>
          <t>DIPLOVIS - Diplôme d’Etudes Spécialisées en Management International</t>
        </is>
      </c>
      <c r="G3992" s="49">
        <f>E3992&amp;" - "&amp;F3992</f>
        <v/>
      </c>
      <c r="H3992" s="36" t="inlineStr">
        <is>
          <t>RAS</t>
        </is>
      </c>
      <c r="I3992" s="45" t="inlineStr"/>
      <c r="J3992" s="45" t="inlineStr">
        <is>
          <t>RNCP39268</t>
        </is>
      </c>
      <c r="K3992" s="45" t="inlineStr">
        <is>
          <t>Diplôme d’Etudes Spécialisées en Management International</t>
        </is>
      </c>
      <c r="L3992" s="45" t="inlineStr">
        <is>
          <t>31/08/2029</t>
        </is>
      </c>
      <c r="M3992" s="45" t="inlineStr">
        <is>
          <t>32005 (Stratégie internationale) ; 32006 (Gestion entreprise internationale) ; 32008 (Responsabilité sociétale entreprise) ; 34254 (Commerce international)</t>
        </is>
      </c>
      <c r="N3992" s="50" t="inlineStr">
        <is>
          <t>NON</t>
        </is>
      </c>
      <c r="O3992" s="45" t="inlineStr"/>
    </row>
    <row r="3993" customFormat="1" s="3">
      <c r="A3993" s="45" t="n"/>
      <c r="B3993" s="46" t="inlineStr">
        <is>
          <t>34287</t>
        </is>
      </c>
      <c r="C3993" s="46">
        <f>LEFT(Tableau1[[#This Row],[Formacode]],3)</f>
        <v/>
      </c>
      <c r="D3993" s="47" t="n">
        <v>39368</v>
      </c>
      <c r="E3993" s="48">
        <f>"RNCP"&amp;D3993</f>
        <v/>
      </c>
      <c r="F3993" s="48" t="inlineStr">
        <is>
          <t>CQP Animateur du développement commercial de la PME/PMI par l’international</t>
        </is>
      </c>
      <c r="G3993" s="49">
        <f>E3993&amp;" - "&amp;F3993</f>
        <v/>
      </c>
      <c r="H3993" s="36" t="inlineStr">
        <is>
          <t>RAS</t>
        </is>
      </c>
      <c r="I3993" s="45" t="inlineStr"/>
      <c r="J3993" s="45" t="inlineStr">
        <is>
          <t>RNCP39368</t>
        </is>
      </c>
      <c r="K3993" s="45" t="inlineStr">
        <is>
          <t>CQP Animateur du développement commercial de la PME/PMI par l’international</t>
        </is>
      </c>
      <c r="L3993" s="45" t="inlineStr">
        <is>
          <t>19/07/2028</t>
        </is>
      </c>
      <c r="M3993" s="45" t="inlineStr">
        <is>
          <t>34254 (Commerce international) ; 32094 (Gestion PME PMI)</t>
        </is>
      </c>
      <c r="N3993" s="50" t="inlineStr">
        <is>
          <t>NON</t>
        </is>
      </c>
      <c r="O3993" s="45" t="inlineStr"/>
    </row>
    <row r="3994" ht="28.8" customFormat="1" customHeight="1" s="3">
      <c r="A3994" s="45" t="n"/>
      <c r="B3994" s="46" t="inlineStr">
        <is>
          <t>34287</t>
        </is>
      </c>
      <c r="C3994" s="46">
        <f>LEFT(Tableau1[[#This Row],[Formacode]],3)</f>
        <v/>
      </c>
      <c r="D3994" s="47" t="n">
        <v>39571</v>
      </c>
      <c r="E3994" s="48">
        <f>"RNCP"&amp;D3994</f>
        <v/>
      </c>
      <c r="F3994" s="48" t="inlineStr">
        <is>
          <t>DipViGrM - Diplôme d’études supérieures en marketing, gestion commerciale et management international</t>
        </is>
      </c>
      <c r="G3994" s="49">
        <f>E3994&amp;" - "&amp;F3994</f>
        <v/>
      </c>
      <c r="H3994" s="36" t="inlineStr">
        <is>
          <t>RAS</t>
        </is>
      </c>
      <c r="I3994" s="45" t="inlineStr"/>
      <c r="J3994" s="45" t="inlineStr">
        <is>
          <t>RNCP39571</t>
        </is>
      </c>
      <c r="K3994" s="45" t="inlineStr">
        <is>
          <t>Diplôme d’études supérieures en marketing, gestion commerciale et management international</t>
        </is>
      </c>
      <c r="L3994" s="45" t="inlineStr">
        <is>
          <t>31/08/2027</t>
        </is>
      </c>
      <c r="M3994" s="45" t="inlineStr">
        <is>
          <t>34254 (Commerce international) ; 34016 (Marketing achat) ; 41023 (Marché financier) ; 34554 (Commerce)</t>
        </is>
      </c>
      <c r="N3994" s="50" t="inlineStr">
        <is>
          <t>NON</t>
        </is>
      </c>
      <c r="O3994" s="45" t="inlineStr"/>
    </row>
    <row r="3995" customFormat="1" s="3">
      <c r="A3995" s="45" t="n"/>
      <c r="B3995" s="46" t="inlineStr">
        <is>
          <t>34287</t>
        </is>
      </c>
      <c r="C3995" s="46">
        <f>LEFT(Tableau1[[#This Row],[Formacode]],3)</f>
        <v/>
      </c>
      <c r="D3995" s="47" t="n">
        <v>40172</v>
      </c>
      <c r="E3995" s="48">
        <f>"RNCP"&amp;D3995</f>
        <v/>
      </c>
      <c r="F3995" s="48" t="inlineStr">
        <is>
          <t>Chargé de développement commercial</t>
        </is>
      </c>
      <c r="G3995" s="49">
        <f>E3995&amp;" - "&amp;F3995</f>
        <v/>
      </c>
      <c r="H3995" s="36" t="inlineStr">
        <is>
          <t>RAS</t>
        </is>
      </c>
      <c r="I3995" s="45" t="inlineStr"/>
      <c r="J3995" s="45" t="inlineStr">
        <is>
          <t>RNCP40172</t>
        </is>
      </c>
      <c r="K3995" s="45" t="inlineStr">
        <is>
          <t>Chargé de développement commercial</t>
        </is>
      </c>
      <c r="L3995" s="45" t="inlineStr">
        <is>
          <t>31/01/2028</t>
        </is>
      </c>
      <c r="M3995" s="45" t="inlineStr">
        <is>
          <t>34085 (Stratégie commerciale) ; 34254 (Commerce international) ; 34582 (Négociation commerciale)</t>
        </is>
      </c>
      <c r="N3995" s="50" t="inlineStr">
        <is>
          <t>NON</t>
        </is>
      </c>
      <c r="O3995" s="45" t="inlineStr"/>
    </row>
    <row r="3996" customFormat="1" s="3">
      <c r="A3996" s="45" t="n"/>
      <c r="B3996" s="46" t="inlineStr">
        <is>
          <t>34287</t>
        </is>
      </c>
      <c r="C3996" s="46">
        <f>LEFT(Tableau1[[#This Row],[Formacode]],3)</f>
        <v/>
      </c>
      <c r="D3996" s="47" t="n">
        <v>40352</v>
      </c>
      <c r="E3996" s="48">
        <f>"RNCP"&amp;D3996</f>
        <v/>
      </c>
      <c r="F3996" s="48" t="inlineStr">
        <is>
          <t>Manager du développement international</t>
        </is>
      </c>
      <c r="G3996" s="49">
        <f>E3996&amp;" - "&amp;F3996</f>
        <v/>
      </c>
      <c r="H3996" s="36" t="inlineStr">
        <is>
          <t>RAS</t>
        </is>
      </c>
      <c r="I3996" s="45" t="inlineStr"/>
      <c r="J3996" s="45" t="inlineStr">
        <is>
          <t>RNCP40352</t>
        </is>
      </c>
      <c r="K3996" s="45" t="inlineStr">
        <is>
          <t>Manager du développement international</t>
        </is>
      </c>
      <c r="L3996" s="45" t="inlineStr">
        <is>
          <t>28/03/2030</t>
        </is>
      </c>
      <c r="M3996" s="45" t="inlineStr">
        <is>
          <t>32005 (Stratégie internationale) ; 32006 (Gestion entreprise internationale) ; 34254 (Commerce international) ; 32136 (Conduite projet international)</t>
        </is>
      </c>
      <c r="N3996" s="50" t="inlineStr">
        <is>
          <t>NON</t>
        </is>
      </c>
      <c r="O3996" s="45" t="inlineStr"/>
    </row>
    <row r="3997" customFormat="1" s="3">
      <c r="A3997" s="45" t="n"/>
      <c r="B3997" s="46" t="inlineStr">
        <is>
          <t>34287</t>
        </is>
      </c>
      <c r="C3997" s="46">
        <f>LEFT(Tableau1[[#This Row],[Formacode]],3)</f>
        <v/>
      </c>
      <c r="D3997" s="47" t="n">
        <v>40591</v>
      </c>
      <c r="E3997" s="48">
        <f>"RNCP"&amp;D3997</f>
        <v/>
      </c>
      <c r="F3997" s="48" t="inlineStr">
        <is>
          <t>Manager de la stratégie commerciale</t>
        </is>
      </c>
      <c r="G3997" s="49">
        <f>E3997&amp;" - "&amp;F3997</f>
        <v/>
      </c>
      <c r="H3997" s="36" t="inlineStr">
        <is>
          <t>RAS</t>
        </is>
      </c>
      <c r="I3997" s="45" t="inlineStr"/>
      <c r="J3997" s="45" t="inlineStr">
        <is>
          <t>RNCP40591</t>
        </is>
      </c>
      <c r="K3997" s="45" t="inlineStr">
        <is>
          <t>Manager de la stratégie commerciale</t>
        </is>
      </c>
      <c r="L3997" s="45" t="inlineStr">
        <is>
          <t>30/04/2030</t>
        </is>
      </c>
      <c r="M3997" s="45" t="inlineStr">
        <is>
          <t>34085 (Stratégie commerciale) ; 34590 (Ingénieur d'affaires) ; 34254 (Commerce international)</t>
        </is>
      </c>
      <c r="N3997" s="50" t="inlineStr">
        <is>
          <t>NON</t>
        </is>
      </c>
      <c r="O3997" s="45" t="inlineStr"/>
    </row>
    <row r="3998" ht="28.8" customFormat="1" customHeight="1" s="3">
      <c r="A3998" s="45" t="n"/>
      <c r="B3998" s="46" t="inlineStr">
        <is>
          <t>34287</t>
        </is>
      </c>
      <c r="C3998" s="46">
        <f>LEFT(Tableau1[[#This Row],[Formacode]],3)</f>
        <v/>
      </c>
      <c r="D3998" s="47" t="n">
        <v>40724</v>
      </c>
      <c r="E3998" s="48">
        <f>"RNCP"&amp;D3998</f>
        <v/>
      </c>
      <c r="F3998" s="48" t="inlineStr">
        <is>
          <t>DipViGrL - Diplôme d’enseignement supérieure en management des affaires internationales</t>
        </is>
      </c>
      <c r="G3998" s="49">
        <f>E3998&amp;" - "&amp;F3998</f>
        <v/>
      </c>
      <c r="H3998" s="36" t="inlineStr">
        <is>
          <t>RAS</t>
        </is>
      </c>
      <c r="I3998" s="45" t="inlineStr"/>
      <c r="J3998" s="45" t="inlineStr">
        <is>
          <t>RNCP40724</t>
        </is>
      </c>
      <c r="K3998" s="45" t="inlineStr">
        <is>
          <t>Diplôme d’enseignement supérieure en management des affaires internationales</t>
        </is>
      </c>
      <c r="L3998" s="45" t="inlineStr">
        <is>
          <t>31/08/2028</t>
        </is>
      </c>
      <c r="M3998" s="45" t="inlineStr">
        <is>
          <t>34254 (Commerce international) ; 34052 (Marketing) ; 34056 (Administration ventes) ; 32006 (Gestion entreprise internationale)</t>
        </is>
      </c>
      <c r="N3998" s="50" t="inlineStr">
        <is>
          <t>NON</t>
        </is>
      </c>
      <c r="O3998" s="45" t="inlineStr"/>
    </row>
    <row r="3999" customFormat="1" s="3">
      <c r="A3999" s="51" t="n"/>
      <c r="B3999" s="52" t="inlineStr">
        <is>
          <t>34566</t>
        </is>
      </c>
      <c r="C3999" s="52">
        <f>LEFT(Tableau1[[#This Row],[Formacode]],3)</f>
        <v/>
      </c>
      <c r="D3999" s="53" t="n">
        <v>35185</v>
      </c>
      <c r="E3999" s="54">
        <f>"RNCP"&amp;D3999</f>
        <v/>
      </c>
      <c r="F3999" s="54" t="inlineStr">
        <is>
          <t>BAC PRO - Technicien conseil vente en alimentation (produits alimentaires et boissons)</t>
        </is>
      </c>
      <c r="G3999" s="55">
        <f>E3999&amp;" - "&amp;F3999</f>
        <v/>
      </c>
      <c r="H3999" s="37" t="inlineStr">
        <is>
          <t>À vérifier</t>
        </is>
      </c>
      <c r="I3999" s="51" t="inlineStr">
        <is>
          <t>Successeur déjà publié : RNCP41938 (Technicien conseil vente en alimentation (produits alimentaires et boissons)) — préparer la bascule de l'offre CPF | Échéance le 01/09/2026 (dans 45 j)</t>
        </is>
      </c>
      <c r="J3999" s="51" t="inlineStr">
        <is>
          <t>RNCP41938</t>
        </is>
      </c>
      <c r="K3999" s="51" t="inlineStr">
        <is>
          <t>Technicien conseil vente en alimentation (produits alimentaires et boissons)</t>
        </is>
      </c>
      <c r="L3999" s="51" t="inlineStr">
        <is>
          <t>01/09/2026</t>
        </is>
      </c>
      <c r="M3999" s="51" t="inlineStr">
        <is>
          <t>34525 (Vente produit alimentaire)</t>
        </is>
      </c>
      <c r="N3999" s="62" t="inlineStr">
        <is>
          <t>NON</t>
        </is>
      </c>
      <c r="O3999" s="51" t="inlineStr"/>
    </row>
    <row r="4000" customFormat="1" s="3">
      <c r="A4000" s="63" t="n"/>
      <c r="B4000" s="64" t="inlineStr">
        <is>
          <t>34566</t>
        </is>
      </c>
      <c r="C4000" s="64">
        <f>LEFT(Tableau1[[#This Row],[Formacode]],3)</f>
        <v/>
      </c>
      <c r="D4000" s="65" t="n">
        <v>35233</v>
      </c>
      <c r="E4000" s="66">
        <f>"RNCP"&amp;D4000</f>
        <v/>
      </c>
      <c r="F4000" s="66" t="inlineStr">
        <is>
          <t>TP - Assistant manager d’unité marchande</t>
        </is>
      </c>
      <c r="G4000" s="67">
        <f>E4000&amp;" - "&amp;F4000</f>
        <v/>
      </c>
      <c r="H4000" s="38" t="inlineStr">
        <is>
          <t>Expiré / remplacé</t>
        </is>
      </c>
      <c r="I4000" s="63" t="inlineStr">
        <is>
          <t>Fiche inactive — remplacée par RNCP41852 (Assistant manager d’unité marchande)</t>
        </is>
      </c>
      <c r="J4000" s="63" t="inlineStr">
        <is>
          <t>RNCP41852</t>
        </is>
      </c>
      <c r="K4000" s="63" t="inlineStr">
        <is>
          <t>Assistant manager d’unité marchande</t>
        </is>
      </c>
      <c r="L4000" s="63" t="inlineStr">
        <is>
          <t>16/02/2026</t>
        </is>
      </c>
      <c r="M4000" s="63" t="inlineStr">
        <is>
          <t>34566 (Vente distribution) ; 32154 (Encadrement management)</t>
        </is>
      </c>
      <c r="N4000" s="68" t="inlineStr">
        <is>
          <t>NON</t>
        </is>
      </c>
      <c r="O4000" s="63" t="inlineStr"/>
    </row>
    <row r="4001" customFormat="1" s="3">
      <c r="A4001" s="63" t="n"/>
      <c r="B4001" s="64" t="inlineStr">
        <is>
          <t>34566</t>
        </is>
      </c>
      <c r="C4001" s="64">
        <f>LEFT(Tableau1[[#This Row],[Formacode]],3)</f>
        <v/>
      </c>
      <c r="D4001" s="65" t="n">
        <v>35304</v>
      </c>
      <c r="E4001" s="66">
        <f>"RNCP"&amp;D4001</f>
        <v/>
      </c>
      <c r="F4001" s="66" t="inlineStr">
        <is>
          <t>TP - Conseiller relation client à distance</t>
        </is>
      </c>
      <c r="G4001" s="67">
        <f>E4001&amp;" - "&amp;F4001</f>
        <v/>
      </c>
      <c r="H4001" s="38" t="inlineStr">
        <is>
          <t>Expiré / remplacé</t>
        </is>
      </c>
      <c r="I4001" s="63" t="inlineStr">
        <is>
          <t>Fiche inactive — remplacée par RNCP42431 (Conseiller relation client à distance)</t>
        </is>
      </c>
      <c r="J4001" s="63" t="inlineStr">
        <is>
          <t>RNCP42431</t>
        </is>
      </c>
      <c r="K4001" s="63" t="inlineStr">
        <is>
          <t>Conseiller relation client à distance</t>
        </is>
      </c>
      <c r="L4001" s="63" t="inlineStr">
        <is>
          <t>06/07/2026</t>
        </is>
      </c>
      <c r="M4001" s="63" t="inlineStr">
        <is>
          <t>34076 (Gestion relation client) ; 34026 (Développement sens commercial) ; 34027 (Service après-vente) ; 34507 (Vente à distance)</t>
        </is>
      </c>
      <c r="N4001" s="68" t="inlineStr">
        <is>
          <t>NON</t>
        </is>
      </c>
      <c r="O4001" s="63" t="inlineStr"/>
    </row>
    <row r="4002" customFormat="1" s="3">
      <c r="A4002" s="51" t="n"/>
      <c r="B4002" s="52" t="inlineStr">
        <is>
          <t>34566</t>
        </is>
      </c>
      <c r="C4002" s="52">
        <f>LEFT(Tableau1[[#This Row],[Formacode]],3)</f>
        <v/>
      </c>
      <c r="D4002" s="53" t="n">
        <v>35863</v>
      </c>
      <c r="E4002" s="54">
        <f>"RNCP"&amp;D4002</f>
        <v/>
      </c>
      <c r="F4002" s="54" t="inlineStr">
        <is>
          <t>Sommelier-conseil, caviste</t>
        </is>
      </c>
      <c r="G4002" s="55">
        <f>E4002&amp;" - "&amp;F4002</f>
        <v/>
      </c>
      <c r="H4002" s="37" t="inlineStr">
        <is>
          <t>À vérifier</t>
        </is>
      </c>
      <c r="I4002" s="51" t="inlineStr">
        <is>
          <t>Échéance le 15/09/2026 (dans 59 j)</t>
        </is>
      </c>
      <c r="J4002" s="51" t="inlineStr">
        <is>
          <t>RNCP35863</t>
        </is>
      </c>
      <c r="K4002" s="51" t="inlineStr">
        <is>
          <t>Sommelier-conseil, caviste</t>
        </is>
      </c>
      <c r="L4002" s="51" t="inlineStr">
        <is>
          <t>15/09/2026</t>
        </is>
      </c>
      <c r="M4002" s="51" t="inlineStr">
        <is>
          <t>21511 (Dégustation vin) ; 21540 (Commercialisation vin spiritueux) ; 34513 (Vente vin spiritueux) ; 42739 (Sommellerie)</t>
        </is>
      </c>
      <c r="N4002" s="62" t="inlineStr">
        <is>
          <t>NON</t>
        </is>
      </c>
      <c r="O4002" s="51" t="inlineStr"/>
    </row>
    <row r="4003" customFormat="1" s="3">
      <c r="A4003" s="45" t="n"/>
      <c r="B4003" s="46" t="inlineStr">
        <is>
          <t>34566</t>
        </is>
      </c>
      <c r="C4003" s="46">
        <f>LEFT(Tableau1[[#This Row],[Formacode]],3)</f>
        <v/>
      </c>
      <c r="D4003" s="47" t="n">
        <v>36003</v>
      </c>
      <c r="E4003" s="48">
        <f>"RNCP"&amp;D4003</f>
        <v/>
      </c>
      <c r="F4003" s="48" t="inlineStr">
        <is>
          <t>BTSA - Technico-commercial</t>
        </is>
      </c>
      <c r="G4003" s="49">
        <f>E4003&amp;" - "&amp;F4003</f>
        <v/>
      </c>
      <c r="H4003" s="36" t="inlineStr">
        <is>
          <t>RAS</t>
        </is>
      </c>
      <c r="I4003" s="45" t="inlineStr"/>
      <c r="J4003" s="45" t="inlineStr">
        <is>
          <t>RNCP36003</t>
        </is>
      </c>
      <c r="K4003" s="45" t="inlineStr">
        <is>
          <t>Technico-commercial</t>
        </is>
      </c>
      <c r="L4003" s="45" t="inlineStr">
        <is>
          <t>31/08/2027</t>
        </is>
      </c>
      <c r="M4003" s="45" t="inlineStr">
        <is>
          <t>34581 (Technico-commercial) ; 34582 (Négociation commerciale) ; 34525 (Vente produit alimentaire)</t>
        </is>
      </c>
      <c r="N4003" s="50" t="inlineStr">
        <is>
          <t>NON</t>
        </is>
      </c>
      <c r="O4003" s="45" t="inlineStr"/>
    </row>
    <row r="4004" customFormat="1" s="3">
      <c r="A4004" s="45" t="n"/>
      <c r="B4004" s="46" t="inlineStr">
        <is>
          <t>34566</t>
        </is>
      </c>
      <c r="C4004" s="46">
        <f>LEFT(Tableau1[[#This Row],[Formacode]],3)</f>
        <v/>
      </c>
      <c r="D4004" s="47" t="n">
        <v>36005</v>
      </c>
      <c r="E4004" s="48">
        <f>"RNCP"&amp;D4004</f>
        <v/>
      </c>
      <c r="F4004" s="48" t="inlineStr">
        <is>
          <t>Brevet professionnel - Fleuriste</t>
        </is>
      </c>
      <c r="G4004" s="49">
        <f>E4004&amp;" - "&amp;F4004</f>
        <v/>
      </c>
      <c r="H4004" s="36" t="inlineStr">
        <is>
          <t>RAS</t>
        </is>
      </c>
      <c r="I4004" s="45" t="inlineStr"/>
      <c r="J4004" s="45" t="inlineStr">
        <is>
          <t>RNCP36005</t>
        </is>
      </c>
      <c r="K4004" s="45" t="inlineStr">
        <is>
          <t>Fleuriste</t>
        </is>
      </c>
      <c r="L4004" s="45" t="inlineStr">
        <is>
          <t>31/08/2027</t>
        </is>
      </c>
      <c r="M4004" s="45" t="inlineStr">
        <is>
          <t>34503 (Fleuriste)</t>
        </is>
      </c>
      <c r="N4004" s="50" t="inlineStr">
        <is>
          <t>NON</t>
        </is>
      </c>
      <c r="O4004" s="45" t="inlineStr"/>
    </row>
    <row r="4005" customFormat="1" s="3">
      <c r="A4005" s="45" t="n"/>
      <c r="B4005" s="46" t="inlineStr">
        <is>
          <t>34566</t>
        </is>
      </c>
      <c r="C4005" s="46">
        <f>LEFT(Tableau1[[#This Row],[Formacode]],3)</f>
        <v/>
      </c>
      <c r="D4005" s="47" t="n">
        <v>36119</v>
      </c>
      <c r="E4005" s="48">
        <f>"RNCP"&amp;D4005</f>
        <v/>
      </c>
      <c r="F4005" s="48" t="inlineStr">
        <is>
          <t>Manager du marketing et de la transformation digitale</t>
        </is>
      </c>
      <c r="G4005" s="49">
        <f>E4005&amp;" - "&amp;F4005</f>
        <v/>
      </c>
      <c r="H4005" s="36" t="inlineStr">
        <is>
          <t>RAS</t>
        </is>
      </c>
      <c r="I4005" s="45" t="inlineStr"/>
      <c r="J4005" s="45" t="inlineStr">
        <is>
          <t>RNCP36119</t>
        </is>
      </c>
      <c r="K4005" s="45" t="inlineStr">
        <is>
          <t>Manager du marketing et de la transformation digitale</t>
        </is>
      </c>
      <c r="L4005" s="45" t="inlineStr">
        <is>
          <t>26/01/2027</t>
        </is>
      </c>
      <c r="M4005" s="45" t="inlineStr">
        <is>
          <t>34530 (E-commerce) ; 46347 (Stratégie communication numérique) ; 34093 (Marketing digital)</t>
        </is>
      </c>
      <c r="N4005" s="50" t="inlineStr">
        <is>
          <t>NON</t>
        </is>
      </c>
      <c r="O4005" s="45" t="inlineStr"/>
    </row>
    <row r="4006" customFormat="1" s="3">
      <c r="A4006" s="45" t="n"/>
      <c r="B4006" s="46" t="inlineStr">
        <is>
          <t>34566</t>
        </is>
      </c>
      <c r="C4006" s="46">
        <f>LEFT(Tableau1[[#This Row],[Formacode]],3)</f>
        <v/>
      </c>
      <c r="D4006" s="47" t="n">
        <v>36677</v>
      </c>
      <c r="E4006" s="48">
        <f>"RNCP"&amp;D4006</f>
        <v/>
      </c>
      <c r="F4006" s="48" t="inlineStr">
        <is>
          <t>DIPLOVIS - Responsable en marketing, commercialisation et gestion</t>
        </is>
      </c>
      <c r="G4006" s="49">
        <f>E4006&amp;" - "&amp;F4006</f>
        <v/>
      </c>
      <c r="H4006" s="36" t="inlineStr">
        <is>
          <t>RAS</t>
        </is>
      </c>
      <c r="I4006" s="45" t="inlineStr"/>
      <c r="J4006" s="45" t="inlineStr">
        <is>
          <t>RNCP36677</t>
        </is>
      </c>
      <c r="K4006" s="45" t="inlineStr">
        <is>
          <t>Responsable en marketing, commercialisation et gestion</t>
        </is>
      </c>
      <c r="L4006" s="45" t="inlineStr">
        <is>
          <t>31/08/2027</t>
        </is>
      </c>
      <c r="M4006" s="45" t="inlineStr">
        <is>
          <t>34052 (Marketing) ; 34554 (Commerce) ; 32054 (Gestion des organisations)</t>
        </is>
      </c>
      <c r="N4006" s="50" t="inlineStr">
        <is>
          <t>NON</t>
        </is>
      </c>
      <c r="O4006" s="45" t="inlineStr"/>
    </row>
    <row r="4007" customFormat="1" s="3">
      <c r="A4007" s="45" t="n"/>
      <c r="B4007" s="46" t="inlineStr">
        <is>
          <t>34566</t>
        </is>
      </c>
      <c r="C4007" s="46">
        <f>LEFT(Tableau1[[#This Row],[Formacode]],3)</f>
        <v/>
      </c>
      <c r="D4007" s="47" t="n">
        <v>36990</v>
      </c>
      <c r="E4007" s="48">
        <f>"RNCP"&amp;D4007</f>
        <v/>
      </c>
      <c r="F4007" s="48" t="inlineStr">
        <is>
          <t>Vendeur automobile</t>
        </is>
      </c>
      <c r="G4007" s="49">
        <f>E4007&amp;" - "&amp;F4007</f>
        <v/>
      </c>
      <c r="H4007" s="36" t="inlineStr">
        <is>
          <t>RAS</t>
        </is>
      </c>
      <c r="I4007" s="45" t="inlineStr"/>
      <c r="J4007" s="45" t="inlineStr">
        <is>
          <t>RNCP36990</t>
        </is>
      </c>
      <c r="K4007" s="45" t="inlineStr">
        <is>
          <t>Vendeur automobile</t>
        </is>
      </c>
      <c r="L4007" s="45" t="inlineStr">
        <is>
          <t>24/10/2027</t>
        </is>
      </c>
      <c r="M4007" s="45" t="inlineStr">
        <is>
          <t>34517 (Vente automobile)</t>
        </is>
      </c>
      <c r="N4007" s="50" t="inlineStr">
        <is>
          <t>NON</t>
        </is>
      </c>
      <c r="O4007" s="45" t="inlineStr"/>
    </row>
    <row r="4008" customFormat="1" s="3">
      <c r="A4008" s="45" t="n"/>
      <c r="B4008" s="46" t="inlineStr">
        <is>
          <t>34566</t>
        </is>
      </c>
      <c r="C4008" s="46">
        <f>LEFT(Tableau1[[#This Row],[Formacode]],3)</f>
        <v/>
      </c>
      <c r="D4008" s="47" t="n">
        <v>37098</v>
      </c>
      <c r="E4008" s="48">
        <f>"RNCP"&amp;D4008</f>
        <v/>
      </c>
      <c r="F4008" s="48" t="inlineStr">
        <is>
          <t>TP - Conseiller de vente</t>
        </is>
      </c>
      <c r="G4008" s="49">
        <f>E4008&amp;" - "&amp;F4008</f>
        <v/>
      </c>
      <c r="H4008" s="36" t="inlineStr">
        <is>
          <t>RAS</t>
        </is>
      </c>
      <c r="I4008" s="45" t="inlineStr"/>
      <c r="J4008" s="45" t="inlineStr">
        <is>
          <t>RNCP37098</t>
        </is>
      </c>
      <c r="K4008" s="45" t="inlineStr">
        <is>
          <t>Conseiller de vente</t>
        </is>
      </c>
      <c r="L4008" s="45" t="inlineStr">
        <is>
          <t>25/01/2028</t>
        </is>
      </c>
      <c r="M4008" s="45" t="inlineStr">
        <is>
          <t>34502 (Vente spécialisée)</t>
        </is>
      </c>
      <c r="N4008" s="50" t="inlineStr">
        <is>
          <t>NON</t>
        </is>
      </c>
      <c r="O4008" s="45" t="inlineStr"/>
    </row>
    <row r="4009" customFormat="1" s="3">
      <c r="A4009" s="45" t="n"/>
      <c r="B4009" s="46" t="inlineStr">
        <is>
          <t>34566</t>
        </is>
      </c>
      <c r="C4009" s="46">
        <f>LEFT(Tableau1[[#This Row],[Formacode]],3)</f>
        <v/>
      </c>
      <c r="D4009" s="47" t="n">
        <v>37099</v>
      </c>
      <c r="E4009" s="48">
        <f>"RNCP"&amp;D4009</f>
        <v/>
      </c>
      <c r="F4009" s="48" t="inlineStr">
        <is>
          <t>TP - Employé commercial</t>
        </is>
      </c>
      <c r="G4009" s="49">
        <f>E4009&amp;" - "&amp;F4009</f>
        <v/>
      </c>
      <c r="H4009" s="36" t="inlineStr">
        <is>
          <t>RAS</t>
        </is>
      </c>
      <c r="I4009" s="45" t="inlineStr"/>
      <c r="J4009" s="45" t="inlineStr">
        <is>
          <t>RNCP37099</t>
        </is>
      </c>
      <c r="K4009" s="45" t="inlineStr">
        <is>
          <t>Employé commercial</t>
        </is>
      </c>
      <c r="L4009" s="45" t="inlineStr">
        <is>
          <t>15/12/2027</t>
        </is>
      </c>
      <c r="M4009" s="45" t="inlineStr">
        <is>
          <t>34566 (Vente distribution) ; 31734 (Magasinage)</t>
        </is>
      </c>
      <c r="N4009" s="50" t="inlineStr">
        <is>
          <t>NON</t>
        </is>
      </c>
      <c r="O4009" s="45" t="inlineStr"/>
    </row>
    <row r="4010" customFormat="1" s="3">
      <c r="A4010" s="45" t="n"/>
      <c r="B4010" s="46" t="inlineStr">
        <is>
          <t>34566</t>
        </is>
      </c>
      <c r="C4010" s="46">
        <f>LEFT(Tableau1[[#This Row],[Formacode]],3)</f>
        <v/>
      </c>
      <c r="D4010" s="47" t="n">
        <v>37105</v>
      </c>
      <c r="E4010" s="48">
        <f>"RNCP"&amp;D4010</f>
        <v/>
      </c>
      <c r="F4010" s="48" t="inlineStr">
        <is>
          <t>CS - Vendeur-conseil en alimentation</t>
        </is>
      </c>
      <c r="G4010" s="49">
        <f>E4010&amp;" - "&amp;F4010</f>
        <v/>
      </c>
      <c r="H4010" s="36" t="inlineStr">
        <is>
          <t>RAS</t>
        </is>
      </c>
      <c r="I4010" s="45" t="inlineStr"/>
      <c r="J4010" s="45" t="inlineStr">
        <is>
          <t>RNCP37105</t>
        </is>
      </c>
      <c r="K4010" s="45" t="inlineStr">
        <is>
          <t>Vendeur-conseil en alimentation</t>
        </is>
      </c>
      <c r="L4010" s="45" t="inlineStr">
        <is>
          <t>31/08/2028</t>
        </is>
      </c>
      <c r="M4010" s="45" t="inlineStr">
        <is>
          <t>34525 (Vente produit alimentaire)</t>
        </is>
      </c>
      <c r="N4010" s="50" t="inlineStr">
        <is>
          <t>NON</t>
        </is>
      </c>
      <c r="O4010" s="45" t="inlineStr"/>
    </row>
    <row r="4011" customFormat="1" s="3">
      <c r="A4011" s="45" t="n"/>
      <c r="B4011" s="46" t="inlineStr">
        <is>
          <t>34566</t>
        </is>
      </c>
      <c r="C4011" s="46">
        <f>LEFT(Tableau1[[#This Row],[Formacode]],3)</f>
        <v/>
      </c>
      <c r="D4011" s="47" t="n">
        <v>37281</v>
      </c>
      <c r="E4011" s="48">
        <f>"RNCP"&amp;D4011</f>
        <v/>
      </c>
      <c r="F4011" s="48" t="inlineStr">
        <is>
          <t>CQP Vendeur - conseil en négoce des matériaux de construction</t>
        </is>
      </c>
      <c r="G4011" s="49">
        <f>E4011&amp;" - "&amp;F4011</f>
        <v/>
      </c>
      <c r="H4011" s="36" t="inlineStr">
        <is>
          <t>RAS</t>
        </is>
      </c>
      <c r="I4011" s="45" t="inlineStr"/>
      <c r="J4011" s="45" t="inlineStr">
        <is>
          <t>RNCP37281</t>
        </is>
      </c>
      <c r="K4011" s="45" t="inlineStr">
        <is>
          <t>CQP Vendeur - conseil en négoce des matériaux de construction</t>
        </is>
      </c>
      <c r="L4011" s="45" t="inlineStr">
        <is>
          <t>25/01/2028</t>
        </is>
      </c>
      <c r="M4011" s="45" t="inlineStr">
        <is>
          <t>34502 (Vente spécialisée) ; 22852 (Matériau construction)</t>
        </is>
      </c>
      <c r="N4011" s="50" t="inlineStr">
        <is>
          <t>NON</t>
        </is>
      </c>
      <c r="O4011" s="45" t="inlineStr"/>
    </row>
    <row r="4012" customFormat="1" s="3">
      <c r="A4012" s="51" t="n"/>
      <c r="B4012" s="52" t="inlineStr">
        <is>
          <t>34566</t>
        </is>
      </c>
      <c r="C4012" s="52">
        <f>LEFT(Tableau1[[#This Row],[Formacode]],3)</f>
        <v/>
      </c>
      <c r="D4012" s="53" t="n">
        <v>37310</v>
      </c>
      <c r="E4012" s="54">
        <f>"RNCP"&amp;D4012</f>
        <v/>
      </c>
      <c r="F4012" s="54" t="inlineStr">
        <is>
          <t>BP - Boucher</t>
        </is>
      </c>
      <c r="G4012" s="55">
        <f>E4012&amp;" - "&amp;F4012</f>
        <v/>
      </c>
      <c r="H4012" s="37" t="inlineStr">
        <is>
          <t>À vérifier</t>
        </is>
      </c>
      <c r="I4012" s="51" t="inlineStr">
        <is>
          <t>Successeur déjà publié : RNCP42129 (Boucher) — préparer la bascule de l'offre CPF | Échéance le 31/08/2026 (dans 44 j)</t>
        </is>
      </c>
      <c r="J4012" s="51" t="inlineStr">
        <is>
          <t>RNCP42129</t>
        </is>
      </c>
      <c r="K4012" s="51" t="inlineStr">
        <is>
          <t>Boucher</t>
        </is>
      </c>
      <c r="L4012" s="51" t="inlineStr">
        <is>
          <t>31/08/2026</t>
        </is>
      </c>
      <c r="M4012" s="51" t="inlineStr">
        <is>
          <t>34525 (Vente produit alimentaire)</t>
        </is>
      </c>
      <c r="N4012" s="62" t="inlineStr">
        <is>
          <t>NON</t>
        </is>
      </c>
      <c r="O4012" s="51" t="inlineStr"/>
    </row>
    <row r="4013" customFormat="1" s="3">
      <c r="A4013" s="51" t="n"/>
      <c r="B4013" s="52" t="inlineStr">
        <is>
          <t>34566</t>
        </is>
      </c>
      <c r="C4013" s="52">
        <f>LEFT(Tableau1[[#This Row],[Formacode]],3)</f>
        <v/>
      </c>
      <c r="D4013" s="53" t="n">
        <v>37383</v>
      </c>
      <c r="E4013" s="54">
        <f>"RNCP"&amp;D4013</f>
        <v/>
      </c>
      <c r="F4013" s="54" t="inlineStr">
        <is>
          <t>CAP - Poissonnier- écailler</t>
        </is>
      </c>
      <c r="G4013" s="55">
        <f>E4013&amp;" - "&amp;F4013</f>
        <v/>
      </c>
      <c r="H4013" s="37" t="inlineStr">
        <is>
          <t>À vérifier</t>
        </is>
      </c>
      <c r="I4013" s="51" t="inlineStr">
        <is>
          <t>Successeur déjà publié : RNCP42137 (Poissonnier écailler) — préparer la bascule de l'offre CPF | Échéance le 31/08/2026 (dans 44 j)</t>
        </is>
      </c>
      <c r="J4013" s="51" t="inlineStr">
        <is>
          <t>RNCP42137</t>
        </is>
      </c>
      <c r="K4013" s="51" t="inlineStr">
        <is>
          <t>Poissonnier écailler</t>
        </is>
      </c>
      <c r="L4013" s="51" t="inlineStr">
        <is>
          <t>31/08/2026</t>
        </is>
      </c>
      <c r="M4013" s="51" t="inlineStr">
        <is>
          <t>21567 (Transformation produits de la mer) ; 34506 (Vente produit mer)</t>
        </is>
      </c>
      <c r="N4013" s="62" t="inlineStr">
        <is>
          <t>NON</t>
        </is>
      </c>
      <c r="O4013" s="51" t="inlineStr"/>
    </row>
    <row r="4014" customFormat="1" s="3">
      <c r="A4014" s="63" t="n"/>
      <c r="B4014" s="64" t="inlineStr">
        <is>
          <t>34566</t>
        </is>
      </c>
      <c r="C4014" s="64">
        <f>LEFT(Tableau1[[#This Row],[Formacode]],3)</f>
        <v/>
      </c>
      <c r="D4014" s="65" t="n">
        <v>37410</v>
      </c>
      <c r="E4014" s="66">
        <f>"RNCP"&amp;D4014</f>
        <v/>
      </c>
      <c r="F4014" s="66" t="inlineStr">
        <is>
          <t>CQP Vendeur en fournitures industrielles</t>
        </is>
      </c>
      <c r="G4014" s="67">
        <f>E4014&amp;" - "&amp;F4014</f>
        <v/>
      </c>
      <c r="H4014" s="38" t="inlineStr">
        <is>
          <t>Expiré / remplacé</t>
        </is>
      </c>
      <c r="I4014" s="63" t="inlineStr">
        <is>
          <t>Fiche inactive — remplacée par RNCP42063 (CQP Vendeur en fournitures industrielles)</t>
        </is>
      </c>
      <c r="J4014" s="63" t="inlineStr">
        <is>
          <t>RNCP42063</t>
        </is>
      </c>
      <c r="K4014" s="63" t="inlineStr">
        <is>
          <t>CQP Vendeur en fournitures industrielles</t>
        </is>
      </c>
      <c r="L4014" s="63" t="inlineStr">
        <is>
          <t>27/03/2026</t>
        </is>
      </c>
      <c r="M4014" s="63" t="inlineStr">
        <is>
          <t>34502 (Vente spécialisée)</t>
        </is>
      </c>
      <c r="N4014" s="68" t="inlineStr">
        <is>
          <t>NON</t>
        </is>
      </c>
      <c r="O4014" s="63" t="inlineStr"/>
    </row>
    <row r="4015" customFormat="1" s="3">
      <c r="A4015" s="45" t="n"/>
      <c r="B4015" s="46" t="inlineStr">
        <is>
          <t>34566</t>
        </is>
      </c>
      <c r="C4015" s="46">
        <f>LEFT(Tableau1[[#This Row],[Formacode]],3)</f>
        <v/>
      </c>
      <c r="D4015" s="47" t="n">
        <v>37533</v>
      </c>
      <c r="E4015" s="48">
        <f>"RNCP"&amp;D4015</f>
        <v/>
      </c>
      <c r="F4015" s="48" t="inlineStr">
        <is>
          <t>CAP - Crémier fromager</t>
        </is>
      </c>
      <c r="G4015" s="49">
        <f>E4015&amp;" - "&amp;F4015</f>
        <v/>
      </c>
      <c r="H4015" s="36" t="inlineStr">
        <is>
          <t>RAS</t>
        </is>
      </c>
      <c r="I4015" s="45" t="inlineStr"/>
      <c r="J4015" s="45" t="inlineStr">
        <is>
          <t>RNCP37533</t>
        </is>
      </c>
      <c r="K4015" s="45" t="inlineStr">
        <is>
          <t>Crémier fromager</t>
        </is>
      </c>
      <c r="L4015" s="45" t="inlineStr">
        <is>
          <t>31/08/2028</t>
        </is>
      </c>
      <c r="M4015" s="45" t="inlineStr">
        <is>
          <t>21504 (Fromage) ; 34516 (Vente produit laitier)</t>
        </is>
      </c>
      <c r="N4015" s="50" t="inlineStr">
        <is>
          <t>NON</t>
        </is>
      </c>
      <c r="O4015" s="45" t="inlineStr"/>
    </row>
    <row r="4016" customFormat="1" s="3">
      <c r="A4016" s="45" t="n"/>
      <c r="B4016" s="46" t="inlineStr">
        <is>
          <t>34566</t>
        </is>
      </c>
      <c r="C4016" s="46">
        <f>LEFT(Tableau1[[#This Row],[Formacode]],3)</f>
        <v/>
      </c>
      <c r="D4016" s="47" t="n">
        <v>37602</v>
      </c>
      <c r="E4016" s="48">
        <f>"RNCP"&amp;D4016</f>
        <v/>
      </c>
      <c r="F4016" s="48" t="inlineStr">
        <is>
          <t>BAC PRO - Boucher-charcutier-traiteur</t>
        </is>
      </c>
      <c r="G4016" s="49">
        <f>E4016&amp;" - "&amp;F4016</f>
        <v/>
      </c>
      <c r="H4016" s="36" t="inlineStr">
        <is>
          <t>RAS</t>
        </is>
      </c>
      <c r="I4016" s="45" t="inlineStr"/>
      <c r="J4016" s="45" t="inlineStr">
        <is>
          <t>RNCP37602</t>
        </is>
      </c>
      <c r="K4016" s="45" t="inlineStr">
        <is>
          <t>Boucher-charcutier-traiteur</t>
        </is>
      </c>
      <c r="L4016" s="45" t="inlineStr">
        <is>
          <t>31/08/2028</t>
        </is>
      </c>
      <c r="M4016" s="45" t="inlineStr">
        <is>
          <t>21599 (Boucherie) ; 21589 (Charcuterie) ; 21576 (Traiteur) ; 34525 (Vente produit alimentaire)</t>
        </is>
      </c>
      <c r="N4016" s="50" t="inlineStr">
        <is>
          <t>NON</t>
        </is>
      </c>
      <c r="O4016" s="45" t="inlineStr"/>
    </row>
    <row r="4017" customFormat="1" s="3">
      <c r="A4017" s="45" t="n"/>
      <c r="B4017" s="46" t="inlineStr">
        <is>
          <t>34566</t>
        </is>
      </c>
      <c r="C4017" s="46">
        <f>LEFT(Tableau1[[#This Row],[Formacode]],3)</f>
        <v/>
      </c>
      <c r="D4017" s="47" t="n">
        <v>37604</v>
      </c>
      <c r="E4017" s="48">
        <f>"RNCP"&amp;D4017</f>
        <v/>
      </c>
      <c r="F4017" s="48" t="inlineStr">
        <is>
          <t>Certificat d'aptitude professionnelle - Primeur</t>
        </is>
      </c>
      <c r="G4017" s="49">
        <f>E4017&amp;" - "&amp;F4017</f>
        <v/>
      </c>
      <c r="H4017" s="36" t="inlineStr">
        <is>
          <t>RAS</t>
        </is>
      </c>
      <c r="I4017" s="45" t="inlineStr"/>
      <c r="J4017" s="45" t="inlineStr">
        <is>
          <t>RNCP37604</t>
        </is>
      </c>
      <c r="K4017" s="45" t="inlineStr">
        <is>
          <t>Primeur</t>
        </is>
      </c>
      <c r="L4017" s="45" t="inlineStr">
        <is>
          <t>31/08/2028</t>
        </is>
      </c>
      <c r="M4017" s="45" t="inlineStr">
        <is>
          <t>34504 (Vente fruit légume) ; 34575 (Commerce gros)</t>
        </is>
      </c>
      <c r="N4017" s="50" t="inlineStr">
        <is>
          <t>NON</t>
        </is>
      </c>
      <c r="O4017" s="45" t="inlineStr"/>
    </row>
    <row r="4018" customFormat="1" s="3">
      <c r="A4018" s="63" t="n"/>
      <c r="B4018" s="64" t="inlineStr">
        <is>
          <t>34566</t>
        </is>
      </c>
      <c r="C4018" s="64">
        <f>LEFT(Tableau1[[#This Row],[Formacode]],3)</f>
        <v/>
      </c>
      <c r="D4018" s="65" t="n">
        <v>37635</v>
      </c>
      <c r="E4018" s="66">
        <f>"RNCP"&amp;D4018</f>
        <v/>
      </c>
      <c r="F4018" s="66" t="inlineStr">
        <is>
          <t>Manager de commerce et de centre de profit</t>
        </is>
      </c>
      <c r="G4018" s="67">
        <f>E4018&amp;" - "&amp;F4018</f>
        <v/>
      </c>
      <c r="H4018" s="38" t="inlineStr">
        <is>
          <t>Expiré / remplacé</t>
        </is>
      </c>
      <c r="I4018" s="63" t="inlineStr">
        <is>
          <t>Fiche inactive — remplacée par RNCP42321 (Manager de commerce et de centre de profit)</t>
        </is>
      </c>
      <c r="J4018" s="63" t="inlineStr">
        <is>
          <t>RNCP42321</t>
        </is>
      </c>
      <c r="K4018" s="63" t="inlineStr">
        <is>
          <t>Manager de commerce et de centre de profit</t>
        </is>
      </c>
      <c r="L4018" s="63" t="inlineStr">
        <is>
          <t>31/05/2026</t>
        </is>
      </c>
      <c r="M4018" s="63" t="inlineStr">
        <is>
          <t>32024 (Gestion centre profit) ; 32145 (Management transversal) ; 32079 (Gestion performance) ; 32025 (Stratégie entreprise) ; 34554 (Commerce)</t>
        </is>
      </c>
      <c r="N4018" s="68" t="inlineStr">
        <is>
          <t>NON</t>
        </is>
      </c>
      <c r="O4018" s="63" t="inlineStr"/>
    </row>
    <row r="4019" customFormat="1" s="3">
      <c r="A4019" s="51" t="n"/>
      <c r="B4019" s="52" t="inlineStr">
        <is>
          <t>34566</t>
        </is>
      </c>
      <c r="C4019" s="52">
        <f>LEFT(Tableau1[[#This Row],[Formacode]],3)</f>
        <v/>
      </c>
      <c r="D4019" s="53" t="n">
        <v>37787</v>
      </c>
      <c r="E4019" s="54">
        <f>"RNCP"&amp;D4019</f>
        <v/>
      </c>
      <c r="F4019" s="54" t="inlineStr">
        <is>
          <t>Responsable commerce retail</t>
        </is>
      </c>
      <c r="G4019" s="55">
        <f>E4019&amp;" - "&amp;F4019</f>
        <v/>
      </c>
      <c r="H4019" s="37" t="inlineStr">
        <is>
          <t>À vérifier</t>
        </is>
      </c>
      <c r="I4019" s="51" t="inlineStr">
        <is>
          <t>Successeur déjà publié : RNCP41712 (Responsable commerce retail) — préparer la bascule de l'offre CPF | Échéance le 19/07/2026 (dans 1 j)</t>
        </is>
      </c>
      <c r="J4019" s="51" t="inlineStr">
        <is>
          <t>RNCP41712</t>
        </is>
      </c>
      <c r="K4019" s="51" t="inlineStr">
        <is>
          <t>Responsable commerce retail</t>
        </is>
      </c>
      <c r="L4019" s="51" t="inlineStr">
        <is>
          <t>19/07/2026</t>
        </is>
      </c>
      <c r="M4019" s="51" t="inlineStr">
        <is>
          <t>34037 (Satisfaction client) ; 34559 (Gestion rayon) ; 34587 (Grande distribution) ; 34588 (Gestion point vente)</t>
        </is>
      </c>
      <c r="N4019" s="62" t="inlineStr">
        <is>
          <t>NON</t>
        </is>
      </c>
      <c r="O4019" s="51" t="inlineStr"/>
    </row>
    <row r="4020" customFormat="1" s="3">
      <c r="A4020" s="45" t="n"/>
      <c r="B4020" s="46" t="inlineStr">
        <is>
          <t>34566</t>
        </is>
      </c>
      <c r="C4020" s="46">
        <f>LEFT(Tableau1[[#This Row],[Formacode]],3)</f>
        <v/>
      </c>
      <c r="D4020" s="47" t="n">
        <v>37908</v>
      </c>
      <c r="E4020" s="48">
        <f>"RNCP"&amp;D4020</f>
        <v/>
      </c>
      <c r="F4020" s="48" t="inlineStr">
        <is>
          <t>BAC PRO - Boulanger-pâtissier</t>
        </is>
      </c>
      <c r="G4020" s="49">
        <f>E4020&amp;" - "&amp;F4020</f>
        <v/>
      </c>
      <c r="H4020" s="36" t="inlineStr">
        <is>
          <t>RAS</t>
        </is>
      </c>
      <c r="I4020" s="45" t="inlineStr"/>
      <c r="J4020" s="45" t="inlineStr">
        <is>
          <t>RNCP37908</t>
        </is>
      </c>
      <c r="K4020" s="45" t="inlineStr">
        <is>
          <t>Boulanger-pâtissier</t>
        </is>
      </c>
      <c r="L4020" s="45" t="inlineStr">
        <is>
          <t>31/08/2028</t>
        </is>
      </c>
      <c r="M4020" s="45" t="inlineStr">
        <is>
          <t>21538 (Boulangerie) ; 21528 (Pâtisserie) ; 34525 (Vente produit alimentaire)</t>
        </is>
      </c>
      <c r="N4020" s="50" t="inlineStr">
        <is>
          <t>NON</t>
        </is>
      </c>
      <c r="O4020" s="45" t="inlineStr"/>
    </row>
    <row r="4021" customFormat="1" s="3">
      <c r="A4021" s="45" t="n"/>
      <c r="B4021" s="46" t="inlineStr">
        <is>
          <t>34566</t>
        </is>
      </c>
      <c r="C4021" s="46">
        <f>LEFT(Tableau1[[#This Row],[Formacode]],3)</f>
        <v/>
      </c>
      <c r="D4021" s="47" t="n">
        <v>37927</v>
      </c>
      <c r="E4021" s="48">
        <f>"RNCP"&amp;D4021</f>
        <v/>
      </c>
      <c r="F4021" s="48" t="inlineStr">
        <is>
          <t>BAC PRO - Poissonnier - écailler - traiteur</t>
        </is>
      </c>
      <c r="G4021" s="49">
        <f>E4021&amp;" - "&amp;F4021</f>
        <v/>
      </c>
      <c r="H4021" s="36" t="inlineStr">
        <is>
          <t>RAS</t>
        </is>
      </c>
      <c r="I4021" s="45" t="inlineStr"/>
      <c r="J4021" s="45" t="inlineStr">
        <is>
          <t>RNCP37927</t>
        </is>
      </c>
      <c r="K4021" s="45" t="inlineStr">
        <is>
          <t>Poissonnier - écailler - traiteur</t>
        </is>
      </c>
      <c r="L4021" s="45" t="inlineStr">
        <is>
          <t>31/08/2028</t>
        </is>
      </c>
      <c r="M4021" s="45" t="inlineStr">
        <is>
          <t>21576 (Traiteur) ; 34506 (Vente produit mer) ; 42759 (Écailler) ; 42712 (Cuisine poisson)</t>
        </is>
      </c>
      <c r="N4021" s="50" t="inlineStr">
        <is>
          <t>NON</t>
        </is>
      </c>
      <c r="O4021" s="45" t="inlineStr"/>
    </row>
    <row r="4022" customFormat="1" s="3">
      <c r="A4022" s="51" t="n"/>
      <c r="B4022" s="52" t="inlineStr">
        <is>
          <t>34566</t>
        </is>
      </c>
      <c r="C4022" s="52">
        <f>LEFT(Tableau1[[#This Row],[Formacode]],3)</f>
        <v/>
      </c>
      <c r="D4022" s="53" t="n">
        <v>38025</v>
      </c>
      <c r="E4022" s="54">
        <f>"RNCP"&amp;D4022</f>
        <v/>
      </c>
      <c r="F4022" s="54" t="inlineStr">
        <is>
          <t>Chargé de développement commercial et marketing</t>
        </is>
      </c>
      <c r="G4022" s="55">
        <f>E4022&amp;" - "&amp;F4022</f>
        <v/>
      </c>
      <c r="H4022" s="37" t="inlineStr">
        <is>
          <t>À vérifier</t>
        </is>
      </c>
      <c r="I4022" s="51" t="inlineStr">
        <is>
          <t>Échéance le 20/09/2026 (dans 64 j)</t>
        </is>
      </c>
      <c r="J4022" s="51" t="inlineStr">
        <is>
          <t>RNCP38025</t>
        </is>
      </c>
      <c r="K4022" s="51" t="inlineStr">
        <is>
          <t>Chargé de développement commercial et marketing</t>
        </is>
      </c>
      <c r="L4022" s="51" t="inlineStr">
        <is>
          <t>20/09/2026</t>
        </is>
      </c>
      <c r="M4022" s="51" t="inlineStr">
        <is>
          <t>34085 (Stratégie commerciale) ; 34052 (Marketing) ; 34566 (Vente distribution)</t>
        </is>
      </c>
      <c r="N4022" s="62" t="inlineStr">
        <is>
          <t>NON</t>
        </is>
      </c>
      <c r="O4022" s="51" t="inlineStr"/>
    </row>
    <row r="4023" customFormat="1" s="3">
      <c r="A4023" s="51" t="n"/>
      <c r="B4023" s="52" t="inlineStr">
        <is>
          <t>34566</t>
        </is>
      </c>
      <c r="C4023" s="52">
        <f>LEFT(Tableau1[[#This Row],[Formacode]],3)</f>
        <v/>
      </c>
      <c r="D4023" s="53" t="n">
        <v>38123</v>
      </c>
      <c r="E4023" s="54">
        <f>"RNCP"&amp;D4023</f>
        <v/>
      </c>
      <c r="F4023" s="54" t="inlineStr">
        <is>
          <t>Responsable du développement commercial</t>
        </is>
      </c>
      <c r="G4023" s="55">
        <f>E4023&amp;" - "&amp;F4023</f>
        <v/>
      </c>
      <c r="H4023" s="37" t="inlineStr">
        <is>
          <t>À vérifier</t>
        </is>
      </c>
      <c r="I4023" s="51" t="inlineStr">
        <is>
          <t>Échéance le 18/10/2026 (dans 92 j)</t>
        </is>
      </c>
      <c r="J4023" s="51" t="inlineStr">
        <is>
          <t>RNCP38123</t>
        </is>
      </c>
      <c r="K4023" s="51" t="inlineStr">
        <is>
          <t>Responsable du développement commercial</t>
        </is>
      </c>
      <c r="L4023" s="51" t="inlineStr">
        <is>
          <t>18/10/2026</t>
        </is>
      </c>
      <c r="M4023" s="51" t="inlineStr">
        <is>
          <t>34085 (Stratégie commerciale) ; 34554 (Commerce)</t>
        </is>
      </c>
      <c r="N4023" s="62" t="inlineStr">
        <is>
          <t>NON</t>
        </is>
      </c>
      <c r="O4023" s="51" t="inlineStr"/>
    </row>
    <row r="4024" customFormat="1" s="3">
      <c r="A4024" s="51" t="n"/>
      <c r="B4024" s="52" t="inlineStr">
        <is>
          <t>34566</t>
        </is>
      </c>
      <c r="C4024" s="52">
        <f>LEFT(Tableau1[[#This Row],[Formacode]],3)</f>
        <v/>
      </c>
      <c r="D4024" s="53" t="n">
        <v>38247</v>
      </c>
      <c r="E4024" s="54">
        <f>"RNCP"&amp;D4024</f>
        <v/>
      </c>
      <c r="F4024" s="54" t="inlineStr">
        <is>
          <t>CQP Employé de magasin</t>
        </is>
      </c>
      <c r="G4024" s="55">
        <f>E4024&amp;" - "&amp;F4024</f>
        <v/>
      </c>
      <c r="H4024" s="37" t="inlineStr">
        <is>
          <t>À vérifier</t>
        </is>
      </c>
      <c r="I4024" s="51" t="inlineStr">
        <is>
          <t>Échéance le 15/11/2026 (dans 120 j)</t>
        </is>
      </c>
      <c r="J4024" s="51" t="inlineStr">
        <is>
          <t>RNCP38247</t>
        </is>
      </c>
      <c r="K4024" s="51" t="inlineStr">
        <is>
          <t>CQP Employé de magasin</t>
        </is>
      </c>
      <c r="L4024" s="51" t="inlineStr">
        <is>
          <t>15/11/2026</t>
        </is>
      </c>
      <c r="M4024" s="51" t="inlineStr">
        <is>
          <t>34589 (Caisse) ; 34559 (Gestion rayon)</t>
        </is>
      </c>
      <c r="N4024" s="62" t="inlineStr">
        <is>
          <t>NON</t>
        </is>
      </c>
      <c r="O4024" s="51" t="inlineStr"/>
    </row>
    <row r="4025" customFormat="1" s="3">
      <c r="A4025" s="51" t="n"/>
      <c r="B4025" s="52" t="inlineStr">
        <is>
          <t>34566</t>
        </is>
      </c>
      <c r="C4025" s="52">
        <f>LEFT(Tableau1[[#This Row],[Formacode]],3)</f>
        <v/>
      </c>
      <c r="D4025" s="53" t="n">
        <v>38280</v>
      </c>
      <c r="E4025" s="54">
        <f>"RNCP"&amp;D4025</f>
        <v/>
      </c>
      <c r="F4025" s="54" t="inlineStr">
        <is>
          <t>Visuel merchandiser</t>
        </is>
      </c>
      <c r="G4025" s="55">
        <f>E4025&amp;" - "&amp;F4025</f>
        <v/>
      </c>
      <c r="H4025" s="37" t="inlineStr">
        <is>
          <t>À vérifier</t>
        </is>
      </c>
      <c r="I4025" s="51" t="inlineStr">
        <is>
          <t>Échéance le 15/11/2026 (dans 120 j)</t>
        </is>
      </c>
      <c r="J4025" s="51" t="inlineStr">
        <is>
          <t>RNCP38280</t>
        </is>
      </c>
      <c r="K4025" s="51" t="inlineStr">
        <is>
          <t>Visuel merchandiser</t>
        </is>
      </c>
      <c r="L4025" s="51" t="inlineStr">
        <is>
          <t>15/11/2026</t>
        </is>
      </c>
      <c r="M4025" s="51" t="inlineStr">
        <is>
          <t>34519 (Étalage) ; 34597 (Marchandisage)</t>
        </is>
      </c>
      <c r="N4025" s="62" t="inlineStr">
        <is>
          <t>NON</t>
        </is>
      </c>
      <c r="O4025" s="51" t="inlineStr"/>
    </row>
    <row r="4026" customFormat="1" s="3">
      <c r="A4026" s="45" t="n"/>
      <c r="B4026" s="46" t="inlineStr">
        <is>
          <t>34566</t>
        </is>
      </c>
      <c r="C4026" s="46">
        <f>LEFT(Tableau1[[#This Row],[Formacode]],3)</f>
        <v/>
      </c>
      <c r="D4026" s="47" t="n">
        <v>38390</v>
      </c>
      <c r="E4026" s="48">
        <f>"RNCP"&amp;D4026</f>
        <v/>
      </c>
      <c r="F4026" s="48" t="inlineStr">
        <is>
          <t>CAPA - Services aux personnes et vente en espace rural</t>
        </is>
      </c>
      <c r="G4026" s="49">
        <f>E4026&amp;" - "&amp;F4026</f>
        <v/>
      </c>
      <c r="H4026" s="36" t="inlineStr">
        <is>
          <t>RAS</t>
        </is>
      </c>
      <c r="I4026" s="45" t="inlineStr"/>
      <c r="J4026" s="45" t="inlineStr">
        <is>
          <t>RNCP38390</t>
        </is>
      </c>
      <c r="K4026" s="45" t="inlineStr">
        <is>
          <t>Services aux personnes et vente en espace rural</t>
        </is>
      </c>
      <c r="L4026" s="45" t="inlineStr">
        <is>
          <t>31/12/2028</t>
        </is>
      </c>
      <c r="M4026" s="45" t="inlineStr">
        <is>
          <t>34525 (Vente produit alimentaire) ; 42056 (Service à la personne)</t>
        </is>
      </c>
      <c r="N4026" s="50" t="inlineStr">
        <is>
          <t>NON</t>
        </is>
      </c>
      <c r="O4026" s="45" t="inlineStr"/>
    </row>
    <row r="4027" customFormat="1" s="3">
      <c r="A4027" s="45" t="n"/>
      <c r="B4027" s="46" t="inlineStr">
        <is>
          <t>34566</t>
        </is>
      </c>
      <c r="C4027" s="46">
        <f>LEFT(Tableau1[[#This Row],[Formacode]],3)</f>
        <v/>
      </c>
      <c r="D4027" s="47" t="n">
        <v>38399</v>
      </c>
      <c r="E4027" s="48">
        <f>"RNCP"&amp;D4027</f>
        <v/>
      </c>
      <c r="F4027" s="48" t="inlineStr">
        <is>
          <t>BAC PRO - Métiers du commerce et de la vente</t>
        </is>
      </c>
      <c r="G4027" s="49">
        <f>E4027&amp;" - "&amp;F4027</f>
        <v/>
      </c>
      <c r="H4027" s="36" t="inlineStr">
        <is>
          <t>RAS</t>
        </is>
      </c>
      <c r="I4027" s="45" t="inlineStr"/>
      <c r="J4027" s="45" t="inlineStr">
        <is>
          <t>RNCP38399</t>
        </is>
      </c>
      <c r="K4027" s="45" t="inlineStr">
        <is>
          <t>Métiers du commerce et de la vente</t>
        </is>
      </c>
      <c r="L4027" s="45" t="inlineStr">
        <is>
          <t>31/12/2028</t>
        </is>
      </c>
      <c r="M4027" s="45" t="inlineStr">
        <is>
          <t>34566 (Vente distribution) ; 34584 (Animation vente) ; 34593 (Prospection vente)</t>
        </is>
      </c>
      <c r="N4027" s="50" t="inlineStr">
        <is>
          <t>NON</t>
        </is>
      </c>
      <c r="O4027" s="45" t="inlineStr"/>
    </row>
    <row r="4028" customFormat="1" s="3">
      <c r="A4028" s="45" t="n"/>
      <c r="B4028" s="46" t="inlineStr">
        <is>
          <t>34566</t>
        </is>
      </c>
      <c r="C4028" s="46">
        <f>LEFT(Tableau1[[#This Row],[Formacode]],3)</f>
        <v/>
      </c>
      <c r="D4028" s="47" t="n">
        <v>38400</v>
      </c>
      <c r="E4028" s="48">
        <f>"RNCP"&amp;D4028</f>
        <v/>
      </c>
      <c r="F4028" s="48" t="inlineStr">
        <is>
          <t>Certificat d'aptitude professionnelle - Fleuriste</t>
        </is>
      </c>
      <c r="G4028" s="49">
        <f>E4028&amp;" - "&amp;F4028</f>
        <v/>
      </c>
      <c r="H4028" s="36" t="inlineStr">
        <is>
          <t>RAS</t>
        </is>
      </c>
      <c r="I4028" s="45" t="inlineStr"/>
      <c r="J4028" s="45" t="inlineStr">
        <is>
          <t>RNCP38400</t>
        </is>
      </c>
      <c r="K4028" s="45" t="inlineStr">
        <is>
          <t>Fleuriste</t>
        </is>
      </c>
      <c r="L4028" s="45" t="inlineStr">
        <is>
          <t>31/12/2028</t>
        </is>
      </c>
      <c r="M4028" s="45" t="inlineStr">
        <is>
          <t>34503 (Fleuriste)</t>
        </is>
      </c>
      <c r="N4028" s="50" t="inlineStr">
        <is>
          <t>NON</t>
        </is>
      </c>
      <c r="O4028" s="45" t="inlineStr"/>
    </row>
    <row r="4029" customFormat="1" s="3">
      <c r="A4029" s="45" t="n"/>
      <c r="B4029" s="46" t="inlineStr">
        <is>
          <t>34566</t>
        </is>
      </c>
      <c r="C4029" s="46">
        <f>LEFT(Tableau1[[#This Row],[Formacode]],3)</f>
        <v/>
      </c>
      <c r="D4029" s="47" t="n">
        <v>38402</v>
      </c>
      <c r="E4029" s="48">
        <f>"RNCP"&amp;D4029</f>
        <v/>
      </c>
      <c r="F4029" s="48" t="inlineStr">
        <is>
          <t>Certificat de spécialisation - Assistance, conseil, vente à distance</t>
        </is>
      </c>
      <c r="G4029" s="49">
        <f>E4029&amp;" - "&amp;F4029</f>
        <v/>
      </c>
      <c r="H4029" s="36" t="inlineStr">
        <is>
          <t>RAS</t>
        </is>
      </c>
      <c r="I4029" s="45" t="inlineStr"/>
      <c r="J4029" s="45" t="inlineStr">
        <is>
          <t>RNCP38402</t>
        </is>
      </c>
      <c r="K4029" s="45" t="inlineStr">
        <is>
          <t>Assistance, conseil, vente à distance</t>
        </is>
      </c>
      <c r="L4029" s="45" t="inlineStr">
        <is>
          <t>31/12/2028</t>
        </is>
      </c>
      <c r="M4029" s="45" t="inlineStr">
        <is>
          <t>34502 (Vente spécialisée) ; 34027 (Service après-vente) ; 34501 (Vente par téléphone)</t>
        </is>
      </c>
      <c r="N4029" s="50" t="inlineStr">
        <is>
          <t>NON</t>
        </is>
      </c>
      <c r="O4029" s="45" t="inlineStr"/>
    </row>
    <row r="4030" customFormat="1" s="3">
      <c r="A4030" s="45" t="n"/>
      <c r="B4030" s="46" t="inlineStr">
        <is>
          <t>34566</t>
        </is>
      </c>
      <c r="C4030" s="46">
        <f>LEFT(Tableau1[[#This Row],[Formacode]],3)</f>
        <v/>
      </c>
      <c r="D4030" s="47" t="n">
        <v>38404</v>
      </c>
      <c r="E4030" s="48">
        <f>"RNCP"&amp;D4030</f>
        <v/>
      </c>
      <c r="F4030" s="48" t="inlineStr">
        <is>
          <t>Certificat de spécialisation - Vendeur conseil en produits techniques pour l'habitat</t>
        </is>
      </c>
      <c r="G4030" s="49">
        <f>E4030&amp;" - "&amp;F4030</f>
        <v/>
      </c>
      <c r="H4030" s="36" t="inlineStr">
        <is>
          <t>RAS</t>
        </is>
      </c>
      <c r="I4030" s="45" t="inlineStr"/>
      <c r="J4030" s="45" t="inlineStr">
        <is>
          <t>RNCP38404</t>
        </is>
      </c>
      <c r="K4030" s="45" t="inlineStr">
        <is>
          <t>Vendeur conseil en produits techniques pour l'habitat</t>
        </is>
      </c>
      <c r="L4030" s="45" t="inlineStr">
        <is>
          <t>31/12/2028</t>
        </is>
      </c>
      <c r="M4030" s="45" t="inlineStr">
        <is>
          <t>34502 (Vente spécialisée)</t>
        </is>
      </c>
      <c r="N4030" s="50" t="inlineStr">
        <is>
          <t>NON</t>
        </is>
      </c>
      <c r="O4030" s="45" t="inlineStr"/>
    </row>
    <row r="4031" customFormat="1" s="3">
      <c r="A4031" s="45" t="n"/>
      <c r="B4031" s="46" t="inlineStr">
        <is>
          <t>34566</t>
        </is>
      </c>
      <c r="C4031" s="46">
        <f>LEFT(Tableau1[[#This Row],[Formacode]],3)</f>
        <v/>
      </c>
      <c r="D4031" s="47" t="n">
        <v>38583</v>
      </c>
      <c r="E4031" s="48">
        <f>"RNCP"&amp;D4031</f>
        <v/>
      </c>
      <c r="F4031" s="48" t="inlineStr">
        <is>
          <t>Manager du développement commercial</t>
        </is>
      </c>
      <c r="G4031" s="49">
        <f>E4031&amp;" - "&amp;F4031</f>
        <v/>
      </c>
      <c r="H4031" s="36" t="inlineStr">
        <is>
          <t>RAS</t>
        </is>
      </c>
      <c r="I4031" s="45" t="inlineStr"/>
      <c r="J4031" s="45" t="inlineStr">
        <is>
          <t>RNCP38583</t>
        </is>
      </c>
      <c r="K4031" s="45" t="inlineStr">
        <is>
          <t>Manager du développement commercial</t>
        </is>
      </c>
      <c r="L4031" s="45" t="inlineStr">
        <is>
          <t>09/02/2027</t>
        </is>
      </c>
      <c r="M4031" s="45" t="inlineStr">
        <is>
          <t>34085 (Stratégie commerciale) ; 34554 (Commerce) ; 34076 (Gestion relation client)</t>
        </is>
      </c>
      <c r="N4031" s="50" t="inlineStr">
        <is>
          <t>NON</t>
        </is>
      </c>
      <c r="O4031" s="45" t="inlineStr"/>
    </row>
    <row r="4032" customFormat="1" s="3">
      <c r="A4032" s="45" t="n"/>
      <c r="B4032" s="46" t="inlineStr">
        <is>
          <t>34566</t>
        </is>
      </c>
      <c r="C4032" s="46">
        <f>LEFT(Tableau1[[#This Row],[Formacode]],3)</f>
        <v/>
      </c>
      <c r="D4032" s="47" t="n">
        <v>38636</v>
      </c>
      <c r="E4032" s="48">
        <f>"RNCP"&amp;D4032</f>
        <v/>
      </c>
      <c r="F4032" s="48" t="inlineStr">
        <is>
          <t>Certificat de spécialisation - Vente-conseil en boucherie</t>
        </is>
      </c>
      <c r="G4032" s="49">
        <f>E4032&amp;" - "&amp;F4032</f>
        <v/>
      </c>
      <c r="H4032" s="36" t="inlineStr">
        <is>
          <t>RAS</t>
        </is>
      </c>
      <c r="I4032" s="45" t="inlineStr"/>
      <c r="J4032" s="45" t="inlineStr">
        <is>
          <t>RNCP38636</t>
        </is>
      </c>
      <c r="K4032" s="45" t="inlineStr">
        <is>
          <t>Vente-conseil en boucherie</t>
        </is>
      </c>
      <c r="L4032" s="45" t="inlineStr">
        <is>
          <t>31/08/2029</t>
        </is>
      </c>
      <c r="M4032" s="45" t="inlineStr">
        <is>
          <t>21599 (Boucherie) ; 21589 (Charcuterie) ; 34505 (Vente produit carné) ; 34519 (Étalage) ; 34076 (Gestion relation client)</t>
        </is>
      </c>
      <c r="N4032" s="50" t="inlineStr">
        <is>
          <t>NON</t>
        </is>
      </c>
      <c r="O4032" s="45" t="inlineStr"/>
    </row>
    <row r="4033" customFormat="1" s="3">
      <c r="A4033" s="45" t="n"/>
      <c r="B4033" s="46" t="inlineStr">
        <is>
          <t>34566</t>
        </is>
      </c>
      <c r="C4033" s="46">
        <f>LEFT(Tableau1[[#This Row],[Formacode]],3)</f>
        <v/>
      </c>
      <c r="D4033" s="47" t="n">
        <v>38665</v>
      </c>
      <c r="E4033" s="48">
        <f>"RNCP"&amp;D4033</f>
        <v/>
      </c>
      <c r="F4033" s="48" t="inlineStr">
        <is>
          <t>TP - Manager d'équipe relation client à distance</t>
        </is>
      </c>
      <c r="G4033" s="49">
        <f>E4033&amp;" - "&amp;F4033</f>
        <v/>
      </c>
      <c r="H4033" s="36" t="inlineStr">
        <is>
          <t>RAS</t>
        </is>
      </c>
      <c r="I4033" s="45" t="inlineStr"/>
      <c r="J4033" s="45" t="inlineStr">
        <is>
          <t>RNCP38665</t>
        </is>
      </c>
      <c r="K4033" s="45" t="inlineStr">
        <is>
          <t>Manager d'équipe relation client à distance</t>
        </is>
      </c>
      <c r="L4033" s="45" t="inlineStr">
        <is>
          <t>12/05/2029</t>
        </is>
      </c>
      <c r="M4033" s="45" t="inlineStr">
        <is>
          <t>34076 (Gestion relation client) ; 34026 (Développement sens commercial) ; 34507 (Vente à distance) ; 34027 (Service après-vente)</t>
        </is>
      </c>
      <c r="N4033" s="50" t="inlineStr">
        <is>
          <t>NON</t>
        </is>
      </c>
      <c r="O4033" s="45" t="inlineStr"/>
    </row>
    <row r="4034" customFormat="1" s="3">
      <c r="A4034" s="45" t="n"/>
      <c r="B4034" s="46" t="inlineStr">
        <is>
          <t>34566</t>
        </is>
      </c>
      <c r="C4034" s="46">
        <f>LEFT(Tableau1[[#This Row],[Formacode]],3)</f>
        <v/>
      </c>
      <c r="D4034" s="47" t="n">
        <v>38666</v>
      </c>
      <c r="E4034" s="48">
        <f>"RNCP"&amp;D4034</f>
        <v/>
      </c>
      <c r="F4034" s="48" t="inlineStr">
        <is>
          <t>TP - Responsable d'établissement marchand</t>
        </is>
      </c>
      <c r="G4034" s="49">
        <f>E4034&amp;" - "&amp;F4034</f>
        <v/>
      </c>
      <c r="H4034" s="36" t="inlineStr">
        <is>
          <t>RAS</t>
        </is>
      </c>
      <c r="I4034" s="45" t="inlineStr"/>
      <c r="J4034" s="45" t="inlineStr">
        <is>
          <t>RNCP38666</t>
        </is>
      </c>
      <c r="K4034" s="45" t="inlineStr">
        <is>
          <t>Responsable d'établissement marchand</t>
        </is>
      </c>
      <c r="L4034" s="45" t="inlineStr">
        <is>
          <t>03/03/2029</t>
        </is>
      </c>
      <c r="M4034" s="45" t="inlineStr">
        <is>
          <t>34588 (Gestion point vente) ; 34587 (Grande distribution) ; 34502 (Vente spécialisée) ; 34530 (E-commerce)</t>
        </is>
      </c>
      <c r="N4034" s="50" t="inlineStr">
        <is>
          <t>NON</t>
        </is>
      </c>
      <c r="O4034" s="45" t="inlineStr"/>
    </row>
    <row r="4035" customFormat="1" s="3">
      <c r="A4035" s="63" t="n"/>
      <c r="B4035" s="64" t="inlineStr">
        <is>
          <t>34566</t>
        </is>
      </c>
      <c r="C4035" s="64">
        <f>LEFT(Tableau1[[#This Row],[Formacode]],3)</f>
        <v/>
      </c>
      <c r="D4035" s="65" t="n">
        <v>38676</v>
      </c>
      <c r="E4035" s="66">
        <f>"RNCP"&amp;D4035</f>
        <v/>
      </c>
      <c r="F4035" s="66" t="inlineStr">
        <is>
          <t>TP - Manager d'unité marchande</t>
        </is>
      </c>
      <c r="G4035" s="67">
        <f>E4035&amp;" - "&amp;F4035</f>
        <v/>
      </c>
      <c r="H4035" s="38" t="inlineStr">
        <is>
          <t>Expiré / remplacé</t>
        </is>
      </c>
      <c r="I4035" s="63" t="inlineStr">
        <is>
          <t>Fiche inactive — remplacée par RNCP41853 (Manager d’établissement marchand)</t>
        </is>
      </c>
      <c r="J4035" s="63" t="inlineStr">
        <is>
          <t>RNCP41853</t>
        </is>
      </c>
      <c r="K4035" s="63" t="inlineStr">
        <is>
          <t>Manager d’établissement marchand</t>
        </is>
      </c>
      <c r="L4035" s="63" t="inlineStr">
        <is>
          <t>03/03/2026</t>
        </is>
      </c>
      <c r="M4035" s="63" t="inlineStr">
        <is>
          <t>34587 (Grande distribution) ; 32154 (Encadrement management) ; 34588 (Gestion point vente) ; 34559 (Gestion rayon) ; 34502 (Vente spécialisée)</t>
        </is>
      </c>
      <c r="N4035" s="68" t="inlineStr">
        <is>
          <t>NON</t>
        </is>
      </c>
      <c r="O4035" s="63" t="inlineStr"/>
    </row>
    <row r="4036" customFormat="1" s="3">
      <c r="A4036" s="45" t="n"/>
      <c r="B4036" s="46" t="inlineStr">
        <is>
          <t>34566</t>
        </is>
      </c>
      <c r="C4036" s="46">
        <f>LEFT(Tableau1[[#This Row],[Formacode]],3)</f>
        <v/>
      </c>
      <c r="D4036" s="47" t="n">
        <v>38808</v>
      </c>
      <c r="E4036" s="48">
        <f>"RNCP"&amp;D4036</f>
        <v/>
      </c>
      <c r="F4036" s="48" t="inlineStr">
        <is>
          <t>Responsable d'activité commerciale et marketing</t>
        </is>
      </c>
      <c r="G4036" s="49">
        <f>E4036&amp;" - "&amp;F4036</f>
        <v/>
      </c>
      <c r="H4036" s="36" t="inlineStr">
        <is>
          <t>RAS</t>
        </is>
      </c>
      <c r="I4036" s="45" t="inlineStr"/>
      <c r="J4036" s="45" t="inlineStr">
        <is>
          <t>RNCP38808</t>
        </is>
      </c>
      <c r="K4036" s="45" t="inlineStr">
        <is>
          <t>Responsable d'activité commerciale et marketing</t>
        </is>
      </c>
      <c r="L4036" s="45" t="inlineStr">
        <is>
          <t>27/03/2027</t>
        </is>
      </c>
      <c r="M4036" s="45" t="inlineStr">
        <is>
          <t>34053 (Marketing opérationnel) ; 34085 (Stratégie commerciale) ; 34582 (Négociation commerciale) ; 34566 (Vente distribution)</t>
        </is>
      </c>
      <c r="N4036" s="50" t="inlineStr">
        <is>
          <t>NON</t>
        </is>
      </c>
      <c r="O4036" s="45" t="inlineStr"/>
    </row>
    <row r="4037" customFormat="1" s="3">
      <c r="A4037" s="45" t="n"/>
      <c r="B4037" s="46" t="inlineStr">
        <is>
          <t>34566</t>
        </is>
      </c>
      <c r="C4037" s="46">
        <f>LEFT(Tableau1[[#This Row],[Formacode]],3)</f>
        <v/>
      </c>
      <c r="D4037" s="47" t="n">
        <v>39035</v>
      </c>
      <c r="E4037" s="48">
        <f>"RNCP"&amp;D4037</f>
        <v/>
      </c>
      <c r="F4037" s="48" t="inlineStr">
        <is>
          <t>CAP - Fleuriste de mode</t>
        </is>
      </c>
      <c r="G4037" s="49">
        <f>E4037&amp;" - "&amp;F4037</f>
        <v/>
      </c>
      <c r="H4037" s="36" t="inlineStr">
        <is>
          <t>RAS</t>
        </is>
      </c>
      <c r="I4037" s="45" t="inlineStr"/>
      <c r="J4037" s="45" t="inlineStr">
        <is>
          <t>RNCP39035</t>
        </is>
      </c>
      <c r="K4037" s="45" t="inlineStr">
        <is>
          <t>Fleuriste de mode</t>
        </is>
      </c>
      <c r="L4037" s="45" t="inlineStr">
        <is>
          <t>31/08/2029</t>
        </is>
      </c>
      <c r="M4037" s="45" t="inlineStr">
        <is>
          <t>34503 (Fleuriste) ; 21752 (Accessoire mode) ; 21794 (Costume spectacle)</t>
        </is>
      </c>
      <c r="N4037" s="50" t="inlineStr">
        <is>
          <t>NON</t>
        </is>
      </c>
      <c r="O4037" s="45" t="inlineStr"/>
    </row>
    <row r="4038" customFormat="1" s="3">
      <c r="A4038" s="45" t="n"/>
      <c r="B4038" s="46" t="inlineStr">
        <is>
          <t>34566</t>
        </is>
      </c>
      <c r="C4038" s="46">
        <f>LEFT(Tableau1[[#This Row],[Formacode]],3)</f>
        <v/>
      </c>
      <c r="D4038" s="47" t="n">
        <v>39359</v>
      </c>
      <c r="E4038" s="48">
        <f>"RNCP"&amp;D4038</f>
        <v/>
      </c>
      <c r="F4038" s="48" t="inlineStr">
        <is>
          <t>Etalagiste décorateur marchandiseur</t>
        </is>
      </c>
      <c r="G4038" s="49">
        <f>E4038&amp;" - "&amp;F4038</f>
        <v/>
      </c>
      <c r="H4038" s="36" t="inlineStr">
        <is>
          <t>RAS</t>
        </is>
      </c>
      <c r="I4038" s="45" t="inlineStr"/>
      <c r="J4038" s="45" t="inlineStr">
        <is>
          <t>RNCP39359</t>
        </is>
      </c>
      <c r="K4038" s="45" t="inlineStr">
        <is>
          <t>Etalagiste décorateur marchandiseur</t>
        </is>
      </c>
      <c r="L4038" s="45" t="inlineStr">
        <is>
          <t>19/07/2027</t>
        </is>
      </c>
      <c r="M4038" s="45" t="inlineStr">
        <is>
          <t>34597 (Marchandisage) ; 34519 (Étalage)</t>
        </is>
      </c>
      <c r="N4038" s="50" t="inlineStr">
        <is>
          <t>NON</t>
        </is>
      </c>
      <c r="O4038" s="45" t="inlineStr"/>
    </row>
    <row r="4039" customFormat="1" s="3">
      <c r="A4039" s="45" t="n"/>
      <c r="B4039" s="46" t="inlineStr">
        <is>
          <t>34566</t>
        </is>
      </c>
      <c r="C4039" s="46">
        <f>LEFT(Tableau1[[#This Row],[Formacode]],3)</f>
        <v/>
      </c>
      <c r="D4039" s="47" t="n">
        <v>39365</v>
      </c>
      <c r="E4039" s="48">
        <f>"RNCP"&amp;D4039</f>
        <v/>
      </c>
      <c r="F4039" s="48" t="inlineStr">
        <is>
          <t>CQP Concepteur-Vendeur de cuisines et/ou aménagement intérieur</t>
        </is>
      </c>
      <c r="G4039" s="49">
        <f>E4039&amp;" - "&amp;F4039</f>
        <v/>
      </c>
      <c r="H4039" s="36" t="inlineStr">
        <is>
          <t>RAS</t>
        </is>
      </c>
      <c r="I4039" s="45" t="inlineStr"/>
      <c r="J4039" s="45" t="inlineStr">
        <is>
          <t>RNCP39365</t>
        </is>
      </c>
      <c r="K4039" s="45" t="inlineStr">
        <is>
          <t>CQP Concepteur-Vendeur de cuisines et/ou aménagement intérieur</t>
        </is>
      </c>
      <c r="L4039" s="45" t="inlineStr">
        <is>
          <t>19/07/2029</t>
        </is>
      </c>
      <c r="M4039" s="45" t="inlineStr">
        <is>
          <t>34536 (Vente équipement maison) ; 22408 (Cuisine salle de bains)</t>
        </is>
      </c>
      <c r="N4039" s="50" t="inlineStr">
        <is>
          <t>NON</t>
        </is>
      </c>
      <c r="O4039" s="45" t="inlineStr"/>
    </row>
    <row r="4040" customFormat="1" s="3">
      <c r="A4040" s="45" t="n"/>
      <c r="B4040" s="46" t="inlineStr">
        <is>
          <t>34566</t>
        </is>
      </c>
      <c r="C4040" s="46">
        <f>LEFT(Tableau1[[#This Row],[Formacode]],3)</f>
        <v/>
      </c>
      <c r="D4040" s="47" t="n">
        <v>39366</v>
      </c>
      <c r="E4040" s="48">
        <f>"RNCP"&amp;D4040</f>
        <v/>
      </c>
      <c r="F4040" s="48" t="inlineStr">
        <is>
          <t>CQP Manager commercial cuisines et/ou aménagement intérieur</t>
        </is>
      </c>
      <c r="G4040" s="49">
        <f>E4040&amp;" - "&amp;F4040</f>
        <v/>
      </c>
      <c r="H4040" s="36" t="inlineStr">
        <is>
          <t>RAS</t>
        </is>
      </c>
      <c r="I4040" s="45" t="inlineStr"/>
      <c r="J4040" s="45" t="inlineStr">
        <is>
          <t>RNCP39366</t>
        </is>
      </c>
      <c r="K4040" s="45" t="inlineStr">
        <is>
          <t>CQP Manager commercial cuisines et/ou aménagement intérieur</t>
        </is>
      </c>
      <c r="L4040" s="45" t="inlineStr">
        <is>
          <t>19/07/2029</t>
        </is>
      </c>
      <c r="M4040" s="45" t="inlineStr">
        <is>
          <t>34561 (Force vente) ; 34536 (Vente équipement maison) ; 32154 (Encadrement management)</t>
        </is>
      </c>
      <c r="N4040" s="50" t="inlineStr">
        <is>
          <t>NON</t>
        </is>
      </c>
      <c r="O4040" s="45" t="inlineStr"/>
    </row>
    <row r="4041" customFormat="1" s="3">
      <c r="A4041" s="51" t="n"/>
      <c r="B4041" s="52" t="inlineStr">
        <is>
          <t>34566</t>
        </is>
      </c>
      <c r="C4041" s="52">
        <f>LEFT(Tableau1[[#This Row],[Formacode]],3)</f>
        <v/>
      </c>
      <c r="D4041" s="53" t="n">
        <v>39395</v>
      </c>
      <c r="E4041" s="54">
        <f>"RNCP"&amp;D4041</f>
        <v/>
      </c>
      <c r="F4041" s="54" t="inlineStr">
        <is>
          <t>Responsable d'agence et de commerce</t>
        </is>
      </c>
      <c r="G4041" s="55">
        <f>E4041&amp;" - "&amp;F4041</f>
        <v/>
      </c>
      <c r="H4041" s="37" t="inlineStr">
        <is>
          <t>À vérifier</t>
        </is>
      </c>
      <c r="I4041" s="51" t="inlineStr">
        <is>
          <t>Successeur déjà publié : RNCP42475 (Responsable d'agence et de commerce) — préparer la bascule de l'offre CPF | Échéance le 19/07/2026 (dans 1 j)</t>
        </is>
      </c>
      <c r="J4041" s="51" t="inlineStr">
        <is>
          <t>RNCP42475</t>
        </is>
      </c>
      <c r="K4041" s="51" t="inlineStr">
        <is>
          <t>Responsable d'agence et de commerce</t>
        </is>
      </c>
      <c r="L4041" s="51" t="inlineStr">
        <is>
          <t>19/07/2026</t>
        </is>
      </c>
      <c r="M4041" s="51" t="inlineStr">
        <is>
          <t>34554 (Commerce) ; 32154 (Encadrement management) ; 32079 (Gestion performance)</t>
        </is>
      </c>
      <c r="N4041" s="62" t="inlineStr">
        <is>
          <t>NON</t>
        </is>
      </c>
      <c r="O4041" s="51" t="inlineStr"/>
    </row>
    <row r="4042" ht="28.8" customFormat="1" customHeight="1" s="3">
      <c r="A4042" s="45" t="n"/>
      <c r="B4042" s="46" t="inlineStr">
        <is>
          <t>34566</t>
        </is>
      </c>
      <c r="C4042" s="46">
        <f>LEFT(Tableau1[[#This Row],[Formacode]],3)</f>
        <v/>
      </c>
      <c r="D4042" s="47" t="n">
        <v>39571</v>
      </c>
      <c r="E4042" s="48">
        <f>"RNCP"&amp;D4042</f>
        <v/>
      </c>
      <c r="F4042" s="48" t="inlineStr">
        <is>
          <t>DipViGrM - Diplôme d’études supérieures en marketing, gestion commerciale et management international</t>
        </is>
      </c>
      <c r="G4042" s="49">
        <f>E4042&amp;" - "&amp;F4042</f>
        <v/>
      </c>
      <c r="H4042" s="36" t="inlineStr">
        <is>
          <t>RAS</t>
        </is>
      </c>
      <c r="I4042" s="45" t="inlineStr"/>
      <c r="J4042" s="45" t="inlineStr">
        <is>
          <t>RNCP39571</t>
        </is>
      </c>
      <c r="K4042" s="45" t="inlineStr">
        <is>
          <t>Diplôme d’études supérieures en marketing, gestion commerciale et management international</t>
        </is>
      </c>
      <c r="L4042" s="45" t="inlineStr">
        <is>
          <t>31/08/2027</t>
        </is>
      </c>
      <c r="M4042" s="45" t="inlineStr">
        <is>
          <t>34254 (Commerce international) ; 34016 (Marketing achat) ; 41023 (Marché financier) ; 34554 (Commerce)</t>
        </is>
      </c>
      <c r="N4042" s="50" t="inlineStr">
        <is>
          <t>NON</t>
        </is>
      </c>
      <c r="O4042" s="45" t="inlineStr"/>
    </row>
    <row r="4043" customFormat="1" s="3">
      <c r="A4043" s="45" t="n"/>
      <c r="B4043" s="46" t="inlineStr">
        <is>
          <t>34566</t>
        </is>
      </c>
      <c r="C4043" s="46">
        <f>LEFT(Tableau1[[#This Row],[Formacode]],3)</f>
        <v/>
      </c>
      <c r="D4043" s="47" t="n">
        <v>39681</v>
      </c>
      <c r="E4043" s="48">
        <f>"RNCP"&amp;D4043</f>
        <v/>
      </c>
      <c r="F4043" s="48" t="inlineStr">
        <is>
          <t>CS - Conduite de productions en agriculture biologique et commercialisation</t>
        </is>
      </c>
      <c r="G4043" s="49">
        <f>E4043&amp;" - "&amp;F4043</f>
        <v/>
      </c>
      <c r="H4043" s="36" t="inlineStr">
        <is>
          <t>RAS</t>
        </is>
      </c>
      <c r="I4043" s="45" t="inlineStr"/>
      <c r="J4043" s="45" t="inlineStr">
        <is>
          <t>RNCP39681</t>
        </is>
      </c>
      <c r="K4043" s="45" t="inlineStr">
        <is>
          <t>Conduite de productions en agriculture biologique et commercialisation</t>
        </is>
      </c>
      <c r="L4043" s="45" t="inlineStr">
        <is>
          <t>31/12/2029</t>
        </is>
      </c>
      <c r="M4043" s="45" t="inlineStr">
        <is>
          <t>34502 (Vente spécialisée) ; 21052 (Gestion exploitation agricole) ; 21001 (Agriculture biologique)</t>
        </is>
      </c>
      <c r="N4043" s="50" t="inlineStr">
        <is>
          <t>NON</t>
        </is>
      </c>
      <c r="O4043" s="45" t="inlineStr"/>
    </row>
    <row r="4044" customFormat="1" s="3">
      <c r="A4044" s="45" t="n"/>
      <c r="B4044" s="46" t="inlineStr">
        <is>
          <t>34566</t>
        </is>
      </c>
      <c r="C4044" s="46">
        <f>LEFT(Tableau1[[#This Row],[Formacode]],3)</f>
        <v/>
      </c>
      <c r="D4044" s="47" t="n">
        <v>39884</v>
      </c>
      <c r="E4044" s="48">
        <f>"RNCP"&amp;D4044</f>
        <v/>
      </c>
      <c r="F4044" s="48" t="inlineStr">
        <is>
          <t>Manager du Développement Commercial</t>
        </is>
      </c>
      <c r="G4044" s="49">
        <f>E4044&amp;" - "&amp;F4044</f>
        <v/>
      </c>
      <c r="H4044" s="36" t="inlineStr">
        <is>
          <t>RAS</t>
        </is>
      </c>
      <c r="I4044" s="45" t="inlineStr"/>
      <c r="J4044" s="45" t="inlineStr">
        <is>
          <t>RNCP39884</t>
        </is>
      </c>
      <c r="K4044" s="45" t="inlineStr">
        <is>
          <t>Manager du Développement Commercial</t>
        </is>
      </c>
      <c r="L4044" s="45" t="inlineStr">
        <is>
          <t>28/11/2027</t>
        </is>
      </c>
      <c r="M4044" s="45" t="inlineStr">
        <is>
          <t>34554 (Commerce) ; 21540 (Commercialisation vin spiritueux) ; 34085 (Stratégie commerciale)</t>
        </is>
      </c>
      <c r="N4044" s="50" t="inlineStr">
        <is>
          <t>NON</t>
        </is>
      </c>
      <c r="O4044" s="45" t="inlineStr"/>
    </row>
    <row r="4045" customFormat="1" s="3">
      <c r="A4045" s="45" t="n"/>
      <c r="B4045" s="46" t="inlineStr">
        <is>
          <t>34566</t>
        </is>
      </c>
      <c r="C4045" s="46">
        <f>LEFT(Tableau1[[#This Row],[Formacode]],3)</f>
        <v/>
      </c>
      <c r="D4045" s="47" t="n">
        <v>40359</v>
      </c>
      <c r="E4045" s="48">
        <f>"RNCP"&amp;D4045</f>
        <v/>
      </c>
      <c r="F4045" s="48" t="inlineStr">
        <is>
          <t>Manager du développement commercial</t>
        </is>
      </c>
      <c r="G4045" s="49">
        <f>E4045&amp;" - "&amp;F4045</f>
        <v/>
      </c>
      <c r="H4045" s="36" t="inlineStr">
        <is>
          <t>RAS</t>
        </is>
      </c>
      <c r="I4045" s="45" t="inlineStr"/>
      <c r="J4045" s="45" t="inlineStr">
        <is>
          <t>RNCP40359</t>
        </is>
      </c>
      <c r="K4045" s="45" t="inlineStr">
        <is>
          <t>Manager du développement commercial</t>
        </is>
      </c>
      <c r="L4045" s="45" t="inlineStr">
        <is>
          <t>28/03/2028</t>
        </is>
      </c>
      <c r="M4045" s="45" t="inlineStr">
        <is>
          <t>34085 (Stratégie commerciale) ; 34554 (Commerce) ; 32145 (Management transversal)</t>
        </is>
      </c>
      <c r="N4045" s="50" t="inlineStr">
        <is>
          <t>NON</t>
        </is>
      </c>
      <c r="O4045" s="45" t="inlineStr"/>
    </row>
    <row r="4046" customFormat="1" s="3">
      <c r="A4046" s="45" t="n"/>
      <c r="B4046" s="46" t="inlineStr">
        <is>
          <t>34566</t>
        </is>
      </c>
      <c r="C4046" s="46">
        <f>LEFT(Tableau1[[#This Row],[Formacode]],3)</f>
        <v/>
      </c>
      <c r="D4046" s="47" t="n">
        <v>40582</v>
      </c>
      <c r="E4046" s="48">
        <f>"RNCP"&amp;D4046</f>
        <v/>
      </c>
      <c r="F4046" s="48" t="inlineStr">
        <is>
          <t>Chargé de clientèle</t>
        </is>
      </c>
      <c r="G4046" s="49">
        <f>E4046&amp;" - "&amp;F4046</f>
        <v/>
      </c>
      <c r="H4046" s="36" t="inlineStr">
        <is>
          <t>RAS</t>
        </is>
      </c>
      <c r="I4046" s="45" t="inlineStr"/>
      <c r="J4046" s="45" t="inlineStr">
        <is>
          <t>RNCP40582</t>
        </is>
      </c>
      <c r="K4046" s="45" t="inlineStr">
        <is>
          <t>Chargé de clientèle</t>
        </is>
      </c>
      <c r="L4046" s="45" t="inlineStr">
        <is>
          <t>30/04/2030</t>
        </is>
      </c>
      <c r="M4046" s="45" t="inlineStr">
        <is>
          <t>34593 (Prospection vente) ; 34584 (Animation vente) ; 34076 (Gestion relation client) ; 34566 (Vente distribution) ; 34582 (Négociation commerciale)</t>
        </is>
      </c>
      <c r="N4046" s="50" t="inlineStr">
        <is>
          <t>NON</t>
        </is>
      </c>
      <c r="O4046" s="45" t="inlineStr"/>
    </row>
    <row r="4047" customFormat="1" s="3">
      <c r="A4047" s="45" t="n"/>
      <c r="B4047" s="46" t="inlineStr">
        <is>
          <t>34566</t>
        </is>
      </c>
      <c r="C4047" s="46">
        <f>LEFT(Tableau1[[#This Row],[Formacode]],3)</f>
        <v/>
      </c>
      <c r="D4047" s="47" t="n">
        <v>40726</v>
      </c>
      <c r="E4047" s="48">
        <f>"RNCP"&amp;D4047</f>
        <v/>
      </c>
      <c r="F4047" s="48" t="inlineStr">
        <is>
          <t>DipViGrL - Diplôme d’enseignement supérieur en management</t>
        </is>
      </c>
      <c r="G4047" s="49">
        <f>E4047&amp;" - "&amp;F4047</f>
        <v/>
      </c>
      <c r="H4047" s="36" t="inlineStr">
        <is>
          <t>RAS</t>
        </is>
      </c>
      <c r="I4047" s="45" t="inlineStr"/>
      <c r="J4047" s="45" t="inlineStr">
        <is>
          <t>RNCP40726</t>
        </is>
      </c>
      <c r="K4047" s="45" t="inlineStr">
        <is>
          <t>Diplôme d’enseignement supérieur en management</t>
        </is>
      </c>
      <c r="L4047" s="45" t="inlineStr">
        <is>
          <t>31/08/2028</t>
        </is>
      </c>
      <c r="M4047" s="45" t="inlineStr">
        <is>
          <t>34054 (Gestion commerciale achats) ; 34554 (Commerce) ; 31834 (Logistique transport)</t>
        </is>
      </c>
      <c r="N4047" s="50" t="inlineStr">
        <is>
          <t>NON</t>
        </is>
      </c>
      <c r="O4047" s="45" t="inlineStr"/>
    </row>
    <row r="4048" customFormat="1" s="3">
      <c r="A4048" s="45" t="n"/>
      <c r="B4048" s="46" t="inlineStr">
        <is>
          <t>34566</t>
        </is>
      </c>
      <c r="C4048" s="46">
        <f>LEFT(Tableau1[[#This Row],[Formacode]],3)</f>
        <v/>
      </c>
      <c r="D4048" s="47" t="n">
        <v>40851</v>
      </c>
      <c r="E4048" s="48">
        <f>"RNCP"&amp;D4048</f>
        <v/>
      </c>
      <c r="F4048" s="48" t="inlineStr">
        <is>
          <t>Chef de projet webmarketing et e-commerce</t>
        </is>
      </c>
      <c r="G4048" s="49">
        <f>E4048&amp;" - "&amp;F4048</f>
        <v/>
      </c>
      <c r="H4048" s="36" t="inlineStr">
        <is>
          <t>RAS</t>
        </is>
      </c>
      <c r="I4048" s="45" t="inlineStr"/>
      <c r="J4048" s="45" t="inlineStr">
        <is>
          <t>RNCP40851</t>
        </is>
      </c>
      <c r="K4048" s="45" t="inlineStr">
        <is>
          <t>Chef de projet webmarketing et e-commerce</t>
        </is>
      </c>
      <c r="L4048" s="45" t="inlineStr">
        <is>
          <t>25/06/2028</t>
        </is>
      </c>
      <c r="M4048" s="45" t="inlineStr">
        <is>
          <t>34093 (Marketing digital) ; 46347 (Stratégie communication numérique) ; 34530 (E-commerce) ; 34053 (Marketing opérationnel)</t>
        </is>
      </c>
      <c r="N4048" s="50" t="inlineStr">
        <is>
          <t>NON</t>
        </is>
      </c>
      <c r="O4048" s="45" t="inlineStr"/>
    </row>
    <row r="4049" customFormat="1" s="3">
      <c r="A4049" s="45" t="n"/>
      <c r="B4049" s="46" t="inlineStr">
        <is>
          <t>34566</t>
        </is>
      </c>
      <c r="C4049" s="46">
        <f>LEFT(Tableau1[[#This Row],[Formacode]],3)</f>
        <v/>
      </c>
      <c r="D4049" s="47" t="n">
        <v>40994</v>
      </c>
      <c r="E4049" s="48">
        <f>"RNCP"&amp;D4049</f>
        <v/>
      </c>
      <c r="F4049" s="48" t="inlineStr">
        <is>
          <t>CAP - Equipier polyvalent du commerce</t>
        </is>
      </c>
      <c r="G4049" s="49">
        <f>E4049&amp;" - "&amp;F4049</f>
        <v/>
      </c>
      <c r="H4049" s="36" t="inlineStr">
        <is>
          <t>RAS</t>
        </is>
      </c>
      <c r="I4049" s="45" t="inlineStr"/>
      <c r="J4049" s="45" t="inlineStr">
        <is>
          <t>RNCP40994</t>
        </is>
      </c>
      <c r="K4049" s="45" t="inlineStr">
        <is>
          <t>Equipier polyvalent du commerce</t>
        </is>
      </c>
      <c r="L4049" s="45" t="inlineStr">
        <is>
          <t>31/08/2030</t>
        </is>
      </c>
      <c r="M4049" s="45" t="inlineStr">
        <is>
          <t>34566 (Vente distribution) ; 34056 (Administration ventes)</t>
        </is>
      </c>
      <c r="N4049" s="50" t="inlineStr">
        <is>
          <t>NON</t>
        </is>
      </c>
      <c r="O4049" s="45" t="inlineStr"/>
    </row>
    <row r="4050" customFormat="1" s="3">
      <c r="A4050" s="45" t="n"/>
      <c r="B4050" s="46" t="inlineStr">
        <is>
          <t>34566</t>
        </is>
      </c>
      <c r="C4050" s="46">
        <f>LEFT(Tableau1[[#This Row],[Formacode]],3)</f>
        <v/>
      </c>
      <c r="D4050" s="47" t="n">
        <v>41062</v>
      </c>
      <c r="E4050" s="48">
        <f>"RNCP"&amp;D4050</f>
        <v/>
      </c>
      <c r="F4050" s="48" t="inlineStr">
        <is>
          <t>BAC PRO - Technicien conseil vente univers jardinerie</t>
        </is>
      </c>
      <c r="G4050" s="49">
        <f>E4050&amp;" - "&amp;F4050</f>
        <v/>
      </c>
      <c r="H4050" s="36" t="inlineStr">
        <is>
          <t>RAS</t>
        </is>
      </c>
      <c r="I4050" s="45" t="inlineStr"/>
      <c r="J4050" s="45" t="inlineStr">
        <is>
          <t>RNCP41062</t>
        </is>
      </c>
      <c r="K4050" s="45" t="inlineStr">
        <is>
          <t>Technicien conseil vente univers jardinerie</t>
        </is>
      </c>
      <c r="L4050" s="45" t="inlineStr">
        <is>
          <t>31/08/2029</t>
        </is>
      </c>
      <c r="M4050" s="45" t="inlineStr">
        <is>
          <t>34534 (Vente produit horticole)</t>
        </is>
      </c>
      <c r="N4050" s="50" t="inlineStr">
        <is>
          <t>NON</t>
        </is>
      </c>
      <c r="O4050" s="45" t="inlineStr"/>
    </row>
    <row r="4051" customFormat="1" s="3">
      <c r="A4051" s="45" t="n"/>
      <c r="B4051" s="46" t="inlineStr">
        <is>
          <t>34566</t>
        </is>
      </c>
      <c r="C4051" s="46">
        <f>LEFT(Tableau1[[#This Row],[Formacode]],3)</f>
        <v/>
      </c>
      <c r="D4051" s="47" t="n">
        <v>41292</v>
      </c>
      <c r="E4051" s="48">
        <f>"RNCP"&amp;D4051</f>
        <v/>
      </c>
      <c r="F4051" s="48" t="inlineStr">
        <is>
          <t>Responsable commerce de détail</t>
        </is>
      </c>
      <c r="G4051" s="49">
        <f>E4051&amp;" - "&amp;F4051</f>
        <v/>
      </c>
      <c r="H4051" s="36" t="inlineStr">
        <is>
          <t>RAS</t>
        </is>
      </c>
      <c r="I4051" s="45" t="inlineStr"/>
      <c r="J4051" s="45" t="inlineStr">
        <is>
          <t>RNCP41292</t>
        </is>
      </c>
      <c r="K4051" s="45" t="inlineStr">
        <is>
          <t>Responsable commerce de détail</t>
        </is>
      </c>
      <c r="L4051" s="45" t="inlineStr">
        <is>
          <t>24/09/2028</t>
        </is>
      </c>
      <c r="M4051" s="45" t="inlineStr">
        <is>
          <t>34573 (Action commerciale) ; 34588 (Gestion point vente) ; 34559 (Gestion rayon) ; 34587 (Grande distribution)</t>
        </is>
      </c>
      <c r="N4051" s="50" t="inlineStr">
        <is>
          <t>NON</t>
        </is>
      </c>
      <c r="O4051" s="45" t="inlineStr"/>
    </row>
    <row r="4052" customFormat="1" s="3">
      <c r="A4052" s="45" t="n"/>
      <c r="B4052" s="46" t="inlineStr">
        <is>
          <t>34566</t>
        </is>
      </c>
      <c r="C4052" s="46">
        <f>LEFT(Tableau1[[#This Row],[Formacode]],3)</f>
        <v/>
      </c>
      <c r="D4052" s="47" t="n">
        <v>41464</v>
      </c>
      <c r="E4052" s="48">
        <f>"RNCP"&amp;D4052</f>
        <v/>
      </c>
      <c r="F4052" s="48" t="inlineStr">
        <is>
          <t>Technicien-vendeur cycles</t>
        </is>
      </c>
      <c r="G4052" s="49">
        <f>E4052&amp;" - "&amp;F4052</f>
        <v/>
      </c>
      <c r="H4052" s="36" t="inlineStr">
        <is>
          <t>RAS</t>
        </is>
      </c>
      <c r="I4052" s="45" t="inlineStr"/>
      <c r="J4052" s="45" t="inlineStr">
        <is>
          <t>RNCP41464</t>
        </is>
      </c>
      <c r="K4052" s="45" t="inlineStr">
        <is>
          <t>Technicien-vendeur cycles</t>
        </is>
      </c>
      <c r="L4052" s="45" t="inlineStr">
        <is>
          <t>27/10/2030</t>
        </is>
      </c>
      <c r="M4052" s="45" t="inlineStr">
        <is>
          <t>34554 (Commerce) ; 23654 (Mécanique construction réparation)</t>
        </is>
      </c>
      <c r="N4052" s="50" t="inlineStr">
        <is>
          <t>NON</t>
        </is>
      </c>
      <c r="O4052" s="45" t="inlineStr"/>
    </row>
    <row r="4053" customFormat="1" s="3">
      <c r="A4053" s="45" t="n"/>
      <c r="B4053" s="46" t="inlineStr">
        <is>
          <t>34566</t>
        </is>
      </c>
      <c r="C4053" s="46">
        <f>LEFT(Tableau1[[#This Row],[Formacode]],3)</f>
        <v/>
      </c>
      <c r="D4053" s="47" t="n">
        <v>41718</v>
      </c>
      <c r="E4053" s="48">
        <f>"RNCP"&amp;D4053</f>
        <v/>
      </c>
      <c r="F4053" s="48" t="inlineStr">
        <is>
          <t>Manager de la transformation digitale et technologique no code</t>
        </is>
      </c>
      <c r="G4053" s="49">
        <f>E4053&amp;" - "&amp;F4053</f>
        <v/>
      </c>
      <c r="H4053" s="36" t="inlineStr">
        <is>
          <t>RAS</t>
        </is>
      </c>
      <c r="I4053" s="45" t="inlineStr"/>
      <c r="J4053" s="45" t="inlineStr">
        <is>
          <t>RNCP41718</t>
        </is>
      </c>
      <c r="K4053" s="45" t="inlineStr">
        <is>
          <t>Manager de la transformation digitale et technologique no code</t>
        </is>
      </c>
      <c r="L4053" s="45" t="inlineStr">
        <is>
          <t>27/11/2028</t>
        </is>
      </c>
      <c r="M4053" s="45" t="inlineStr">
        <is>
          <t>31094 (Gestion projet informatique) ; 34093 (Marketing digital) ; 34530 (E-commerce) ; 46347 (Stratégie communication numérique)</t>
        </is>
      </c>
      <c r="N4053" s="50" t="inlineStr">
        <is>
          <t>NON</t>
        </is>
      </c>
      <c r="O4053" s="45" t="inlineStr"/>
    </row>
    <row r="4054" customFormat="1" s="3">
      <c r="A4054" s="51" t="n"/>
      <c r="B4054" s="52" t="inlineStr">
        <is>
          <t>34573</t>
        </is>
      </c>
      <c r="C4054" s="52">
        <f>LEFT(Tableau1[[#This Row],[Formacode]],3)</f>
        <v/>
      </c>
      <c r="D4054" s="53" t="n">
        <v>35800</v>
      </c>
      <c r="E4054" s="54">
        <f>"RNCP"&amp;D4054</f>
        <v/>
      </c>
      <c r="F4054" s="54" t="inlineStr">
        <is>
          <t>Brevet de technicien supérieur - Commerce international</t>
        </is>
      </c>
      <c r="G4054" s="55">
        <f>E4054&amp;" - "&amp;F4054</f>
        <v/>
      </c>
      <c r="H4054" s="37" t="inlineStr">
        <is>
          <t>À vérifier</t>
        </is>
      </c>
      <c r="I4054" s="51" t="inlineStr">
        <is>
          <t>Successeur déjà publié : RNCP41759 (Commerce international) — préparer la bascule de l'offre CPF | Échéance le 31/08/2026 (dans 44 j)</t>
        </is>
      </c>
      <c r="J4054" s="51" t="inlineStr">
        <is>
          <t>RNCP41759</t>
        </is>
      </c>
      <c r="K4054" s="51" t="inlineStr">
        <is>
          <t>Commerce international</t>
        </is>
      </c>
      <c r="L4054" s="51" t="inlineStr">
        <is>
          <t>31/08/2026</t>
        </is>
      </c>
      <c r="M4054" s="51" t="inlineStr">
        <is>
          <t>34254 (Commerce international) ; 34582 (Négociation commerciale) ; 34593 (Prospection vente)</t>
        </is>
      </c>
      <c r="N4054" s="62" t="inlineStr">
        <is>
          <t>NON</t>
        </is>
      </c>
      <c r="O4054" s="51" t="inlineStr"/>
    </row>
    <row r="4055" customFormat="1" s="3">
      <c r="A4055" s="51" t="n"/>
      <c r="B4055" s="52" t="inlineStr">
        <is>
          <t>34573</t>
        </is>
      </c>
      <c r="C4055" s="52">
        <f>LEFT(Tableau1[[#This Row],[Formacode]],3)</f>
        <v/>
      </c>
      <c r="D4055" s="53" t="n">
        <v>35801</v>
      </c>
      <c r="E4055" s="54">
        <f>"RNCP"&amp;D4055</f>
        <v/>
      </c>
      <c r="F4055" s="54" t="inlineStr">
        <is>
          <t>Brevet de technicien supérieur - Conseil et commercialisation de solutions techniques</t>
        </is>
      </c>
      <c r="G4055" s="55">
        <f>E4055&amp;" - "&amp;F4055</f>
        <v/>
      </c>
      <c r="H4055" s="37" t="inlineStr">
        <is>
          <t>À vérifier</t>
        </is>
      </c>
      <c r="I4055" s="51" t="inlineStr">
        <is>
          <t>Successeur déjà publié : RNCP41757 (Conseil et commercialisation de solutions techniques) — préparer la bascule de l'offre CPF | Échéance le 31/08/2026 (dans 44 j)</t>
        </is>
      </c>
      <c r="J4055" s="51" t="inlineStr">
        <is>
          <t>RNCP41757</t>
        </is>
      </c>
      <c r="K4055" s="51" t="inlineStr">
        <is>
          <t>Conseil et commercialisation de solutions techniques</t>
        </is>
      </c>
      <c r="L4055" s="51" t="inlineStr">
        <is>
          <t>31/08/2026</t>
        </is>
      </c>
      <c r="M4055" s="51" t="inlineStr">
        <is>
          <t>34581 (Technico-commercial)</t>
        </is>
      </c>
      <c r="N4055" s="62" t="inlineStr">
        <is>
          <t>NON</t>
        </is>
      </c>
      <c r="O4055" s="51" t="inlineStr"/>
    </row>
    <row r="4056" customFormat="1" s="3">
      <c r="A4056" s="45" t="n"/>
      <c r="B4056" s="46" t="inlineStr">
        <is>
          <t>34573</t>
        </is>
      </c>
      <c r="C4056" s="46">
        <f>LEFT(Tableau1[[#This Row],[Formacode]],3)</f>
        <v/>
      </c>
      <c r="D4056" s="47" t="n">
        <v>36003</v>
      </c>
      <c r="E4056" s="48">
        <f>"RNCP"&amp;D4056</f>
        <v/>
      </c>
      <c r="F4056" s="48" t="inlineStr">
        <is>
          <t>BTSA - Technico-commercial</t>
        </is>
      </c>
      <c r="G4056" s="49">
        <f>E4056&amp;" - "&amp;F4056</f>
        <v/>
      </c>
      <c r="H4056" s="36" t="inlineStr">
        <is>
          <t>RAS</t>
        </is>
      </c>
      <c r="I4056" s="45" t="inlineStr"/>
      <c r="J4056" s="45" t="inlineStr">
        <is>
          <t>RNCP36003</t>
        </is>
      </c>
      <c r="K4056" s="45" t="inlineStr">
        <is>
          <t>Technico-commercial</t>
        </is>
      </c>
      <c r="L4056" s="45" t="inlineStr">
        <is>
          <t>31/08/2027</t>
        </is>
      </c>
      <c r="M4056" s="45" t="inlineStr">
        <is>
          <t>34581 (Technico-commercial) ; 34582 (Négociation commerciale) ; 34525 (Vente produit alimentaire)</t>
        </is>
      </c>
      <c r="N4056" s="50" t="inlineStr">
        <is>
          <t>NON</t>
        </is>
      </c>
      <c r="O4056" s="45" t="inlineStr"/>
    </row>
    <row r="4057" customFormat="1" s="3">
      <c r="A4057" s="51" t="n"/>
      <c r="B4057" s="52" t="inlineStr">
        <is>
          <t>34573</t>
        </is>
      </c>
      <c r="C4057" s="52">
        <f>LEFT(Tableau1[[#This Row],[Formacode]],3)</f>
        <v/>
      </c>
      <c r="D4057" s="53" t="n">
        <v>36320</v>
      </c>
      <c r="E4057" s="54">
        <f>"RNCP"&amp;D4057</f>
        <v/>
      </c>
      <c r="F4057" s="54" t="inlineStr">
        <is>
          <t>DIPLOVIS - Ingénieur d'affaires</t>
        </is>
      </c>
      <c r="G4057" s="55">
        <f>E4057&amp;" - "&amp;F4057</f>
        <v/>
      </c>
      <c r="H4057" s="37" t="inlineStr">
        <is>
          <t>À vérifier</t>
        </is>
      </c>
      <c r="I4057" s="51" t="inlineStr">
        <is>
          <t>Successeur déjà publié : RNCP42246 (Ingénieur d'affaires) — préparer la bascule de l'offre CPF | Échéance le 31/08/2026 (dans 44 j)</t>
        </is>
      </c>
      <c r="J4057" s="51" t="inlineStr">
        <is>
          <t>RNCP42246</t>
        </is>
      </c>
      <c r="K4057" s="51" t="inlineStr">
        <is>
          <t>Ingénieur d'affaires</t>
        </is>
      </c>
      <c r="L4057" s="51" t="inlineStr">
        <is>
          <t>31/08/2026</t>
        </is>
      </c>
      <c r="M4057" s="51" t="inlineStr">
        <is>
          <t>34590 (Ingénieur d'affaires) ; 34254 (Commerce international) ; 34085 (Stratégie commerciale)</t>
        </is>
      </c>
      <c r="N4057" s="62" t="inlineStr">
        <is>
          <t>NON</t>
        </is>
      </c>
      <c r="O4057" s="51" t="inlineStr"/>
    </row>
    <row r="4058" customFormat="1" s="3">
      <c r="A4058" s="45" t="n"/>
      <c r="B4058" s="46" t="inlineStr">
        <is>
          <t>34573</t>
        </is>
      </c>
      <c r="C4058" s="46">
        <f>LEFT(Tableau1[[#This Row],[Formacode]],3)</f>
        <v/>
      </c>
      <c r="D4058" s="47" t="n">
        <v>36393</v>
      </c>
      <c r="E4058" s="48">
        <f>"RNCP"&amp;D4058</f>
        <v/>
      </c>
      <c r="F4058" s="48" t="inlineStr">
        <is>
          <t>Technico-commercial de l'Industrie et des Services Nautiques</t>
        </is>
      </c>
      <c r="G4058" s="49">
        <f>E4058&amp;" - "&amp;F4058</f>
        <v/>
      </c>
      <c r="H4058" s="36" t="inlineStr">
        <is>
          <t>RAS</t>
        </is>
      </c>
      <c r="I4058" s="45" t="inlineStr"/>
      <c r="J4058" s="45" t="inlineStr">
        <is>
          <t>RNCP36393</t>
        </is>
      </c>
      <c r="K4058" s="45" t="inlineStr">
        <is>
          <t>Technico-commercial de l'Industrie et des Services Nautiques</t>
        </is>
      </c>
      <c r="L4058" s="45" t="inlineStr">
        <is>
          <t>25/04/2027</t>
        </is>
      </c>
      <c r="M4058" s="45" t="inlineStr">
        <is>
          <t>34581 (Technico-commercial) ; 23622 (Construction maintenance navale) ; 34582 (Négociation commerciale) ; 34076 (Gestion relation client) ; 42027 (Service location)</t>
        </is>
      </c>
      <c r="N4058" s="50" t="inlineStr">
        <is>
          <t>NON</t>
        </is>
      </c>
      <c r="O4058" s="45" t="inlineStr"/>
    </row>
    <row r="4059" customFormat="1" s="3">
      <c r="A4059" s="45" t="n"/>
      <c r="B4059" s="46" t="inlineStr">
        <is>
          <t>34573</t>
        </is>
      </c>
      <c r="C4059" s="46">
        <f>LEFT(Tableau1[[#This Row],[Formacode]],3)</f>
        <v/>
      </c>
      <c r="D4059" s="47" t="n">
        <v>36677</v>
      </c>
      <c r="E4059" s="48">
        <f>"RNCP"&amp;D4059</f>
        <v/>
      </c>
      <c r="F4059" s="48" t="inlineStr">
        <is>
          <t>DIPLOVIS - Responsable en marketing, commercialisation et gestion</t>
        </is>
      </c>
      <c r="G4059" s="49">
        <f>E4059&amp;" - "&amp;F4059</f>
        <v/>
      </c>
      <c r="H4059" s="36" t="inlineStr">
        <is>
          <t>RAS</t>
        </is>
      </c>
      <c r="I4059" s="45" t="inlineStr"/>
      <c r="J4059" s="45" t="inlineStr">
        <is>
          <t>RNCP36677</t>
        </is>
      </c>
      <c r="K4059" s="45" t="inlineStr">
        <is>
          <t>Responsable en marketing, commercialisation et gestion</t>
        </is>
      </c>
      <c r="L4059" s="45" t="inlineStr">
        <is>
          <t>31/08/2027</t>
        </is>
      </c>
      <c r="M4059" s="45" t="inlineStr">
        <is>
          <t>34052 (Marketing) ; 34554 (Commerce) ; 32054 (Gestion des organisations)</t>
        </is>
      </c>
      <c r="N4059" s="50" t="inlineStr">
        <is>
          <t>NON</t>
        </is>
      </c>
      <c r="O4059" s="45" t="inlineStr"/>
    </row>
    <row r="4060" customFormat="1" s="3">
      <c r="A4060" s="45" t="n"/>
      <c r="B4060" s="46" t="inlineStr">
        <is>
          <t>34573</t>
        </is>
      </c>
      <c r="C4060" s="46">
        <f>LEFT(Tableau1[[#This Row],[Formacode]],3)</f>
        <v/>
      </c>
      <c r="D4060" s="47" t="n">
        <v>37283</v>
      </c>
      <c r="E4060" s="48">
        <f>"RNCP"&amp;D4060</f>
        <v/>
      </c>
      <c r="F4060" s="48" t="inlineStr">
        <is>
          <t>CQP Attaché technico-commercial en négoce des matériaux de construction</t>
        </is>
      </c>
      <c r="G4060" s="49">
        <f>E4060&amp;" - "&amp;F4060</f>
        <v/>
      </c>
      <c r="H4060" s="36" t="inlineStr">
        <is>
          <t>RAS</t>
        </is>
      </c>
      <c r="I4060" s="45" t="inlineStr"/>
      <c r="J4060" s="45" t="inlineStr">
        <is>
          <t>RNCP37283</t>
        </is>
      </c>
      <c r="K4060" s="45" t="inlineStr">
        <is>
          <t>CQP Attaché technico-commercial en négoce des matériaux de construction</t>
        </is>
      </c>
      <c r="L4060" s="45" t="inlineStr">
        <is>
          <t>25/01/2028</t>
        </is>
      </c>
      <c r="M4060" s="45" t="inlineStr">
        <is>
          <t>34581 (Technico-commercial) ; 22852 (Matériau construction)</t>
        </is>
      </c>
      <c r="N4060" s="50" t="inlineStr">
        <is>
          <t>NON</t>
        </is>
      </c>
      <c r="O4060" s="45" t="inlineStr"/>
    </row>
    <row r="4061" customFormat="1" s="3">
      <c r="A4061" s="63" t="n"/>
      <c r="B4061" s="64" t="inlineStr">
        <is>
          <t>34573</t>
        </is>
      </c>
      <c r="C4061" s="64">
        <f>LEFT(Tableau1[[#This Row],[Formacode]],3)</f>
        <v/>
      </c>
      <c r="D4061" s="65" t="n">
        <v>37410</v>
      </c>
      <c r="E4061" s="66">
        <f>"RNCP"&amp;D4061</f>
        <v/>
      </c>
      <c r="F4061" s="66" t="inlineStr">
        <is>
          <t>CQP Vendeur en fournitures industrielles</t>
        </is>
      </c>
      <c r="G4061" s="67">
        <f>E4061&amp;" - "&amp;F4061</f>
        <v/>
      </c>
      <c r="H4061" s="38" t="inlineStr">
        <is>
          <t>Expiré / remplacé</t>
        </is>
      </c>
      <c r="I4061" s="63" t="inlineStr">
        <is>
          <t>Fiche inactive — remplacée par RNCP42063 (CQP Vendeur en fournitures industrielles)</t>
        </is>
      </c>
      <c r="J4061" s="63" t="inlineStr">
        <is>
          <t>RNCP42063</t>
        </is>
      </c>
      <c r="K4061" s="63" t="inlineStr">
        <is>
          <t>CQP Vendeur en fournitures industrielles</t>
        </is>
      </c>
      <c r="L4061" s="63" t="inlineStr">
        <is>
          <t>27/03/2026</t>
        </is>
      </c>
      <c r="M4061" s="63" t="inlineStr">
        <is>
          <t>34502 (Vente spécialisée)</t>
        </is>
      </c>
      <c r="N4061" s="68" t="inlineStr">
        <is>
          <t>NON</t>
        </is>
      </c>
      <c r="O4061" s="63" t="inlineStr"/>
    </row>
    <row r="4062" customFormat="1" s="3">
      <c r="A4062" s="63" t="n"/>
      <c r="B4062" s="64" t="inlineStr">
        <is>
          <t>34573</t>
        </is>
      </c>
      <c r="C4062" s="64">
        <f>LEFT(Tableau1[[#This Row],[Formacode]],3)</f>
        <v/>
      </c>
      <c r="D4062" s="65" t="n">
        <v>37635</v>
      </c>
      <c r="E4062" s="66">
        <f>"RNCP"&amp;D4062</f>
        <v/>
      </c>
      <c r="F4062" s="66" t="inlineStr">
        <is>
          <t>Manager de commerce et de centre de profit</t>
        </is>
      </c>
      <c r="G4062" s="67">
        <f>E4062&amp;" - "&amp;F4062</f>
        <v/>
      </c>
      <c r="H4062" s="38" t="inlineStr">
        <is>
          <t>Expiré / remplacé</t>
        </is>
      </c>
      <c r="I4062" s="63" t="inlineStr">
        <is>
          <t>Fiche inactive — remplacée par RNCP42321 (Manager de commerce et de centre de profit)</t>
        </is>
      </c>
      <c r="J4062" s="63" t="inlineStr">
        <is>
          <t>RNCP42321</t>
        </is>
      </c>
      <c r="K4062" s="63" t="inlineStr">
        <is>
          <t>Manager de commerce et de centre de profit</t>
        </is>
      </c>
      <c r="L4062" s="63" t="inlineStr">
        <is>
          <t>31/05/2026</t>
        </is>
      </c>
      <c r="M4062" s="63" t="inlineStr">
        <is>
          <t>32024 (Gestion centre profit) ; 32145 (Management transversal) ; 32079 (Gestion performance) ; 32025 (Stratégie entreprise) ; 34554 (Commerce)</t>
        </is>
      </c>
      <c r="N4062" s="68" t="inlineStr">
        <is>
          <t>NON</t>
        </is>
      </c>
      <c r="O4062" s="63" t="inlineStr"/>
    </row>
    <row r="4063" customFormat="1" s="3">
      <c r="A4063" s="45" t="n"/>
      <c r="B4063" s="46" t="inlineStr">
        <is>
          <t>34573</t>
        </is>
      </c>
      <c r="C4063" s="46">
        <f>LEFT(Tableau1[[#This Row],[Formacode]],3)</f>
        <v/>
      </c>
      <c r="D4063" s="47" t="n">
        <v>37717</v>
      </c>
      <c r="E4063" s="48">
        <f>"RNCP"&amp;D4063</f>
        <v/>
      </c>
      <c r="F4063" s="48" t="inlineStr">
        <is>
          <t>TP - Conseiller commercial</t>
        </is>
      </c>
      <c r="G4063" s="49">
        <f>E4063&amp;" - "&amp;F4063</f>
        <v/>
      </c>
      <c r="H4063" s="36" t="inlineStr">
        <is>
          <t>RAS</t>
        </is>
      </c>
      <c r="I4063" s="45" t="inlineStr"/>
      <c r="J4063" s="45" t="inlineStr">
        <is>
          <t>RNCP37717</t>
        </is>
      </c>
      <c r="K4063" s="45" t="inlineStr">
        <is>
          <t>Conseiller commercial</t>
        </is>
      </c>
      <c r="L4063" s="45" t="inlineStr">
        <is>
          <t>31/07/2028</t>
        </is>
      </c>
      <c r="M4063" s="45" t="inlineStr">
        <is>
          <t>34581 (Technico-commercial) ; 34582 (Négociation commerciale) ; 34593 (Prospection vente)</t>
        </is>
      </c>
      <c r="N4063" s="50" t="inlineStr">
        <is>
          <t>NON</t>
        </is>
      </c>
      <c r="O4063" s="45" t="inlineStr"/>
    </row>
    <row r="4064" customFormat="1" s="3">
      <c r="A4064" s="51" t="n"/>
      <c r="B4064" s="52" t="inlineStr">
        <is>
          <t>34573</t>
        </is>
      </c>
      <c r="C4064" s="52">
        <f>LEFT(Tableau1[[#This Row],[Formacode]],3)</f>
        <v/>
      </c>
      <c r="D4064" s="53" t="n">
        <v>37787</v>
      </c>
      <c r="E4064" s="54">
        <f>"RNCP"&amp;D4064</f>
        <v/>
      </c>
      <c r="F4064" s="54" t="inlineStr">
        <is>
          <t>Responsable commerce retail</t>
        </is>
      </c>
      <c r="G4064" s="55">
        <f>E4064&amp;" - "&amp;F4064</f>
        <v/>
      </c>
      <c r="H4064" s="37" t="inlineStr">
        <is>
          <t>À vérifier</t>
        </is>
      </c>
      <c r="I4064" s="51" t="inlineStr">
        <is>
          <t>Successeur déjà publié : RNCP41712 (Responsable commerce retail) — préparer la bascule de l'offre CPF | Échéance le 19/07/2026 (dans 1 j)</t>
        </is>
      </c>
      <c r="J4064" s="51" t="inlineStr">
        <is>
          <t>RNCP41712</t>
        </is>
      </c>
      <c r="K4064" s="51" t="inlineStr">
        <is>
          <t>Responsable commerce retail</t>
        </is>
      </c>
      <c r="L4064" s="51" t="inlineStr">
        <is>
          <t>19/07/2026</t>
        </is>
      </c>
      <c r="M4064" s="51" t="inlineStr">
        <is>
          <t>34037 (Satisfaction client) ; 34559 (Gestion rayon) ; 34587 (Grande distribution) ; 34588 (Gestion point vente)</t>
        </is>
      </c>
      <c r="N4064" s="62" t="inlineStr">
        <is>
          <t>NON</t>
        </is>
      </c>
      <c r="O4064" s="51" t="inlineStr"/>
    </row>
    <row r="4065" customFormat="1" s="3">
      <c r="A4065" s="51" t="n"/>
      <c r="B4065" s="52" t="inlineStr">
        <is>
          <t>34573</t>
        </is>
      </c>
      <c r="C4065" s="52">
        <f>LEFT(Tableau1[[#This Row],[Formacode]],3)</f>
        <v/>
      </c>
      <c r="D4065" s="53" t="n">
        <v>37849</v>
      </c>
      <c r="E4065" s="54">
        <f>"RNCP"&amp;D4065</f>
        <v/>
      </c>
      <c r="F4065" s="54" t="inlineStr">
        <is>
          <t>Responsable du développement commercial</t>
        </is>
      </c>
      <c r="G4065" s="55">
        <f>E4065&amp;" - "&amp;F4065</f>
        <v/>
      </c>
      <c r="H4065" s="37" t="inlineStr">
        <is>
          <t>À vérifier</t>
        </is>
      </c>
      <c r="I4065" s="51" t="inlineStr">
        <is>
          <t>Échéance le 19/07/2026 (dans 1 j)</t>
        </is>
      </c>
      <c r="J4065" s="51" t="inlineStr">
        <is>
          <t>RNCP37849</t>
        </is>
      </c>
      <c r="K4065" s="51" t="inlineStr">
        <is>
          <t>Responsable du développement commercial</t>
        </is>
      </c>
      <c r="L4065" s="51" t="inlineStr">
        <is>
          <t>19/07/2026</t>
        </is>
      </c>
      <c r="M4065" s="51" t="inlineStr">
        <is>
          <t>34026 (Développement sens commercial) ; 34582 (Négociation commerciale)</t>
        </is>
      </c>
      <c r="N4065" s="62" t="inlineStr">
        <is>
          <t>NON</t>
        </is>
      </c>
      <c r="O4065" s="51" t="inlineStr"/>
    </row>
    <row r="4066" customFormat="1" s="3">
      <c r="A4066" s="51" t="n"/>
      <c r="B4066" s="52" t="inlineStr">
        <is>
          <t>34573</t>
        </is>
      </c>
      <c r="C4066" s="52">
        <f>LEFT(Tableau1[[#This Row],[Formacode]],3)</f>
        <v/>
      </c>
      <c r="D4066" s="53" t="n">
        <v>38123</v>
      </c>
      <c r="E4066" s="54">
        <f>"RNCP"&amp;D4066</f>
        <v/>
      </c>
      <c r="F4066" s="54" t="inlineStr">
        <is>
          <t>Responsable du développement commercial</t>
        </is>
      </c>
      <c r="G4066" s="55">
        <f>E4066&amp;" - "&amp;F4066</f>
        <v/>
      </c>
      <c r="H4066" s="37" t="inlineStr">
        <is>
          <t>À vérifier</t>
        </is>
      </c>
      <c r="I4066" s="51" t="inlineStr">
        <is>
          <t>Échéance le 18/10/2026 (dans 92 j)</t>
        </is>
      </c>
      <c r="J4066" s="51" t="inlineStr">
        <is>
          <t>RNCP38123</t>
        </is>
      </c>
      <c r="K4066" s="51" t="inlineStr">
        <is>
          <t>Responsable du développement commercial</t>
        </is>
      </c>
      <c r="L4066" s="51" t="inlineStr">
        <is>
          <t>18/10/2026</t>
        </is>
      </c>
      <c r="M4066" s="51" t="inlineStr">
        <is>
          <t>34085 (Stratégie commerciale) ; 34554 (Commerce)</t>
        </is>
      </c>
      <c r="N4066" s="62" t="inlineStr">
        <is>
          <t>NON</t>
        </is>
      </c>
      <c r="O4066" s="51" t="inlineStr"/>
    </row>
    <row r="4067" customFormat="1" s="3">
      <c r="A4067" s="45" t="n"/>
      <c r="B4067" s="46" t="inlineStr">
        <is>
          <t>34573</t>
        </is>
      </c>
      <c r="C4067" s="46">
        <f>LEFT(Tableau1[[#This Row],[Formacode]],3)</f>
        <v/>
      </c>
      <c r="D4067" s="47" t="n">
        <v>38135</v>
      </c>
      <c r="E4067" s="48">
        <f>"RNCP"&amp;D4067</f>
        <v/>
      </c>
      <c r="F4067" s="48" t="inlineStr">
        <is>
          <t>Manager commercial clients grands comptes</t>
        </is>
      </c>
      <c r="G4067" s="49">
        <f>E4067&amp;" - "&amp;F4067</f>
        <v/>
      </c>
      <c r="H4067" s="36" t="inlineStr">
        <is>
          <t>RAS</t>
        </is>
      </c>
      <c r="I4067" s="45" t="inlineStr"/>
      <c r="J4067" s="45" t="inlineStr">
        <is>
          <t>RNCP38135</t>
        </is>
      </c>
      <c r="K4067" s="45" t="inlineStr">
        <is>
          <t>Manager commercial clients grands comptes</t>
        </is>
      </c>
      <c r="L4067" s="45" t="inlineStr">
        <is>
          <t>18/10/2028</t>
        </is>
      </c>
      <c r="M4067" s="45" t="inlineStr">
        <is>
          <t>34572 (Négociation grand compte) ; 32154 (Encadrement management)</t>
        </is>
      </c>
      <c r="N4067" s="50" t="inlineStr">
        <is>
          <t>NON</t>
        </is>
      </c>
      <c r="O4067" s="45" t="inlineStr"/>
    </row>
    <row r="4068" customFormat="1" s="3">
      <c r="A4068" s="51" t="n"/>
      <c r="B4068" s="52" t="inlineStr">
        <is>
          <t>34573</t>
        </is>
      </c>
      <c r="C4068" s="52">
        <f>LEFT(Tableau1[[#This Row],[Formacode]],3)</f>
        <v/>
      </c>
      <c r="D4068" s="53" t="n">
        <v>38146</v>
      </c>
      <c r="E4068" s="54">
        <f>"RNCP"&amp;D4068</f>
        <v/>
      </c>
      <c r="F4068" s="54" t="inlineStr">
        <is>
          <t>Responsable commercial</t>
        </is>
      </c>
      <c r="G4068" s="55">
        <f>E4068&amp;" - "&amp;F4068</f>
        <v/>
      </c>
      <c r="H4068" s="37" t="inlineStr">
        <is>
          <t>À vérifier</t>
        </is>
      </c>
      <c r="I4068" s="51" t="inlineStr">
        <is>
          <t>Échéance le 18/10/2026 (dans 92 j)</t>
        </is>
      </c>
      <c r="J4068" s="51" t="inlineStr">
        <is>
          <t>RNCP38146</t>
        </is>
      </c>
      <c r="K4068" s="51" t="inlineStr">
        <is>
          <t>Responsable commercial</t>
        </is>
      </c>
      <c r="L4068" s="51" t="inlineStr">
        <is>
          <t>18/10/2026</t>
        </is>
      </c>
      <c r="M4068" s="51" t="inlineStr">
        <is>
          <t>34584 (Animation vente) ; 34561 (Force vente) ; 34085 (Stratégie commerciale) ; 34582 (Négociation commerciale)</t>
        </is>
      </c>
      <c r="N4068" s="62" t="inlineStr">
        <is>
          <t>NON</t>
        </is>
      </c>
      <c r="O4068" s="51" t="inlineStr"/>
    </row>
    <row r="4069" customFormat="1" s="3">
      <c r="A4069" s="45" t="n"/>
      <c r="B4069" s="46" t="inlineStr">
        <is>
          <t>34573</t>
        </is>
      </c>
      <c r="C4069" s="46">
        <f>LEFT(Tableau1[[#This Row],[Formacode]],3)</f>
        <v/>
      </c>
      <c r="D4069" s="47" t="n">
        <v>38368</v>
      </c>
      <c r="E4069" s="48">
        <f>"RNCP"&amp;D4069</f>
        <v/>
      </c>
      <c r="F4069" s="48" t="inlineStr">
        <is>
          <t>BTS - Négociation et digitalisation de la relation client</t>
        </is>
      </c>
      <c r="G4069" s="49">
        <f>E4069&amp;" - "&amp;F4069</f>
        <v/>
      </c>
      <c r="H4069" s="36" t="inlineStr">
        <is>
          <t>RAS</t>
        </is>
      </c>
      <c r="I4069" s="45" t="inlineStr"/>
      <c r="J4069" s="45" t="inlineStr">
        <is>
          <t>RNCP38368</t>
        </is>
      </c>
      <c r="K4069" s="45" t="inlineStr">
        <is>
          <t>Négociation et digitalisation de la relation client</t>
        </is>
      </c>
      <c r="L4069" s="45" t="inlineStr">
        <is>
          <t>31/12/2028</t>
        </is>
      </c>
      <c r="M4069" s="45" t="inlineStr">
        <is>
          <t>34076 (Gestion relation client) ; 34561 (Force vente) ; 34040 (Étude produit)</t>
        </is>
      </c>
      <c r="N4069" s="50" t="inlineStr">
        <is>
          <t>NON</t>
        </is>
      </c>
      <c r="O4069" s="45" t="inlineStr"/>
    </row>
    <row r="4070" customFormat="1" s="3">
      <c r="A4070" s="45" t="n"/>
      <c r="B4070" s="46" t="inlineStr">
        <is>
          <t>34573</t>
        </is>
      </c>
      <c r="C4070" s="46">
        <f>LEFT(Tableau1[[#This Row],[Formacode]],3)</f>
        <v/>
      </c>
      <c r="D4070" s="47" t="n">
        <v>38399</v>
      </c>
      <c r="E4070" s="48">
        <f>"RNCP"&amp;D4070</f>
        <v/>
      </c>
      <c r="F4070" s="48" t="inlineStr">
        <is>
          <t>BAC PRO - Métiers du commerce et de la vente</t>
        </is>
      </c>
      <c r="G4070" s="49">
        <f>E4070&amp;" - "&amp;F4070</f>
        <v/>
      </c>
      <c r="H4070" s="36" t="inlineStr">
        <is>
          <t>RAS</t>
        </is>
      </c>
      <c r="I4070" s="45" t="inlineStr"/>
      <c r="J4070" s="45" t="inlineStr">
        <is>
          <t>RNCP38399</t>
        </is>
      </c>
      <c r="K4070" s="45" t="inlineStr">
        <is>
          <t>Métiers du commerce et de la vente</t>
        </is>
      </c>
      <c r="L4070" s="45" t="inlineStr">
        <is>
          <t>31/12/2028</t>
        </is>
      </c>
      <c r="M4070" s="45" t="inlineStr">
        <is>
          <t>34566 (Vente distribution) ; 34584 (Animation vente) ; 34593 (Prospection vente)</t>
        </is>
      </c>
      <c r="N4070" s="50" t="inlineStr">
        <is>
          <t>NON</t>
        </is>
      </c>
      <c r="O4070" s="45" t="inlineStr"/>
    </row>
    <row r="4071" customFormat="1" s="3">
      <c r="A4071" s="51" t="n"/>
      <c r="B4071" s="52" t="inlineStr">
        <is>
          <t>34573</t>
        </is>
      </c>
      <c r="C4071" s="52">
        <f>LEFT(Tableau1[[#This Row],[Formacode]],3)</f>
        <v/>
      </c>
      <c r="D4071" s="53" t="n">
        <v>38505</v>
      </c>
      <c r="E4071" s="54">
        <f>"RNCP"&amp;D4071</f>
        <v/>
      </c>
      <c r="F4071" s="54" t="inlineStr">
        <is>
          <t>Responsable du développement commercial</t>
        </is>
      </c>
      <c r="G4071" s="55">
        <f>E4071&amp;" - "&amp;F4071</f>
        <v/>
      </c>
      <c r="H4071" s="37" t="inlineStr">
        <is>
          <t>À vérifier</t>
        </is>
      </c>
      <c r="I4071" s="51" t="inlineStr">
        <is>
          <t>Échéance le 21/12/2026 (dans 156 j)</t>
        </is>
      </c>
      <c r="J4071" s="51" t="inlineStr">
        <is>
          <t>RNCP38505</t>
        </is>
      </c>
      <c r="K4071" s="51" t="inlineStr">
        <is>
          <t>Responsable du développement commercial</t>
        </is>
      </c>
      <c r="L4071" s="51" t="inlineStr">
        <is>
          <t>21/12/2026</t>
        </is>
      </c>
      <c r="M4071" s="51" t="inlineStr">
        <is>
          <t>34572 (Négociation grand compte) ; 34085 (Stratégie commerciale)</t>
        </is>
      </c>
      <c r="N4071" s="62" t="inlineStr">
        <is>
          <t>NON</t>
        </is>
      </c>
      <c r="O4071" s="51" t="inlineStr"/>
    </row>
    <row r="4072" customFormat="1" s="3">
      <c r="A4072" s="45" t="n"/>
      <c r="B4072" s="46" t="inlineStr">
        <is>
          <t>34573</t>
        </is>
      </c>
      <c r="C4072" s="46">
        <f>LEFT(Tableau1[[#This Row],[Formacode]],3)</f>
        <v/>
      </c>
      <c r="D4072" s="47" t="n">
        <v>38583</v>
      </c>
      <c r="E4072" s="48">
        <f>"RNCP"&amp;D4072</f>
        <v/>
      </c>
      <c r="F4072" s="48" t="inlineStr">
        <is>
          <t>Manager du développement commercial</t>
        </is>
      </c>
      <c r="G4072" s="49">
        <f>E4072&amp;" - "&amp;F4072</f>
        <v/>
      </c>
      <c r="H4072" s="36" t="inlineStr">
        <is>
          <t>RAS</t>
        </is>
      </c>
      <c r="I4072" s="45" t="inlineStr"/>
      <c r="J4072" s="45" t="inlineStr">
        <is>
          <t>RNCP38583</t>
        </is>
      </c>
      <c r="K4072" s="45" t="inlineStr">
        <is>
          <t>Manager du développement commercial</t>
        </is>
      </c>
      <c r="L4072" s="45" t="inlineStr">
        <is>
          <t>09/02/2027</t>
        </is>
      </c>
      <c r="M4072" s="45" t="inlineStr">
        <is>
          <t>34085 (Stratégie commerciale) ; 34554 (Commerce) ; 34076 (Gestion relation client)</t>
        </is>
      </c>
      <c r="N4072" s="50" t="inlineStr">
        <is>
          <t>NON</t>
        </is>
      </c>
      <c r="O4072" s="45" t="inlineStr"/>
    </row>
    <row r="4073" customFormat="1" s="3">
      <c r="A4073" s="45" t="n"/>
      <c r="B4073" s="46" t="inlineStr">
        <is>
          <t>34573</t>
        </is>
      </c>
      <c r="C4073" s="46">
        <f>LEFT(Tableau1[[#This Row],[Formacode]],3)</f>
        <v/>
      </c>
      <c r="D4073" s="47" t="n">
        <v>38602</v>
      </c>
      <c r="E4073" s="48">
        <f>"RNCP"&amp;D4073</f>
        <v/>
      </c>
      <c r="F4073" s="48" t="inlineStr">
        <is>
          <t>Responsable du développement des affaires</t>
        </is>
      </c>
      <c r="G4073" s="49">
        <f>E4073&amp;" - "&amp;F4073</f>
        <v/>
      </c>
      <c r="H4073" s="36" t="inlineStr">
        <is>
          <t>RAS</t>
        </is>
      </c>
      <c r="I4073" s="45" t="inlineStr"/>
      <c r="J4073" s="45" t="inlineStr">
        <is>
          <t>RNCP38602</t>
        </is>
      </c>
      <c r="K4073" s="45" t="inlineStr">
        <is>
          <t>Responsable du développement des affaires</t>
        </is>
      </c>
      <c r="L4073" s="45" t="inlineStr">
        <is>
          <t>09/02/2029</t>
        </is>
      </c>
      <c r="M4073" s="45" t="inlineStr">
        <is>
          <t>34085 (Stratégie commerciale) ; 34561 (Force vente) ; 34582 (Négociation commerciale)</t>
        </is>
      </c>
      <c r="N4073" s="50" t="inlineStr">
        <is>
          <t>NON</t>
        </is>
      </c>
      <c r="O4073" s="45" t="inlineStr"/>
    </row>
    <row r="4074" customFormat="1" s="3">
      <c r="A4074" s="45" t="n"/>
      <c r="B4074" s="46" t="inlineStr">
        <is>
          <t>34573</t>
        </is>
      </c>
      <c r="C4074" s="46">
        <f>LEFT(Tableau1[[#This Row],[Formacode]],3)</f>
        <v/>
      </c>
      <c r="D4074" s="47" t="n">
        <v>38604</v>
      </c>
      <c r="E4074" s="48">
        <f>"RNCP"&amp;D4074</f>
        <v/>
      </c>
      <c r="F4074" s="48" t="inlineStr">
        <is>
          <t>Responsable d'activités commerciales</t>
        </is>
      </c>
      <c r="G4074" s="49">
        <f>E4074&amp;" - "&amp;F4074</f>
        <v/>
      </c>
      <c r="H4074" s="36" t="inlineStr">
        <is>
          <t>RAS</t>
        </is>
      </c>
      <c r="I4074" s="45" t="inlineStr"/>
      <c r="J4074" s="45" t="inlineStr">
        <is>
          <t>RNCP38604</t>
        </is>
      </c>
      <c r="K4074" s="45" t="inlineStr">
        <is>
          <t>Responsable d'activités commerciales</t>
        </is>
      </c>
      <c r="L4074" s="45" t="inlineStr">
        <is>
          <t>09/02/2027</t>
        </is>
      </c>
      <c r="M4074" s="45" t="inlineStr">
        <is>
          <t>34593 (Prospection vente) ; 34026 (Développement sens commercial)</t>
        </is>
      </c>
      <c r="N4074" s="50" t="inlineStr">
        <is>
          <t>NON</t>
        </is>
      </c>
      <c r="O4074" s="45" t="inlineStr"/>
    </row>
    <row r="4075" customFormat="1" s="3">
      <c r="A4075" s="45" t="n"/>
      <c r="B4075" s="46" t="inlineStr">
        <is>
          <t>34573</t>
        </is>
      </c>
      <c r="C4075" s="46">
        <f>LEFT(Tableau1[[#This Row],[Formacode]],3)</f>
        <v/>
      </c>
      <c r="D4075" s="47" t="n">
        <v>38808</v>
      </c>
      <c r="E4075" s="48">
        <f>"RNCP"&amp;D4075</f>
        <v/>
      </c>
      <c r="F4075" s="48" t="inlineStr">
        <is>
          <t>Responsable d'activité commerciale et marketing</t>
        </is>
      </c>
      <c r="G4075" s="49">
        <f>E4075&amp;" - "&amp;F4075</f>
        <v/>
      </c>
      <c r="H4075" s="36" t="inlineStr">
        <is>
          <t>RAS</t>
        </is>
      </c>
      <c r="I4075" s="45" t="inlineStr"/>
      <c r="J4075" s="45" t="inlineStr">
        <is>
          <t>RNCP38808</t>
        </is>
      </c>
      <c r="K4075" s="45" t="inlineStr">
        <is>
          <t>Responsable d'activité commerciale et marketing</t>
        </is>
      </c>
      <c r="L4075" s="45" t="inlineStr">
        <is>
          <t>27/03/2027</t>
        </is>
      </c>
      <c r="M4075" s="45" t="inlineStr">
        <is>
          <t>34053 (Marketing opérationnel) ; 34085 (Stratégie commerciale) ; 34582 (Négociation commerciale) ; 34566 (Vente distribution)</t>
        </is>
      </c>
      <c r="N4075" s="50" t="inlineStr">
        <is>
          <t>NON</t>
        </is>
      </c>
      <c r="O4075" s="45" t="inlineStr"/>
    </row>
    <row r="4076" customFormat="1" s="3">
      <c r="A4076" s="45" t="n"/>
      <c r="B4076" s="46" t="inlineStr">
        <is>
          <t>34573</t>
        </is>
      </c>
      <c r="C4076" s="46">
        <f>LEFT(Tableau1[[#This Row],[Formacode]],3)</f>
        <v/>
      </c>
      <c r="D4076" s="47" t="n">
        <v>38830</v>
      </c>
      <c r="E4076" s="48">
        <f>"RNCP"&amp;D4076</f>
        <v/>
      </c>
      <c r="F4076" s="48" t="inlineStr">
        <is>
          <t>Chargé d'affaires commerciales</t>
        </is>
      </c>
      <c r="G4076" s="49">
        <f>E4076&amp;" - "&amp;F4076</f>
        <v/>
      </c>
      <c r="H4076" s="36" t="inlineStr">
        <is>
          <t>RAS</t>
        </is>
      </c>
      <c r="I4076" s="45" t="inlineStr"/>
      <c r="J4076" s="45" t="inlineStr">
        <is>
          <t>RNCP38830</t>
        </is>
      </c>
      <c r="K4076" s="45" t="inlineStr">
        <is>
          <t>Chargé d'affaires commerciales</t>
        </is>
      </c>
      <c r="L4076" s="45" t="inlineStr">
        <is>
          <t>27/03/2027</t>
        </is>
      </c>
      <c r="M4076" s="45" t="inlineStr">
        <is>
          <t>34085 (Stratégie commerciale) ; 34582 (Négociation commerciale)</t>
        </is>
      </c>
      <c r="N4076" s="50" t="inlineStr">
        <is>
          <t>NON</t>
        </is>
      </c>
      <c r="O4076" s="45" t="inlineStr"/>
    </row>
    <row r="4077" customFormat="1" s="3">
      <c r="A4077" s="45" t="n"/>
      <c r="B4077" s="46" t="inlineStr">
        <is>
          <t>34573</t>
        </is>
      </c>
      <c r="C4077" s="46">
        <f>LEFT(Tableau1[[#This Row],[Formacode]],3)</f>
        <v/>
      </c>
      <c r="D4077" s="47" t="n">
        <v>39063</v>
      </c>
      <c r="E4077" s="48">
        <f>"RNCP"&amp;D4077</f>
        <v/>
      </c>
      <c r="F4077" s="48" t="inlineStr">
        <is>
          <t>TP - Négociateur technico-commercial</t>
        </is>
      </c>
      <c r="G4077" s="49">
        <f>E4077&amp;" - "&amp;F4077</f>
        <v/>
      </c>
      <c r="H4077" s="36" t="inlineStr">
        <is>
          <t>RAS</t>
        </is>
      </c>
      <c r="I4077" s="45" t="inlineStr"/>
      <c r="J4077" s="45" t="inlineStr">
        <is>
          <t>RNCP39063</t>
        </is>
      </c>
      <c r="K4077" s="45" t="inlineStr">
        <is>
          <t>Négociateur technico-commercial</t>
        </is>
      </c>
      <c r="L4077" s="45" t="inlineStr">
        <is>
          <t>10/06/2029</t>
        </is>
      </c>
      <c r="M4077" s="45" t="inlineStr">
        <is>
          <t>34581 (Technico-commercial) ; 34572 (Négociation grand compte) ; 34593 (Prospection vente)</t>
        </is>
      </c>
      <c r="N4077" s="50" t="inlineStr">
        <is>
          <t>NON</t>
        </is>
      </c>
      <c r="O4077" s="45" t="inlineStr"/>
    </row>
    <row r="4078" customFormat="1" s="3">
      <c r="A4078" s="45" t="n"/>
      <c r="B4078" s="46" t="inlineStr">
        <is>
          <t>34573</t>
        </is>
      </c>
      <c r="C4078" s="46">
        <f>LEFT(Tableau1[[#This Row],[Formacode]],3)</f>
        <v/>
      </c>
      <c r="D4078" s="47" t="n">
        <v>39122</v>
      </c>
      <c r="E4078" s="48">
        <f>"RNCP"&amp;D4078</f>
        <v/>
      </c>
      <c r="F4078" s="48" t="inlineStr">
        <is>
          <t>Responsable technico-commercial</t>
        </is>
      </c>
      <c r="G4078" s="49">
        <f>E4078&amp;" - "&amp;F4078</f>
        <v/>
      </c>
      <c r="H4078" s="36" t="inlineStr">
        <is>
          <t>RAS</t>
        </is>
      </c>
      <c r="I4078" s="45" t="inlineStr"/>
      <c r="J4078" s="45" t="inlineStr">
        <is>
          <t>RNCP39122</t>
        </is>
      </c>
      <c r="K4078" s="45" t="inlineStr">
        <is>
          <t>Responsable technico-commercial</t>
        </is>
      </c>
      <c r="L4078" s="45" t="inlineStr">
        <is>
          <t>31/05/2029</t>
        </is>
      </c>
      <c r="M4078" s="45" t="inlineStr">
        <is>
          <t>34581 (Technico-commercial) ; 32110 (Management opérationnel)</t>
        </is>
      </c>
      <c r="N4078" s="50" t="inlineStr">
        <is>
          <t>NON</t>
        </is>
      </c>
      <c r="O4078" s="45" t="inlineStr"/>
    </row>
    <row r="4079" customFormat="1" s="3">
      <c r="A4079" s="45" t="n"/>
      <c r="B4079" s="46" t="inlineStr">
        <is>
          <t>34573</t>
        </is>
      </c>
      <c r="C4079" s="46">
        <f>LEFT(Tableau1[[#This Row],[Formacode]],3)</f>
        <v/>
      </c>
      <c r="D4079" s="47" t="n">
        <v>39366</v>
      </c>
      <c r="E4079" s="48">
        <f>"RNCP"&amp;D4079</f>
        <v/>
      </c>
      <c r="F4079" s="48" t="inlineStr">
        <is>
          <t>CQP Manager commercial cuisines et/ou aménagement intérieur</t>
        </is>
      </c>
      <c r="G4079" s="49">
        <f>E4079&amp;" - "&amp;F4079</f>
        <v/>
      </c>
      <c r="H4079" s="36" t="inlineStr">
        <is>
          <t>RAS</t>
        </is>
      </c>
      <c r="I4079" s="45" t="inlineStr"/>
      <c r="J4079" s="45" t="inlineStr">
        <is>
          <t>RNCP39366</t>
        </is>
      </c>
      <c r="K4079" s="45" t="inlineStr">
        <is>
          <t>CQP Manager commercial cuisines et/ou aménagement intérieur</t>
        </is>
      </c>
      <c r="L4079" s="45" t="inlineStr">
        <is>
          <t>19/07/2029</t>
        </is>
      </c>
      <c r="M4079" s="45" t="inlineStr">
        <is>
          <t>34561 (Force vente) ; 34536 (Vente équipement maison) ; 32154 (Encadrement management)</t>
        </is>
      </c>
      <c r="N4079" s="50" t="inlineStr">
        <is>
          <t>NON</t>
        </is>
      </c>
      <c r="O4079" s="45" t="inlineStr"/>
    </row>
    <row r="4080" customFormat="1" s="3">
      <c r="A4080" s="51" t="n"/>
      <c r="B4080" s="52" t="inlineStr">
        <is>
          <t>34573</t>
        </is>
      </c>
      <c r="C4080" s="52">
        <f>LEFT(Tableau1[[#This Row],[Formacode]],3)</f>
        <v/>
      </c>
      <c r="D4080" s="53" t="n">
        <v>39395</v>
      </c>
      <c r="E4080" s="54">
        <f>"RNCP"&amp;D4080</f>
        <v/>
      </c>
      <c r="F4080" s="54" t="inlineStr">
        <is>
          <t>Responsable d'agence et de commerce</t>
        </is>
      </c>
      <c r="G4080" s="55">
        <f>E4080&amp;" - "&amp;F4080</f>
        <v/>
      </c>
      <c r="H4080" s="37" t="inlineStr">
        <is>
          <t>À vérifier</t>
        </is>
      </c>
      <c r="I4080" s="51" t="inlineStr">
        <is>
          <t>Successeur déjà publié : RNCP42475 (Responsable d'agence et de commerce) — préparer la bascule de l'offre CPF | Échéance le 19/07/2026 (dans 1 j)</t>
        </is>
      </c>
      <c r="J4080" s="51" t="inlineStr">
        <is>
          <t>RNCP42475</t>
        </is>
      </c>
      <c r="K4080" s="51" t="inlineStr">
        <is>
          <t>Responsable d'agence et de commerce</t>
        </is>
      </c>
      <c r="L4080" s="51" t="inlineStr">
        <is>
          <t>19/07/2026</t>
        </is>
      </c>
      <c r="M4080" s="51" t="inlineStr">
        <is>
          <t>34554 (Commerce) ; 32154 (Encadrement management) ; 32079 (Gestion performance)</t>
        </is>
      </c>
      <c r="N4080" s="62" t="inlineStr">
        <is>
          <t>NON</t>
        </is>
      </c>
      <c r="O4080" s="51" t="inlineStr"/>
    </row>
    <row r="4081" ht="28.8" customFormat="1" customHeight="1" s="3">
      <c r="A4081" s="45" t="n"/>
      <c r="B4081" s="46" t="inlineStr">
        <is>
          <t>34573</t>
        </is>
      </c>
      <c r="C4081" s="46">
        <f>LEFT(Tableau1[[#This Row],[Formacode]],3)</f>
        <v/>
      </c>
      <c r="D4081" s="47" t="n">
        <v>39571</v>
      </c>
      <c r="E4081" s="48">
        <f>"RNCP"&amp;D4081</f>
        <v/>
      </c>
      <c r="F4081" s="48" t="inlineStr">
        <is>
          <t>DipViGrM - Diplôme d’études supérieures en marketing, gestion commerciale et management international</t>
        </is>
      </c>
      <c r="G4081" s="49">
        <f>E4081&amp;" - "&amp;F4081</f>
        <v/>
      </c>
      <c r="H4081" s="36" t="inlineStr">
        <is>
          <t>RAS</t>
        </is>
      </c>
      <c r="I4081" s="45" t="inlineStr"/>
      <c r="J4081" s="45" t="inlineStr">
        <is>
          <t>RNCP39571</t>
        </is>
      </c>
      <c r="K4081" s="45" t="inlineStr">
        <is>
          <t>Diplôme d’études supérieures en marketing, gestion commerciale et management international</t>
        </is>
      </c>
      <c r="L4081" s="45" t="inlineStr">
        <is>
          <t>31/08/2027</t>
        </is>
      </c>
      <c r="M4081" s="45" t="inlineStr">
        <is>
          <t>34254 (Commerce international) ; 34016 (Marketing achat) ; 41023 (Marché financier) ; 34554 (Commerce)</t>
        </is>
      </c>
      <c r="N4081" s="50" t="inlineStr">
        <is>
          <t>NON</t>
        </is>
      </c>
      <c r="O4081" s="45" t="inlineStr"/>
    </row>
    <row r="4082" customFormat="1" s="3">
      <c r="A4082" s="45" t="n"/>
      <c r="B4082" s="46" t="inlineStr">
        <is>
          <t>34573</t>
        </is>
      </c>
      <c r="C4082" s="46">
        <f>LEFT(Tableau1[[#This Row],[Formacode]],3)</f>
        <v/>
      </c>
      <c r="D4082" s="47" t="n">
        <v>39884</v>
      </c>
      <c r="E4082" s="48">
        <f>"RNCP"&amp;D4082</f>
        <v/>
      </c>
      <c r="F4082" s="48" t="inlineStr">
        <is>
          <t>Manager du Développement Commercial</t>
        </is>
      </c>
      <c r="G4082" s="49">
        <f>E4082&amp;" - "&amp;F4082</f>
        <v/>
      </c>
      <c r="H4082" s="36" t="inlineStr">
        <is>
          <t>RAS</t>
        </is>
      </c>
      <c r="I4082" s="45" t="inlineStr"/>
      <c r="J4082" s="45" t="inlineStr">
        <is>
          <t>RNCP39884</t>
        </is>
      </c>
      <c r="K4082" s="45" t="inlineStr">
        <is>
          <t>Manager du Développement Commercial</t>
        </is>
      </c>
      <c r="L4082" s="45" t="inlineStr">
        <is>
          <t>28/11/2027</t>
        </is>
      </c>
      <c r="M4082" s="45" t="inlineStr">
        <is>
          <t>34554 (Commerce) ; 21540 (Commercialisation vin spiritueux) ; 34085 (Stratégie commerciale)</t>
        </is>
      </c>
      <c r="N4082" s="50" t="inlineStr">
        <is>
          <t>NON</t>
        </is>
      </c>
      <c r="O4082" s="45" t="inlineStr"/>
    </row>
    <row r="4083" customFormat="1" s="3">
      <c r="A4083" s="45" t="n"/>
      <c r="B4083" s="46" t="inlineStr">
        <is>
          <t>34573</t>
        </is>
      </c>
      <c r="C4083" s="46">
        <f>LEFT(Tableau1[[#This Row],[Formacode]],3)</f>
        <v/>
      </c>
      <c r="D4083" s="47" t="n">
        <v>40172</v>
      </c>
      <c r="E4083" s="48">
        <f>"RNCP"&amp;D4083</f>
        <v/>
      </c>
      <c r="F4083" s="48" t="inlineStr">
        <is>
          <t>Chargé de développement commercial</t>
        </is>
      </c>
      <c r="G4083" s="49">
        <f>E4083&amp;" - "&amp;F4083</f>
        <v/>
      </c>
      <c r="H4083" s="36" t="inlineStr">
        <is>
          <t>RAS</t>
        </is>
      </c>
      <c r="I4083" s="45" t="inlineStr"/>
      <c r="J4083" s="45" t="inlineStr">
        <is>
          <t>RNCP40172</t>
        </is>
      </c>
      <c r="K4083" s="45" t="inlineStr">
        <is>
          <t>Chargé de développement commercial</t>
        </is>
      </c>
      <c r="L4083" s="45" t="inlineStr">
        <is>
          <t>31/01/2028</t>
        </is>
      </c>
      <c r="M4083" s="45" t="inlineStr">
        <is>
          <t>34085 (Stratégie commerciale) ; 34254 (Commerce international) ; 34582 (Négociation commerciale)</t>
        </is>
      </c>
      <c r="N4083" s="50" t="inlineStr">
        <is>
          <t>NON</t>
        </is>
      </c>
      <c r="O4083" s="45" t="inlineStr"/>
    </row>
    <row r="4084" customFormat="1" s="3">
      <c r="A4084" s="45" t="n"/>
      <c r="B4084" s="46" t="inlineStr">
        <is>
          <t>34573</t>
        </is>
      </c>
      <c r="C4084" s="46">
        <f>LEFT(Tableau1[[#This Row],[Formacode]],3)</f>
        <v/>
      </c>
      <c r="D4084" s="47" t="n">
        <v>40257</v>
      </c>
      <c r="E4084" s="48">
        <f>"RNCP"&amp;D4084</f>
        <v/>
      </c>
      <c r="F4084" s="48" t="inlineStr">
        <is>
          <t>Manager d'affaires</t>
        </is>
      </c>
      <c r="G4084" s="49">
        <f>E4084&amp;" - "&amp;F4084</f>
        <v/>
      </c>
      <c r="H4084" s="36" t="inlineStr">
        <is>
          <t>RAS</t>
        </is>
      </c>
      <c r="I4084" s="45" t="inlineStr"/>
      <c r="J4084" s="45" t="inlineStr">
        <is>
          <t>RNCP40257</t>
        </is>
      </c>
      <c r="K4084" s="45" t="inlineStr">
        <is>
          <t>Manager d'affaires</t>
        </is>
      </c>
      <c r="L4084" s="45" t="inlineStr">
        <is>
          <t>28/02/2028</t>
        </is>
      </c>
      <c r="M4084" s="45" t="inlineStr">
        <is>
          <t>34582 (Négociation commerciale) ; 34085 (Stratégie commerciale) ; 34590 (Ingénieur d'affaires)</t>
        </is>
      </c>
      <c r="N4084" s="50" t="inlineStr">
        <is>
          <t>NON</t>
        </is>
      </c>
      <c r="O4084" s="45" t="inlineStr"/>
    </row>
    <row r="4085" customFormat="1" s="3">
      <c r="A4085" s="45" t="n"/>
      <c r="B4085" s="46" t="inlineStr">
        <is>
          <t>34573</t>
        </is>
      </c>
      <c r="C4085" s="46">
        <f>LEFT(Tableau1[[#This Row],[Formacode]],3)</f>
        <v/>
      </c>
      <c r="D4085" s="47" t="n">
        <v>40359</v>
      </c>
      <c r="E4085" s="48">
        <f>"RNCP"&amp;D4085</f>
        <v/>
      </c>
      <c r="F4085" s="48" t="inlineStr">
        <is>
          <t>Manager du développement commercial</t>
        </is>
      </c>
      <c r="G4085" s="49">
        <f>E4085&amp;" - "&amp;F4085</f>
        <v/>
      </c>
      <c r="H4085" s="36" t="inlineStr">
        <is>
          <t>RAS</t>
        </is>
      </c>
      <c r="I4085" s="45" t="inlineStr"/>
      <c r="J4085" s="45" t="inlineStr">
        <is>
          <t>RNCP40359</t>
        </is>
      </c>
      <c r="K4085" s="45" t="inlineStr">
        <is>
          <t>Manager du développement commercial</t>
        </is>
      </c>
      <c r="L4085" s="45" t="inlineStr">
        <is>
          <t>28/03/2028</t>
        </is>
      </c>
      <c r="M4085" s="45" t="inlineStr">
        <is>
          <t>34085 (Stratégie commerciale) ; 34554 (Commerce) ; 32145 (Management transversal)</t>
        </is>
      </c>
      <c r="N4085" s="50" t="inlineStr">
        <is>
          <t>NON</t>
        </is>
      </c>
      <c r="O4085" s="45" t="inlineStr"/>
    </row>
    <row r="4086" customFormat="1" s="3">
      <c r="A4086" s="45" t="n"/>
      <c r="B4086" s="46" t="inlineStr">
        <is>
          <t>34573</t>
        </is>
      </c>
      <c r="C4086" s="46">
        <f>LEFT(Tableau1[[#This Row],[Formacode]],3)</f>
        <v/>
      </c>
      <c r="D4086" s="47" t="n">
        <v>40576</v>
      </c>
      <c r="E4086" s="48">
        <f>"RNCP"&amp;D4086</f>
        <v/>
      </c>
      <c r="F4086" s="48" t="inlineStr">
        <is>
          <t>CQP Technico-commercial industriel</t>
        </is>
      </c>
      <c r="G4086" s="49">
        <f>E4086&amp;" - "&amp;F4086</f>
        <v/>
      </c>
      <c r="H4086" s="36" t="inlineStr">
        <is>
          <t>RAS</t>
        </is>
      </c>
      <c r="I4086" s="45" t="inlineStr"/>
      <c r="J4086" s="45" t="inlineStr">
        <is>
          <t>RNCP40576</t>
        </is>
      </c>
      <c r="K4086" s="45" t="inlineStr">
        <is>
          <t>CQP Technico-commercial industriel</t>
        </is>
      </c>
      <c r="L4086" s="45" t="inlineStr">
        <is>
          <t>30/04/2030</t>
        </is>
      </c>
      <c r="M4086" s="45" t="inlineStr">
        <is>
          <t>34581 (Technico-commercial) ; 34582 (Négociation commerciale) ; 34593 (Prospection vente) ; 34076 (Gestion relation client)</t>
        </is>
      </c>
      <c r="N4086" s="50" t="inlineStr">
        <is>
          <t>NON</t>
        </is>
      </c>
      <c r="O4086" s="45" t="inlineStr"/>
    </row>
    <row r="4087" customFormat="1" s="3">
      <c r="A4087" s="45" t="n"/>
      <c r="B4087" s="46" t="inlineStr">
        <is>
          <t>34573</t>
        </is>
      </c>
      <c r="C4087" s="46">
        <f>LEFT(Tableau1[[#This Row],[Formacode]],3)</f>
        <v/>
      </c>
      <c r="D4087" s="47" t="n">
        <v>40582</v>
      </c>
      <c r="E4087" s="48">
        <f>"RNCP"&amp;D4087</f>
        <v/>
      </c>
      <c r="F4087" s="48" t="inlineStr">
        <is>
          <t>Chargé de clientèle</t>
        </is>
      </c>
      <c r="G4087" s="49">
        <f>E4087&amp;" - "&amp;F4087</f>
        <v/>
      </c>
      <c r="H4087" s="36" t="inlineStr">
        <is>
          <t>RAS</t>
        </is>
      </c>
      <c r="I4087" s="45" t="inlineStr"/>
      <c r="J4087" s="45" t="inlineStr">
        <is>
          <t>RNCP40582</t>
        </is>
      </c>
      <c r="K4087" s="45" t="inlineStr">
        <is>
          <t>Chargé de clientèle</t>
        </is>
      </c>
      <c r="L4087" s="45" t="inlineStr">
        <is>
          <t>30/04/2030</t>
        </is>
      </c>
      <c r="M4087" s="45" t="inlineStr">
        <is>
          <t>34593 (Prospection vente) ; 34584 (Animation vente) ; 34076 (Gestion relation client) ; 34566 (Vente distribution) ; 34582 (Négociation commerciale)</t>
        </is>
      </c>
      <c r="N4087" s="50" t="inlineStr">
        <is>
          <t>NON</t>
        </is>
      </c>
      <c r="O4087" s="45" t="inlineStr"/>
    </row>
    <row r="4088" customFormat="1" s="3">
      <c r="A4088" s="45" t="n"/>
      <c r="B4088" s="46" t="inlineStr">
        <is>
          <t>34573</t>
        </is>
      </c>
      <c r="C4088" s="46">
        <f>LEFT(Tableau1[[#This Row],[Formacode]],3)</f>
        <v/>
      </c>
      <c r="D4088" s="47" t="n">
        <v>40591</v>
      </c>
      <c r="E4088" s="48">
        <f>"RNCP"&amp;D4088</f>
        <v/>
      </c>
      <c r="F4088" s="48" t="inlineStr">
        <is>
          <t>Manager de la stratégie commerciale</t>
        </is>
      </c>
      <c r="G4088" s="49">
        <f>E4088&amp;" - "&amp;F4088</f>
        <v/>
      </c>
      <c r="H4088" s="36" t="inlineStr">
        <is>
          <t>RAS</t>
        </is>
      </c>
      <c r="I4088" s="45" t="inlineStr"/>
      <c r="J4088" s="45" t="inlineStr">
        <is>
          <t>RNCP40591</t>
        </is>
      </c>
      <c r="K4088" s="45" t="inlineStr">
        <is>
          <t>Manager de la stratégie commerciale</t>
        </is>
      </c>
      <c r="L4088" s="45" t="inlineStr">
        <is>
          <t>30/04/2030</t>
        </is>
      </c>
      <c r="M4088" s="45" t="inlineStr">
        <is>
          <t>34085 (Stratégie commerciale) ; 34590 (Ingénieur d'affaires) ; 34254 (Commerce international)</t>
        </is>
      </c>
      <c r="N4088" s="50" t="inlineStr">
        <is>
          <t>NON</t>
        </is>
      </c>
      <c r="O4088" s="45" t="inlineStr"/>
    </row>
    <row r="4089" customFormat="1" s="3">
      <c r="A4089" s="45" t="n"/>
      <c r="B4089" s="46" t="inlineStr">
        <is>
          <t>34573</t>
        </is>
      </c>
      <c r="C4089" s="46">
        <f>LEFT(Tableau1[[#This Row],[Formacode]],3)</f>
        <v/>
      </c>
      <c r="D4089" s="47" t="n">
        <v>40607</v>
      </c>
      <c r="E4089" s="48">
        <f>"RNCP"&amp;D4089</f>
        <v/>
      </c>
      <c r="F4089" s="48" t="inlineStr">
        <is>
          <t>Business developer en hautes technologies</t>
        </is>
      </c>
      <c r="G4089" s="49">
        <f>E4089&amp;" - "&amp;F4089</f>
        <v/>
      </c>
      <c r="H4089" s="36" t="inlineStr">
        <is>
          <t>RAS</t>
        </is>
      </c>
      <c r="I4089" s="45" t="inlineStr"/>
      <c r="J4089" s="45" t="inlineStr">
        <is>
          <t>RNCP40607</t>
        </is>
      </c>
      <c r="K4089" s="45" t="inlineStr">
        <is>
          <t>Business developer en hautes technologies</t>
        </is>
      </c>
      <c r="L4089" s="45" t="inlineStr">
        <is>
          <t>30/04/2030</t>
        </is>
      </c>
      <c r="M4089" s="45" t="inlineStr">
        <is>
          <t>34572 (Négociation grand compte) ; 34590 (Ingénieur d'affaires) ; 34581 (Technico-commercial)</t>
        </is>
      </c>
      <c r="N4089" s="50" t="inlineStr">
        <is>
          <t>NON</t>
        </is>
      </c>
      <c r="O4089" s="45" t="inlineStr"/>
    </row>
    <row r="4090" customFormat="1" s="3">
      <c r="A4090" s="45" t="n"/>
      <c r="B4090" s="46" t="inlineStr">
        <is>
          <t>34573</t>
        </is>
      </c>
      <c r="C4090" s="46">
        <f>LEFT(Tableau1[[#This Row],[Formacode]],3)</f>
        <v/>
      </c>
      <c r="D4090" s="47" t="n">
        <v>40726</v>
      </c>
      <c r="E4090" s="48">
        <f>"RNCP"&amp;D4090</f>
        <v/>
      </c>
      <c r="F4090" s="48" t="inlineStr">
        <is>
          <t>DipViGrL - Diplôme d’enseignement supérieur en management</t>
        </is>
      </c>
      <c r="G4090" s="49">
        <f>E4090&amp;" - "&amp;F4090</f>
        <v/>
      </c>
      <c r="H4090" s="36" t="inlineStr">
        <is>
          <t>RAS</t>
        </is>
      </c>
      <c r="I4090" s="45" t="inlineStr"/>
      <c r="J4090" s="45" t="inlineStr">
        <is>
          <t>RNCP40726</t>
        </is>
      </c>
      <c r="K4090" s="45" t="inlineStr">
        <is>
          <t>Diplôme d’enseignement supérieur en management</t>
        </is>
      </c>
      <c r="L4090" s="45" t="inlineStr">
        <is>
          <t>31/08/2028</t>
        </is>
      </c>
      <c r="M4090" s="45" t="inlineStr">
        <is>
          <t>34054 (Gestion commerciale achats) ; 34554 (Commerce) ; 31834 (Logistique transport)</t>
        </is>
      </c>
      <c r="N4090" s="50" t="inlineStr">
        <is>
          <t>NON</t>
        </is>
      </c>
      <c r="O4090" s="45" t="inlineStr"/>
    </row>
    <row r="4091" customFormat="1" s="3">
      <c r="A4091" s="45" t="n"/>
      <c r="B4091" s="46" t="inlineStr">
        <is>
          <t>34573</t>
        </is>
      </c>
      <c r="C4091" s="46">
        <f>LEFT(Tableau1[[#This Row],[Formacode]],3)</f>
        <v/>
      </c>
      <c r="D4091" s="47" t="n">
        <v>40889</v>
      </c>
      <c r="E4091" s="48">
        <f>"RNCP"&amp;D4091</f>
        <v/>
      </c>
      <c r="F4091" s="48" t="inlineStr">
        <is>
          <t>Responsable du développement des activités</t>
        </is>
      </c>
      <c r="G4091" s="49">
        <f>E4091&amp;" - "&amp;F4091</f>
        <v/>
      </c>
      <c r="H4091" s="36" t="inlineStr">
        <is>
          <t>RAS</t>
        </is>
      </c>
      <c r="I4091" s="45" t="inlineStr"/>
      <c r="J4091" s="45" t="inlineStr">
        <is>
          <t>RNCP40889</t>
        </is>
      </c>
      <c r="K4091" s="45" t="inlineStr">
        <is>
          <t>Responsable du développement des activités</t>
        </is>
      </c>
      <c r="L4091" s="45" t="inlineStr">
        <is>
          <t>25/06/2027</t>
        </is>
      </c>
      <c r="M4091" s="45" t="inlineStr">
        <is>
          <t>34573 (Action commerciale) ; 34072 (Marketing direct) ; 34031 (Marketing mix) ; 34026 (Développement sens commercial) ; 12522 (Développement durable)</t>
        </is>
      </c>
      <c r="N4091" s="50" t="inlineStr">
        <is>
          <t>NON</t>
        </is>
      </c>
      <c r="O4091" s="45" t="inlineStr"/>
    </row>
    <row r="4092" customFormat="1" s="3">
      <c r="A4092" s="45" t="n"/>
      <c r="B4092" s="46" t="inlineStr">
        <is>
          <t>34573</t>
        </is>
      </c>
      <c r="C4092" s="46">
        <f>LEFT(Tableau1[[#This Row],[Formacode]],3)</f>
        <v/>
      </c>
      <c r="D4092" s="47" t="n">
        <v>41292</v>
      </c>
      <c r="E4092" s="48">
        <f>"RNCP"&amp;D4092</f>
        <v/>
      </c>
      <c r="F4092" s="48" t="inlineStr">
        <is>
          <t>Responsable commerce de détail</t>
        </is>
      </c>
      <c r="G4092" s="49">
        <f>E4092&amp;" - "&amp;F4092</f>
        <v/>
      </c>
      <c r="H4092" s="36" t="inlineStr">
        <is>
          <t>RAS</t>
        </is>
      </c>
      <c r="I4092" s="45" t="inlineStr"/>
      <c r="J4092" s="45" t="inlineStr">
        <is>
          <t>RNCP41292</t>
        </is>
      </c>
      <c r="K4092" s="45" t="inlineStr">
        <is>
          <t>Responsable commerce de détail</t>
        </is>
      </c>
      <c r="L4092" s="45" t="inlineStr">
        <is>
          <t>24/09/2028</t>
        </is>
      </c>
      <c r="M4092" s="45" t="inlineStr">
        <is>
          <t>34573 (Action commerciale) ; 34588 (Gestion point vente) ; 34559 (Gestion rayon) ; 34587 (Grande distribution)</t>
        </is>
      </c>
      <c r="N4092" s="50" t="inlineStr">
        <is>
          <t>NON</t>
        </is>
      </c>
      <c r="O4092" s="45" t="inlineStr"/>
    </row>
    <row r="4093" customFormat="1" s="3">
      <c r="A4093" s="45" t="n"/>
      <c r="B4093" s="46" t="inlineStr">
        <is>
          <t>34573</t>
        </is>
      </c>
      <c r="C4093" s="46">
        <f>LEFT(Tableau1[[#This Row],[Formacode]],3)</f>
        <v/>
      </c>
      <c r="D4093" s="47" t="n">
        <v>41464</v>
      </c>
      <c r="E4093" s="48">
        <f>"RNCP"&amp;D4093</f>
        <v/>
      </c>
      <c r="F4093" s="48" t="inlineStr">
        <is>
          <t>Technicien-vendeur cycles</t>
        </is>
      </c>
      <c r="G4093" s="49">
        <f>E4093&amp;" - "&amp;F4093</f>
        <v/>
      </c>
      <c r="H4093" s="36" t="inlineStr">
        <is>
          <t>RAS</t>
        </is>
      </c>
      <c r="I4093" s="45" t="inlineStr"/>
      <c r="J4093" s="45" t="inlineStr">
        <is>
          <t>RNCP41464</t>
        </is>
      </c>
      <c r="K4093" s="45" t="inlineStr">
        <is>
          <t>Technicien-vendeur cycles</t>
        </is>
      </c>
      <c r="L4093" s="45" t="inlineStr">
        <is>
          <t>27/10/2030</t>
        </is>
      </c>
      <c r="M4093" s="45" t="inlineStr">
        <is>
          <t>34554 (Commerce) ; 23654 (Mécanique construction réparation)</t>
        </is>
      </c>
      <c r="N4093" s="50" t="inlineStr">
        <is>
          <t>NON</t>
        </is>
      </c>
      <c r="O4093" s="45" t="inlineStr"/>
    </row>
    <row r="4094" customFormat="1" s="3">
      <c r="A4094" s="45" t="n"/>
      <c r="B4094" s="46" t="inlineStr">
        <is>
          <t>34573</t>
        </is>
      </c>
      <c r="C4094" s="46">
        <f>LEFT(Tableau1[[#This Row],[Formacode]],3)</f>
        <v/>
      </c>
      <c r="D4094" s="47" t="n">
        <v>41672</v>
      </c>
      <c r="E4094" s="48">
        <f>"RNCP"&amp;D4094</f>
        <v/>
      </c>
      <c r="F4094" s="48" t="inlineStr">
        <is>
          <t>Chargé de développement commercial</t>
        </is>
      </c>
      <c r="G4094" s="49">
        <f>E4094&amp;" - "&amp;F4094</f>
        <v/>
      </c>
      <c r="H4094" s="36" t="inlineStr">
        <is>
          <t>RAS</t>
        </is>
      </c>
      <c r="I4094" s="45" t="inlineStr"/>
      <c r="J4094" s="45" t="inlineStr">
        <is>
          <t>RNCP41672</t>
        </is>
      </c>
      <c r="K4094" s="45" t="inlineStr">
        <is>
          <t>Chargé de développement commercial</t>
        </is>
      </c>
      <c r="L4094" s="45" t="inlineStr">
        <is>
          <t>27/11/2027</t>
        </is>
      </c>
      <c r="M4094" s="45" t="inlineStr">
        <is>
          <t>34582 (Négociation commerciale) ; 34085 (Stratégie commerciale)</t>
        </is>
      </c>
      <c r="N4094" s="50" t="inlineStr">
        <is>
          <t>NON</t>
        </is>
      </c>
      <c r="O4094" s="45" t="inlineStr"/>
    </row>
    <row r="4095" customFormat="1" s="3">
      <c r="A4095" s="45" t="n"/>
      <c r="B4095" s="46" t="inlineStr">
        <is>
          <t>34573</t>
        </is>
      </c>
      <c r="C4095" s="46">
        <f>LEFT(Tableau1[[#This Row],[Formacode]],3)</f>
        <v/>
      </c>
      <c r="D4095" s="47" t="n">
        <v>41688</v>
      </c>
      <c r="E4095" s="48">
        <f>"RNCP"&amp;D4095</f>
        <v/>
      </c>
      <c r="F4095" s="48" t="inlineStr">
        <is>
          <t>Manager en ingénierie d'affaires et performance commerciale</t>
        </is>
      </c>
      <c r="G4095" s="49">
        <f>E4095&amp;" - "&amp;F4095</f>
        <v/>
      </c>
      <c r="H4095" s="36" t="inlineStr">
        <is>
          <t>RAS</t>
        </is>
      </c>
      <c r="I4095" s="45" t="inlineStr"/>
      <c r="J4095" s="45" t="inlineStr">
        <is>
          <t>RNCP41688</t>
        </is>
      </c>
      <c r="K4095" s="45" t="inlineStr">
        <is>
          <t>Manager en ingénierie d'affaires et performance commerciale</t>
        </is>
      </c>
      <c r="L4095" s="45" t="inlineStr">
        <is>
          <t>27/11/2030</t>
        </is>
      </c>
      <c r="M4095" s="45" t="inlineStr">
        <is>
          <t>34590 (Ingénieur d'affaires) ; 34085 (Stratégie commerciale) ; 34572 (Négociation grand compte)</t>
        </is>
      </c>
      <c r="N4095" s="50" t="inlineStr">
        <is>
          <t>NON</t>
        </is>
      </c>
      <c r="O4095" s="45" t="inlineStr"/>
    </row>
    <row r="4096" customFormat="1" s="3">
      <c r="A4096" s="45" t="n"/>
      <c r="B4096" s="46" t="inlineStr">
        <is>
          <t>34573</t>
        </is>
      </c>
      <c r="C4096" s="46">
        <f>LEFT(Tableau1[[#This Row],[Formacode]],3)</f>
        <v/>
      </c>
      <c r="D4096" s="47" t="n">
        <v>41717</v>
      </c>
      <c r="E4096" s="48">
        <f>"RNCP"&amp;D4096</f>
        <v/>
      </c>
      <c r="F4096" s="48" t="inlineStr">
        <is>
          <t>Chargé de clientèle et fidélisation</t>
        </is>
      </c>
      <c r="G4096" s="49">
        <f>E4096&amp;" - "&amp;F4096</f>
        <v/>
      </c>
      <c r="H4096" s="36" t="inlineStr">
        <is>
          <t>RAS</t>
        </is>
      </c>
      <c r="I4096" s="45" t="inlineStr"/>
      <c r="J4096" s="45" t="inlineStr">
        <is>
          <t>RNCP41717</t>
        </is>
      </c>
      <c r="K4096" s="45" t="inlineStr">
        <is>
          <t>Chargé de clientèle et fidélisation</t>
        </is>
      </c>
      <c r="L4096" s="45" t="inlineStr">
        <is>
          <t>27/11/2028</t>
        </is>
      </c>
      <c r="M4096" s="45" t="inlineStr">
        <is>
          <t>34076 (Gestion relation client) ; 34592 (Entretien vente) ; 34056 (Administration ventes)</t>
        </is>
      </c>
      <c r="N4096" s="50" t="inlineStr">
        <is>
          <t>NON</t>
        </is>
      </c>
      <c r="O4096" s="45" t="inlineStr"/>
    </row>
    <row r="4097" customFormat="1" s="3">
      <c r="A4097" s="45" t="n"/>
      <c r="B4097" s="46" t="inlineStr">
        <is>
          <t>34574</t>
        </is>
      </c>
      <c r="C4097" s="46">
        <f>LEFT(Tableau1[[#This Row],[Formacode]],3)</f>
        <v/>
      </c>
      <c r="D4097" s="47" t="n">
        <v>36677</v>
      </c>
      <c r="E4097" s="48">
        <f>"RNCP"&amp;D4097</f>
        <v/>
      </c>
      <c r="F4097" s="48" t="inlineStr">
        <is>
          <t>DIPLOVIS - Responsable en marketing, commercialisation et gestion</t>
        </is>
      </c>
      <c r="G4097" s="49">
        <f>E4097&amp;" - "&amp;F4097</f>
        <v/>
      </c>
      <c r="H4097" s="36" t="inlineStr">
        <is>
          <t>RAS</t>
        </is>
      </c>
      <c r="I4097" s="45" t="inlineStr"/>
      <c r="J4097" s="45" t="inlineStr">
        <is>
          <t>RNCP36677</t>
        </is>
      </c>
      <c r="K4097" s="45" t="inlineStr">
        <is>
          <t>Responsable en marketing, commercialisation et gestion</t>
        </is>
      </c>
      <c r="L4097" s="45" t="inlineStr">
        <is>
          <t>31/08/2027</t>
        </is>
      </c>
      <c r="M4097" s="45" t="inlineStr">
        <is>
          <t>34052 (Marketing) ; 34554 (Commerce) ; 32054 (Gestion des organisations)</t>
        </is>
      </c>
      <c r="N4097" s="50" t="inlineStr">
        <is>
          <t>NON</t>
        </is>
      </c>
      <c r="O4097" s="45" t="inlineStr"/>
    </row>
    <row r="4098" customFormat="1" s="3">
      <c r="A4098" s="63" t="n"/>
      <c r="B4098" s="64" t="inlineStr">
        <is>
          <t>34574</t>
        </is>
      </c>
      <c r="C4098" s="64">
        <f>LEFT(Tableau1[[#This Row],[Formacode]],3)</f>
        <v/>
      </c>
      <c r="D4098" s="65" t="n">
        <v>37635</v>
      </c>
      <c r="E4098" s="66">
        <f>"RNCP"&amp;D4098</f>
        <v/>
      </c>
      <c r="F4098" s="66" t="inlineStr">
        <is>
          <t>Manager de commerce et de centre de profit</t>
        </is>
      </c>
      <c r="G4098" s="67">
        <f>E4098&amp;" - "&amp;F4098</f>
        <v/>
      </c>
      <c r="H4098" s="38" t="inlineStr">
        <is>
          <t>Expiré / remplacé</t>
        </is>
      </c>
      <c r="I4098" s="63" t="inlineStr">
        <is>
          <t>Fiche inactive — remplacée par RNCP42321 (Manager de commerce et de centre de profit)</t>
        </is>
      </c>
      <c r="J4098" s="63" t="inlineStr">
        <is>
          <t>RNCP42321</t>
        </is>
      </c>
      <c r="K4098" s="63" t="inlineStr">
        <is>
          <t>Manager de commerce et de centre de profit</t>
        </is>
      </c>
      <c r="L4098" s="63" t="inlineStr">
        <is>
          <t>31/05/2026</t>
        </is>
      </c>
      <c r="M4098" s="63" t="inlineStr">
        <is>
          <t>32024 (Gestion centre profit) ; 32145 (Management transversal) ; 32079 (Gestion performance) ; 32025 (Stratégie entreprise) ; 34554 (Commerce)</t>
        </is>
      </c>
      <c r="N4098" s="68" t="inlineStr">
        <is>
          <t>NON</t>
        </is>
      </c>
      <c r="O4098" s="63" t="inlineStr"/>
    </row>
    <row r="4099" customFormat="1" s="3">
      <c r="A4099" s="51" t="n"/>
      <c r="B4099" s="52" t="inlineStr">
        <is>
          <t>34574</t>
        </is>
      </c>
      <c r="C4099" s="52">
        <f>LEFT(Tableau1[[#This Row],[Formacode]],3)</f>
        <v/>
      </c>
      <c r="D4099" s="53" t="n">
        <v>38123</v>
      </c>
      <c r="E4099" s="54">
        <f>"RNCP"&amp;D4099</f>
        <v/>
      </c>
      <c r="F4099" s="54" t="inlineStr">
        <is>
          <t>Responsable du développement commercial</t>
        </is>
      </c>
      <c r="G4099" s="55">
        <f>E4099&amp;" - "&amp;F4099</f>
        <v/>
      </c>
      <c r="H4099" s="37" t="inlineStr">
        <is>
          <t>À vérifier</t>
        </is>
      </c>
      <c r="I4099" s="51" t="inlineStr">
        <is>
          <t>Échéance le 18/10/2026 (dans 92 j)</t>
        </is>
      </c>
      <c r="J4099" s="51" t="inlineStr">
        <is>
          <t>RNCP38123</t>
        </is>
      </c>
      <c r="K4099" s="51" t="inlineStr">
        <is>
          <t>Responsable du développement commercial</t>
        </is>
      </c>
      <c r="L4099" s="51" t="inlineStr">
        <is>
          <t>18/10/2026</t>
        </is>
      </c>
      <c r="M4099" s="51" t="inlineStr">
        <is>
          <t>34085 (Stratégie commerciale) ; 34554 (Commerce)</t>
        </is>
      </c>
      <c r="N4099" s="62" t="inlineStr">
        <is>
          <t>NON</t>
        </is>
      </c>
      <c r="O4099" s="51" t="inlineStr"/>
    </row>
    <row r="4100" customFormat="1" s="3">
      <c r="A4100" s="45" t="n"/>
      <c r="B4100" s="46" t="inlineStr">
        <is>
          <t>34574</t>
        </is>
      </c>
      <c r="C4100" s="46">
        <f>LEFT(Tableau1[[#This Row],[Formacode]],3)</f>
        <v/>
      </c>
      <c r="D4100" s="47" t="n">
        <v>38583</v>
      </c>
      <c r="E4100" s="48">
        <f>"RNCP"&amp;D4100</f>
        <v/>
      </c>
      <c r="F4100" s="48" t="inlineStr">
        <is>
          <t>Manager du développement commercial</t>
        </is>
      </c>
      <c r="G4100" s="49">
        <f>E4100&amp;" - "&amp;F4100</f>
        <v/>
      </c>
      <c r="H4100" s="36" t="inlineStr">
        <is>
          <t>RAS</t>
        </is>
      </c>
      <c r="I4100" s="45" t="inlineStr"/>
      <c r="J4100" s="45" t="inlineStr">
        <is>
          <t>RNCP38583</t>
        </is>
      </c>
      <c r="K4100" s="45" t="inlineStr">
        <is>
          <t>Manager du développement commercial</t>
        </is>
      </c>
      <c r="L4100" s="45" t="inlineStr">
        <is>
          <t>09/02/2027</t>
        </is>
      </c>
      <c r="M4100" s="45" t="inlineStr">
        <is>
          <t>34085 (Stratégie commerciale) ; 34554 (Commerce) ; 34076 (Gestion relation client)</t>
        </is>
      </c>
      <c r="N4100" s="50" t="inlineStr">
        <is>
          <t>NON</t>
        </is>
      </c>
      <c r="O4100" s="45" t="inlineStr"/>
    </row>
    <row r="4101" customFormat="1" s="3">
      <c r="A4101" s="51" t="n"/>
      <c r="B4101" s="52" t="inlineStr">
        <is>
          <t>34574</t>
        </is>
      </c>
      <c r="C4101" s="52">
        <f>LEFT(Tableau1[[#This Row],[Formacode]],3)</f>
        <v/>
      </c>
      <c r="D4101" s="53" t="n">
        <v>39395</v>
      </c>
      <c r="E4101" s="54">
        <f>"RNCP"&amp;D4101</f>
        <v/>
      </c>
      <c r="F4101" s="54" t="inlineStr">
        <is>
          <t>Responsable d'agence et de commerce</t>
        </is>
      </c>
      <c r="G4101" s="55">
        <f>E4101&amp;" - "&amp;F4101</f>
        <v/>
      </c>
      <c r="H4101" s="37" t="inlineStr">
        <is>
          <t>À vérifier</t>
        </is>
      </c>
      <c r="I4101" s="51" t="inlineStr">
        <is>
          <t>Successeur déjà publié : RNCP42475 (Responsable d'agence et de commerce) — préparer la bascule de l'offre CPF | Échéance le 19/07/2026 (dans 1 j)</t>
        </is>
      </c>
      <c r="J4101" s="51" t="inlineStr">
        <is>
          <t>RNCP42475</t>
        </is>
      </c>
      <c r="K4101" s="51" t="inlineStr">
        <is>
          <t>Responsable d'agence et de commerce</t>
        </is>
      </c>
      <c r="L4101" s="51" t="inlineStr">
        <is>
          <t>19/07/2026</t>
        </is>
      </c>
      <c r="M4101" s="51" t="inlineStr">
        <is>
          <t>34554 (Commerce) ; 32154 (Encadrement management) ; 32079 (Gestion performance)</t>
        </is>
      </c>
      <c r="N4101" s="62" t="inlineStr">
        <is>
          <t>NON</t>
        </is>
      </c>
      <c r="O4101" s="51" t="inlineStr"/>
    </row>
    <row r="4102" ht="28.8" customFormat="1" customHeight="1" s="3">
      <c r="A4102" s="45" t="n"/>
      <c r="B4102" s="46" t="inlineStr">
        <is>
          <t>34574</t>
        </is>
      </c>
      <c r="C4102" s="46">
        <f>LEFT(Tableau1[[#This Row],[Formacode]],3)</f>
        <v/>
      </c>
      <c r="D4102" s="47" t="n">
        <v>39571</v>
      </c>
      <c r="E4102" s="48">
        <f>"RNCP"&amp;D4102</f>
        <v/>
      </c>
      <c r="F4102" s="48" t="inlineStr">
        <is>
          <t>DipViGrM - Diplôme d’études supérieures en marketing, gestion commerciale et management international</t>
        </is>
      </c>
      <c r="G4102" s="49">
        <f>E4102&amp;" - "&amp;F4102</f>
        <v/>
      </c>
      <c r="H4102" s="36" t="inlineStr">
        <is>
          <t>RAS</t>
        </is>
      </c>
      <c r="I4102" s="45" t="inlineStr"/>
      <c r="J4102" s="45" t="inlineStr">
        <is>
          <t>RNCP39571</t>
        </is>
      </c>
      <c r="K4102" s="45" t="inlineStr">
        <is>
          <t>Diplôme d’études supérieures en marketing, gestion commerciale et management international</t>
        </is>
      </c>
      <c r="L4102" s="45" t="inlineStr">
        <is>
          <t>31/08/2027</t>
        </is>
      </c>
      <c r="M4102" s="45" t="inlineStr">
        <is>
          <t>34254 (Commerce international) ; 34016 (Marketing achat) ; 41023 (Marché financier) ; 34554 (Commerce)</t>
        </is>
      </c>
      <c r="N4102" s="50" t="inlineStr">
        <is>
          <t>NON</t>
        </is>
      </c>
      <c r="O4102" s="45" t="inlineStr"/>
    </row>
    <row r="4103" customFormat="1" s="3">
      <c r="A4103" s="45" t="n"/>
      <c r="B4103" s="46" t="inlineStr">
        <is>
          <t>34574</t>
        </is>
      </c>
      <c r="C4103" s="46">
        <f>LEFT(Tableau1[[#This Row],[Formacode]],3)</f>
        <v/>
      </c>
      <c r="D4103" s="47" t="n">
        <v>39884</v>
      </c>
      <c r="E4103" s="48">
        <f>"RNCP"&amp;D4103</f>
        <v/>
      </c>
      <c r="F4103" s="48" t="inlineStr">
        <is>
          <t>Manager du Développement Commercial</t>
        </is>
      </c>
      <c r="G4103" s="49">
        <f>E4103&amp;" - "&amp;F4103</f>
        <v/>
      </c>
      <c r="H4103" s="36" t="inlineStr">
        <is>
          <t>RAS</t>
        </is>
      </c>
      <c r="I4103" s="45" t="inlineStr"/>
      <c r="J4103" s="45" t="inlineStr">
        <is>
          <t>RNCP39884</t>
        </is>
      </c>
      <c r="K4103" s="45" t="inlineStr">
        <is>
          <t>Manager du Développement Commercial</t>
        </is>
      </c>
      <c r="L4103" s="45" t="inlineStr">
        <is>
          <t>28/11/2027</t>
        </is>
      </c>
      <c r="M4103" s="45" t="inlineStr">
        <is>
          <t>34554 (Commerce) ; 21540 (Commercialisation vin spiritueux) ; 34085 (Stratégie commerciale)</t>
        </is>
      </c>
      <c r="N4103" s="50" t="inlineStr">
        <is>
          <t>NON</t>
        </is>
      </c>
      <c r="O4103" s="45" t="inlineStr"/>
    </row>
    <row r="4104" customFormat="1" s="3">
      <c r="A4104" s="45" t="n"/>
      <c r="B4104" s="46" t="inlineStr">
        <is>
          <t>34574</t>
        </is>
      </c>
      <c r="C4104" s="46">
        <f>LEFT(Tableau1[[#This Row],[Formacode]],3)</f>
        <v/>
      </c>
      <c r="D4104" s="47" t="n">
        <v>40359</v>
      </c>
      <c r="E4104" s="48">
        <f>"RNCP"&amp;D4104</f>
        <v/>
      </c>
      <c r="F4104" s="48" t="inlineStr">
        <is>
          <t>Manager du développement commercial</t>
        </is>
      </c>
      <c r="G4104" s="49">
        <f>E4104&amp;" - "&amp;F4104</f>
        <v/>
      </c>
      <c r="H4104" s="36" t="inlineStr">
        <is>
          <t>RAS</t>
        </is>
      </c>
      <c r="I4104" s="45" t="inlineStr"/>
      <c r="J4104" s="45" t="inlineStr">
        <is>
          <t>RNCP40359</t>
        </is>
      </c>
      <c r="K4104" s="45" t="inlineStr">
        <is>
          <t>Manager du développement commercial</t>
        </is>
      </c>
      <c r="L4104" s="45" t="inlineStr">
        <is>
          <t>28/03/2028</t>
        </is>
      </c>
      <c r="M4104" s="45" t="inlineStr">
        <is>
          <t>34085 (Stratégie commerciale) ; 34554 (Commerce) ; 32145 (Management transversal)</t>
        </is>
      </c>
      <c r="N4104" s="50" t="inlineStr">
        <is>
          <t>NON</t>
        </is>
      </c>
      <c r="O4104" s="45" t="inlineStr"/>
    </row>
    <row r="4105" customFormat="1" s="3">
      <c r="A4105" s="45" t="n"/>
      <c r="B4105" s="46" t="inlineStr">
        <is>
          <t>34574</t>
        </is>
      </c>
      <c r="C4105" s="46">
        <f>LEFT(Tableau1[[#This Row],[Formacode]],3)</f>
        <v/>
      </c>
      <c r="D4105" s="47" t="n">
        <v>40726</v>
      </c>
      <c r="E4105" s="48">
        <f>"RNCP"&amp;D4105</f>
        <v/>
      </c>
      <c r="F4105" s="48" t="inlineStr">
        <is>
          <t>DipViGrL - Diplôme d’enseignement supérieur en management</t>
        </is>
      </c>
      <c r="G4105" s="49">
        <f>E4105&amp;" - "&amp;F4105</f>
        <v/>
      </c>
      <c r="H4105" s="36" t="inlineStr">
        <is>
          <t>RAS</t>
        </is>
      </c>
      <c r="I4105" s="45" t="inlineStr"/>
      <c r="J4105" s="45" t="inlineStr">
        <is>
          <t>RNCP40726</t>
        </is>
      </c>
      <c r="K4105" s="45" t="inlineStr">
        <is>
          <t>Diplôme d’enseignement supérieur en management</t>
        </is>
      </c>
      <c r="L4105" s="45" t="inlineStr">
        <is>
          <t>31/08/2028</t>
        </is>
      </c>
      <c r="M4105" s="45" t="inlineStr">
        <is>
          <t>34054 (Gestion commerciale achats) ; 34554 (Commerce) ; 31834 (Logistique transport)</t>
        </is>
      </c>
      <c r="N4105" s="50" t="inlineStr">
        <is>
          <t>NON</t>
        </is>
      </c>
      <c r="O4105" s="45" t="inlineStr"/>
    </row>
    <row r="4106" customFormat="1" s="3">
      <c r="A4106" s="45" t="n"/>
      <c r="B4106" s="46" t="inlineStr">
        <is>
          <t>34574</t>
        </is>
      </c>
      <c r="C4106" s="46">
        <f>LEFT(Tableau1[[#This Row],[Formacode]],3)</f>
        <v/>
      </c>
      <c r="D4106" s="47" t="n">
        <v>41464</v>
      </c>
      <c r="E4106" s="48">
        <f>"RNCP"&amp;D4106</f>
        <v/>
      </c>
      <c r="F4106" s="48" t="inlineStr">
        <is>
          <t>Technicien-vendeur cycles</t>
        </is>
      </c>
      <c r="G4106" s="49">
        <f>E4106&amp;" - "&amp;F4106</f>
        <v/>
      </c>
      <c r="H4106" s="36" t="inlineStr">
        <is>
          <t>RAS</t>
        </is>
      </c>
      <c r="I4106" s="45" t="inlineStr"/>
      <c r="J4106" s="45" t="inlineStr">
        <is>
          <t>RNCP41464</t>
        </is>
      </c>
      <c r="K4106" s="45" t="inlineStr">
        <is>
          <t>Technicien-vendeur cycles</t>
        </is>
      </c>
      <c r="L4106" s="45" t="inlineStr">
        <is>
          <t>27/10/2030</t>
        </is>
      </c>
      <c r="M4106" s="45" t="inlineStr">
        <is>
          <t>34554 (Commerce) ; 23654 (Mécanique construction réparation)</t>
        </is>
      </c>
      <c r="N4106" s="50" t="inlineStr">
        <is>
          <t>NON</t>
        </is>
      </c>
      <c r="O4106" s="45" t="inlineStr"/>
    </row>
    <row r="4107" customFormat="1" s="3">
      <c r="A4107" s="45" t="n"/>
      <c r="B4107" s="46" t="inlineStr">
        <is>
          <t>35035</t>
        </is>
      </c>
      <c r="C4107" s="46">
        <f>LEFT(Tableau1[[#This Row],[Formacode]],3)</f>
        <v/>
      </c>
      <c r="D4107" s="47" t="n">
        <v>36208</v>
      </c>
      <c r="E4107" s="48">
        <f>"RNCP"&amp;D4107</f>
        <v/>
      </c>
      <c r="F4107" s="48" t="inlineStr">
        <is>
          <t>Assistant juridique</t>
        </is>
      </c>
      <c r="G4107" s="49">
        <f>E4107&amp;" - "&amp;F4107</f>
        <v/>
      </c>
      <c r="H4107" s="36" t="inlineStr">
        <is>
          <t>RAS</t>
        </is>
      </c>
      <c r="I4107" s="45" t="inlineStr"/>
      <c r="J4107" s="45" t="inlineStr">
        <is>
          <t>RNCP36208</t>
        </is>
      </c>
      <c r="K4107" s="45" t="inlineStr">
        <is>
          <t>Assistant juridique</t>
        </is>
      </c>
      <c r="L4107" s="45" t="inlineStr">
        <is>
          <t>25/02/2027</t>
        </is>
      </c>
      <c r="M4107" s="45" t="inlineStr">
        <is>
          <t>35006 (Secrétariat assistanat juridique)</t>
        </is>
      </c>
      <c r="N4107" s="50" t="inlineStr">
        <is>
          <t>NON</t>
        </is>
      </c>
      <c r="O4107" s="45" t="inlineStr"/>
    </row>
    <row r="4108" customFormat="1" s="3">
      <c r="A4108" s="45" t="n"/>
      <c r="B4108" s="46" t="inlineStr">
        <is>
          <t>35035</t>
        </is>
      </c>
      <c r="C4108" s="46">
        <f>LEFT(Tableau1[[#This Row],[Formacode]],3)</f>
        <v/>
      </c>
      <c r="D4108" s="47" t="n">
        <v>36491</v>
      </c>
      <c r="E4108" s="48">
        <f>"RNCP"&amp;D4108</f>
        <v/>
      </c>
      <c r="F4108" s="48" t="inlineStr">
        <is>
          <t>Secrétaire médical</t>
        </is>
      </c>
      <c r="G4108" s="49">
        <f>E4108&amp;" - "&amp;F4108</f>
        <v/>
      </c>
      <c r="H4108" s="36" t="inlineStr">
        <is>
          <t>RAS</t>
        </is>
      </c>
      <c r="I4108" s="45" t="inlineStr"/>
      <c r="J4108" s="45" t="inlineStr">
        <is>
          <t>RNCP36491</t>
        </is>
      </c>
      <c r="K4108" s="45" t="inlineStr">
        <is>
          <t>Secrétaire médical</t>
        </is>
      </c>
      <c r="L4108" s="45" t="inlineStr">
        <is>
          <t>01/06/2027</t>
        </is>
      </c>
      <c r="M4108" s="45" t="inlineStr">
        <is>
          <t>35015 (Secrétariat assistanat médicosocial)</t>
        </is>
      </c>
      <c r="N4108" s="50" t="inlineStr">
        <is>
          <t>NON</t>
        </is>
      </c>
      <c r="O4108" s="45" t="inlineStr"/>
    </row>
    <row r="4109" customFormat="1" s="3">
      <c r="A4109" s="45" t="n"/>
      <c r="B4109" s="46" t="inlineStr">
        <is>
          <t>35035</t>
        </is>
      </c>
      <c r="C4109" s="46">
        <f>LEFT(Tableau1[[#This Row],[Formacode]],3)</f>
        <v/>
      </c>
      <c r="D4109" s="47" t="n">
        <v>36734</v>
      </c>
      <c r="E4109" s="48">
        <f>"RNCP"&amp;D4109</f>
        <v/>
      </c>
      <c r="F4109" s="48" t="inlineStr">
        <is>
          <t>Secrétaire médical</t>
        </is>
      </c>
      <c r="G4109" s="49">
        <f>E4109&amp;" - "&amp;F4109</f>
        <v/>
      </c>
      <c r="H4109" s="36" t="inlineStr">
        <is>
          <t>RAS</t>
        </is>
      </c>
      <c r="I4109" s="45" t="inlineStr"/>
      <c r="J4109" s="45" t="inlineStr">
        <is>
          <t>RNCP36734</t>
        </is>
      </c>
      <c r="K4109" s="45" t="inlineStr">
        <is>
          <t>Secrétaire médical</t>
        </is>
      </c>
      <c r="L4109" s="45" t="inlineStr">
        <is>
          <t>20/07/2027</t>
        </is>
      </c>
      <c r="M4109" s="45" t="inlineStr">
        <is>
          <t>35035 (Secrétariat assistanat spécialisé)</t>
        </is>
      </c>
      <c r="N4109" s="50" t="inlineStr">
        <is>
          <t>NON</t>
        </is>
      </c>
      <c r="O4109" s="45" t="inlineStr"/>
    </row>
    <row r="4110" customFormat="1" s="3">
      <c r="A4110" s="63" t="n"/>
      <c r="B4110" s="64" t="inlineStr">
        <is>
          <t>35035</t>
        </is>
      </c>
      <c r="C4110" s="64">
        <f>LEFT(Tableau1[[#This Row],[Formacode]],3)</f>
        <v/>
      </c>
      <c r="D4110" s="65" t="n">
        <v>36804</v>
      </c>
      <c r="E4110" s="66">
        <f>"RNCP"&amp;D4110</f>
        <v/>
      </c>
      <c r="F4110" s="66" t="inlineStr">
        <is>
          <t>Titre professionnel - Secrétaire assistant</t>
        </is>
      </c>
      <c r="G4110" s="67">
        <f>E4110&amp;" - "&amp;F4110</f>
        <v/>
      </c>
      <c r="H4110" s="38" t="inlineStr">
        <is>
          <t>Expiré / remplacé</t>
        </is>
      </c>
      <c r="I4110" s="63" t="inlineStr">
        <is>
          <t>Fiche inactive (échéance 28/02/2026) — aucun successeur publié</t>
        </is>
      </c>
      <c r="J4110" s="63" t="inlineStr">
        <is>
          <t>RNCP36804</t>
        </is>
      </c>
      <c r="K4110" s="63" t="inlineStr">
        <is>
          <t>Secrétaire assistant</t>
        </is>
      </c>
      <c r="L4110" s="63" t="inlineStr">
        <is>
          <t>28/02/2026</t>
        </is>
      </c>
      <c r="M4110" s="63" t="inlineStr">
        <is>
          <t>35007 (Secrétariat assistanat gestion PME PMI) ; 35029 (Correspondance commerciale)</t>
        </is>
      </c>
      <c r="N4110" s="68" t="inlineStr">
        <is>
          <t>NON</t>
        </is>
      </c>
      <c r="O4110" s="63" t="inlineStr"/>
    </row>
    <row r="4111" customFormat="1" s="3">
      <c r="A4111" s="45" t="n"/>
      <c r="B4111" s="46" t="inlineStr">
        <is>
          <t>35035</t>
        </is>
      </c>
      <c r="C4111" s="46">
        <f>LEFT(Tableau1[[#This Row],[Formacode]],3)</f>
        <v/>
      </c>
      <c r="D4111" s="47" t="n">
        <v>36964</v>
      </c>
      <c r="E4111" s="48">
        <f>"RNCP"&amp;D4111</f>
        <v/>
      </c>
      <c r="F4111" s="48" t="inlineStr">
        <is>
          <t>TP - Assistant import-export</t>
        </is>
      </c>
      <c r="G4111" s="49">
        <f>E4111&amp;" - "&amp;F4111</f>
        <v/>
      </c>
      <c r="H4111" s="36" t="inlineStr">
        <is>
          <t>RAS</t>
        </is>
      </c>
      <c r="I4111" s="45" t="inlineStr"/>
      <c r="J4111" s="45" t="inlineStr">
        <is>
          <t>RNCP36964</t>
        </is>
      </c>
      <c r="K4111" s="45" t="inlineStr">
        <is>
          <t>Assistant import-export</t>
        </is>
      </c>
      <c r="L4111" s="45" t="inlineStr">
        <is>
          <t>07/01/2028</t>
        </is>
      </c>
      <c r="M4111" s="45" t="inlineStr">
        <is>
          <t>35017 (Secrétariat assistanat import export) ; 34285 (Import export) ; 15206 (Anglais secrétariat) ; 15205 (Anglais commercial)</t>
        </is>
      </c>
      <c r="N4111" s="50" t="inlineStr">
        <is>
          <t>NON</t>
        </is>
      </c>
      <c r="O4111" s="45" t="inlineStr"/>
    </row>
    <row r="4112" customFormat="1" s="3">
      <c r="A4112" s="45" t="n"/>
      <c r="B4112" s="46" t="inlineStr">
        <is>
          <t>35035</t>
        </is>
      </c>
      <c r="C4112" s="46">
        <f>LEFT(Tableau1[[#This Row],[Formacode]],3)</f>
        <v/>
      </c>
      <c r="D4112" s="47" t="n">
        <v>37121</v>
      </c>
      <c r="E4112" s="48">
        <f>"RNCP"&amp;D4112</f>
        <v/>
      </c>
      <c r="F4112" s="48" t="inlineStr">
        <is>
          <t>TP - Comptable assistant</t>
        </is>
      </c>
      <c r="G4112" s="49">
        <f>E4112&amp;" - "&amp;F4112</f>
        <v/>
      </c>
      <c r="H4112" s="36" t="inlineStr">
        <is>
          <t>RAS</t>
        </is>
      </c>
      <c r="I4112" s="45" t="inlineStr"/>
      <c r="J4112" s="45" t="inlineStr">
        <is>
          <t>RNCP37121</t>
        </is>
      </c>
      <c r="K4112" s="45" t="inlineStr">
        <is>
          <t>Comptable assistant</t>
        </is>
      </c>
      <c r="L4112" s="45" t="inlineStr">
        <is>
          <t>01/03/2028</t>
        </is>
      </c>
      <c r="M4112" s="45" t="inlineStr">
        <is>
          <t>32667 (Comptabilité générale) ; 35049 (Secrétariat assistanat comptabilité)</t>
        </is>
      </c>
      <c r="N4112" s="50" t="inlineStr">
        <is>
          <t>NON</t>
        </is>
      </c>
      <c r="O4112" s="45" t="inlineStr"/>
    </row>
    <row r="4113" customFormat="1" s="3">
      <c r="A4113" s="45" t="n"/>
      <c r="B4113" s="46" t="inlineStr">
        <is>
          <t>35035</t>
        </is>
      </c>
      <c r="C4113" s="46">
        <f>LEFT(Tableau1[[#This Row],[Formacode]],3)</f>
        <v/>
      </c>
      <c r="D4113" s="47" t="n">
        <v>37123</v>
      </c>
      <c r="E4113" s="48">
        <f>"RNCP"&amp;D4113</f>
        <v/>
      </c>
      <c r="F4113" s="48" t="inlineStr">
        <is>
          <t>TP - Secrétaire comptable</t>
        </is>
      </c>
      <c r="G4113" s="49">
        <f>E4113&amp;" - "&amp;F4113</f>
        <v/>
      </c>
      <c r="H4113" s="36" t="inlineStr">
        <is>
          <t>RAS</t>
        </is>
      </c>
      <c r="I4113" s="45" t="inlineStr"/>
      <c r="J4113" s="45" t="inlineStr">
        <is>
          <t>RNCP37123</t>
        </is>
      </c>
      <c r="K4113" s="45" t="inlineStr">
        <is>
          <t>Secrétaire comptable</t>
        </is>
      </c>
      <c r="L4113" s="45" t="inlineStr">
        <is>
          <t>01/03/2028</t>
        </is>
      </c>
      <c r="M4113" s="45" t="inlineStr">
        <is>
          <t>35049 (Secrétariat assistanat comptabilité)</t>
        </is>
      </c>
      <c r="N4113" s="50" t="inlineStr">
        <is>
          <t>NON</t>
        </is>
      </c>
      <c r="O4113" s="45" t="inlineStr"/>
    </row>
    <row r="4114" customFormat="1" s="3">
      <c r="A4114" s="63" t="n"/>
      <c r="B4114" s="64" t="inlineStr">
        <is>
          <t>35035</t>
        </is>
      </c>
      <c r="C4114" s="64">
        <f>LEFT(Tableau1[[#This Row],[Formacode]],3)</f>
        <v/>
      </c>
      <c r="D4114" s="65" t="n">
        <v>37345</v>
      </c>
      <c r="E4114" s="66">
        <f>"RNCP"&amp;D4114</f>
        <v/>
      </c>
      <c r="F4114" s="66" t="inlineStr">
        <is>
          <t>Assistant de direction</t>
        </is>
      </c>
      <c r="G4114" s="67">
        <f>E4114&amp;" - "&amp;F4114</f>
        <v/>
      </c>
      <c r="H4114" s="38" t="inlineStr">
        <is>
          <t>Expiré / remplacé</t>
        </is>
      </c>
      <c r="I4114" s="63" t="inlineStr">
        <is>
          <t>Fiche inactive — remplacée par RNCP41722 (Assistant de direction)</t>
        </is>
      </c>
      <c r="J4114" s="63" t="inlineStr">
        <is>
          <t>RNCP41722</t>
        </is>
      </c>
      <c r="K4114" s="63" t="inlineStr">
        <is>
          <t>Assistant de direction</t>
        </is>
      </c>
      <c r="L4114" s="63" t="inlineStr">
        <is>
          <t>17/02/2026</t>
        </is>
      </c>
      <c r="M4114" s="63" t="inlineStr">
        <is>
          <t>35047 (Secrétariat assistanat direction)</t>
        </is>
      </c>
      <c r="N4114" s="68" t="inlineStr">
        <is>
          <t>NON</t>
        </is>
      </c>
      <c r="O4114" s="63" t="inlineStr"/>
    </row>
    <row r="4115" customFormat="1" s="3">
      <c r="A4115" s="45" t="n"/>
      <c r="B4115" s="46" t="inlineStr">
        <is>
          <t>35035</t>
        </is>
      </c>
      <c r="C4115" s="46">
        <f>LEFT(Tableau1[[#This Row],[Formacode]],3)</f>
        <v/>
      </c>
      <c r="D4115" s="47" t="n">
        <v>37561</v>
      </c>
      <c r="E4115" s="48">
        <f>"RNCP"&amp;D4115</f>
        <v/>
      </c>
      <c r="F4115" s="48" t="inlineStr">
        <is>
          <t>BTS - Assistance technique d'ingénieur</t>
        </is>
      </c>
      <c r="G4115" s="49">
        <f>E4115&amp;" - "&amp;F4115</f>
        <v/>
      </c>
      <c r="H4115" s="36" t="inlineStr">
        <is>
          <t>RAS</t>
        </is>
      </c>
      <c r="I4115" s="45" t="inlineStr"/>
      <c r="J4115" s="45" t="inlineStr">
        <is>
          <t>RNCP37561</t>
        </is>
      </c>
      <c r="K4115" s="45" t="inlineStr">
        <is>
          <t>Assistance technique d'ingénieur</t>
        </is>
      </c>
      <c r="L4115" s="45" t="inlineStr">
        <is>
          <t>31/08/2028</t>
        </is>
      </c>
      <c r="M4115" s="45" t="inlineStr">
        <is>
          <t>35008 (Secrétariat assistanat ingénieur) ; 35047 (Secrétariat assistanat direction)</t>
        </is>
      </c>
      <c r="N4115" s="50" t="inlineStr">
        <is>
          <t>NON</t>
        </is>
      </c>
      <c r="O4115" s="45" t="inlineStr"/>
    </row>
    <row r="4116" customFormat="1" s="3">
      <c r="A4116" s="45" t="n"/>
      <c r="B4116" s="46" t="inlineStr">
        <is>
          <t>35035</t>
        </is>
      </c>
      <c r="C4116" s="46">
        <f>LEFT(Tableau1[[#This Row],[Formacode]],3)</f>
        <v/>
      </c>
      <c r="D4116" s="47" t="n">
        <v>38363</v>
      </c>
      <c r="E4116" s="48">
        <f>"RNCP"&amp;D4116</f>
        <v/>
      </c>
      <c r="F4116" s="48" t="inlineStr">
        <is>
          <t>BTS - Gestion de la PME</t>
        </is>
      </c>
      <c r="G4116" s="49">
        <f>E4116&amp;" - "&amp;F4116</f>
        <v/>
      </c>
      <c r="H4116" s="36" t="inlineStr">
        <is>
          <t>RAS</t>
        </is>
      </c>
      <c r="I4116" s="45" t="inlineStr"/>
      <c r="J4116" s="45" t="inlineStr">
        <is>
          <t>RNCP38363</t>
        </is>
      </c>
      <c r="K4116" s="45" t="inlineStr">
        <is>
          <t>Gestion de la PME</t>
        </is>
      </c>
      <c r="L4116" s="45" t="inlineStr">
        <is>
          <t>31/12/2027</t>
        </is>
      </c>
      <c r="M4116" s="45" t="inlineStr">
        <is>
          <t>35007 (Secrétariat assistanat gestion PME PMI)</t>
        </is>
      </c>
      <c r="N4116" s="50" t="inlineStr">
        <is>
          <t>NON</t>
        </is>
      </c>
      <c r="O4116" s="45" t="inlineStr"/>
    </row>
    <row r="4117" customFormat="1" s="3">
      <c r="A4117" s="45" t="n"/>
      <c r="B4117" s="46" t="inlineStr">
        <is>
          <t>35035</t>
        </is>
      </c>
      <c r="C4117" s="46">
        <f>LEFT(Tableau1[[#This Row],[Formacode]],3)</f>
        <v/>
      </c>
      <c r="D4117" s="47" t="n">
        <v>38506</v>
      </c>
      <c r="E4117" s="48">
        <f>"RNCP"&amp;D4117</f>
        <v/>
      </c>
      <c r="F4117" s="48" t="inlineStr">
        <is>
          <t>Assistant de comptabilité et d'administration en PME/TPE</t>
        </is>
      </c>
      <c r="G4117" s="49">
        <f>E4117&amp;" - "&amp;F4117</f>
        <v/>
      </c>
      <c r="H4117" s="36" t="inlineStr">
        <is>
          <t>RAS</t>
        </is>
      </c>
      <c r="I4117" s="45" t="inlineStr"/>
      <c r="J4117" s="45" t="inlineStr">
        <is>
          <t>RNCP38506</t>
        </is>
      </c>
      <c r="K4117" s="45" t="inlineStr">
        <is>
          <t>Assistant de comptabilité et d'administration en PME/TPE</t>
        </is>
      </c>
      <c r="L4117" s="45" t="inlineStr">
        <is>
          <t>21/12/2028</t>
        </is>
      </c>
      <c r="M4117" s="45" t="inlineStr">
        <is>
          <t>32667 (Comptabilité générale) ; 35049 (Secrétariat assistanat comptabilité)</t>
        </is>
      </c>
      <c r="N4117" s="50" t="inlineStr">
        <is>
          <t>NON</t>
        </is>
      </c>
      <c r="O4117" s="45" t="inlineStr"/>
    </row>
    <row r="4118" customFormat="1" s="3">
      <c r="A4118" s="45" t="n"/>
      <c r="B4118" s="46" t="inlineStr">
        <is>
          <t>35035</t>
        </is>
      </c>
      <c r="C4118" s="46">
        <f>LEFT(Tableau1[[#This Row],[Formacode]],3)</f>
        <v/>
      </c>
      <c r="D4118" s="47" t="n">
        <v>38625</v>
      </c>
      <c r="E4118" s="48">
        <f>"RNCP"&amp;D4118</f>
        <v/>
      </c>
      <c r="F4118" s="48" t="inlineStr">
        <is>
          <t>Assistant d'administration commerciale (TPE/PME)</t>
        </is>
      </c>
      <c r="G4118" s="49">
        <f>E4118&amp;" - "&amp;F4118</f>
        <v/>
      </c>
      <c r="H4118" s="36" t="inlineStr">
        <is>
          <t>RAS</t>
        </is>
      </c>
      <c r="I4118" s="45" t="inlineStr"/>
      <c r="J4118" s="45" t="inlineStr">
        <is>
          <t>RNCP38625</t>
        </is>
      </c>
      <c r="K4118" s="45" t="inlineStr">
        <is>
          <t>Assistant d'administration commerciale (TPE/PME)</t>
        </is>
      </c>
      <c r="L4118" s="45" t="inlineStr">
        <is>
          <t>09/02/2028</t>
        </is>
      </c>
      <c r="M4118" s="45" t="inlineStr">
        <is>
          <t>35028 (Secrétariat assistanat commercial)</t>
        </is>
      </c>
      <c r="N4118" s="50" t="inlineStr">
        <is>
          <t>NON</t>
        </is>
      </c>
      <c r="O4118" s="45" t="inlineStr"/>
    </row>
    <row r="4119" customFormat="1" s="3">
      <c r="A4119" s="45" t="n"/>
      <c r="B4119" s="46" t="inlineStr">
        <is>
          <t>35035</t>
        </is>
      </c>
      <c r="C4119" s="46">
        <f>LEFT(Tableau1[[#This Row],[Formacode]],3)</f>
        <v/>
      </c>
      <c r="D4119" s="47" t="n">
        <v>38667</v>
      </c>
      <c r="E4119" s="48">
        <f>"RNCP"&amp;D4119</f>
        <v/>
      </c>
      <c r="F4119" s="48" t="inlineStr">
        <is>
          <t>TP - Assistant de direction</t>
        </is>
      </c>
      <c r="G4119" s="49">
        <f>E4119&amp;" - "&amp;F4119</f>
        <v/>
      </c>
      <c r="H4119" s="36" t="inlineStr">
        <is>
          <t>RAS</t>
        </is>
      </c>
      <c r="I4119" s="45" t="inlineStr"/>
      <c r="J4119" s="45" t="inlineStr">
        <is>
          <t>RNCP38667</t>
        </is>
      </c>
      <c r="K4119" s="45" t="inlineStr">
        <is>
          <t>Assistant de direction</t>
        </is>
      </c>
      <c r="L4119" s="45" t="inlineStr">
        <is>
          <t>29/07/2029</t>
        </is>
      </c>
      <c r="M4119" s="45" t="inlineStr">
        <is>
          <t>35047 (Secrétariat assistanat direction) ; 35018 (Secrétariat assistanat multilingue)</t>
        </is>
      </c>
      <c r="N4119" s="50" t="inlineStr">
        <is>
          <t>NON</t>
        </is>
      </c>
      <c r="O4119" s="45" t="inlineStr"/>
    </row>
    <row r="4120" customFormat="1" s="3">
      <c r="A4120" s="45" t="n"/>
      <c r="B4120" s="46" t="inlineStr">
        <is>
          <t>35035</t>
        </is>
      </c>
      <c r="C4120" s="46">
        <f>LEFT(Tableau1[[#This Row],[Formacode]],3)</f>
        <v/>
      </c>
      <c r="D4120" s="47" t="n">
        <v>39626</v>
      </c>
      <c r="E4120" s="48">
        <f>"RNCP"&amp;D4120</f>
        <v/>
      </c>
      <c r="F4120" s="48" t="inlineStr">
        <is>
          <t>Assistant de gestion des petites entreprises</t>
        </is>
      </c>
      <c r="G4120" s="49">
        <f>E4120&amp;" - "&amp;F4120</f>
        <v/>
      </c>
      <c r="H4120" s="36" t="inlineStr">
        <is>
          <t>RAS</t>
        </is>
      </c>
      <c r="I4120" s="45" t="inlineStr"/>
      <c r="J4120" s="45" t="inlineStr">
        <is>
          <t>RNCP39626</t>
        </is>
      </c>
      <c r="K4120" s="45" t="inlineStr">
        <is>
          <t>Assistant de gestion des petites entreprises</t>
        </is>
      </c>
      <c r="L4120" s="45" t="inlineStr">
        <is>
          <t>01/10/2029</t>
        </is>
      </c>
      <c r="M4120" s="45" t="inlineStr">
        <is>
          <t>35049 (Secrétariat assistanat comptabilité) ; 32054 (Gestion des organisations) ; 35007 (Secrétariat assistanat gestion PME PMI)</t>
        </is>
      </c>
      <c r="N4120" s="50" t="inlineStr">
        <is>
          <t>NON</t>
        </is>
      </c>
      <c r="O4120" s="45" t="inlineStr"/>
    </row>
    <row r="4121" customFormat="1" s="3">
      <c r="A4121" s="45" t="n"/>
      <c r="B4121" s="46" t="inlineStr">
        <is>
          <t>35035</t>
        </is>
      </c>
      <c r="C4121" s="46">
        <f>LEFT(Tableau1[[#This Row],[Formacode]],3)</f>
        <v/>
      </c>
      <c r="D4121" s="47" t="n">
        <v>40249</v>
      </c>
      <c r="E4121" s="48">
        <f>"RNCP"&amp;D4121</f>
        <v/>
      </c>
      <c r="F4121" s="48" t="inlineStr">
        <is>
          <t>Assistant juridique</t>
        </is>
      </c>
      <c r="G4121" s="49">
        <f>E4121&amp;" - "&amp;F4121</f>
        <v/>
      </c>
      <c r="H4121" s="36" t="inlineStr">
        <is>
          <t>RAS</t>
        </is>
      </c>
      <c r="I4121" s="45" t="inlineStr"/>
      <c r="J4121" s="45" t="inlineStr">
        <is>
          <t>RNCP40249</t>
        </is>
      </c>
      <c r="K4121" s="45" t="inlineStr">
        <is>
          <t>Assistant juridique</t>
        </is>
      </c>
      <c r="L4121" s="45" t="inlineStr">
        <is>
          <t>28/02/2030</t>
        </is>
      </c>
      <c r="M4121" s="45" t="inlineStr">
        <is>
          <t>35006 (Secrétariat assistanat juridique)</t>
        </is>
      </c>
      <c r="N4121" s="50" t="inlineStr">
        <is>
          <t>NON</t>
        </is>
      </c>
      <c r="O4121" s="45" t="inlineStr"/>
    </row>
    <row r="4122" customFormat="1" s="3">
      <c r="A4122" s="45" t="n"/>
      <c r="B4122" s="46" t="inlineStr">
        <is>
          <t>35035</t>
        </is>
      </c>
      <c r="C4122" s="46">
        <f>LEFT(Tableau1[[#This Row],[Formacode]],3)</f>
        <v/>
      </c>
      <c r="D4122" s="47" t="n">
        <v>40705</v>
      </c>
      <c r="E4122" s="48">
        <f>"RNCP"&amp;D4122</f>
        <v/>
      </c>
      <c r="F4122" s="48" t="inlineStr">
        <is>
          <t>BAC PRO - Assistance à la gestion des organisations et de leurs activités</t>
        </is>
      </c>
      <c r="G4122" s="49">
        <f>E4122&amp;" - "&amp;F4122</f>
        <v/>
      </c>
      <c r="H4122" s="36" t="inlineStr">
        <is>
          <t>RAS</t>
        </is>
      </c>
      <c r="I4122" s="45" t="inlineStr"/>
      <c r="J4122" s="45" t="inlineStr">
        <is>
          <t>RNCP40705</t>
        </is>
      </c>
      <c r="K4122" s="45" t="inlineStr">
        <is>
          <t>Assistance à la gestion des organisations et de leurs activités</t>
        </is>
      </c>
      <c r="L4122" s="45" t="inlineStr">
        <is>
          <t>31/08/2028</t>
        </is>
      </c>
      <c r="M4122" s="45" t="inlineStr">
        <is>
          <t>35035 (Secrétariat assistanat spécialisé)</t>
        </is>
      </c>
      <c r="N4122" s="50" t="inlineStr">
        <is>
          <t>NON</t>
        </is>
      </c>
      <c r="O4122" s="45" t="inlineStr"/>
    </row>
    <row r="4123" customFormat="1" s="3">
      <c r="A4123" s="45" t="n"/>
      <c r="B4123" s="46" t="inlineStr">
        <is>
          <t>35035</t>
        </is>
      </c>
      <c r="C4123" s="46">
        <f>LEFT(Tableau1[[#This Row],[Formacode]],3)</f>
        <v/>
      </c>
      <c r="D4123" s="47" t="n">
        <v>40800</v>
      </c>
      <c r="E4123" s="48">
        <f>"RNCP"&amp;D4123</f>
        <v/>
      </c>
      <c r="F4123" s="48" t="inlineStr">
        <is>
          <t>TP - Secrétaire assistant médico-administratif</t>
        </is>
      </c>
      <c r="G4123" s="49">
        <f>E4123&amp;" - "&amp;F4123</f>
        <v/>
      </c>
      <c r="H4123" s="36" t="inlineStr">
        <is>
          <t>RAS</t>
        </is>
      </c>
      <c r="I4123" s="45" t="inlineStr"/>
      <c r="J4123" s="45" t="inlineStr">
        <is>
          <t>RNCP40800</t>
        </is>
      </c>
      <c r="K4123" s="45" t="inlineStr">
        <is>
          <t>Secrétaire assistant médico-administratif</t>
        </is>
      </c>
      <c r="L4123" s="45" t="inlineStr">
        <is>
          <t>01/09/2030</t>
        </is>
      </c>
      <c r="M4123" s="45" t="inlineStr">
        <is>
          <t>35015 (Secrétariat assistanat médicosocial) ; 43421 (Accueil hôpital) ; 43401 (Dossier soin)</t>
        </is>
      </c>
      <c r="N4123" s="50" t="inlineStr">
        <is>
          <t>NON</t>
        </is>
      </c>
      <c r="O4123" s="45" t="inlineStr"/>
    </row>
    <row r="4124" customFormat="1" s="3">
      <c r="A4124" s="45" t="n"/>
      <c r="B4124" s="46" t="inlineStr">
        <is>
          <t>35035</t>
        </is>
      </c>
      <c r="C4124" s="46">
        <f>LEFT(Tableau1[[#This Row],[Formacode]],3)</f>
        <v/>
      </c>
      <c r="D4124" s="47" t="n">
        <v>40879</v>
      </c>
      <c r="E4124" s="48">
        <f>"RNCP"&amp;D4124</f>
        <v/>
      </c>
      <c r="F4124" s="48" t="inlineStr">
        <is>
          <t>Secrétaire médical</t>
        </is>
      </c>
      <c r="G4124" s="49">
        <f>E4124&amp;" - "&amp;F4124</f>
        <v/>
      </c>
      <c r="H4124" s="36" t="inlineStr">
        <is>
          <t>RAS</t>
        </is>
      </c>
      <c r="I4124" s="45" t="inlineStr"/>
      <c r="J4124" s="45" t="inlineStr">
        <is>
          <t>RNCP40879</t>
        </is>
      </c>
      <c r="K4124" s="45" t="inlineStr">
        <is>
          <t>Secrétaire médical</t>
        </is>
      </c>
      <c r="L4124" s="45" t="inlineStr">
        <is>
          <t>25/06/2030</t>
        </is>
      </c>
      <c r="M4124" s="45" t="inlineStr">
        <is>
          <t>35015 (Secrétariat assistanat médicosocial)</t>
        </is>
      </c>
      <c r="N4124" s="50" t="inlineStr">
        <is>
          <t>NON</t>
        </is>
      </c>
      <c r="O4124" s="45" t="inlineStr"/>
    </row>
    <row r="4125" customFormat="1" s="3">
      <c r="A4125" s="45" t="n"/>
      <c r="B4125" s="46" t="inlineStr">
        <is>
          <t>35035</t>
        </is>
      </c>
      <c r="C4125" s="46">
        <f>LEFT(Tableau1[[#This Row],[Formacode]],3)</f>
        <v/>
      </c>
      <c r="D4125" s="47" t="n">
        <v>40989</v>
      </c>
      <c r="E4125" s="48">
        <f>"RNCP"&amp;D4125</f>
        <v/>
      </c>
      <c r="F4125" s="48" t="inlineStr">
        <is>
          <t>TP - Assistant immobilier</t>
        </is>
      </c>
      <c r="G4125" s="49">
        <f>E4125&amp;" - "&amp;F4125</f>
        <v/>
      </c>
      <c r="H4125" s="36" t="inlineStr">
        <is>
          <t>RAS</t>
        </is>
      </c>
      <c r="I4125" s="45" t="inlineStr"/>
      <c r="J4125" s="45" t="inlineStr">
        <is>
          <t>RNCP40989</t>
        </is>
      </c>
      <c r="K4125" s="45" t="inlineStr">
        <is>
          <t>Assistant immobilier</t>
        </is>
      </c>
      <c r="L4125" s="45" t="inlineStr">
        <is>
          <t>06/09/2030</t>
        </is>
      </c>
      <c r="M4125" s="45" t="inlineStr">
        <is>
          <t>35011 (Secrétariat assistanat immobilier) ; 42133 (Gestion immobilière) ; 35028 (Secrétariat assistanat commercial) ; 35047 (Secrétariat assistanat direction)</t>
        </is>
      </c>
      <c r="N4125" s="50" t="inlineStr">
        <is>
          <t>NON</t>
        </is>
      </c>
      <c r="O4125" s="45" t="inlineStr"/>
    </row>
    <row r="4126" customFormat="1" s="3">
      <c r="A4126" s="45" t="n"/>
      <c r="B4126" s="46" t="inlineStr">
        <is>
          <t>35035</t>
        </is>
      </c>
      <c r="C4126" s="46">
        <f>LEFT(Tableau1[[#This Row],[Formacode]],3)</f>
        <v/>
      </c>
      <c r="D4126" s="47" t="n">
        <v>41239</v>
      </c>
      <c r="E4126" s="48">
        <f>"RNCP"&amp;D4126</f>
        <v/>
      </c>
      <c r="F4126" s="48" t="inlineStr">
        <is>
          <t>TP - Chargé d'accueil et de gestion administrative</t>
        </is>
      </c>
      <c r="G4126" s="49">
        <f>E4126&amp;" - "&amp;F4126</f>
        <v/>
      </c>
      <c r="H4126" s="36" t="inlineStr">
        <is>
          <t>RAS</t>
        </is>
      </c>
      <c r="I4126" s="45" t="inlineStr"/>
      <c r="J4126" s="45" t="inlineStr">
        <is>
          <t>RNCP41239</t>
        </is>
      </c>
      <c r="K4126" s="45" t="inlineStr">
        <is>
          <t>Chargé d'accueil et de gestion administrative</t>
        </is>
      </c>
      <c r="L4126" s="45" t="inlineStr">
        <is>
          <t>30/09/2030</t>
        </is>
      </c>
      <c r="M4126" s="45" t="inlineStr">
        <is>
          <t>35052 (Accueil) ; 35035 (Secrétariat assistanat spécialisé) ; 35071 (Technique administrative)</t>
        </is>
      </c>
      <c r="N4126" s="50" t="inlineStr">
        <is>
          <t>NON</t>
        </is>
      </c>
      <c r="O4126" s="45" t="inlineStr"/>
    </row>
    <row r="4127" customFormat="1" s="3">
      <c r="A4127" s="45" t="n"/>
      <c r="B4127" s="46" t="inlineStr">
        <is>
          <t>35035</t>
        </is>
      </c>
      <c r="C4127" s="46">
        <f>LEFT(Tableau1[[#This Row],[Formacode]],3)</f>
        <v/>
      </c>
      <c r="D4127" s="47" t="n">
        <v>41254</v>
      </c>
      <c r="E4127" s="48">
        <f>"RNCP"&amp;D4127</f>
        <v/>
      </c>
      <c r="F4127" s="48" t="inlineStr">
        <is>
          <t>TP - Assistant commercial</t>
        </is>
      </c>
      <c r="G4127" s="49">
        <f>E4127&amp;" - "&amp;F4127</f>
        <v/>
      </c>
      <c r="H4127" s="36" t="inlineStr">
        <is>
          <t>RAS</t>
        </is>
      </c>
      <c r="I4127" s="45" t="inlineStr"/>
      <c r="J4127" s="45" t="inlineStr">
        <is>
          <t>RNCP41254</t>
        </is>
      </c>
      <c r="K4127" s="45" t="inlineStr">
        <is>
          <t>Assistant commercial</t>
        </is>
      </c>
      <c r="L4127" s="45" t="inlineStr">
        <is>
          <t>28/10/2030</t>
        </is>
      </c>
      <c r="M4127" s="45" t="inlineStr">
        <is>
          <t>35028 (Secrétariat assistanat commercial)</t>
        </is>
      </c>
      <c r="N4127" s="50" t="inlineStr">
        <is>
          <t>NON</t>
        </is>
      </c>
      <c r="O4127" s="45" t="inlineStr"/>
    </row>
    <row r="4128" customFormat="1" s="3">
      <c r="A4128" s="45" t="n"/>
      <c r="B4128" s="46" t="inlineStr">
        <is>
          <t>35035</t>
        </is>
      </c>
      <c r="C4128" s="46">
        <f>LEFT(Tableau1[[#This Row],[Formacode]],3)</f>
        <v/>
      </c>
      <c r="D4128" s="47" t="n">
        <v>41308</v>
      </c>
      <c r="E4128" s="48">
        <f>"RNCP"&amp;D4128</f>
        <v/>
      </c>
      <c r="F4128" s="48" t="inlineStr">
        <is>
          <t>Office manager</t>
        </is>
      </c>
      <c r="G4128" s="49">
        <f>E4128&amp;" - "&amp;F4128</f>
        <v/>
      </c>
      <c r="H4128" s="36" t="inlineStr">
        <is>
          <t>RAS</t>
        </is>
      </c>
      <c r="I4128" s="45" t="inlineStr"/>
      <c r="J4128" s="45" t="inlineStr">
        <is>
          <t>RNCP41308</t>
        </is>
      </c>
      <c r="K4128" s="45" t="inlineStr">
        <is>
          <t>Office manager</t>
        </is>
      </c>
      <c r="L4128" s="45" t="inlineStr">
        <is>
          <t>24/09/2028</t>
        </is>
      </c>
      <c r="M4128" s="45" t="inlineStr">
        <is>
          <t>35047 (Secrétariat assistanat direction) ; 32054 (Gestion des organisations)</t>
        </is>
      </c>
      <c r="N4128" s="50" t="inlineStr">
        <is>
          <t>NON</t>
        </is>
      </c>
      <c r="O4128" s="45" t="inlineStr"/>
    </row>
    <row r="4129" customFormat="1" s="3">
      <c r="A4129" s="45" t="n"/>
      <c r="B4129" s="46" t="inlineStr">
        <is>
          <t>35035</t>
        </is>
      </c>
      <c r="C4129" s="46">
        <f>LEFT(Tableau1[[#This Row],[Formacode]],3)</f>
        <v/>
      </c>
      <c r="D4129" s="47" t="n">
        <v>41366</v>
      </c>
      <c r="E4129" s="48">
        <f>"RNCP"&amp;D4129</f>
        <v/>
      </c>
      <c r="F4129" s="48" t="inlineStr">
        <is>
          <t>TP - Assistant ressources humaines</t>
        </is>
      </c>
      <c r="G4129" s="49">
        <f>E4129&amp;" - "&amp;F4129</f>
        <v/>
      </c>
      <c r="H4129" s="36" t="inlineStr">
        <is>
          <t>RAS</t>
        </is>
      </c>
      <c r="I4129" s="45" t="inlineStr"/>
      <c r="J4129" s="45" t="inlineStr">
        <is>
          <t>RNCP41366</t>
        </is>
      </c>
      <c r="K4129" s="45" t="inlineStr">
        <is>
          <t>Assistant ressources humaines</t>
        </is>
      </c>
      <c r="L4129" s="45" t="inlineStr">
        <is>
          <t>04/11/2027</t>
        </is>
      </c>
      <c r="M4129" s="45" t="inlineStr">
        <is>
          <t>35014 (Secrétariat assistanat ressources humaines) ; 33071 (Contrat travail) ; 33072 (Intégration salarié) ; 33060 (Recrutement) ; 44508 (Plan développement compétences)</t>
        </is>
      </c>
      <c r="N4129" s="50" t="inlineStr">
        <is>
          <t>NON</t>
        </is>
      </c>
      <c r="O4129" s="45" t="inlineStr"/>
    </row>
    <row r="4130" customFormat="1" s="3">
      <c r="A4130" s="45" t="n"/>
      <c r="B4130" s="46" t="inlineStr">
        <is>
          <t>35035</t>
        </is>
      </c>
      <c r="C4130" s="46">
        <f>LEFT(Tableau1[[#This Row],[Formacode]],3)</f>
        <v/>
      </c>
      <c r="D4130" s="47" t="n">
        <v>41722</v>
      </c>
      <c r="E4130" s="48">
        <f>"RNCP"&amp;D4130</f>
        <v/>
      </c>
      <c r="F4130" s="48" t="inlineStr">
        <is>
          <t>Assistant de direction</t>
        </is>
      </c>
      <c r="G4130" s="49">
        <f>E4130&amp;" - "&amp;F4130</f>
        <v/>
      </c>
      <c r="H4130" s="36" t="inlineStr">
        <is>
          <t>RAS</t>
        </is>
      </c>
      <c r="I4130" s="45" t="inlineStr"/>
      <c r="J4130" s="45" t="inlineStr">
        <is>
          <t>RNCP41722</t>
        </is>
      </c>
      <c r="K4130" s="45" t="inlineStr">
        <is>
          <t>Assistant de direction</t>
        </is>
      </c>
      <c r="L4130" s="45" t="inlineStr">
        <is>
          <t>27/11/2030</t>
        </is>
      </c>
      <c r="M4130" s="45" t="inlineStr">
        <is>
          <t>35047 (Secrétariat assistanat direction)</t>
        </is>
      </c>
      <c r="N4130" s="50" t="inlineStr">
        <is>
          <t>NON</t>
        </is>
      </c>
      <c r="O4130" s="45" t="inlineStr"/>
    </row>
    <row r="4131" customFormat="1" s="3">
      <c r="A4131" s="63" t="n"/>
      <c r="B4131" s="64" t="inlineStr">
        <is>
          <t>35052</t>
        </is>
      </c>
      <c r="C4131" s="64">
        <f>LEFT(Tableau1[[#This Row],[Formacode]],3)</f>
        <v/>
      </c>
      <c r="D4131" s="65" t="n">
        <v>36803</v>
      </c>
      <c r="E4131" s="66">
        <f>"RNCP"&amp;D4131</f>
        <v/>
      </c>
      <c r="F4131" s="66" t="inlineStr">
        <is>
          <t>Titre professionnel - Employé administratif et d'accueil</t>
        </is>
      </c>
      <c r="G4131" s="67">
        <f>E4131&amp;" - "&amp;F4131</f>
        <v/>
      </c>
      <c r="H4131" s="38" t="inlineStr">
        <is>
          <t>Expiré / remplacé</t>
        </is>
      </c>
      <c r="I4131" s="63" t="inlineStr">
        <is>
          <t>Fiche inactive (échéance 01/03/2026) — aucun successeur publié</t>
        </is>
      </c>
      <c r="J4131" s="63" t="inlineStr">
        <is>
          <t>RNCP36803</t>
        </is>
      </c>
      <c r="K4131" s="63" t="inlineStr">
        <is>
          <t>Employé administratif et d'accueil</t>
        </is>
      </c>
      <c r="L4131" s="63" t="inlineStr">
        <is>
          <t>01/03/2026</t>
        </is>
      </c>
      <c r="M4131" s="63" t="inlineStr">
        <is>
          <t>35052 (Accueil) ; 35071 (Technique administrative)</t>
        </is>
      </c>
      <c r="N4131" s="68" t="inlineStr">
        <is>
          <t>NON</t>
        </is>
      </c>
      <c r="O4131" s="63" t="inlineStr"/>
    </row>
    <row r="4132" customFormat="1" s="3">
      <c r="A4132" s="51" t="n"/>
      <c r="B4132" s="52" t="inlineStr">
        <is>
          <t>35052</t>
        </is>
      </c>
      <c r="C4132" s="52">
        <f>LEFT(Tableau1[[#This Row],[Formacode]],3)</f>
        <v/>
      </c>
      <c r="D4132" s="53" t="n">
        <v>38225</v>
      </c>
      <c r="E4132" s="54">
        <f>"RNCP"&amp;D4132</f>
        <v/>
      </c>
      <c r="F4132" s="54" t="inlineStr">
        <is>
          <t>Certificat de spécialisation - Accueil dans les transports</t>
        </is>
      </c>
      <c r="G4132" s="55">
        <f>E4132&amp;" - "&amp;F4132</f>
        <v/>
      </c>
      <c r="H4132" s="37" t="inlineStr">
        <is>
          <t>À vérifier</t>
        </is>
      </c>
      <c r="I4132" s="51" t="inlineStr">
        <is>
          <t>Successeur déjà publié : RNCP42552 (Accueil dans les transports) — préparer la bascule de l'offre CPF | Échéance le 31/08/2026 (dans 44 j)</t>
        </is>
      </c>
      <c r="J4132" s="51" t="inlineStr">
        <is>
          <t>RNCP42552</t>
        </is>
      </c>
      <c r="K4132" s="51" t="inlineStr">
        <is>
          <t>Accueil dans les transports</t>
        </is>
      </c>
      <c r="L4132" s="51" t="inlineStr">
        <is>
          <t>31/08/2026</t>
        </is>
      </c>
      <c r="M4132" s="51" t="inlineStr">
        <is>
          <t>35052 (Accueil) ; 31854 (Transport)</t>
        </is>
      </c>
      <c r="N4132" s="62" t="inlineStr">
        <is>
          <t>NON</t>
        </is>
      </c>
      <c r="O4132" s="51" t="inlineStr"/>
    </row>
    <row r="4133" customFormat="1" s="3">
      <c r="A4133" s="45" t="n"/>
      <c r="B4133" s="46" t="inlineStr">
        <is>
          <t>35052</t>
        </is>
      </c>
      <c r="C4133" s="46">
        <f>LEFT(Tableau1[[#This Row],[Formacode]],3)</f>
        <v/>
      </c>
      <c r="D4133" s="47" t="n">
        <v>38397</v>
      </c>
      <c r="E4133" s="48">
        <f>"RNCP"&amp;D4133</f>
        <v/>
      </c>
      <c r="F4133" s="48" t="inlineStr">
        <is>
          <t>BAC PRO - Métiers de l'accueil</t>
        </is>
      </c>
      <c r="G4133" s="49">
        <f>E4133&amp;" - "&amp;F4133</f>
        <v/>
      </c>
      <c r="H4133" s="36" t="inlineStr">
        <is>
          <t>RAS</t>
        </is>
      </c>
      <c r="I4133" s="45" t="inlineStr"/>
      <c r="J4133" s="45" t="inlineStr">
        <is>
          <t>RNCP38397</t>
        </is>
      </c>
      <c r="K4133" s="45" t="inlineStr">
        <is>
          <t>Métiers de l'accueil</t>
        </is>
      </c>
      <c r="L4133" s="45" t="inlineStr">
        <is>
          <t>31/12/2028</t>
        </is>
      </c>
      <c r="M4133" s="45" t="inlineStr">
        <is>
          <t>35052 (Accueil)</t>
        </is>
      </c>
      <c r="N4133" s="50" t="inlineStr">
        <is>
          <t>NON</t>
        </is>
      </c>
      <c r="O4133" s="45" t="inlineStr"/>
    </row>
    <row r="4134" customFormat="1" s="3">
      <c r="A4134" s="45" t="n"/>
      <c r="B4134" s="46" t="inlineStr">
        <is>
          <t>35052</t>
        </is>
      </c>
      <c r="C4134" s="46">
        <f>LEFT(Tableau1[[#This Row],[Formacode]],3)</f>
        <v/>
      </c>
      <c r="D4134" s="47" t="n">
        <v>41239</v>
      </c>
      <c r="E4134" s="48">
        <f>"RNCP"&amp;D4134</f>
        <v/>
      </c>
      <c r="F4134" s="48" t="inlineStr">
        <is>
          <t>TP - Chargé d'accueil et de gestion administrative</t>
        </is>
      </c>
      <c r="G4134" s="49">
        <f>E4134&amp;" - "&amp;F4134</f>
        <v/>
      </c>
      <c r="H4134" s="36" t="inlineStr">
        <is>
          <t>RAS</t>
        </is>
      </c>
      <c r="I4134" s="45" t="inlineStr"/>
      <c r="J4134" s="45" t="inlineStr">
        <is>
          <t>RNCP41239</t>
        </is>
      </c>
      <c r="K4134" s="45" t="inlineStr">
        <is>
          <t>Chargé d'accueil et de gestion administrative</t>
        </is>
      </c>
      <c r="L4134" s="45" t="inlineStr">
        <is>
          <t>30/09/2030</t>
        </is>
      </c>
      <c r="M4134" s="45" t="inlineStr">
        <is>
          <t>35052 (Accueil) ; 35035 (Secrétariat assistanat spécialisé) ; 35071 (Technique administrative)</t>
        </is>
      </c>
      <c r="N4134" s="50" t="inlineStr">
        <is>
          <t>NON</t>
        </is>
      </c>
      <c r="O4134" s="45" t="inlineStr"/>
    </row>
    <row r="4135" customFormat="1" s="3">
      <c r="A4135" s="63" t="n"/>
      <c r="B4135" s="64" t="inlineStr">
        <is>
          <t>35071</t>
        </is>
      </c>
      <c r="C4135" s="64">
        <f>LEFT(Tableau1[[#This Row],[Formacode]],3)</f>
        <v/>
      </c>
      <c r="D4135" s="65" t="n">
        <v>36803</v>
      </c>
      <c r="E4135" s="66">
        <f>"RNCP"&amp;D4135</f>
        <v/>
      </c>
      <c r="F4135" s="66" t="inlineStr">
        <is>
          <t>Titre professionnel - Employé administratif et d'accueil</t>
        </is>
      </c>
      <c r="G4135" s="67">
        <f>E4135&amp;" - "&amp;F4135</f>
        <v/>
      </c>
      <c r="H4135" s="38" t="inlineStr">
        <is>
          <t>Expiré / remplacé</t>
        </is>
      </c>
      <c r="I4135" s="63" t="inlineStr">
        <is>
          <t>Fiche inactive (échéance 01/03/2026) — aucun successeur publié</t>
        </is>
      </c>
      <c r="J4135" s="63" t="inlineStr">
        <is>
          <t>RNCP36803</t>
        </is>
      </c>
      <c r="K4135" s="63" t="inlineStr">
        <is>
          <t>Employé administratif et d'accueil</t>
        </is>
      </c>
      <c r="L4135" s="63" t="inlineStr">
        <is>
          <t>01/03/2026</t>
        </is>
      </c>
      <c r="M4135" s="63" t="inlineStr">
        <is>
          <t>35052 (Accueil) ; 35071 (Technique administrative)</t>
        </is>
      </c>
      <c r="N4135" s="68" t="inlineStr">
        <is>
          <t>NON</t>
        </is>
      </c>
      <c r="O4135" s="63" t="inlineStr"/>
    </row>
    <row r="4136" customFormat="1" s="3">
      <c r="A4136" s="45" t="n"/>
      <c r="B4136" s="46" t="inlineStr">
        <is>
          <t>35071</t>
        </is>
      </c>
      <c r="C4136" s="46">
        <f>LEFT(Tableau1[[#This Row],[Formacode]],3)</f>
        <v/>
      </c>
      <c r="D4136" s="47" t="n">
        <v>41239</v>
      </c>
      <c r="E4136" s="48">
        <f>"RNCP"&amp;D4136</f>
        <v/>
      </c>
      <c r="F4136" s="48" t="inlineStr">
        <is>
          <t>TP - Chargé d'accueil et de gestion administrative</t>
        </is>
      </c>
      <c r="G4136" s="49">
        <f>E4136&amp;" - "&amp;F4136</f>
        <v/>
      </c>
      <c r="H4136" s="36" t="inlineStr">
        <is>
          <t>RAS</t>
        </is>
      </c>
      <c r="I4136" s="45" t="inlineStr"/>
      <c r="J4136" s="45" t="inlineStr">
        <is>
          <t>RNCP41239</t>
        </is>
      </c>
      <c r="K4136" s="45" t="inlineStr">
        <is>
          <t>Chargé d'accueil et de gestion administrative</t>
        </is>
      </c>
      <c r="L4136" s="45" t="inlineStr">
        <is>
          <t>30/09/2030</t>
        </is>
      </c>
      <c r="M4136" s="45" t="inlineStr">
        <is>
          <t>35052 (Accueil) ; 35035 (Secrétariat assistanat spécialisé) ; 35071 (Technique administrative)</t>
        </is>
      </c>
      <c r="N4136" s="50" t="inlineStr">
        <is>
          <t>NON</t>
        </is>
      </c>
      <c r="O4136" s="45" t="inlineStr"/>
    </row>
    <row r="4137" customFormat="1" s="3">
      <c r="A4137" s="45" t="n"/>
      <c r="B4137" s="46" t="inlineStr">
        <is>
          <t>35071</t>
        </is>
      </c>
      <c r="C4137" s="46">
        <f>LEFT(Tableau1[[#This Row],[Formacode]],3)</f>
        <v/>
      </c>
      <c r="D4137" s="47" t="n">
        <v>41456</v>
      </c>
      <c r="E4137" s="48">
        <f>"RNCP"&amp;D4137</f>
        <v/>
      </c>
      <c r="F4137" s="48" t="inlineStr">
        <is>
          <t>CQP Educateur de vie scolaire</t>
        </is>
      </c>
      <c r="G4137" s="49">
        <f>E4137&amp;" - "&amp;F4137</f>
        <v/>
      </c>
      <c r="H4137" s="36" t="inlineStr">
        <is>
          <t>RAS</t>
        </is>
      </c>
      <c r="I4137" s="45" t="inlineStr"/>
      <c r="J4137" s="45" t="inlineStr">
        <is>
          <t>RNCP41456</t>
        </is>
      </c>
      <c r="K4137" s="45" t="inlineStr">
        <is>
          <t>CQP Educateur de vie scolaire</t>
        </is>
      </c>
      <c r="L4137" s="45" t="inlineStr">
        <is>
          <t>27/10/2030</t>
        </is>
      </c>
      <c r="M4137" s="45" t="inlineStr">
        <is>
          <t>15004 (Communication professionnelle) ; 14420 (Psychologie enfant adolescent) ; 35071 (Technique administrative) ; 44540 (Relation pédagogique)</t>
        </is>
      </c>
      <c r="N4137" s="50" t="inlineStr">
        <is>
          <t>NON</t>
        </is>
      </c>
      <c r="O4137" s="45" t="inlineStr"/>
    </row>
    <row r="4138" customFormat="1" s="3">
      <c r="A4138" s="45" t="n"/>
      <c r="B4138" s="46" t="inlineStr">
        <is>
          <t>41020</t>
        </is>
      </c>
      <c r="C4138" s="46">
        <f>LEFT(Tableau1[[#This Row],[Formacode]],3)</f>
        <v/>
      </c>
      <c r="D4138" s="47" t="n">
        <v>39619</v>
      </c>
      <c r="E4138" s="48">
        <f>"RNCP"&amp;D4138</f>
        <v/>
      </c>
      <c r="F4138" s="48" t="inlineStr">
        <is>
          <t>Conseiller financier</t>
        </is>
      </c>
      <c r="G4138" s="49">
        <f>E4138&amp;" - "&amp;F4138</f>
        <v/>
      </c>
      <c r="H4138" s="36" t="inlineStr">
        <is>
          <t>RAS</t>
        </is>
      </c>
      <c r="I4138" s="45" t="inlineStr"/>
      <c r="J4138" s="45" t="inlineStr">
        <is>
          <t>RNCP39619</t>
        </is>
      </c>
      <c r="K4138" s="45" t="inlineStr">
        <is>
          <t>Conseiller financier</t>
        </is>
      </c>
      <c r="L4138" s="45" t="inlineStr">
        <is>
          <t>01/10/2029</t>
        </is>
      </c>
      <c r="M4138" s="45" t="inlineStr">
        <is>
          <t>41054 (Banque assurance)</t>
        </is>
      </c>
      <c r="N4138" s="50" t="inlineStr">
        <is>
          <t>NON</t>
        </is>
      </c>
      <c r="O4138" s="45" t="inlineStr"/>
    </row>
    <row r="4139" customFormat="1" s="3">
      <c r="A4139" s="45" t="n"/>
      <c r="B4139" s="46" t="inlineStr">
        <is>
          <t>41020</t>
        </is>
      </c>
      <c r="C4139" s="46">
        <f>LEFT(Tableau1[[#This Row],[Formacode]],3)</f>
        <v/>
      </c>
      <c r="D4139" s="47" t="n">
        <v>40253</v>
      </c>
      <c r="E4139" s="48">
        <f>"RNCP"&amp;D4139</f>
        <v/>
      </c>
      <c r="F4139" s="48" t="inlineStr">
        <is>
          <t>Chargé de clientèles en assurance et banque</t>
        </is>
      </c>
      <c r="G4139" s="49">
        <f>E4139&amp;" - "&amp;F4139</f>
        <v/>
      </c>
      <c r="H4139" s="36" t="inlineStr">
        <is>
          <t>RAS</t>
        </is>
      </c>
      <c r="I4139" s="45" t="inlineStr"/>
      <c r="J4139" s="45" t="inlineStr">
        <is>
          <t>RNCP40253</t>
        </is>
      </c>
      <c r="K4139" s="45" t="inlineStr">
        <is>
          <t>Chargé de clientèles en assurance et banque</t>
        </is>
      </c>
      <c r="L4139" s="45" t="inlineStr">
        <is>
          <t>28/02/2030</t>
        </is>
      </c>
      <c r="M4139" s="45" t="inlineStr">
        <is>
          <t>41054 (Banque assurance)</t>
        </is>
      </c>
      <c r="N4139" s="50" t="inlineStr">
        <is>
          <t>NON</t>
        </is>
      </c>
      <c r="O4139" s="45" t="inlineStr"/>
    </row>
    <row r="4140" customFormat="1" s="3">
      <c r="A4140" s="45" t="n"/>
      <c r="B4140" s="46" t="inlineStr">
        <is>
          <t>41020</t>
        </is>
      </c>
      <c r="C4140" s="46">
        <f>LEFT(Tableau1[[#This Row],[Formacode]],3)</f>
        <v/>
      </c>
      <c r="D4140" s="47" t="n">
        <v>41716</v>
      </c>
      <c r="E4140" s="48">
        <f>"RNCP"&amp;D4140</f>
        <v/>
      </c>
      <c r="F4140" s="48" t="inlineStr">
        <is>
          <t>Conseiller clientèle des particuliers et des professionnels en banque et assurance</t>
        </is>
      </c>
      <c r="G4140" s="49">
        <f>E4140&amp;" - "&amp;F4140</f>
        <v/>
      </c>
      <c r="H4140" s="36" t="inlineStr">
        <is>
          <t>RAS</t>
        </is>
      </c>
      <c r="I4140" s="45" t="inlineStr"/>
      <c r="J4140" s="45" t="inlineStr">
        <is>
          <t>RNCP41716</t>
        </is>
      </c>
      <c r="K4140" s="45" t="inlineStr">
        <is>
          <t>Conseiller clientèle des particuliers et des professionnels en banque et assurance</t>
        </is>
      </c>
      <c r="L4140" s="45" t="inlineStr">
        <is>
          <t>27/11/2030</t>
        </is>
      </c>
      <c r="M4140" s="45" t="inlineStr">
        <is>
          <t>41054 (Banque assurance)</t>
        </is>
      </c>
      <c r="N4140" s="50" t="inlineStr">
        <is>
          <t>NON</t>
        </is>
      </c>
      <c r="O4140" s="45" t="inlineStr"/>
    </row>
    <row r="4141" customFormat="1" s="3">
      <c r="A4141" s="51" t="n"/>
      <c r="B4141" s="52" t="inlineStr">
        <is>
          <t>41036</t>
        </is>
      </c>
      <c r="C4141" s="52">
        <f>LEFT(Tableau1[[#This Row],[Formacode]],3)</f>
        <v/>
      </c>
      <c r="D4141" s="53" t="n">
        <v>36012</v>
      </c>
      <c r="E4141" s="54">
        <f>"RNCP"&amp;D4141</f>
        <v/>
      </c>
      <c r="F4141" s="54" t="inlineStr">
        <is>
          <t>Manager de l'assurance</t>
        </is>
      </c>
      <c r="G4141" s="55">
        <f>E4141&amp;" - "&amp;F4141</f>
        <v/>
      </c>
      <c r="H4141" s="37" t="inlineStr">
        <is>
          <t>À vérifier</t>
        </is>
      </c>
      <c r="I4141" s="51" t="inlineStr">
        <is>
          <t>Échéance le 10/11/2026 (dans 115 j)</t>
        </is>
      </c>
      <c r="J4141" s="51" t="inlineStr">
        <is>
          <t>RNCP36012</t>
        </is>
      </c>
      <c r="K4141" s="51" t="inlineStr">
        <is>
          <t>Manager de l'assurance</t>
        </is>
      </c>
      <c r="L4141" s="51" t="inlineStr">
        <is>
          <t>10/11/2026</t>
        </is>
      </c>
      <c r="M4141" s="51" t="inlineStr">
        <is>
          <t>41036 (Assurance)</t>
        </is>
      </c>
      <c r="N4141" s="62" t="inlineStr">
        <is>
          <t>NON</t>
        </is>
      </c>
      <c r="O4141" s="51" t="inlineStr"/>
    </row>
    <row r="4142" customFormat="1" s="3">
      <c r="A4142" s="45" t="n"/>
      <c r="B4142" s="46" t="inlineStr">
        <is>
          <t>41036</t>
        </is>
      </c>
      <c r="C4142" s="46">
        <f>LEFT(Tableau1[[#This Row],[Formacode]],3)</f>
        <v/>
      </c>
      <c r="D4142" s="47" t="n">
        <v>36978</v>
      </c>
      <c r="E4142" s="48">
        <f>"RNCP"&amp;D4142</f>
        <v/>
      </c>
      <c r="F4142" s="48" t="inlineStr">
        <is>
          <t>Responsable de clientèle banque finance assurance</t>
        </is>
      </c>
      <c r="G4142" s="49">
        <f>E4142&amp;" - "&amp;F4142</f>
        <v/>
      </c>
      <c r="H4142" s="36" t="inlineStr">
        <is>
          <t>RAS</t>
        </is>
      </c>
      <c r="I4142" s="45" t="inlineStr"/>
      <c r="J4142" s="45" t="inlineStr">
        <is>
          <t>RNCP36978</t>
        </is>
      </c>
      <c r="K4142" s="45" t="inlineStr">
        <is>
          <t>Responsable de clientèle banque finance assurance</t>
        </is>
      </c>
      <c r="L4142" s="45" t="inlineStr">
        <is>
          <t>24/10/2027</t>
        </is>
      </c>
      <c r="M4142" s="45" t="inlineStr">
        <is>
          <t>41037 (Vente assurance) ; 34076 (Gestion relation client)</t>
        </is>
      </c>
      <c r="N4142" s="50" t="inlineStr">
        <is>
          <t>NON</t>
        </is>
      </c>
      <c r="O4142" s="45" t="inlineStr"/>
    </row>
    <row r="4143" customFormat="1" s="3">
      <c r="A4143" s="63" t="n"/>
      <c r="B4143" s="64" t="inlineStr">
        <is>
          <t>41036</t>
        </is>
      </c>
      <c r="C4143" s="64">
        <f>LEFT(Tableau1[[#This Row],[Formacode]],3)</f>
        <v/>
      </c>
      <c r="D4143" s="65" t="n">
        <v>37349</v>
      </c>
      <c r="E4143" s="66">
        <f>"RNCP"&amp;D4143</f>
        <v/>
      </c>
      <c r="F4143" s="66" t="inlineStr">
        <is>
          <t>Manager des risques et de l'assurance de l'entreprise</t>
        </is>
      </c>
      <c r="G4143" s="67">
        <f>E4143&amp;" - "&amp;F4143</f>
        <v/>
      </c>
      <c r="H4143" s="38" t="inlineStr">
        <is>
          <t>Expiré / remplacé</t>
        </is>
      </c>
      <c r="I4143" s="63" t="inlineStr">
        <is>
          <t>Fiche inactive — remplacée par RNCP42465 (Manager des risques et des assurances de l'entreprise)</t>
        </is>
      </c>
      <c r="J4143" s="63" t="inlineStr">
        <is>
          <t>RNCP42465</t>
        </is>
      </c>
      <c r="K4143" s="63" t="inlineStr">
        <is>
          <t>Manager des risques et des assurances de l'entreprise</t>
        </is>
      </c>
      <c r="L4143" s="63" t="inlineStr">
        <is>
          <t>17/02/2026</t>
        </is>
      </c>
      <c r="M4143" s="63" t="inlineStr">
        <is>
          <t>41049 (Assurance entreprise)</t>
        </is>
      </c>
      <c r="N4143" s="68" t="inlineStr">
        <is>
          <t>NON</t>
        </is>
      </c>
      <c r="O4143" s="63" t="inlineStr"/>
    </row>
    <row r="4144" customFormat="1" s="3">
      <c r="A4144" s="45" t="n"/>
      <c r="B4144" s="46" t="inlineStr">
        <is>
          <t>41036</t>
        </is>
      </c>
      <c r="C4144" s="46">
        <f>LEFT(Tableau1[[#This Row],[Formacode]],3)</f>
        <v/>
      </c>
      <c r="D4144" s="47" t="n">
        <v>38359</v>
      </c>
      <c r="E4144" s="48">
        <f>"RNCP"&amp;D4144</f>
        <v/>
      </c>
      <c r="F4144" s="48" t="inlineStr">
        <is>
          <t>BTS - Assurance</t>
        </is>
      </c>
      <c r="G4144" s="49">
        <f>E4144&amp;" - "&amp;F4144</f>
        <v/>
      </c>
      <c r="H4144" s="36" t="inlineStr">
        <is>
          <t>RAS</t>
        </is>
      </c>
      <c r="I4144" s="45" t="inlineStr"/>
      <c r="J4144" s="45" t="inlineStr">
        <is>
          <t>RNCP38359</t>
        </is>
      </c>
      <c r="K4144" s="45" t="inlineStr">
        <is>
          <t>Assurance</t>
        </is>
      </c>
      <c r="L4144" s="45" t="inlineStr">
        <is>
          <t>31/12/2027</t>
        </is>
      </c>
      <c r="M4144" s="45" t="inlineStr">
        <is>
          <t>41036 (Assurance)</t>
        </is>
      </c>
      <c r="N4144" s="50" t="inlineStr">
        <is>
          <t>NON</t>
        </is>
      </c>
      <c r="O4144" s="45" t="inlineStr"/>
    </row>
    <row r="4145" customFormat="1" s="3">
      <c r="A4145" s="45" t="n"/>
      <c r="B4145" s="46" t="inlineStr">
        <is>
          <t>41036</t>
        </is>
      </c>
      <c r="C4145" s="46">
        <f>LEFT(Tableau1[[#This Row],[Formacode]],3)</f>
        <v/>
      </c>
      <c r="D4145" s="47" t="n">
        <v>39619</v>
      </c>
      <c r="E4145" s="48">
        <f>"RNCP"&amp;D4145</f>
        <v/>
      </c>
      <c r="F4145" s="48" t="inlineStr">
        <is>
          <t>Conseiller financier</t>
        </is>
      </c>
      <c r="G4145" s="49">
        <f>E4145&amp;" - "&amp;F4145</f>
        <v/>
      </c>
      <c r="H4145" s="36" t="inlineStr">
        <is>
          <t>RAS</t>
        </is>
      </c>
      <c r="I4145" s="45" t="inlineStr"/>
      <c r="J4145" s="45" t="inlineStr">
        <is>
          <t>RNCP39619</t>
        </is>
      </c>
      <c r="K4145" s="45" t="inlineStr">
        <is>
          <t>Conseiller financier</t>
        </is>
      </c>
      <c r="L4145" s="45" t="inlineStr">
        <is>
          <t>01/10/2029</t>
        </is>
      </c>
      <c r="M4145" s="45" t="inlineStr">
        <is>
          <t>41054 (Banque assurance)</t>
        </is>
      </c>
      <c r="N4145" s="50" t="inlineStr">
        <is>
          <t>NON</t>
        </is>
      </c>
      <c r="O4145" s="45" t="inlineStr"/>
    </row>
    <row r="4146" customFormat="1" s="3">
      <c r="A4146" s="45" t="n"/>
      <c r="B4146" s="46" t="inlineStr">
        <is>
          <t>41036</t>
        </is>
      </c>
      <c r="C4146" s="46">
        <f>LEFT(Tableau1[[#This Row],[Formacode]],3)</f>
        <v/>
      </c>
      <c r="D4146" s="47" t="n">
        <v>40253</v>
      </c>
      <c r="E4146" s="48">
        <f>"RNCP"&amp;D4146</f>
        <v/>
      </c>
      <c r="F4146" s="48" t="inlineStr">
        <is>
          <t>Chargé de clientèles en assurance et banque</t>
        </is>
      </c>
      <c r="G4146" s="49">
        <f>E4146&amp;" - "&amp;F4146</f>
        <v/>
      </c>
      <c r="H4146" s="36" t="inlineStr">
        <is>
          <t>RAS</t>
        </is>
      </c>
      <c r="I4146" s="45" t="inlineStr"/>
      <c r="J4146" s="45" t="inlineStr">
        <is>
          <t>RNCP40253</t>
        </is>
      </c>
      <c r="K4146" s="45" t="inlineStr">
        <is>
          <t>Chargé de clientèles en assurance et banque</t>
        </is>
      </c>
      <c r="L4146" s="45" t="inlineStr">
        <is>
          <t>28/02/2030</t>
        </is>
      </c>
      <c r="M4146" s="45" t="inlineStr">
        <is>
          <t>41054 (Banque assurance)</t>
        </is>
      </c>
      <c r="N4146" s="50" t="inlineStr">
        <is>
          <t>NON</t>
        </is>
      </c>
      <c r="O4146" s="45" t="inlineStr"/>
    </row>
    <row r="4147" customFormat="1" s="3">
      <c r="A4147" s="45" t="n"/>
      <c r="B4147" s="46" t="inlineStr">
        <is>
          <t>41036</t>
        </is>
      </c>
      <c r="C4147" s="46">
        <f>LEFT(Tableau1[[#This Row],[Formacode]],3)</f>
        <v/>
      </c>
      <c r="D4147" s="47" t="n">
        <v>41716</v>
      </c>
      <c r="E4147" s="48">
        <f>"RNCP"&amp;D4147</f>
        <v/>
      </c>
      <c r="F4147" s="48" t="inlineStr">
        <is>
          <t>Conseiller clientèle des particuliers et des professionnels en banque et assurance</t>
        </is>
      </c>
      <c r="G4147" s="49">
        <f>E4147&amp;" - "&amp;F4147</f>
        <v/>
      </c>
      <c r="H4147" s="36" t="inlineStr">
        <is>
          <t>RAS</t>
        </is>
      </c>
      <c r="I4147" s="45" t="inlineStr"/>
      <c r="J4147" s="45" t="inlineStr">
        <is>
          <t>RNCP41716</t>
        </is>
      </c>
      <c r="K4147" s="45" t="inlineStr">
        <is>
          <t>Conseiller clientèle des particuliers et des professionnels en banque et assurance</t>
        </is>
      </c>
      <c r="L4147" s="45" t="inlineStr">
        <is>
          <t>27/11/2030</t>
        </is>
      </c>
      <c r="M4147" s="45" t="inlineStr">
        <is>
          <t>41054 (Banque assurance)</t>
        </is>
      </c>
      <c r="N4147" s="50" t="inlineStr">
        <is>
          <t>NON</t>
        </is>
      </c>
      <c r="O4147" s="45" t="inlineStr"/>
    </row>
    <row r="4148" customFormat="1" s="3">
      <c r="A4148" s="51" t="n"/>
      <c r="B4148" s="52" t="inlineStr">
        <is>
          <t>41062</t>
        </is>
      </c>
      <c r="C4148" s="52">
        <f>LEFT(Tableau1[[#This Row],[Formacode]],3)</f>
        <v/>
      </c>
      <c r="D4148" s="53" t="n">
        <v>36074</v>
      </c>
      <c r="E4148" s="54">
        <f>"RNCP"&amp;D4148</f>
        <v/>
      </c>
      <c r="F4148" s="54" t="inlineStr">
        <is>
          <t>Expert conseil en gestion de patrimoine</t>
        </is>
      </c>
      <c r="G4148" s="55">
        <f>E4148&amp;" - "&amp;F4148</f>
        <v/>
      </c>
      <c r="H4148" s="37" t="inlineStr">
        <is>
          <t>À vérifier</t>
        </is>
      </c>
      <c r="I4148" s="51" t="inlineStr">
        <is>
          <t>Échéance le 15/12/2026 (dans 150 j)</t>
        </is>
      </c>
      <c r="J4148" s="51" t="inlineStr">
        <is>
          <t>RNCP36074</t>
        </is>
      </c>
      <c r="K4148" s="51" t="inlineStr">
        <is>
          <t>Expert conseil en gestion de patrimoine</t>
        </is>
      </c>
      <c r="L4148" s="51" t="inlineStr">
        <is>
          <t>15/12/2026</t>
        </is>
      </c>
      <c r="M4148" s="51" t="inlineStr">
        <is>
          <t>41014 (Gestion patrimoine)</t>
        </is>
      </c>
      <c r="N4148" s="62" t="inlineStr">
        <is>
          <t>NON</t>
        </is>
      </c>
      <c r="O4148" s="51" t="inlineStr"/>
    </row>
    <row r="4149" customFormat="1" s="3">
      <c r="A4149" s="45" t="n"/>
      <c r="B4149" s="46" t="inlineStr">
        <is>
          <t>41062</t>
        </is>
      </c>
      <c r="C4149" s="46">
        <f>LEFT(Tableau1[[#This Row],[Formacode]],3)</f>
        <v/>
      </c>
      <c r="D4149" s="47" t="n">
        <v>36911</v>
      </c>
      <c r="E4149" s="48">
        <f>"RNCP"&amp;D4149</f>
        <v/>
      </c>
      <c r="F4149" s="48" t="inlineStr">
        <is>
          <t>Expert en Ingénierie patrimoniale</t>
        </is>
      </c>
      <c r="G4149" s="49">
        <f>E4149&amp;" - "&amp;F4149</f>
        <v/>
      </c>
      <c r="H4149" s="36" t="inlineStr">
        <is>
          <t>RAS</t>
        </is>
      </c>
      <c r="I4149" s="45" t="inlineStr"/>
      <c r="J4149" s="45" t="inlineStr">
        <is>
          <t>RNCP36911</t>
        </is>
      </c>
      <c r="K4149" s="45" t="inlineStr">
        <is>
          <t>Expert en Ingénierie patrimoniale</t>
        </is>
      </c>
      <c r="L4149" s="45" t="inlineStr">
        <is>
          <t>29/09/2027</t>
        </is>
      </c>
      <c r="M4149" s="45" t="inlineStr">
        <is>
          <t>41014 (Gestion patrimoine)</t>
        </is>
      </c>
      <c r="N4149" s="50" t="inlineStr">
        <is>
          <t>NON</t>
        </is>
      </c>
      <c r="O4149" s="45" t="inlineStr"/>
    </row>
    <row r="4150" customFormat="1" s="3">
      <c r="A4150" s="45" t="n"/>
      <c r="B4150" s="46" t="inlineStr">
        <is>
          <t>41062</t>
        </is>
      </c>
      <c r="C4150" s="46">
        <f>LEFT(Tableau1[[#This Row],[Formacode]],3)</f>
        <v/>
      </c>
      <c r="D4150" s="47" t="n">
        <v>38236</v>
      </c>
      <c r="E4150" s="48">
        <f>"RNCP"&amp;D4150</f>
        <v/>
      </c>
      <c r="F4150" s="48" t="inlineStr">
        <is>
          <t>Directeur financier</t>
        </is>
      </c>
      <c r="G4150" s="49">
        <f>E4150&amp;" - "&amp;F4150</f>
        <v/>
      </c>
      <c r="H4150" s="36" t="inlineStr">
        <is>
          <t>RAS</t>
        </is>
      </c>
      <c r="I4150" s="45" t="inlineStr"/>
      <c r="J4150" s="45" t="inlineStr">
        <is>
          <t>RNCP38236</t>
        </is>
      </c>
      <c r="K4150" s="45" t="inlineStr">
        <is>
          <t>Directeur financier</t>
        </is>
      </c>
      <c r="L4150" s="45" t="inlineStr">
        <is>
          <t>15/11/2028</t>
        </is>
      </c>
      <c r="M4150" s="45" t="inlineStr">
        <is>
          <t>32626 (Analyse financière) ; 32623 (Financement entreprise) ; 41023 (Marché financier)</t>
        </is>
      </c>
      <c r="N4150" s="50" t="inlineStr">
        <is>
          <t>NON</t>
        </is>
      </c>
      <c r="O4150" s="45" t="inlineStr"/>
    </row>
    <row r="4151" customFormat="1" s="3">
      <c r="A4151" s="45" t="n"/>
      <c r="B4151" s="46" t="inlineStr">
        <is>
          <t>41062</t>
        </is>
      </c>
      <c r="C4151" s="46">
        <f>LEFT(Tableau1[[#This Row],[Formacode]],3)</f>
        <v/>
      </c>
      <c r="D4151" s="47" t="n">
        <v>38381</v>
      </c>
      <c r="E4151" s="48">
        <f>"RNCP"&amp;D4151</f>
        <v/>
      </c>
      <c r="F4151" s="48" t="inlineStr">
        <is>
          <t>BTS - Banque</t>
        </is>
      </c>
      <c r="G4151" s="49">
        <f>E4151&amp;" - "&amp;F4151</f>
        <v/>
      </c>
      <c r="H4151" s="36" t="inlineStr">
        <is>
          <t>RAS</t>
        </is>
      </c>
      <c r="I4151" s="45" t="inlineStr"/>
      <c r="J4151" s="45" t="inlineStr">
        <is>
          <t>RNCP38381</t>
        </is>
      </c>
      <c r="K4151" s="45" t="inlineStr">
        <is>
          <t>Banque</t>
        </is>
      </c>
      <c r="L4151" s="45" t="inlineStr">
        <is>
          <t>31/12/2028</t>
        </is>
      </c>
      <c r="M4151" s="45" t="inlineStr">
        <is>
          <t>41083 (Clientèle particulier)</t>
        </is>
      </c>
      <c r="N4151" s="50" t="inlineStr">
        <is>
          <t>NON</t>
        </is>
      </c>
      <c r="O4151" s="45" t="inlineStr"/>
    </row>
    <row r="4152" customFormat="1" s="3">
      <c r="A4152" s="45" t="n"/>
      <c r="B4152" s="46" t="inlineStr">
        <is>
          <t>41062</t>
        </is>
      </c>
      <c r="C4152" s="46">
        <f>LEFT(Tableau1[[#This Row],[Formacode]],3)</f>
        <v/>
      </c>
      <c r="D4152" s="47" t="n">
        <v>38815</v>
      </c>
      <c r="E4152" s="48">
        <f>"RNCP"&amp;D4152</f>
        <v/>
      </c>
      <c r="F4152" s="48" t="inlineStr">
        <is>
          <t>Conseiller clientèle omnicanal bancassurance</t>
        </is>
      </c>
      <c r="G4152" s="49">
        <f>E4152&amp;" - "&amp;F4152</f>
        <v/>
      </c>
      <c r="H4152" s="36" t="inlineStr">
        <is>
          <t>RAS</t>
        </is>
      </c>
      <c r="I4152" s="45" t="inlineStr"/>
      <c r="J4152" s="45" t="inlineStr">
        <is>
          <t>RNCP38815</t>
        </is>
      </c>
      <c r="K4152" s="45" t="inlineStr">
        <is>
          <t>Conseiller clientèle omnicanal bancassurance</t>
        </is>
      </c>
      <c r="L4152" s="45" t="inlineStr">
        <is>
          <t>27/03/2027</t>
        </is>
      </c>
      <c r="M4152" s="45" t="inlineStr">
        <is>
          <t>41083 (Clientèle particulier) ; 41075 (Service bancaire) ; 41092 (Clientèle entreprise)</t>
        </is>
      </c>
      <c r="N4152" s="50" t="inlineStr">
        <is>
          <t>NON</t>
        </is>
      </c>
      <c r="O4152" s="45" t="inlineStr"/>
    </row>
    <row r="4153" customFormat="1" s="3">
      <c r="A4153" s="45" t="n"/>
      <c r="B4153" s="46" t="inlineStr">
        <is>
          <t>41062</t>
        </is>
      </c>
      <c r="C4153" s="46">
        <f>LEFT(Tableau1[[#This Row],[Formacode]],3)</f>
        <v/>
      </c>
      <c r="D4153" s="47" t="n">
        <v>38949</v>
      </c>
      <c r="E4153" s="48">
        <f>"RNCP"&amp;D4153</f>
        <v/>
      </c>
      <c r="F4153" s="48" t="inlineStr">
        <is>
          <t>Expert conseil en gestion de patrimoine</t>
        </is>
      </c>
      <c r="G4153" s="49">
        <f>E4153&amp;" - "&amp;F4153</f>
        <v/>
      </c>
      <c r="H4153" s="36" t="inlineStr">
        <is>
          <t>RAS</t>
        </is>
      </c>
      <c r="I4153" s="45" t="inlineStr"/>
      <c r="J4153" s="45" t="inlineStr">
        <is>
          <t>RNCP38949</t>
        </is>
      </c>
      <c r="K4153" s="45" t="inlineStr">
        <is>
          <t>Expert conseil en gestion de patrimoine</t>
        </is>
      </c>
      <c r="L4153" s="45" t="inlineStr">
        <is>
          <t>26/04/2028</t>
        </is>
      </c>
      <c r="M4153" s="45" t="inlineStr">
        <is>
          <t>41014 (Gestion patrimoine)</t>
        </is>
      </c>
      <c r="N4153" s="50" t="inlineStr">
        <is>
          <t>NON</t>
        </is>
      </c>
      <c r="O4153" s="45" t="inlineStr"/>
    </row>
    <row r="4154" customFormat="1" s="3">
      <c r="A4154" s="45" t="n"/>
      <c r="B4154" s="46" t="inlineStr">
        <is>
          <t>41062</t>
        </is>
      </c>
      <c r="C4154" s="46">
        <f>LEFT(Tableau1[[#This Row],[Formacode]],3)</f>
        <v/>
      </c>
      <c r="D4154" s="47" t="n">
        <v>39109</v>
      </c>
      <c r="E4154" s="48">
        <f>"RNCP"&amp;D4154</f>
        <v/>
      </c>
      <c r="F4154" s="48" t="inlineStr">
        <is>
          <t>Conseiller clientèle en banque et assurance</t>
        </is>
      </c>
      <c r="G4154" s="49">
        <f>E4154&amp;" - "&amp;F4154</f>
        <v/>
      </c>
      <c r="H4154" s="36" t="inlineStr">
        <is>
          <t>RAS</t>
        </is>
      </c>
      <c r="I4154" s="45" t="inlineStr"/>
      <c r="J4154" s="45" t="inlineStr">
        <is>
          <t>RNCP39109</t>
        </is>
      </c>
      <c r="K4154" s="45" t="inlineStr">
        <is>
          <t>Conseiller clientèle en banque et assurance</t>
        </is>
      </c>
      <c r="L4154" s="45" t="inlineStr">
        <is>
          <t>31/05/2027</t>
        </is>
      </c>
      <c r="M4154" s="45" t="inlineStr">
        <is>
          <t>41062 (Banque)</t>
        </is>
      </c>
      <c r="N4154" s="50" t="inlineStr">
        <is>
          <t>NON</t>
        </is>
      </c>
      <c r="O4154" s="45" t="inlineStr"/>
    </row>
    <row r="4155" ht="28.8" customFormat="1" customHeight="1" s="3">
      <c r="A4155" s="45" t="n"/>
      <c r="B4155" s="46" t="inlineStr">
        <is>
          <t>41062</t>
        </is>
      </c>
      <c r="C4155" s="46">
        <f>LEFT(Tableau1[[#This Row],[Formacode]],3)</f>
        <v/>
      </c>
      <c r="D4155" s="47" t="n">
        <v>39571</v>
      </c>
      <c r="E4155" s="48">
        <f>"RNCP"&amp;D4155</f>
        <v/>
      </c>
      <c r="F4155" s="48" t="inlineStr">
        <is>
          <t>DipViGrM - Diplôme d’études supérieures en marketing, gestion commerciale et management international</t>
        </is>
      </c>
      <c r="G4155" s="49">
        <f>E4155&amp;" - "&amp;F4155</f>
        <v/>
      </c>
      <c r="H4155" s="36" t="inlineStr">
        <is>
          <t>RAS</t>
        </is>
      </c>
      <c r="I4155" s="45" t="inlineStr"/>
      <c r="J4155" s="45" t="inlineStr">
        <is>
          <t>RNCP39571</t>
        </is>
      </c>
      <c r="K4155" s="45" t="inlineStr">
        <is>
          <t>Diplôme d’études supérieures en marketing, gestion commerciale et management international</t>
        </is>
      </c>
      <c r="L4155" s="45" t="inlineStr">
        <is>
          <t>31/08/2027</t>
        </is>
      </c>
      <c r="M4155" s="45" t="inlineStr">
        <is>
          <t>34254 (Commerce international) ; 34016 (Marketing achat) ; 41023 (Marché financier) ; 34554 (Commerce)</t>
        </is>
      </c>
      <c r="N4155" s="50" t="inlineStr">
        <is>
          <t>NON</t>
        </is>
      </c>
      <c r="O4155" s="45" t="inlineStr"/>
    </row>
    <row r="4156" customFormat="1" s="3">
      <c r="A4156" s="45" t="n"/>
      <c r="B4156" s="46" t="inlineStr">
        <is>
          <t>41062</t>
        </is>
      </c>
      <c r="C4156" s="46">
        <f>LEFT(Tableau1[[#This Row],[Formacode]],3)</f>
        <v/>
      </c>
      <c r="D4156" s="47" t="n">
        <v>39610</v>
      </c>
      <c r="E4156" s="48">
        <f>"RNCP"&amp;D4156</f>
        <v/>
      </c>
      <c r="F4156" s="48" t="inlineStr">
        <is>
          <t>Conseiller de clientèle particulier et professionnel en banque et assurance</t>
        </is>
      </c>
      <c r="G4156" s="49">
        <f>E4156&amp;" - "&amp;F4156</f>
        <v/>
      </c>
      <c r="H4156" s="36" t="inlineStr">
        <is>
          <t>RAS</t>
        </is>
      </c>
      <c r="I4156" s="45" t="inlineStr"/>
      <c r="J4156" s="45" t="inlineStr">
        <is>
          <t>RNCP39610</t>
        </is>
      </c>
      <c r="K4156" s="45" t="inlineStr">
        <is>
          <t>Conseiller de clientèle particulier et professionnel en banque et assurance</t>
        </is>
      </c>
      <c r="L4156" s="45" t="inlineStr">
        <is>
          <t>01/10/2029</t>
        </is>
      </c>
      <c r="M4156" s="45" t="inlineStr">
        <is>
          <t>41092 (Clientèle entreprise) ; 41083 (Clientèle particulier)</t>
        </is>
      </c>
      <c r="N4156" s="50" t="inlineStr">
        <is>
          <t>NON</t>
        </is>
      </c>
      <c r="O4156" s="45" t="inlineStr"/>
    </row>
    <row r="4157" customFormat="1" s="3">
      <c r="A4157" s="45" t="n"/>
      <c r="B4157" s="46" t="inlineStr">
        <is>
          <t>41062</t>
        </is>
      </c>
      <c r="C4157" s="46">
        <f>LEFT(Tableau1[[#This Row],[Formacode]],3)</f>
        <v/>
      </c>
      <c r="D4157" s="47" t="n">
        <v>39619</v>
      </c>
      <c r="E4157" s="48">
        <f>"RNCP"&amp;D4157</f>
        <v/>
      </c>
      <c r="F4157" s="48" t="inlineStr">
        <is>
          <t>Conseiller financier</t>
        </is>
      </c>
      <c r="G4157" s="49">
        <f>E4157&amp;" - "&amp;F4157</f>
        <v/>
      </c>
      <c r="H4157" s="36" t="inlineStr">
        <is>
          <t>RAS</t>
        </is>
      </c>
      <c r="I4157" s="45" t="inlineStr"/>
      <c r="J4157" s="45" t="inlineStr">
        <is>
          <t>RNCP39619</t>
        </is>
      </c>
      <c r="K4157" s="45" t="inlineStr">
        <is>
          <t>Conseiller financier</t>
        </is>
      </c>
      <c r="L4157" s="45" t="inlineStr">
        <is>
          <t>01/10/2029</t>
        </is>
      </c>
      <c r="M4157" s="45" t="inlineStr">
        <is>
          <t>41054 (Banque assurance)</t>
        </is>
      </c>
      <c r="N4157" s="50" t="inlineStr">
        <is>
          <t>NON</t>
        </is>
      </c>
      <c r="O4157" s="45" t="inlineStr"/>
    </row>
    <row r="4158" customFormat="1" s="3">
      <c r="A4158" s="45" t="n"/>
      <c r="B4158" s="46" t="inlineStr">
        <is>
          <t>41062</t>
        </is>
      </c>
      <c r="C4158" s="46">
        <f>LEFT(Tableau1[[#This Row],[Formacode]],3)</f>
        <v/>
      </c>
      <c r="D4158" s="47" t="n">
        <v>40253</v>
      </c>
      <c r="E4158" s="48">
        <f>"RNCP"&amp;D4158</f>
        <v/>
      </c>
      <c r="F4158" s="48" t="inlineStr">
        <is>
          <t>Chargé de clientèles en assurance et banque</t>
        </is>
      </c>
      <c r="G4158" s="49">
        <f>E4158&amp;" - "&amp;F4158</f>
        <v/>
      </c>
      <c r="H4158" s="36" t="inlineStr">
        <is>
          <t>RAS</t>
        </is>
      </c>
      <c r="I4158" s="45" t="inlineStr"/>
      <c r="J4158" s="45" t="inlineStr">
        <is>
          <t>RNCP40253</t>
        </is>
      </c>
      <c r="K4158" s="45" t="inlineStr">
        <is>
          <t>Chargé de clientèles en assurance et banque</t>
        </is>
      </c>
      <c r="L4158" s="45" t="inlineStr">
        <is>
          <t>28/02/2030</t>
        </is>
      </c>
      <c r="M4158" s="45" t="inlineStr">
        <is>
          <t>41054 (Banque assurance)</t>
        </is>
      </c>
      <c r="N4158" s="50" t="inlineStr">
        <is>
          <t>NON</t>
        </is>
      </c>
      <c r="O4158" s="45" t="inlineStr"/>
    </row>
    <row r="4159" customFormat="1" s="3">
      <c r="A4159" s="45" t="n"/>
      <c r="B4159" s="46" t="inlineStr">
        <is>
          <t>41062</t>
        </is>
      </c>
      <c r="C4159" s="46">
        <f>LEFT(Tableau1[[#This Row],[Formacode]],3)</f>
        <v/>
      </c>
      <c r="D4159" s="47" t="n">
        <v>40361</v>
      </c>
      <c r="E4159" s="48">
        <f>"RNCP"&amp;D4159</f>
        <v/>
      </c>
      <c r="F4159" s="48" t="inlineStr">
        <is>
          <t>Expert en conseil patrimonial</t>
        </is>
      </c>
      <c r="G4159" s="49">
        <f>E4159&amp;" - "&amp;F4159</f>
        <v/>
      </c>
      <c r="H4159" s="36" t="inlineStr">
        <is>
          <t>RAS</t>
        </is>
      </c>
      <c r="I4159" s="45" t="inlineStr"/>
      <c r="J4159" s="45" t="inlineStr">
        <is>
          <t>RNCP40361</t>
        </is>
      </c>
      <c r="K4159" s="45" t="inlineStr">
        <is>
          <t>Expert en conseil patrimonial</t>
        </is>
      </c>
      <c r="L4159" s="45" t="inlineStr">
        <is>
          <t>28/03/2028</t>
        </is>
      </c>
      <c r="M4159" s="45" t="inlineStr">
        <is>
          <t>41014 (Gestion patrimoine) ; 42178 (Financement immobilier) ; 41023 (Marché financier) ; 13260 (Transmission entreprise)</t>
        </is>
      </c>
      <c r="N4159" s="50" t="inlineStr">
        <is>
          <t>NON</t>
        </is>
      </c>
      <c r="O4159" s="45" t="inlineStr"/>
    </row>
    <row r="4160" customFormat="1" s="3">
      <c r="A4160" s="45" t="n"/>
      <c r="B4160" s="46" t="inlineStr">
        <is>
          <t>41062</t>
        </is>
      </c>
      <c r="C4160" s="46">
        <f>LEFT(Tableau1[[#This Row],[Formacode]],3)</f>
        <v/>
      </c>
      <c r="D4160" s="47" t="n">
        <v>41117</v>
      </c>
      <c r="E4160" s="48">
        <f>"RNCP"&amp;D4160</f>
        <v/>
      </c>
      <c r="F4160" s="48" t="inlineStr">
        <is>
          <t>Expert en management immobilier</t>
        </is>
      </c>
      <c r="G4160" s="49">
        <f>E4160&amp;" - "&amp;F4160</f>
        <v/>
      </c>
      <c r="H4160" s="36" t="inlineStr">
        <is>
          <t>RAS</t>
        </is>
      </c>
      <c r="I4160" s="45" t="inlineStr"/>
      <c r="J4160" s="45" t="inlineStr">
        <is>
          <t>RNCP41117</t>
        </is>
      </c>
      <c r="K4160" s="45" t="inlineStr">
        <is>
          <t>Expert en management immobilier</t>
        </is>
      </c>
      <c r="L4160" s="45" t="inlineStr">
        <is>
          <t>18/07/2028</t>
        </is>
      </c>
      <c r="M4160" s="45" t="inlineStr">
        <is>
          <t>13321 (Fiscalité immobilière) ; 41014 (Gestion patrimoine) ; 42137 (Expertise immobilière) ; 42178 (Financement immobilier) ; 42133 (Gestion immobilière)</t>
        </is>
      </c>
      <c r="N4160" s="50" t="inlineStr">
        <is>
          <t>NON</t>
        </is>
      </c>
      <c r="O4160" s="45" t="inlineStr"/>
    </row>
    <row r="4161" customFormat="1" s="3">
      <c r="A4161" s="45" t="n"/>
      <c r="B4161" s="46" t="inlineStr">
        <is>
          <t>41062</t>
        </is>
      </c>
      <c r="C4161" s="46">
        <f>LEFT(Tableau1[[#This Row],[Formacode]],3)</f>
        <v/>
      </c>
      <c r="D4161" s="47" t="n">
        <v>41121</v>
      </c>
      <c r="E4161" s="48">
        <f>"RNCP"&amp;D4161</f>
        <v/>
      </c>
      <c r="F4161" s="48" t="inlineStr">
        <is>
          <t>Gestionnaire de patrimoine</t>
        </is>
      </c>
      <c r="G4161" s="49">
        <f>E4161&amp;" - "&amp;F4161</f>
        <v/>
      </c>
      <c r="H4161" s="36" t="inlineStr">
        <is>
          <t>RAS</t>
        </is>
      </c>
      <c r="I4161" s="45" t="inlineStr"/>
      <c r="J4161" s="45" t="inlineStr">
        <is>
          <t>RNCP41121</t>
        </is>
      </c>
      <c r="K4161" s="45" t="inlineStr">
        <is>
          <t>Gestionnaire de patrimoine</t>
        </is>
      </c>
      <c r="L4161" s="45" t="inlineStr">
        <is>
          <t>18/07/2028</t>
        </is>
      </c>
      <c r="M4161" s="45" t="inlineStr">
        <is>
          <t>41014 (Gestion patrimoine) ; 42178 (Financement immobilier) ; 13321 (Fiscalité immobilière) ; 42137 (Expertise immobilière) ; 42133 (Gestion immobilière)</t>
        </is>
      </c>
      <c r="N4161" s="50" t="inlineStr">
        <is>
          <t>NON</t>
        </is>
      </c>
      <c r="O4161" s="45" t="inlineStr"/>
    </row>
    <row r="4162" customFormat="1" s="3">
      <c r="A4162" s="45" t="n"/>
      <c r="B4162" s="46" t="inlineStr">
        <is>
          <t>41062</t>
        </is>
      </c>
      <c r="C4162" s="46">
        <f>LEFT(Tableau1[[#This Row],[Formacode]],3)</f>
        <v/>
      </c>
      <c r="D4162" s="47" t="n">
        <v>41716</v>
      </c>
      <c r="E4162" s="48">
        <f>"RNCP"&amp;D4162</f>
        <v/>
      </c>
      <c r="F4162" s="48" t="inlineStr">
        <is>
          <t>Conseiller clientèle des particuliers et des professionnels en banque et assurance</t>
        </is>
      </c>
      <c r="G4162" s="49">
        <f>E4162&amp;" - "&amp;F4162</f>
        <v/>
      </c>
      <c r="H4162" s="36" t="inlineStr">
        <is>
          <t>RAS</t>
        </is>
      </c>
      <c r="I4162" s="45" t="inlineStr"/>
      <c r="J4162" s="45" t="inlineStr">
        <is>
          <t>RNCP41716</t>
        </is>
      </c>
      <c r="K4162" s="45" t="inlineStr">
        <is>
          <t>Conseiller clientèle des particuliers et des professionnels en banque et assurance</t>
        </is>
      </c>
      <c r="L4162" s="45" t="inlineStr">
        <is>
          <t>27/11/2030</t>
        </is>
      </c>
      <c r="M4162" s="45" t="inlineStr">
        <is>
          <t>41054 (Banque assurance)</t>
        </is>
      </c>
      <c r="N4162" s="50" t="inlineStr">
        <is>
          <t>NON</t>
        </is>
      </c>
      <c r="O4162" s="45" t="inlineStr"/>
    </row>
    <row r="4163" customFormat="1" s="3">
      <c r="A4163" s="45" t="n"/>
      <c r="B4163" s="46" t="inlineStr">
        <is>
          <t>41077</t>
        </is>
      </c>
      <c r="C4163" s="46">
        <f>LEFT(Tableau1[[#This Row],[Formacode]],3)</f>
        <v/>
      </c>
      <c r="D4163" s="47" t="n">
        <v>39619</v>
      </c>
      <c r="E4163" s="48">
        <f>"RNCP"&amp;D4163</f>
        <v/>
      </c>
      <c r="F4163" s="48" t="inlineStr">
        <is>
          <t>Conseiller financier</t>
        </is>
      </c>
      <c r="G4163" s="49">
        <f>E4163&amp;" - "&amp;F4163</f>
        <v/>
      </c>
      <c r="H4163" s="36" t="inlineStr">
        <is>
          <t>RAS</t>
        </is>
      </c>
      <c r="I4163" s="45" t="inlineStr"/>
      <c r="J4163" s="45" t="inlineStr">
        <is>
          <t>RNCP39619</t>
        </is>
      </c>
      <c r="K4163" s="45" t="inlineStr">
        <is>
          <t>Conseiller financier</t>
        </is>
      </c>
      <c r="L4163" s="45" t="inlineStr">
        <is>
          <t>01/10/2029</t>
        </is>
      </c>
      <c r="M4163" s="45" t="inlineStr">
        <is>
          <t>41054 (Banque assurance)</t>
        </is>
      </c>
      <c r="N4163" s="50" t="inlineStr">
        <is>
          <t>NON</t>
        </is>
      </c>
      <c r="O4163" s="45" t="inlineStr"/>
    </row>
    <row r="4164" customFormat="1" s="3">
      <c r="A4164" s="45" t="n"/>
      <c r="B4164" s="46" t="inlineStr">
        <is>
          <t>41077</t>
        </is>
      </c>
      <c r="C4164" s="46">
        <f>LEFT(Tableau1[[#This Row],[Formacode]],3)</f>
        <v/>
      </c>
      <c r="D4164" s="47" t="n">
        <v>40253</v>
      </c>
      <c r="E4164" s="48">
        <f>"RNCP"&amp;D4164</f>
        <v/>
      </c>
      <c r="F4164" s="48" t="inlineStr">
        <is>
          <t>Chargé de clientèles en assurance et banque</t>
        </is>
      </c>
      <c r="G4164" s="49">
        <f>E4164&amp;" - "&amp;F4164</f>
        <v/>
      </c>
      <c r="H4164" s="36" t="inlineStr">
        <is>
          <t>RAS</t>
        </is>
      </c>
      <c r="I4164" s="45" t="inlineStr"/>
      <c r="J4164" s="45" t="inlineStr">
        <is>
          <t>RNCP40253</t>
        </is>
      </c>
      <c r="K4164" s="45" t="inlineStr">
        <is>
          <t>Chargé de clientèles en assurance et banque</t>
        </is>
      </c>
      <c r="L4164" s="45" t="inlineStr">
        <is>
          <t>28/02/2030</t>
        </is>
      </c>
      <c r="M4164" s="45" t="inlineStr">
        <is>
          <t>41054 (Banque assurance)</t>
        </is>
      </c>
      <c r="N4164" s="50" t="inlineStr">
        <is>
          <t>NON</t>
        </is>
      </c>
      <c r="O4164" s="45" t="inlineStr"/>
    </row>
    <row r="4165" customFormat="1" s="3">
      <c r="A4165" s="45" t="n"/>
      <c r="B4165" s="46" t="inlineStr">
        <is>
          <t>41077</t>
        </is>
      </c>
      <c r="C4165" s="46">
        <f>LEFT(Tableau1[[#This Row],[Formacode]],3)</f>
        <v/>
      </c>
      <c r="D4165" s="47" t="n">
        <v>41716</v>
      </c>
      <c r="E4165" s="48">
        <f>"RNCP"&amp;D4165</f>
        <v/>
      </c>
      <c r="F4165" s="48" t="inlineStr">
        <is>
          <t>Conseiller clientèle des particuliers et des professionnels en banque et assurance</t>
        </is>
      </c>
      <c r="G4165" s="49">
        <f>E4165&amp;" - "&amp;F4165</f>
        <v/>
      </c>
      <c r="H4165" s="36" t="inlineStr">
        <is>
          <t>RAS</t>
        </is>
      </c>
      <c r="I4165" s="45" t="inlineStr"/>
      <c r="J4165" s="45" t="inlineStr">
        <is>
          <t>RNCP41716</t>
        </is>
      </c>
      <c r="K4165" s="45" t="inlineStr">
        <is>
          <t>Conseiller clientèle des particuliers et des professionnels en banque et assurance</t>
        </is>
      </c>
      <c r="L4165" s="45" t="inlineStr">
        <is>
          <t>27/11/2030</t>
        </is>
      </c>
      <c r="M4165" s="45" t="inlineStr">
        <is>
          <t>41054 (Banque assurance)</t>
        </is>
      </c>
      <c r="N4165" s="50" t="inlineStr">
        <is>
          <t>NON</t>
        </is>
      </c>
      <c r="O4165" s="45" t="inlineStr"/>
    </row>
    <row r="4166" customFormat="1" s="3">
      <c r="A4166" s="45" t="n"/>
      <c r="B4166" s="46" t="inlineStr">
        <is>
          <t>41079</t>
        </is>
      </c>
      <c r="C4166" s="46">
        <f>LEFT(Tableau1[[#This Row],[Formacode]],3)</f>
        <v/>
      </c>
      <c r="D4166" s="47" t="n">
        <v>39619</v>
      </c>
      <c r="E4166" s="48">
        <f>"RNCP"&amp;D4166</f>
        <v/>
      </c>
      <c r="F4166" s="48" t="inlineStr">
        <is>
          <t>Conseiller financier</t>
        </is>
      </c>
      <c r="G4166" s="49">
        <f>E4166&amp;" - "&amp;F4166</f>
        <v/>
      </c>
      <c r="H4166" s="36" t="inlineStr">
        <is>
          <t>RAS</t>
        </is>
      </c>
      <c r="I4166" s="45" t="inlineStr"/>
      <c r="J4166" s="45" t="inlineStr">
        <is>
          <t>RNCP39619</t>
        </is>
      </c>
      <c r="K4166" s="45" t="inlineStr">
        <is>
          <t>Conseiller financier</t>
        </is>
      </c>
      <c r="L4166" s="45" t="inlineStr">
        <is>
          <t>01/10/2029</t>
        </is>
      </c>
      <c r="M4166" s="45" t="inlineStr">
        <is>
          <t>41054 (Banque assurance)</t>
        </is>
      </c>
      <c r="N4166" s="50" t="inlineStr">
        <is>
          <t>NON</t>
        </is>
      </c>
      <c r="O4166" s="45" t="inlineStr"/>
    </row>
    <row r="4167" customFormat="1" s="3">
      <c r="A4167" s="45" t="n"/>
      <c r="B4167" s="46" t="inlineStr">
        <is>
          <t>41079</t>
        </is>
      </c>
      <c r="C4167" s="46">
        <f>LEFT(Tableau1[[#This Row],[Formacode]],3)</f>
        <v/>
      </c>
      <c r="D4167" s="47" t="n">
        <v>40253</v>
      </c>
      <c r="E4167" s="48">
        <f>"RNCP"&amp;D4167</f>
        <v/>
      </c>
      <c r="F4167" s="48" t="inlineStr">
        <is>
          <t>Chargé de clientèles en assurance et banque</t>
        </is>
      </c>
      <c r="G4167" s="49">
        <f>E4167&amp;" - "&amp;F4167</f>
        <v/>
      </c>
      <c r="H4167" s="36" t="inlineStr">
        <is>
          <t>RAS</t>
        </is>
      </c>
      <c r="I4167" s="45" t="inlineStr"/>
      <c r="J4167" s="45" t="inlineStr">
        <is>
          <t>RNCP40253</t>
        </is>
      </c>
      <c r="K4167" s="45" t="inlineStr">
        <is>
          <t>Chargé de clientèles en assurance et banque</t>
        </is>
      </c>
      <c r="L4167" s="45" t="inlineStr">
        <is>
          <t>28/02/2030</t>
        </is>
      </c>
      <c r="M4167" s="45" t="inlineStr">
        <is>
          <t>41054 (Banque assurance)</t>
        </is>
      </c>
      <c r="N4167" s="50" t="inlineStr">
        <is>
          <t>NON</t>
        </is>
      </c>
      <c r="O4167" s="45" t="inlineStr"/>
    </row>
    <row r="4168" customFormat="1" s="3">
      <c r="A4168" s="45" t="n"/>
      <c r="B4168" s="46" t="inlineStr">
        <is>
          <t>41079</t>
        </is>
      </c>
      <c r="C4168" s="46">
        <f>LEFT(Tableau1[[#This Row],[Formacode]],3)</f>
        <v/>
      </c>
      <c r="D4168" s="47" t="n">
        <v>41716</v>
      </c>
      <c r="E4168" s="48">
        <f>"RNCP"&amp;D4168</f>
        <v/>
      </c>
      <c r="F4168" s="48" t="inlineStr">
        <is>
          <t>Conseiller clientèle des particuliers et des professionnels en banque et assurance</t>
        </is>
      </c>
      <c r="G4168" s="49">
        <f>E4168&amp;" - "&amp;F4168</f>
        <v/>
      </c>
      <c r="H4168" s="36" t="inlineStr">
        <is>
          <t>RAS</t>
        </is>
      </c>
      <c r="I4168" s="45" t="inlineStr"/>
      <c r="J4168" s="45" t="inlineStr">
        <is>
          <t>RNCP41716</t>
        </is>
      </c>
      <c r="K4168" s="45" t="inlineStr">
        <is>
          <t>Conseiller clientèle des particuliers et des professionnels en banque et assurance</t>
        </is>
      </c>
      <c r="L4168" s="45" t="inlineStr">
        <is>
          <t>27/11/2030</t>
        </is>
      </c>
      <c r="M4168" s="45" t="inlineStr">
        <is>
          <t>41054 (Banque assurance)</t>
        </is>
      </c>
      <c r="N4168" s="50" t="inlineStr">
        <is>
          <t>NON</t>
        </is>
      </c>
      <c r="O4168" s="45" t="inlineStr"/>
    </row>
    <row r="4169" customFormat="1" s="3">
      <c r="A4169" s="45" t="n"/>
      <c r="B4169" s="46" t="inlineStr">
        <is>
          <t>42006</t>
        </is>
      </c>
      <c r="C4169" s="46">
        <f>LEFT(Tableau1[[#This Row],[Formacode]],3)</f>
        <v/>
      </c>
      <c r="D4169" s="47" t="n">
        <v>40310</v>
      </c>
      <c r="E4169" s="48">
        <f>"RNCP"&amp;D4169</f>
        <v/>
      </c>
      <c r="F4169" s="48" t="inlineStr">
        <is>
          <t>CAP - Valorisation des matières et propreté des espaces urbains</t>
        </is>
      </c>
      <c r="G4169" s="49">
        <f>E4169&amp;" - "&amp;F4169</f>
        <v/>
      </c>
      <c r="H4169" s="36" t="inlineStr">
        <is>
          <t>RAS</t>
        </is>
      </c>
      <c r="I4169" s="45" t="inlineStr"/>
      <c r="J4169" s="45" t="inlineStr">
        <is>
          <t>RNCP40310</t>
        </is>
      </c>
      <c r="K4169" s="45" t="inlineStr">
        <is>
          <t>Valorisation des matières et propreté des espaces urbains</t>
        </is>
      </c>
      <c r="L4169" s="45" t="inlineStr">
        <is>
          <t>31/08/2030</t>
        </is>
      </c>
      <c r="M4169" s="45" t="inlineStr">
        <is>
          <t>42006 (Nettoyage urbain) ; 12582 (Gestion déchet)</t>
        </is>
      </c>
      <c r="N4169" s="50" t="inlineStr">
        <is>
          <t>NON</t>
        </is>
      </c>
      <c r="O4169" s="45" t="inlineStr"/>
    </row>
    <row r="4170" customFormat="1" s="3">
      <c r="A4170" s="45" t="n"/>
      <c r="B4170" s="46" t="inlineStr">
        <is>
          <t>42006</t>
        </is>
      </c>
      <c r="C4170" s="46">
        <f>LEFT(Tableau1[[#This Row],[Formacode]],3)</f>
        <v/>
      </c>
      <c r="D4170" s="47" t="n">
        <v>40311</v>
      </c>
      <c r="E4170" s="48">
        <f>"RNCP"&amp;D4170</f>
        <v/>
      </c>
      <c r="F4170" s="48" t="inlineStr">
        <is>
          <t>BAC PRO - Maintenance environnementale et propreté des espaces urbains</t>
        </is>
      </c>
      <c r="G4170" s="49">
        <f>E4170&amp;" - "&amp;F4170</f>
        <v/>
      </c>
      <c r="H4170" s="36" t="inlineStr">
        <is>
          <t>RAS</t>
        </is>
      </c>
      <c r="I4170" s="45" t="inlineStr"/>
      <c r="J4170" s="45" t="inlineStr">
        <is>
          <t>RNCP40311</t>
        </is>
      </c>
      <c r="K4170" s="45" t="inlineStr">
        <is>
          <t>Maintenance environnementale et propreté des espaces urbains</t>
        </is>
      </c>
      <c r="L4170" s="45" t="inlineStr">
        <is>
          <t>31/08/2030</t>
        </is>
      </c>
      <c r="M4170" s="45" t="inlineStr">
        <is>
          <t>42006 (Nettoyage urbain) ; 42093 (Nettoyage locaux) ; 31624 (Maintenance industrielle) ; 12582 (Gestion déchet)</t>
        </is>
      </c>
      <c r="N4170" s="50" t="inlineStr">
        <is>
          <t>NON</t>
        </is>
      </c>
      <c r="O4170" s="45" t="inlineStr"/>
    </row>
    <row r="4171" customFormat="1" s="3">
      <c r="A4171" s="45" t="n"/>
      <c r="B4171" s="46" t="inlineStr">
        <is>
          <t>42006</t>
        </is>
      </c>
      <c r="C4171" s="46">
        <f>LEFT(Tableau1[[#This Row],[Formacode]],3)</f>
        <v/>
      </c>
      <c r="D4171" s="47" t="n">
        <v>41489</v>
      </c>
      <c r="E4171" s="48">
        <f>"RNCP"&amp;D4171</f>
        <v/>
      </c>
      <c r="F4171" s="48" t="inlineStr">
        <is>
          <t>Technicien valoriste du réemploi</t>
        </is>
      </c>
      <c r="G4171" s="49">
        <f>E4171&amp;" - "&amp;F4171</f>
        <v/>
      </c>
      <c r="H4171" s="36" t="inlineStr">
        <is>
          <t>RAS</t>
        </is>
      </c>
      <c r="I4171" s="45" t="inlineStr"/>
      <c r="J4171" s="45" t="inlineStr">
        <is>
          <t>RNCP41489</t>
        </is>
      </c>
      <c r="K4171" s="45" t="inlineStr">
        <is>
          <t>Technicien valoriste du réemploi</t>
        </is>
      </c>
      <c r="L4171" s="45" t="inlineStr">
        <is>
          <t>27/10/2028</t>
        </is>
      </c>
      <c r="M4171" s="45" t="inlineStr">
        <is>
          <t>12582 (Gestion déchet) ; 12578 (Animation environnement) ; 42054 (Services commerces proximité) ; 12573 (Éco-produit)</t>
        </is>
      </c>
      <c r="N4171" s="50" t="inlineStr">
        <is>
          <t>NON</t>
        </is>
      </c>
      <c r="O4171" s="45" t="inlineStr"/>
    </row>
    <row r="4172" customFormat="1" s="3">
      <c r="A4172" s="45" t="n"/>
      <c r="B4172" s="46" t="inlineStr">
        <is>
          <t>42007</t>
        </is>
      </c>
      <c r="C4172" s="46">
        <f>LEFT(Tableau1[[#This Row],[Formacode]],3)</f>
        <v/>
      </c>
      <c r="D4172" s="47" t="n">
        <v>41489</v>
      </c>
      <c r="E4172" s="48">
        <f>"RNCP"&amp;D4172</f>
        <v/>
      </c>
      <c r="F4172" s="48" t="inlineStr">
        <is>
          <t>Technicien valoriste du réemploi</t>
        </is>
      </c>
      <c r="G4172" s="49">
        <f>E4172&amp;" - "&amp;F4172</f>
        <v/>
      </c>
      <c r="H4172" s="36" t="inlineStr">
        <is>
          <t>RAS</t>
        </is>
      </c>
      <c r="I4172" s="45" t="inlineStr"/>
      <c r="J4172" s="45" t="inlineStr">
        <is>
          <t>RNCP41489</t>
        </is>
      </c>
      <c r="K4172" s="45" t="inlineStr">
        <is>
          <t>Technicien valoriste du réemploi</t>
        </is>
      </c>
      <c r="L4172" s="45" t="inlineStr">
        <is>
          <t>27/10/2028</t>
        </is>
      </c>
      <c r="M4172" s="45" t="inlineStr">
        <is>
          <t>12582 (Gestion déchet) ; 12578 (Animation environnement) ; 42054 (Services commerces proximité) ; 12573 (Éco-produit)</t>
        </is>
      </c>
      <c r="N4172" s="50" t="inlineStr">
        <is>
          <t>NON</t>
        </is>
      </c>
      <c r="O4172" s="45" t="inlineStr"/>
    </row>
    <row r="4173" customFormat="1" s="3">
      <c r="A4173" s="45" t="n"/>
      <c r="B4173" s="46" t="inlineStr">
        <is>
          <t>42008</t>
        </is>
      </c>
      <c r="C4173" s="46">
        <f>LEFT(Tableau1[[#This Row],[Formacode]],3)</f>
        <v/>
      </c>
      <c r="D4173" s="47" t="n">
        <v>37922</v>
      </c>
      <c r="E4173" s="48">
        <f>"RNCP"&amp;D4173</f>
        <v/>
      </c>
      <c r="F4173" s="48" t="inlineStr">
        <is>
          <t>Certificat de spécialisation - Organisateur de réceptions</t>
        </is>
      </c>
      <c r="G4173" s="49">
        <f>E4173&amp;" - "&amp;F4173</f>
        <v/>
      </c>
      <c r="H4173" s="36" t="inlineStr">
        <is>
          <t>RAS</t>
        </is>
      </c>
      <c r="I4173" s="45" t="inlineStr"/>
      <c r="J4173" s="45" t="inlineStr">
        <is>
          <t>RNCP37922</t>
        </is>
      </c>
      <c r="K4173" s="45" t="inlineStr">
        <is>
          <t>Organisateur de réceptions</t>
        </is>
      </c>
      <c r="L4173" s="45" t="inlineStr">
        <is>
          <t>31/08/2028</t>
        </is>
      </c>
      <c r="M4173" s="45" t="inlineStr">
        <is>
          <t>42008 (Organisation événement) ; 42754 (Hôtellerie restauration)</t>
        </is>
      </c>
      <c r="N4173" s="50" t="inlineStr">
        <is>
          <t>NON</t>
        </is>
      </c>
      <c r="O4173" s="45" t="inlineStr"/>
    </row>
    <row r="4174" customFormat="1" s="3">
      <c r="A4174" s="45" t="n"/>
      <c r="B4174" s="46" t="inlineStr">
        <is>
          <t>42008</t>
        </is>
      </c>
      <c r="C4174" s="46">
        <f>LEFT(Tableau1[[#This Row],[Formacode]],3)</f>
        <v/>
      </c>
      <c r="D4174" s="47" t="n">
        <v>41489</v>
      </c>
      <c r="E4174" s="48">
        <f>"RNCP"&amp;D4174</f>
        <v/>
      </c>
      <c r="F4174" s="48" t="inlineStr">
        <is>
          <t>Technicien valoriste du réemploi</t>
        </is>
      </c>
      <c r="G4174" s="49">
        <f>E4174&amp;" - "&amp;F4174</f>
        <v/>
      </c>
      <c r="H4174" s="36" t="inlineStr">
        <is>
          <t>RAS</t>
        </is>
      </c>
      <c r="I4174" s="45" t="inlineStr"/>
      <c r="J4174" s="45" t="inlineStr">
        <is>
          <t>RNCP41489</t>
        </is>
      </c>
      <c r="K4174" s="45" t="inlineStr">
        <is>
          <t>Technicien valoriste du réemploi</t>
        </is>
      </c>
      <c r="L4174" s="45" t="inlineStr">
        <is>
          <t>27/10/2028</t>
        </is>
      </c>
      <c r="M4174" s="45" t="inlineStr">
        <is>
          <t>12582 (Gestion déchet) ; 12578 (Animation environnement) ; 42054 (Services commerces proximité) ; 12573 (Éco-produit)</t>
        </is>
      </c>
      <c r="N4174" s="50" t="inlineStr">
        <is>
          <t>NON</t>
        </is>
      </c>
      <c r="O4174" s="45" t="inlineStr"/>
    </row>
    <row r="4175" customFormat="1" s="3">
      <c r="A4175" s="45" t="n"/>
      <c r="B4175" s="46" t="inlineStr">
        <is>
          <t>42024</t>
        </is>
      </c>
      <c r="C4175" s="46">
        <f>LEFT(Tableau1[[#This Row],[Formacode]],3)</f>
        <v/>
      </c>
      <c r="D4175" s="47" t="n">
        <v>37560</v>
      </c>
      <c r="E4175" s="48">
        <f>"RNCP"&amp;D4175</f>
        <v/>
      </c>
      <c r="F4175" s="48" t="inlineStr">
        <is>
          <t>BP - Educateur canin</t>
        </is>
      </c>
      <c r="G4175" s="49">
        <f>E4175&amp;" - "&amp;F4175</f>
        <v/>
      </c>
      <c r="H4175" s="36" t="inlineStr">
        <is>
          <t>RAS</t>
        </is>
      </c>
      <c r="I4175" s="45" t="inlineStr"/>
      <c r="J4175" s="45" t="inlineStr">
        <is>
          <t>RNCP37560</t>
        </is>
      </c>
      <c r="K4175" s="45" t="inlineStr">
        <is>
          <t>Educateur canin</t>
        </is>
      </c>
      <c r="L4175" s="45" t="inlineStr">
        <is>
          <t>31/08/2028</t>
        </is>
      </c>
      <c r="M4175" s="45" t="inlineStr">
        <is>
          <t>42002 (Élevage éducation canin félin)</t>
        </is>
      </c>
      <c r="N4175" s="50" t="inlineStr">
        <is>
          <t>NON</t>
        </is>
      </c>
      <c r="O4175" s="45" t="inlineStr"/>
    </row>
    <row r="4176" customFormat="1" s="3">
      <c r="A4176" s="45" t="n"/>
      <c r="B4176" s="46" t="inlineStr">
        <is>
          <t>42024</t>
        </is>
      </c>
      <c r="C4176" s="46">
        <f>LEFT(Tableau1[[#This Row],[Formacode]],3)</f>
        <v/>
      </c>
      <c r="D4176" s="47" t="n">
        <v>38046</v>
      </c>
      <c r="E4176" s="48">
        <f>"RNCP"&amp;D4176</f>
        <v/>
      </c>
      <c r="F4176" s="48" t="inlineStr">
        <is>
          <t>Toiletteur canin et félin (BTM)</t>
        </is>
      </c>
      <c r="G4176" s="49">
        <f>E4176&amp;" - "&amp;F4176</f>
        <v/>
      </c>
      <c r="H4176" s="36" t="inlineStr">
        <is>
          <t>RAS</t>
        </is>
      </c>
      <c r="I4176" s="45" t="inlineStr"/>
      <c r="J4176" s="45" t="inlineStr">
        <is>
          <t>RNCP38046</t>
        </is>
      </c>
      <c r="K4176" s="45" t="inlineStr">
        <is>
          <t>Toiletteur canin et félin (BTM)</t>
        </is>
      </c>
      <c r="L4176" s="45" t="inlineStr">
        <is>
          <t>20/09/2028</t>
        </is>
      </c>
      <c r="M4176" s="45" t="inlineStr">
        <is>
          <t>42003 (Toilettage)</t>
        </is>
      </c>
      <c r="N4176" s="50" t="inlineStr">
        <is>
          <t>NON</t>
        </is>
      </c>
      <c r="O4176" s="45" t="inlineStr"/>
    </row>
    <row r="4177" customFormat="1" s="3">
      <c r="A4177" s="45" t="n"/>
      <c r="B4177" s="46" t="inlineStr">
        <is>
          <t>42024</t>
        </is>
      </c>
      <c r="C4177" s="46">
        <f>LEFT(Tableau1[[#This Row],[Formacode]],3)</f>
        <v/>
      </c>
      <c r="D4177" s="47" t="n">
        <v>38856</v>
      </c>
      <c r="E4177" s="48">
        <f>"RNCP"&amp;D4177</f>
        <v/>
      </c>
      <c r="F4177" s="48" t="inlineStr">
        <is>
          <t>BAC PRO - Technicien conseil vente en animalerie</t>
        </is>
      </c>
      <c r="G4177" s="49">
        <f>E4177&amp;" - "&amp;F4177</f>
        <v/>
      </c>
      <c r="H4177" s="36" t="inlineStr">
        <is>
          <t>RAS</t>
        </is>
      </c>
      <c r="I4177" s="45" t="inlineStr"/>
      <c r="J4177" s="45" t="inlineStr">
        <is>
          <t>RNCP38856</t>
        </is>
      </c>
      <c r="K4177" s="45" t="inlineStr">
        <is>
          <t>Technicien conseil vente en animalerie</t>
        </is>
      </c>
      <c r="L4177" s="45" t="inlineStr">
        <is>
          <t>01/01/2029</t>
        </is>
      </c>
      <c r="M4177" s="45" t="inlineStr">
        <is>
          <t>42004 (Vente en animalerie)</t>
        </is>
      </c>
      <c r="N4177" s="50" t="inlineStr">
        <is>
          <t>NON</t>
        </is>
      </c>
      <c r="O4177" s="45" t="inlineStr"/>
    </row>
    <row r="4178" customFormat="1" s="3">
      <c r="A4178" s="45" t="n"/>
      <c r="B4178" s="46" t="inlineStr">
        <is>
          <t>42024</t>
        </is>
      </c>
      <c r="C4178" s="46">
        <f>LEFT(Tableau1[[#This Row],[Formacode]],3)</f>
        <v/>
      </c>
      <c r="D4178" s="47" t="n">
        <v>39155</v>
      </c>
      <c r="E4178" s="48">
        <f>"RNCP"&amp;D4178</f>
        <v/>
      </c>
      <c r="F4178" s="48" t="inlineStr">
        <is>
          <t>BAC PRO - Conduite d'activités d'élevage et d'hébergement dans le secteur canin-félin</t>
        </is>
      </c>
      <c r="G4178" s="49">
        <f>E4178&amp;" - "&amp;F4178</f>
        <v/>
      </c>
      <c r="H4178" s="36" t="inlineStr">
        <is>
          <t>RAS</t>
        </is>
      </c>
      <c r="I4178" s="45" t="inlineStr"/>
      <c r="J4178" s="45" t="inlineStr">
        <is>
          <t>RNCP39155</t>
        </is>
      </c>
      <c r="K4178" s="45" t="inlineStr">
        <is>
          <t>Conduite d'activités d'élevage et d'hébergement dans le secteur canin-félin</t>
        </is>
      </c>
      <c r="L4178" s="45" t="inlineStr">
        <is>
          <t>31/08/2029</t>
        </is>
      </c>
      <c r="M4178" s="45" t="inlineStr">
        <is>
          <t>42002 (Élevage éducation canin félin)</t>
        </is>
      </c>
      <c r="N4178" s="50" t="inlineStr">
        <is>
          <t>NON</t>
        </is>
      </c>
      <c r="O4178" s="45" t="inlineStr"/>
    </row>
    <row r="4179" customFormat="1" s="3">
      <c r="A4179" s="45" t="n"/>
      <c r="B4179" s="46" t="inlineStr">
        <is>
          <t>42024</t>
        </is>
      </c>
      <c r="C4179" s="46">
        <f>LEFT(Tableau1[[#This Row],[Formacode]],3)</f>
        <v/>
      </c>
      <c r="D4179" s="47" t="n">
        <v>41489</v>
      </c>
      <c r="E4179" s="48">
        <f>"RNCP"&amp;D4179</f>
        <v/>
      </c>
      <c r="F4179" s="48" t="inlineStr">
        <is>
          <t>Technicien valoriste du réemploi</t>
        </is>
      </c>
      <c r="G4179" s="49">
        <f>E4179&amp;" - "&amp;F4179</f>
        <v/>
      </c>
      <c r="H4179" s="36" t="inlineStr">
        <is>
          <t>RAS</t>
        </is>
      </c>
      <c r="I4179" s="45" t="inlineStr"/>
      <c r="J4179" s="45" t="inlineStr">
        <is>
          <t>RNCP41489</t>
        </is>
      </c>
      <c r="K4179" s="45" t="inlineStr">
        <is>
          <t>Technicien valoriste du réemploi</t>
        </is>
      </c>
      <c r="L4179" s="45" t="inlineStr">
        <is>
          <t>27/10/2028</t>
        </is>
      </c>
      <c r="M4179" s="45" t="inlineStr">
        <is>
          <t>12582 (Gestion déchet) ; 12578 (Animation environnement) ; 42054 (Services commerces proximité) ; 12573 (Éco-produit)</t>
        </is>
      </c>
      <c r="N4179" s="50" t="inlineStr">
        <is>
          <t>NON</t>
        </is>
      </c>
      <c r="O4179" s="45" t="inlineStr"/>
    </row>
    <row r="4180" customFormat="1" s="3">
      <c r="A4180" s="45" t="n"/>
      <c r="B4180" s="46" t="inlineStr">
        <is>
          <t>42027</t>
        </is>
      </c>
      <c r="C4180" s="46">
        <f>LEFT(Tableau1[[#This Row],[Formacode]],3)</f>
        <v/>
      </c>
      <c r="D4180" s="47" t="n">
        <v>36393</v>
      </c>
      <c r="E4180" s="48">
        <f>"RNCP"&amp;D4180</f>
        <v/>
      </c>
      <c r="F4180" s="48" t="inlineStr">
        <is>
          <t>Technico-commercial de l'Industrie et des Services Nautiques</t>
        </is>
      </c>
      <c r="G4180" s="49">
        <f>E4180&amp;" - "&amp;F4180</f>
        <v/>
      </c>
      <c r="H4180" s="36" t="inlineStr">
        <is>
          <t>RAS</t>
        </is>
      </c>
      <c r="I4180" s="45" t="inlineStr"/>
      <c r="J4180" s="45" t="inlineStr">
        <is>
          <t>RNCP36393</t>
        </is>
      </c>
      <c r="K4180" s="45" t="inlineStr">
        <is>
          <t>Technico-commercial de l'Industrie et des Services Nautiques</t>
        </is>
      </c>
      <c r="L4180" s="45" t="inlineStr">
        <is>
          <t>25/04/2027</t>
        </is>
      </c>
      <c r="M4180" s="45" t="inlineStr">
        <is>
          <t>34581 (Technico-commercial) ; 23622 (Construction maintenance navale) ; 34582 (Négociation commerciale) ; 34076 (Gestion relation client) ; 42027 (Service location)</t>
        </is>
      </c>
      <c r="N4180" s="50" t="inlineStr">
        <is>
          <t>NON</t>
        </is>
      </c>
      <c r="O4180" s="45" t="inlineStr"/>
    </row>
    <row r="4181" customFormat="1" s="3">
      <c r="A4181" s="45" t="n"/>
      <c r="B4181" s="46" t="inlineStr">
        <is>
          <t>42027</t>
        </is>
      </c>
      <c r="C4181" s="46">
        <f>LEFT(Tableau1[[#This Row],[Formacode]],3)</f>
        <v/>
      </c>
      <c r="D4181" s="47" t="n">
        <v>39770</v>
      </c>
      <c r="E4181" s="48">
        <f>"RNCP"&amp;D4181</f>
        <v/>
      </c>
      <c r="F4181" s="48" t="inlineStr">
        <is>
          <t>CQP Agent technico-commercial en location de véhicules</t>
        </is>
      </c>
      <c r="G4181" s="49">
        <f>E4181&amp;" - "&amp;F4181</f>
        <v/>
      </c>
      <c r="H4181" s="36" t="inlineStr">
        <is>
          <t>RAS</t>
        </is>
      </c>
      <c r="I4181" s="45" t="inlineStr"/>
      <c r="J4181" s="45" t="inlineStr">
        <is>
          <t>RNCP39770</t>
        </is>
      </c>
      <c r="K4181" s="45" t="inlineStr">
        <is>
          <t>CQP Agent technico-commercial en location de véhicules</t>
        </is>
      </c>
      <c r="L4181" s="45" t="inlineStr">
        <is>
          <t>31/10/2027</t>
        </is>
      </c>
      <c r="M4181" s="45" t="inlineStr">
        <is>
          <t>42027 (Service location)</t>
        </is>
      </c>
      <c r="N4181" s="50" t="inlineStr">
        <is>
          <t>NON</t>
        </is>
      </c>
      <c r="O4181" s="45" t="inlineStr"/>
    </row>
    <row r="4182" customFormat="1" s="3">
      <c r="A4182" s="45" t="n"/>
      <c r="B4182" s="46" t="inlineStr">
        <is>
          <t>42027</t>
        </is>
      </c>
      <c r="C4182" s="46">
        <f>LEFT(Tableau1[[#This Row],[Formacode]],3)</f>
        <v/>
      </c>
      <c r="D4182" s="47" t="n">
        <v>41489</v>
      </c>
      <c r="E4182" s="48">
        <f>"RNCP"&amp;D4182</f>
        <v/>
      </c>
      <c r="F4182" s="48" t="inlineStr">
        <is>
          <t>Technicien valoriste du réemploi</t>
        </is>
      </c>
      <c r="G4182" s="49">
        <f>E4182&amp;" - "&amp;F4182</f>
        <v/>
      </c>
      <c r="H4182" s="36" t="inlineStr">
        <is>
          <t>RAS</t>
        </is>
      </c>
      <c r="I4182" s="45" t="inlineStr"/>
      <c r="J4182" s="45" t="inlineStr">
        <is>
          <t>RNCP41489</t>
        </is>
      </c>
      <c r="K4182" s="45" t="inlineStr">
        <is>
          <t>Technicien valoriste du réemploi</t>
        </is>
      </c>
      <c r="L4182" s="45" t="inlineStr">
        <is>
          <t>27/10/2028</t>
        </is>
      </c>
      <c r="M4182" s="45" t="inlineStr">
        <is>
          <t>12582 (Gestion déchet) ; 12578 (Animation environnement) ; 42054 (Services commerces proximité) ; 12573 (Éco-produit)</t>
        </is>
      </c>
      <c r="N4182" s="50" t="inlineStr">
        <is>
          <t>NON</t>
        </is>
      </c>
      <c r="O4182" s="45" t="inlineStr"/>
    </row>
    <row r="4183" customFormat="1" s="3">
      <c r="A4183" s="45" t="n"/>
      <c r="B4183" s="46" t="inlineStr">
        <is>
          <t>42032</t>
        </is>
      </c>
      <c r="C4183" s="46">
        <f>LEFT(Tableau1[[#This Row],[Formacode]],3)</f>
        <v/>
      </c>
      <c r="D4183" s="47" t="n">
        <v>36331</v>
      </c>
      <c r="E4183" s="48">
        <f>"RNCP"&amp;D4183</f>
        <v/>
      </c>
      <c r="F4183" s="48" t="inlineStr">
        <is>
          <t>Baccalauréat professionnel - Esthétique Cosmétique Parfumerie</t>
        </is>
      </c>
      <c r="G4183" s="49">
        <f>E4183&amp;" - "&amp;F4183</f>
        <v/>
      </c>
      <c r="H4183" s="36" t="inlineStr">
        <is>
          <t>RAS</t>
        </is>
      </c>
      <c r="I4183" s="45" t="inlineStr"/>
      <c r="J4183" s="45" t="inlineStr">
        <is>
          <t>RNCP36331</t>
        </is>
      </c>
      <c r="K4183" s="45" t="inlineStr">
        <is>
          <t>Esthétique Cosmétique Parfumerie</t>
        </is>
      </c>
      <c r="L4183" s="45" t="inlineStr">
        <is>
          <t>31/08/2027</t>
        </is>
      </c>
      <c r="M4183" s="45" t="inlineStr">
        <is>
          <t>42032 (Esthétique soin corporel)</t>
        </is>
      </c>
      <c r="N4183" s="50" t="inlineStr">
        <is>
          <t>NON</t>
        </is>
      </c>
      <c r="O4183" s="45" t="inlineStr"/>
    </row>
    <row r="4184" ht="28.8" customFormat="1" customHeight="1" s="3">
      <c r="A4184" s="45" t="n"/>
      <c r="B4184" s="46" t="inlineStr">
        <is>
          <t>42032</t>
        </is>
      </c>
      <c r="C4184" s="46">
        <f>LEFT(Tableau1[[#This Row],[Formacode]],3)</f>
        <v/>
      </c>
      <c r="D4184" s="47" t="n">
        <v>37375</v>
      </c>
      <c r="E4184" s="48">
        <f>"RNCP"&amp;D4184</f>
        <v/>
      </c>
      <c r="F4184" s="48" t="inlineStr">
        <is>
          <t>Brevet de technicien supérieur - Métiers de l’esthétique, de la cosmétique et de la parfumerie</t>
        </is>
      </c>
      <c r="G4184" s="49">
        <f>E4184&amp;" - "&amp;F4184</f>
        <v/>
      </c>
      <c r="H4184" s="36" t="inlineStr">
        <is>
          <t>RAS</t>
        </is>
      </c>
      <c r="I4184" s="45" t="inlineStr"/>
      <c r="J4184" s="45" t="inlineStr">
        <is>
          <t>RNCP37375</t>
        </is>
      </c>
      <c r="K4184" s="45" t="inlineStr">
        <is>
          <t>Métiers de l’esthétique, de la cosmétique et de la parfumerie</t>
        </is>
      </c>
      <c r="L4184" s="45" t="inlineStr">
        <is>
          <t>31/08/2028</t>
        </is>
      </c>
      <c r="M4184" s="45" t="inlineStr">
        <is>
          <t>42032 (Esthétique soin corporel) ; 32154 (Encadrement management) ; 22885 (Cosmétique) ; 34059 (Gestion marque) ; 44517 (Conception action formation)</t>
        </is>
      </c>
      <c r="N4184" s="50" t="inlineStr">
        <is>
          <t>NON</t>
        </is>
      </c>
      <c r="O4184" s="45" t="inlineStr"/>
    </row>
    <row r="4185" customFormat="1" s="3">
      <c r="A4185" s="63" t="n"/>
      <c r="B4185" s="64" t="inlineStr">
        <is>
          <t>42032</t>
        </is>
      </c>
      <c r="C4185" s="64">
        <f>LEFT(Tableau1[[#This Row],[Formacode]],3)</f>
        <v/>
      </c>
      <c r="D4185" s="65" t="n">
        <v>37528</v>
      </c>
      <c r="E4185" s="66">
        <f>"RNCP"&amp;D4185</f>
        <v/>
      </c>
      <c r="F4185" s="66" t="inlineStr">
        <is>
          <t>Coiffeur (BM)</t>
        </is>
      </c>
      <c r="G4185" s="67">
        <f>E4185&amp;" - "&amp;F4185</f>
        <v/>
      </c>
      <c r="H4185" s="38" t="inlineStr">
        <is>
          <t>Expiré / remplacé</t>
        </is>
      </c>
      <c r="I4185" s="63" t="inlineStr">
        <is>
          <t>Fiche inactive — remplacée par RNCP42351 (Coiffeur (BM))</t>
        </is>
      </c>
      <c r="J4185" s="63" t="inlineStr">
        <is>
          <t>RNCP42351</t>
        </is>
      </c>
      <c r="K4185" s="63" t="inlineStr">
        <is>
          <t>Coiffeur (BM)</t>
        </is>
      </c>
      <c r="L4185" s="63" t="inlineStr">
        <is>
          <t>24/04/2026</t>
        </is>
      </c>
      <c r="M4185" s="63" t="inlineStr">
        <is>
          <t>42050 (Coiffure) ; 32097 (Gestion entreprise artisanale)</t>
        </is>
      </c>
      <c r="N4185" s="68" t="inlineStr">
        <is>
          <t>NON</t>
        </is>
      </c>
      <c r="O4185" s="63" t="inlineStr"/>
    </row>
    <row r="4186" customFormat="1" s="3">
      <c r="A4186" s="45" t="n"/>
      <c r="B4186" s="46" t="inlineStr">
        <is>
          <t>42032</t>
        </is>
      </c>
      <c r="C4186" s="46">
        <f>LEFT(Tableau1[[#This Row],[Formacode]],3)</f>
        <v/>
      </c>
      <c r="D4186" s="47" t="n">
        <v>37818</v>
      </c>
      <c r="E4186" s="48">
        <f>"RNCP"&amp;D4186</f>
        <v/>
      </c>
      <c r="F4186" s="48" t="inlineStr">
        <is>
          <t>Socio-esthéticien</t>
        </is>
      </c>
      <c r="G4186" s="49">
        <f>E4186&amp;" - "&amp;F4186</f>
        <v/>
      </c>
      <c r="H4186" s="36" t="inlineStr">
        <is>
          <t>RAS</t>
        </is>
      </c>
      <c r="I4186" s="45" t="inlineStr"/>
      <c r="J4186" s="45" t="inlineStr">
        <is>
          <t>RNCP37818</t>
        </is>
      </c>
      <c r="K4186" s="45" t="inlineStr">
        <is>
          <t>Socio-esthéticien</t>
        </is>
      </c>
      <c r="L4186" s="45" t="inlineStr">
        <is>
          <t>19/07/2028</t>
        </is>
      </c>
      <c r="M4186" s="45" t="inlineStr">
        <is>
          <t>42032 (Esthétique soin corporel) ; 43445 (Massage bien-être) ; 43437 (Personnel paramédical)</t>
        </is>
      </c>
      <c r="N4186" s="50" t="inlineStr">
        <is>
          <t>NON</t>
        </is>
      </c>
      <c r="O4186" s="45" t="inlineStr"/>
    </row>
    <row r="4187" customFormat="1" s="3">
      <c r="A4187" s="45" t="n"/>
      <c r="B4187" s="46" t="inlineStr">
        <is>
          <t>42032</t>
        </is>
      </c>
      <c r="C4187" s="46">
        <f>LEFT(Tableau1[[#This Row],[Formacode]],3)</f>
        <v/>
      </c>
      <c r="D4187" s="47" t="n">
        <v>37963</v>
      </c>
      <c r="E4187" s="48">
        <f>"RNCP"&amp;D4187</f>
        <v/>
      </c>
      <c r="F4187" s="48" t="inlineStr">
        <is>
          <t>Brevet de technicien supérieur - Métiers de la coiffure</t>
        </is>
      </c>
      <c r="G4187" s="49">
        <f>E4187&amp;" - "&amp;F4187</f>
        <v/>
      </c>
      <c r="H4187" s="36" t="inlineStr">
        <is>
          <t>RAS</t>
        </is>
      </c>
      <c r="I4187" s="45" t="inlineStr"/>
      <c r="J4187" s="45" t="inlineStr">
        <is>
          <t>RNCP37963</t>
        </is>
      </c>
      <c r="K4187" s="45" t="inlineStr">
        <is>
          <t>Métiers de la coiffure</t>
        </is>
      </c>
      <c r="L4187" s="45" t="inlineStr">
        <is>
          <t>31/08/2027</t>
        </is>
      </c>
      <c r="M4187" s="45" t="inlineStr">
        <is>
          <t>42050 (Coiffure)</t>
        </is>
      </c>
      <c r="N4187" s="50" t="inlineStr">
        <is>
          <t>NON</t>
        </is>
      </c>
      <c r="O4187" s="45" t="inlineStr"/>
    </row>
    <row r="4188" customFormat="1" s="3">
      <c r="A4188" s="45" t="n"/>
      <c r="B4188" s="46" t="inlineStr">
        <is>
          <t>42032</t>
        </is>
      </c>
      <c r="C4188" s="46">
        <f>LEFT(Tableau1[[#This Row],[Formacode]],3)</f>
        <v/>
      </c>
      <c r="D4188" s="47" t="n">
        <v>38231</v>
      </c>
      <c r="E4188" s="48">
        <f>"RNCP"&amp;D4188</f>
        <v/>
      </c>
      <c r="F4188" s="48" t="inlineStr">
        <is>
          <t>BP - Coiffure</t>
        </is>
      </c>
      <c r="G4188" s="49">
        <f>E4188&amp;" - "&amp;F4188</f>
        <v/>
      </c>
      <c r="H4188" s="36" t="inlineStr">
        <is>
          <t>RAS</t>
        </is>
      </c>
      <c r="I4188" s="45" t="inlineStr"/>
      <c r="J4188" s="45" t="inlineStr">
        <is>
          <t>RNCP38231</t>
        </is>
      </c>
      <c r="K4188" s="45" t="inlineStr">
        <is>
          <t>Coiffure</t>
        </is>
      </c>
      <c r="L4188" s="45" t="inlineStr">
        <is>
          <t>31/08/2028</t>
        </is>
      </c>
      <c r="M4188" s="45" t="inlineStr">
        <is>
          <t>42050 (Coiffure)</t>
        </is>
      </c>
      <c r="N4188" s="50" t="inlineStr">
        <is>
          <t>NON</t>
        </is>
      </c>
      <c r="O4188" s="45" t="inlineStr"/>
    </row>
    <row r="4189" customFormat="1" s="3">
      <c r="A4189" s="45" t="n"/>
      <c r="B4189" s="46" t="inlineStr">
        <is>
          <t>42032</t>
        </is>
      </c>
      <c r="C4189" s="46">
        <f>LEFT(Tableau1[[#This Row],[Formacode]],3)</f>
        <v/>
      </c>
      <c r="D4189" s="47" t="n">
        <v>38232</v>
      </c>
      <c r="E4189" s="48">
        <f>"RNCP"&amp;D4189</f>
        <v/>
      </c>
      <c r="F4189" s="48" t="inlineStr">
        <is>
          <t>Certificat de spécialisation - Coiffure coupe couleur</t>
        </is>
      </c>
      <c r="G4189" s="49">
        <f>E4189&amp;" - "&amp;F4189</f>
        <v/>
      </c>
      <c r="H4189" s="36" t="inlineStr">
        <is>
          <t>RAS</t>
        </is>
      </c>
      <c r="I4189" s="45" t="inlineStr"/>
      <c r="J4189" s="45" t="inlineStr">
        <is>
          <t>RNCP38232</t>
        </is>
      </c>
      <c r="K4189" s="45" t="inlineStr">
        <is>
          <t>Coiffure coupe couleur</t>
        </is>
      </c>
      <c r="L4189" s="45" t="inlineStr">
        <is>
          <t>31/08/2028</t>
        </is>
      </c>
      <c r="M4189" s="45" t="inlineStr">
        <is>
          <t>42061 (Spécialisation coiffure)</t>
        </is>
      </c>
      <c r="N4189" s="50" t="inlineStr">
        <is>
          <t>NON</t>
        </is>
      </c>
      <c r="O4189" s="45" t="inlineStr"/>
    </row>
    <row r="4190" customFormat="1" s="3">
      <c r="A4190" s="45" t="n"/>
      <c r="B4190" s="46" t="inlineStr">
        <is>
          <t>42032</t>
        </is>
      </c>
      <c r="C4190" s="46">
        <f>LEFT(Tableau1[[#This Row],[Formacode]],3)</f>
        <v/>
      </c>
      <c r="D4190" s="47" t="n">
        <v>38308</v>
      </c>
      <c r="E4190" s="48">
        <f>"RNCP"&amp;D4190</f>
        <v/>
      </c>
      <c r="F4190" s="48" t="inlineStr">
        <is>
          <t>Baccalauréat professionnel - Perruquier posticheur</t>
        </is>
      </c>
      <c r="G4190" s="49">
        <f>E4190&amp;" - "&amp;F4190</f>
        <v/>
      </c>
      <c r="H4190" s="36" t="inlineStr">
        <is>
          <t>RAS</t>
        </is>
      </c>
      <c r="I4190" s="45" t="inlineStr"/>
      <c r="J4190" s="45" t="inlineStr">
        <is>
          <t>RNCP38308</t>
        </is>
      </c>
      <c r="K4190" s="45" t="inlineStr">
        <is>
          <t>Perruquier posticheur</t>
        </is>
      </c>
      <c r="L4190" s="45" t="inlineStr">
        <is>
          <t>31/08/2027</t>
        </is>
      </c>
      <c r="M4190" s="45" t="inlineStr">
        <is>
          <t>42061 (Spécialisation coiffure)</t>
        </is>
      </c>
      <c r="N4190" s="50" t="inlineStr">
        <is>
          <t>NON</t>
        </is>
      </c>
      <c r="O4190" s="45" t="inlineStr"/>
    </row>
    <row r="4191" customFormat="1" s="3">
      <c r="A4191" s="45" t="n"/>
      <c r="B4191" s="46" t="inlineStr">
        <is>
          <t>42032</t>
        </is>
      </c>
      <c r="C4191" s="46">
        <f>LEFT(Tableau1[[#This Row],[Formacode]],3)</f>
        <v/>
      </c>
      <c r="D4191" s="47" t="n">
        <v>38507</v>
      </c>
      <c r="E4191" s="48">
        <f>"RNCP"&amp;D4191</f>
        <v/>
      </c>
      <c r="F4191" s="48" t="inlineStr">
        <is>
          <t>Maquilleur artistique et évènementiel</t>
        </is>
      </c>
      <c r="G4191" s="49">
        <f>E4191&amp;" - "&amp;F4191</f>
        <v/>
      </c>
      <c r="H4191" s="36" t="inlineStr">
        <is>
          <t>RAS</t>
        </is>
      </c>
      <c r="I4191" s="45" t="inlineStr"/>
      <c r="J4191" s="45" t="inlineStr">
        <is>
          <t>RNCP38507</t>
        </is>
      </c>
      <c r="K4191" s="45" t="inlineStr">
        <is>
          <t>Maquilleur artistique et évènementiel</t>
        </is>
      </c>
      <c r="L4191" s="45" t="inlineStr">
        <is>
          <t>21/12/2028</t>
        </is>
      </c>
      <c r="M4191" s="45" t="inlineStr">
        <is>
          <t>42062 (Maquillage spectacle) ; 22885 (Cosmétique)</t>
        </is>
      </c>
      <c r="N4191" s="50" t="inlineStr">
        <is>
          <t>NON</t>
        </is>
      </c>
      <c r="O4191" s="45" t="inlineStr"/>
    </row>
    <row r="4192" customFormat="1" s="3">
      <c r="A4192" s="45" t="n"/>
      <c r="B4192" s="46" t="inlineStr">
        <is>
          <t>42032</t>
        </is>
      </c>
      <c r="C4192" s="46">
        <f>LEFT(Tableau1[[#This Row],[Formacode]],3)</f>
        <v/>
      </c>
      <c r="D4192" s="47" t="n">
        <v>39030</v>
      </c>
      <c r="E4192" s="48">
        <f>"RNCP"&amp;D4192</f>
        <v/>
      </c>
      <c r="F4192" s="48" t="inlineStr">
        <is>
          <t>Certificat d'aptitude professionnelle - Esthétique Cosmétique Parfumerie</t>
        </is>
      </c>
      <c r="G4192" s="49">
        <f>E4192&amp;" - "&amp;F4192</f>
        <v/>
      </c>
      <c r="H4192" s="36" t="inlineStr">
        <is>
          <t>RAS</t>
        </is>
      </c>
      <c r="I4192" s="45" t="inlineStr"/>
      <c r="J4192" s="45" t="inlineStr">
        <is>
          <t>RNCP39030</t>
        </is>
      </c>
      <c r="K4192" s="45" t="inlineStr">
        <is>
          <t>Esthétique Cosmétique Parfumerie</t>
        </is>
      </c>
      <c r="L4192" s="45" t="inlineStr">
        <is>
          <t>31/12/2028</t>
        </is>
      </c>
      <c r="M4192" s="45" t="inlineStr">
        <is>
          <t>42032 (Esthétique soin corporel)</t>
        </is>
      </c>
      <c r="N4192" s="50" t="inlineStr">
        <is>
          <t>NON</t>
        </is>
      </c>
      <c r="O4192" s="45" t="inlineStr"/>
    </row>
    <row r="4193" customFormat="1" s="3">
      <c r="A4193" s="45" t="n"/>
      <c r="B4193" s="46" t="inlineStr">
        <is>
          <t>42032</t>
        </is>
      </c>
      <c r="C4193" s="46">
        <f>LEFT(Tableau1[[#This Row],[Formacode]],3)</f>
        <v/>
      </c>
      <c r="D4193" s="47" t="n">
        <v>39266</v>
      </c>
      <c r="E4193" s="48">
        <f>"RNCP"&amp;D4193</f>
        <v/>
      </c>
      <c r="F4193" s="48" t="inlineStr">
        <is>
          <t>Certificat d'aptitude professionnelle - Métiers de la coiffure</t>
        </is>
      </c>
      <c r="G4193" s="49">
        <f>E4193&amp;" - "&amp;F4193</f>
        <v/>
      </c>
      <c r="H4193" s="36" t="inlineStr">
        <is>
          <t>RAS</t>
        </is>
      </c>
      <c r="I4193" s="45" t="inlineStr"/>
      <c r="J4193" s="45" t="inlineStr">
        <is>
          <t>RNCP39266</t>
        </is>
      </c>
      <c r="K4193" s="45" t="inlineStr">
        <is>
          <t>Métiers de la coiffure</t>
        </is>
      </c>
      <c r="L4193" s="45" t="inlineStr">
        <is>
          <t>31/08/2029</t>
        </is>
      </c>
      <c r="M4193" s="45" t="inlineStr">
        <is>
          <t>42050 (Coiffure)</t>
        </is>
      </c>
      <c r="N4193" s="50" t="inlineStr">
        <is>
          <t>NON</t>
        </is>
      </c>
      <c r="O4193" s="45" t="inlineStr"/>
    </row>
    <row r="4194" customFormat="1" s="3">
      <c r="A4194" s="45" t="n"/>
      <c r="B4194" s="46" t="inlineStr">
        <is>
          <t>42032</t>
        </is>
      </c>
      <c r="C4194" s="46">
        <f>LEFT(Tableau1[[#This Row],[Formacode]],3)</f>
        <v/>
      </c>
      <c r="D4194" s="47" t="n">
        <v>39291</v>
      </c>
      <c r="E4194" s="48">
        <f>"RNCP"&amp;D4194</f>
        <v/>
      </c>
      <c r="F4194" s="48" t="inlineStr">
        <is>
          <t>Brevet professionnel - Esthétique Cosmétique Parfumerie</t>
        </is>
      </c>
      <c r="G4194" s="49">
        <f>E4194&amp;" - "&amp;F4194</f>
        <v/>
      </c>
      <c r="H4194" s="36" t="inlineStr">
        <is>
          <t>RAS</t>
        </is>
      </c>
      <c r="I4194" s="45" t="inlineStr"/>
      <c r="J4194" s="45" t="inlineStr">
        <is>
          <t>RNCP39291</t>
        </is>
      </c>
      <c r="K4194" s="45" t="inlineStr">
        <is>
          <t>Esthétique Cosmétique Parfumerie</t>
        </is>
      </c>
      <c r="L4194" s="45" t="inlineStr">
        <is>
          <t>31/08/2029</t>
        </is>
      </c>
      <c r="M4194" s="45" t="inlineStr">
        <is>
          <t>42032 (Esthétique soin corporel)</t>
        </is>
      </c>
      <c r="N4194" s="50" t="inlineStr">
        <is>
          <t>NON</t>
        </is>
      </c>
      <c r="O4194" s="45" t="inlineStr"/>
    </row>
    <row r="4195" customFormat="1" s="3">
      <c r="A4195" s="45" t="n"/>
      <c r="B4195" s="46" t="inlineStr">
        <is>
          <t>42032</t>
        </is>
      </c>
      <c r="C4195" s="46">
        <f>LEFT(Tableau1[[#This Row],[Formacode]],3)</f>
        <v/>
      </c>
      <c r="D4195" s="47" t="n">
        <v>40921</v>
      </c>
      <c r="E4195" s="48">
        <f>"RNCP"&amp;D4195</f>
        <v/>
      </c>
      <c r="F4195" s="48" t="inlineStr">
        <is>
          <t>Esthéticien-cosméticien (BM)</t>
        </is>
      </c>
      <c r="G4195" s="49">
        <f>E4195&amp;" - "&amp;F4195</f>
        <v/>
      </c>
      <c r="H4195" s="36" t="inlineStr">
        <is>
          <t>RAS</t>
        </is>
      </c>
      <c r="I4195" s="45" t="inlineStr"/>
      <c r="J4195" s="45" t="inlineStr">
        <is>
          <t>RNCP40921</t>
        </is>
      </c>
      <c r="K4195" s="45" t="inlineStr">
        <is>
          <t>Esthéticien-cosméticien (BM)</t>
        </is>
      </c>
      <c r="L4195" s="45" t="inlineStr">
        <is>
          <t>25/06/2027</t>
        </is>
      </c>
      <c r="M4195" s="45" t="inlineStr">
        <is>
          <t>42032 (Esthétique soin corporel)</t>
        </is>
      </c>
      <c r="N4195" s="50" t="inlineStr">
        <is>
          <t>NON</t>
        </is>
      </c>
      <c r="O4195" s="45" t="inlineStr"/>
    </row>
    <row r="4196" customFormat="1" s="3">
      <c r="A4196" s="45" t="n"/>
      <c r="B4196" s="46" t="inlineStr">
        <is>
          <t>42032</t>
        </is>
      </c>
      <c r="C4196" s="46">
        <f>LEFT(Tableau1[[#This Row],[Formacode]],3)</f>
        <v/>
      </c>
      <c r="D4196" s="47" t="n">
        <v>41489</v>
      </c>
      <c r="E4196" s="48">
        <f>"RNCP"&amp;D4196</f>
        <v/>
      </c>
      <c r="F4196" s="48" t="inlineStr">
        <is>
          <t>Technicien valoriste du réemploi</t>
        </is>
      </c>
      <c r="G4196" s="49">
        <f>E4196&amp;" - "&amp;F4196</f>
        <v/>
      </c>
      <c r="H4196" s="36" t="inlineStr">
        <is>
          <t>RAS</t>
        </is>
      </c>
      <c r="I4196" s="45" t="inlineStr"/>
      <c r="J4196" s="45" t="inlineStr">
        <is>
          <t>RNCP41489</t>
        </is>
      </c>
      <c r="K4196" s="45" t="inlineStr">
        <is>
          <t>Technicien valoriste du réemploi</t>
        </is>
      </c>
      <c r="L4196" s="45" t="inlineStr">
        <is>
          <t>27/10/2028</t>
        </is>
      </c>
      <c r="M4196" s="45" t="inlineStr">
        <is>
          <t>12582 (Gestion déchet) ; 12578 (Animation environnement) ; 42054 (Services commerces proximité) ; 12573 (Éco-produit)</t>
        </is>
      </c>
      <c r="N4196" s="50" t="inlineStr">
        <is>
          <t>NON</t>
        </is>
      </c>
      <c r="O4196" s="45" t="inlineStr"/>
    </row>
    <row r="4197" ht="28.8" customFormat="1" customHeight="1" s="3">
      <c r="A4197" s="51" t="n"/>
      <c r="B4197" s="52" t="inlineStr">
        <is>
          <t>42056</t>
        </is>
      </c>
      <c r="C4197" s="52">
        <f>LEFT(Tableau1[[#This Row],[Formacode]],3)</f>
        <v/>
      </c>
      <c r="D4197" s="53" t="n">
        <v>35513</v>
      </c>
      <c r="E4197" s="54">
        <f>"RNCP"&amp;D4197</f>
        <v/>
      </c>
      <c r="F4197" s="54" t="inlineStr">
        <is>
          <t>BUT - Carrières Sociales : Coordination et Gestion des Établissements et Services Sanitaires et Sociaux</t>
        </is>
      </c>
      <c r="G4197" s="55">
        <f>E4197&amp;" - "&amp;F4197</f>
        <v/>
      </c>
      <c r="H4197" s="37" t="inlineStr">
        <is>
          <t>À vérifier</t>
        </is>
      </c>
      <c r="I4197" s="51" t="inlineStr">
        <is>
          <t>Successeur déjà publié : RNCP41553 (Carrières sociales : Coordination et gestion des établissements et services sanitaires et sociaux) — préparer la bascule de l'offre CPF | Échéance le 31/08/2026 (dans 44 j)</t>
        </is>
      </c>
      <c r="J4197" s="51" t="inlineStr">
        <is>
          <t>RNCP41553</t>
        </is>
      </c>
      <c r="K4197" s="51" t="inlineStr">
        <is>
          <t>Carrières sociales : Coordination et gestion des établissements et services sanitaires et sociaux</t>
        </is>
      </c>
      <c r="L4197" s="51" t="inlineStr">
        <is>
          <t>31/08/2026</t>
        </is>
      </c>
      <c r="M4197" s="51" t="inlineStr">
        <is>
          <t>43435 (Encadrement santé) ; 42082 (Gestion structure service à la personne)</t>
        </is>
      </c>
      <c r="N4197" s="62" t="inlineStr">
        <is>
          <t>NON</t>
        </is>
      </c>
      <c r="O4197" s="51" t="inlineStr"/>
    </row>
    <row r="4198" customFormat="1" s="3">
      <c r="A4198" s="45" t="n"/>
      <c r="B4198" s="46" t="inlineStr">
        <is>
          <t>42056</t>
        </is>
      </c>
      <c r="C4198" s="46">
        <f>LEFT(Tableau1[[#This Row],[Formacode]],3)</f>
        <v/>
      </c>
      <c r="D4198" s="47" t="n">
        <v>37614</v>
      </c>
      <c r="E4198" s="48">
        <f>"RNCP"&amp;D4198</f>
        <v/>
      </c>
      <c r="F4198" s="48" t="inlineStr">
        <is>
          <t>Directeur d'établissement sanitaire, social ou médico-social (MS)</t>
        </is>
      </c>
      <c r="G4198" s="49">
        <f>E4198&amp;" - "&amp;F4198</f>
        <v/>
      </c>
      <c r="H4198" s="36" t="inlineStr">
        <is>
          <t>RAS</t>
        </is>
      </c>
      <c r="I4198" s="45" t="inlineStr"/>
      <c r="J4198" s="45" t="inlineStr">
        <is>
          <t>RNCP37614</t>
        </is>
      </c>
      <c r="K4198" s="45" t="inlineStr">
        <is>
          <t>Directeur d'établissement sanitaire, social ou médico-social (MS)</t>
        </is>
      </c>
      <c r="L4198" s="45" t="inlineStr">
        <is>
          <t>31/05/2028</t>
        </is>
      </c>
      <c r="M4198" s="45" t="inlineStr">
        <is>
          <t>44047 (Direction établissement médico-social) ; 43426 (Gestion hospitalière) ; 42082 (Gestion structure service à la personne) ; 44072 (Travail social)</t>
        </is>
      </c>
      <c r="N4198" s="50" t="inlineStr">
        <is>
          <t>NON</t>
        </is>
      </c>
      <c r="O4198" s="45" t="inlineStr"/>
    </row>
    <row r="4199" customFormat="1" s="3">
      <c r="A4199" s="45" t="n"/>
      <c r="B4199" s="46" t="inlineStr">
        <is>
          <t>42056</t>
        </is>
      </c>
      <c r="C4199" s="46">
        <f>LEFT(Tableau1[[#This Row],[Formacode]],3)</f>
        <v/>
      </c>
      <c r="D4199" s="47" t="n">
        <v>37715</v>
      </c>
      <c r="E4199" s="48">
        <f>"RNCP"&amp;D4199</f>
        <v/>
      </c>
      <c r="F4199" s="48" t="inlineStr">
        <is>
          <t>TP - Assistant de vie aux familles</t>
        </is>
      </c>
      <c r="G4199" s="49">
        <f>E4199&amp;" - "&amp;F4199</f>
        <v/>
      </c>
      <c r="H4199" s="36" t="inlineStr">
        <is>
          <t>RAS</t>
        </is>
      </c>
      <c r="I4199" s="45" t="inlineStr"/>
      <c r="J4199" s="45" t="inlineStr">
        <is>
          <t>RNCP37715</t>
        </is>
      </c>
      <c r="K4199" s="45" t="inlineStr">
        <is>
          <t>Assistant de vie aux familles</t>
        </is>
      </c>
      <c r="L4199" s="45" t="inlineStr">
        <is>
          <t>05/07/2028</t>
        </is>
      </c>
      <c r="M4199" s="45" t="inlineStr">
        <is>
          <t>44028 (Accompagnement éducatif et social) ; 42056 (Service à la personne) ; 44030 (Assistance maternelle)</t>
        </is>
      </c>
      <c r="N4199" s="50" t="inlineStr">
        <is>
          <t>NON</t>
        </is>
      </c>
      <c r="O4199" s="45" t="inlineStr"/>
    </row>
    <row r="4200" customFormat="1" s="3">
      <c r="A4200" s="51" t="n"/>
      <c r="B4200" s="52" t="inlineStr">
        <is>
          <t>42056</t>
        </is>
      </c>
      <c r="C4200" s="52">
        <f>LEFT(Tableau1[[#This Row],[Formacode]],3)</f>
        <v/>
      </c>
      <c r="D4200" s="53" t="n">
        <v>37780</v>
      </c>
      <c r="E4200" s="54">
        <f>"RNCP"&amp;D4200</f>
        <v/>
      </c>
      <c r="F4200" s="54" t="inlineStr">
        <is>
          <t>Assistant de vie dépendance</t>
        </is>
      </c>
      <c r="G4200" s="55">
        <f>E4200&amp;" - "&amp;F4200</f>
        <v/>
      </c>
      <c r="H4200" s="37" t="inlineStr">
        <is>
          <t>À vérifier</t>
        </is>
      </c>
      <c r="I4200" s="51" t="inlineStr">
        <is>
          <t>Successeur déjà publié : RNCP42318 (Assistant de vie) — préparer la bascule de l'offre CPF | Échéance le 19/07/2026 (dans 1 j)</t>
        </is>
      </c>
      <c r="J4200" s="51" t="inlineStr">
        <is>
          <t>RNCP42318</t>
        </is>
      </c>
      <c r="K4200" s="51" t="inlineStr">
        <is>
          <t>Assistant de vie</t>
        </is>
      </c>
      <c r="L4200" s="51" t="inlineStr">
        <is>
          <t>19/07/2026</t>
        </is>
      </c>
      <c r="M4200" s="51" t="inlineStr">
        <is>
          <t>42056 (Service à la personne) ; 44028 (Accompagnement éducatif et social)</t>
        </is>
      </c>
      <c r="N4200" s="62" t="inlineStr">
        <is>
          <t>NON</t>
        </is>
      </c>
      <c r="O4200" s="51" t="inlineStr"/>
    </row>
    <row r="4201" customFormat="1" s="3">
      <c r="A4201" s="45" t="n"/>
      <c r="B4201" s="46" t="inlineStr">
        <is>
          <t>42056</t>
        </is>
      </c>
      <c r="C4201" s="46">
        <f>LEFT(Tableau1[[#This Row],[Formacode]],3)</f>
        <v/>
      </c>
      <c r="D4201" s="47" t="n">
        <v>38390</v>
      </c>
      <c r="E4201" s="48">
        <f>"RNCP"&amp;D4201</f>
        <v/>
      </c>
      <c r="F4201" s="48" t="inlineStr">
        <is>
          <t>CAPA - Services aux personnes et vente en espace rural</t>
        </is>
      </c>
      <c r="G4201" s="49">
        <f>E4201&amp;" - "&amp;F4201</f>
        <v/>
      </c>
      <c r="H4201" s="36" t="inlineStr">
        <is>
          <t>RAS</t>
        </is>
      </c>
      <c r="I4201" s="45" t="inlineStr"/>
      <c r="J4201" s="45" t="inlineStr">
        <is>
          <t>RNCP38390</t>
        </is>
      </c>
      <c r="K4201" s="45" t="inlineStr">
        <is>
          <t>Services aux personnes et vente en espace rural</t>
        </is>
      </c>
      <c r="L4201" s="45" t="inlineStr">
        <is>
          <t>31/12/2028</t>
        </is>
      </c>
      <c r="M4201" s="45" t="inlineStr">
        <is>
          <t>34525 (Vente produit alimentaire) ; 42056 (Service à la personne)</t>
        </is>
      </c>
      <c r="N4201" s="50" t="inlineStr">
        <is>
          <t>NON</t>
        </is>
      </c>
      <c r="O4201" s="45" t="inlineStr"/>
    </row>
    <row r="4202" customFormat="1" s="3">
      <c r="A4202" s="45" t="n"/>
      <c r="B4202" s="46" t="inlineStr">
        <is>
          <t>42056</t>
        </is>
      </c>
      <c r="C4202" s="46">
        <f>LEFT(Tableau1[[#This Row],[Formacode]],3)</f>
        <v/>
      </c>
      <c r="D4202" s="47" t="n">
        <v>39539</v>
      </c>
      <c r="E4202" s="48">
        <f>"RNCP"&amp;D4202</f>
        <v/>
      </c>
      <c r="F4202" s="48" t="inlineStr">
        <is>
          <t>TP - Responsable-coordonnateur services au domicile</t>
        </is>
      </c>
      <c r="G4202" s="49">
        <f>E4202&amp;" - "&amp;F4202</f>
        <v/>
      </c>
      <c r="H4202" s="36" t="inlineStr">
        <is>
          <t>RAS</t>
        </is>
      </c>
      <c r="I4202" s="45" t="inlineStr"/>
      <c r="J4202" s="45" t="inlineStr">
        <is>
          <t>RNCP39539</t>
        </is>
      </c>
      <c r="K4202" s="45" t="inlineStr">
        <is>
          <t>Responsable-coordonnateur services au domicile</t>
        </is>
      </c>
      <c r="L4202" s="45" t="inlineStr">
        <is>
          <t>31/10/2029</t>
        </is>
      </c>
      <c r="M4202" s="45" t="inlineStr">
        <is>
          <t>42056 (Service à la personne)</t>
        </is>
      </c>
      <c r="N4202" s="50" t="inlineStr">
        <is>
          <t>NON</t>
        </is>
      </c>
      <c r="O4202" s="45" t="inlineStr"/>
    </row>
    <row r="4203" customFormat="1" s="3">
      <c r="A4203" s="45" t="n"/>
      <c r="B4203" s="46" t="inlineStr">
        <is>
          <t>42056</t>
        </is>
      </c>
      <c r="C4203" s="46">
        <f>LEFT(Tableau1[[#This Row],[Formacode]],3)</f>
        <v/>
      </c>
      <c r="D4203" s="47" t="n">
        <v>41489</v>
      </c>
      <c r="E4203" s="48">
        <f>"RNCP"&amp;D4203</f>
        <v/>
      </c>
      <c r="F4203" s="48" t="inlineStr">
        <is>
          <t>Technicien valoriste du réemploi</t>
        </is>
      </c>
      <c r="G4203" s="49">
        <f>E4203&amp;" - "&amp;F4203</f>
        <v/>
      </c>
      <c r="H4203" s="36" t="inlineStr">
        <is>
          <t>RAS</t>
        </is>
      </c>
      <c r="I4203" s="45" t="inlineStr"/>
      <c r="J4203" s="45" t="inlineStr">
        <is>
          <t>RNCP41489</t>
        </is>
      </c>
      <c r="K4203" s="45" t="inlineStr">
        <is>
          <t>Technicien valoriste du réemploi</t>
        </is>
      </c>
      <c r="L4203" s="45" t="inlineStr">
        <is>
          <t>27/10/2028</t>
        </is>
      </c>
      <c r="M4203" s="45" t="inlineStr">
        <is>
          <t>12582 (Gestion déchet) ; 12578 (Animation environnement) ; 42054 (Services commerces proximité) ; 12573 (Éco-produit)</t>
        </is>
      </c>
      <c r="N4203" s="50" t="inlineStr">
        <is>
          <t>NON</t>
        </is>
      </c>
      <c r="O4203" s="45" t="inlineStr"/>
    </row>
    <row r="4204" customFormat="1" s="3">
      <c r="A4204" s="45" t="n"/>
      <c r="B4204" s="46" t="inlineStr">
        <is>
          <t>42057</t>
        </is>
      </c>
      <c r="C4204" s="46">
        <f>LEFT(Tableau1[[#This Row],[Formacode]],3)</f>
        <v/>
      </c>
      <c r="D4204" s="47" t="n">
        <v>41489</v>
      </c>
      <c r="E4204" s="48">
        <f>"RNCP"&amp;D4204</f>
        <v/>
      </c>
      <c r="F4204" s="48" t="inlineStr">
        <is>
          <t>Technicien valoriste du réemploi</t>
        </is>
      </c>
      <c r="G4204" s="49">
        <f>E4204&amp;" - "&amp;F4204</f>
        <v/>
      </c>
      <c r="H4204" s="36" t="inlineStr">
        <is>
          <t>RAS</t>
        </is>
      </c>
      <c r="I4204" s="45" t="inlineStr"/>
      <c r="J4204" s="45" t="inlineStr">
        <is>
          <t>RNCP41489</t>
        </is>
      </c>
      <c r="K4204" s="45" t="inlineStr">
        <is>
          <t>Technicien valoriste du réemploi</t>
        </is>
      </c>
      <c r="L4204" s="45" t="inlineStr">
        <is>
          <t>27/10/2028</t>
        </is>
      </c>
      <c r="M4204" s="45" t="inlineStr">
        <is>
          <t>12582 (Gestion déchet) ; 12578 (Animation environnement) ; 42054 (Services commerces proximité) ; 12573 (Éco-produit)</t>
        </is>
      </c>
      <c r="N4204" s="50" t="inlineStr">
        <is>
          <t>NON</t>
        </is>
      </c>
      <c r="O4204" s="45" t="inlineStr"/>
    </row>
    <row r="4205" customFormat="1" s="3">
      <c r="A4205" s="45" t="n"/>
      <c r="B4205" s="46" t="inlineStr">
        <is>
          <t>42069</t>
        </is>
      </c>
      <c r="C4205" s="46">
        <f>LEFT(Tableau1[[#This Row],[Formacode]],3)</f>
        <v/>
      </c>
      <c r="D4205" s="47" t="n">
        <v>37669</v>
      </c>
      <c r="E4205" s="48">
        <f>"RNCP"&amp;D4205</f>
        <v/>
      </c>
      <c r="F4205" s="48" t="inlineStr">
        <is>
          <t>Certificat d'aptitude professionnelle - Agent accompagnant au grand âge</t>
        </is>
      </c>
      <c r="G4205" s="49">
        <f>E4205&amp;" - "&amp;F4205</f>
        <v/>
      </c>
      <c r="H4205" s="36" t="inlineStr">
        <is>
          <t>RAS</t>
        </is>
      </c>
      <c r="I4205" s="45" t="inlineStr"/>
      <c r="J4205" s="45" t="inlineStr">
        <is>
          <t>RNCP37669</t>
        </is>
      </c>
      <c r="K4205" s="45" t="inlineStr">
        <is>
          <t>Agent accompagnant au grand âge</t>
        </is>
      </c>
      <c r="L4205" s="45" t="inlineStr">
        <is>
          <t>31/08/2028</t>
        </is>
      </c>
      <c r="M4205" s="45" t="inlineStr">
        <is>
          <t>44028 (Accompagnement éducatif et social) ; 42069 (Employé collectivité)</t>
        </is>
      </c>
      <c r="N4205" s="50" t="inlineStr">
        <is>
          <t>NON</t>
        </is>
      </c>
      <c r="O4205" s="45" t="inlineStr"/>
    </row>
    <row r="4206" customFormat="1" s="3">
      <c r="A4206" s="45" t="n"/>
      <c r="B4206" s="46" t="inlineStr">
        <is>
          <t>42069</t>
        </is>
      </c>
      <c r="C4206" s="46">
        <f>LEFT(Tableau1[[#This Row],[Formacode]],3)</f>
        <v/>
      </c>
      <c r="D4206" s="47" t="n">
        <v>37872</v>
      </c>
      <c r="E4206" s="48">
        <f>"RNCP"&amp;D4206</f>
        <v/>
      </c>
      <c r="F4206" s="48" t="inlineStr">
        <is>
          <t>TP - Agent de propreté et d'hygiène</t>
        </is>
      </c>
      <c r="G4206" s="49">
        <f>E4206&amp;" - "&amp;F4206</f>
        <v/>
      </c>
      <c r="H4206" s="36" t="inlineStr">
        <is>
          <t>RAS</t>
        </is>
      </c>
      <c r="I4206" s="45" t="inlineStr"/>
      <c r="J4206" s="45" t="inlineStr">
        <is>
          <t>RNCP37872</t>
        </is>
      </c>
      <c r="K4206" s="45" t="inlineStr">
        <is>
          <t>Agent de propreté et d'hygiène</t>
        </is>
      </c>
      <c r="L4206" s="45" t="inlineStr">
        <is>
          <t>13/08/2028</t>
        </is>
      </c>
      <c r="M4206" s="45" t="inlineStr">
        <is>
          <t>42093 (Nettoyage locaux) ; 42069 (Employé collectivité)</t>
        </is>
      </c>
      <c r="N4206" s="50" t="inlineStr">
        <is>
          <t>NON</t>
        </is>
      </c>
      <c r="O4206" s="45" t="inlineStr"/>
    </row>
    <row r="4207" customFormat="1" s="3">
      <c r="A4207" s="45" t="n"/>
      <c r="B4207" s="46" t="inlineStr">
        <is>
          <t>42069</t>
        </is>
      </c>
      <c r="C4207" s="46">
        <f>LEFT(Tableau1[[#This Row],[Formacode]],3)</f>
        <v/>
      </c>
      <c r="D4207" s="47" t="n">
        <v>41365</v>
      </c>
      <c r="E4207" s="48">
        <f>"RNCP"&amp;D4207</f>
        <v/>
      </c>
      <c r="F4207" s="48" t="inlineStr">
        <is>
          <t>TP - Agent de service médico-social</t>
        </is>
      </c>
      <c r="G4207" s="49">
        <f>E4207&amp;" - "&amp;F4207</f>
        <v/>
      </c>
      <c r="H4207" s="36" t="inlineStr">
        <is>
          <t>RAS</t>
        </is>
      </c>
      <c r="I4207" s="45" t="inlineStr"/>
      <c r="J4207" s="45" t="inlineStr">
        <is>
          <t>RNCP41365</t>
        </is>
      </c>
      <c r="K4207" s="45" t="inlineStr">
        <is>
          <t>Agent de service médico-social</t>
        </is>
      </c>
      <c r="L4207" s="45" t="inlineStr">
        <is>
          <t>04/10/2030</t>
        </is>
      </c>
      <c r="M4207" s="45" t="inlineStr">
        <is>
          <t>43403 (Hygiène hospitalière) ; 42086 (Bio-nettoyage) ; 43429 (Agent service hospitalier) ; 42069 (Employé collectivité)</t>
        </is>
      </c>
      <c r="N4207" s="50" t="inlineStr">
        <is>
          <t>NON</t>
        </is>
      </c>
      <c r="O4207" s="45" t="inlineStr"/>
    </row>
    <row r="4208" customFormat="1" s="3">
      <c r="A4208" s="45" t="n"/>
      <c r="B4208" s="46" t="inlineStr">
        <is>
          <t>42069</t>
        </is>
      </c>
      <c r="C4208" s="46">
        <f>LEFT(Tableau1[[#This Row],[Formacode]],3)</f>
        <v/>
      </c>
      <c r="D4208" s="47" t="n">
        <v>41489</v>
      </c>
      <c r="E4208" s="48">
        <f>"RNCP"&amp;D4208</f>
        <v/>
      </c>
      <c r="F4208" s="48" t="inlineStr">
        <is>
          <t>Technicien valoriste du réemploi</t>
        </is>
      </c>
      <c r="G4208" s="49">
        <f>E4208&amp;" - "&amp;F4208</f>
        <v/>
      </c>
      <c r="H4208" s="36" t="inlineStr">
        <is>
          <t>RAS</t>
        </is>
      </c>
      <c r="I4208" s="45" t="inlineStr"/>
      <c r="J4208" s="45" t="inlineStr">
        <is>
          <t>RNCP41489</t>
        </is>
      </c>
      <c r="K4208" s="45" t="inlineStr">
        <is>
          <t>Technicien valoriste du réemploi</t>
        </is>
      </c>
      <c r="L4208" s="45" t="inlineStr">
        <is>
          <t>27/10/2028</t>
        </is>
      </c>
      <c r="M4208" s="45" t="inlineStr">
        <is>
          <t>12582 (Gestion déchet) ; 12578 (Animation environnement) ; 42054 (Services commerces proximité) ; 12573 (Éco-produit)</t>
        </is>
      </c>
      <c r="N4208" s="50" t="inlineStr">
        <is>
          <t>NON</t>
        </is>
      </c>
      <c r="O4208" s="45" t="inlineStr"/>
    </row>
    <row r="4209" customFormat="1" s="3">
      <c r="A4209" s="45" t="n"/>
      <c r="B4209" s="46" t="inlineStr">
        <is>
          <t>42074</t>
        </is>
      </c>
      <c r="C4209" s="46">
        <f>LEFT(Tableau1[[#This Row],[Formacode]],3)</f>
        <v/>
      </c>
      <c r="D4209" s="47" t="n">
        <v>41489</v>
      </c>
      <c r="E4209" s="48">
        <f>"RNCP"&amp;D4209</f>
        <v/>
      </c>
      <c r="F4209" s="48" t="inlineStr">
        <is>
          <t>Technicien valoriste du réemploi</t>
        </is>
      </c>
      <c r="G4209" s="49">
        <f>E4209&amp;" - "&amp;F4209</f>
        <v/>
      </c>
      <c r="H4209" s="36" t="inlineStr">
        <is>
          <t>RAS</t>
        </is>
      </c>
      <c r="I4209" s="45" t="inlineStr"/>
      <c r="J4209" s="45" t="inlineStr">
        <is>
          <t>RNCP41489</t>
        </is>
      </c>
      <c r="K4209" s="45" t="inlineStr">
        <is>
          <t>Technicien valoriste du réemploi</t>
        </is>
      </c>
      <c r="L4209" s="45" t="inlineStr">
        <is>
          <t>27/10/2028</t>
        </is>
      </c>
      <c r="M4209" s="45" t="inlineStr">
        <is>
          <t>12582 (Gestion déchet) ; 12578 (Animation environnement) ; 42054 (Services commerces proximité) ; 12573 (Éco-produit)</t>
        </is>
      </c>
      <c r="N4209" s="50" t="inlineStr">
        <is>
          <t>NON</t>
        </is>
      </c>
      <c r="O4209" s="45" t="inlineStr"/>
    </row>
    <row r="4210" customFormat="1" s="3">
      <c r="A4210" s="45" t="n"/>
      <c r="B4210" s="46" t="inlineStr">
        <is>
          <t>42077</t>
        </is>
      </c>
      <c r="C4210" s="46">
        <f>LEFT(Tableau1[[#This Row],[Formacode]],3)</f>
        <v/>
      </c>
      <c r="D4210" s="47" t="n">
        <v>41489</v>
      </c>
      <c r="E4210" s="48">
        <f>"RNCP"&amp;D4210</f>
        <v/>
      </c>
      <c r="F4210" s="48" t="inlineStr">
        <is>
          <t>Technicien valoriste du réemploi</t>
        </is>
      </c>
      <c r="G4210" s="49">
        <f>E4210&amp;" - "&amp;F4210</f>
        <v/>
      </c>
      <c r="H4210" s="36" t="inlineStr">
        <is>
          <t>RAS</t>
        </is>
      </c>
      <c r="I4210" s="45" t="inlineStr"/>
      <c r="J4210" s="45" t="inlineStr">
        <is>
          <t>RNCP41489</t>
        </is>
      </c>
      <c r="K4210" s="45" t="inlineStr">
        <is>
          <t>Technicien valoriste du réemploi</t>
        </is>
      </c>
      <c r="L4210" s="45" t="inlineStr">
        <is>
          <t>27/10/2028</t>
        </is>
      </c>
      <c r="M4210" s="45" t="inlineStr">
        <is>
          <t>12582 (Gestion déchet) ; 12578 (Animation environnement) ; 42054 (Services commerces proximité) ; 12573 (Éco-produit)</t>
        </is>
      </c>
      <c r="N4210" s="50" t="inlineStr">
        <is>
          <t>NON</t>
        </is>
      </c>
      <c r="O4210" s="45" t="inlineStr"/>
    </row>
    <row r="4211" customFormat="1" s="3">
      <c r="A4211" s="45" t="n"/>
      <c r="B4211" s="46" t="inlineStr">
        <is>
          <t>42087</t>
        </is>
      </c>
      <c r="C4211" s="46">
        <f>LEFT(Tableau1[[#This Row],[Formacode]],3)</f>
        <v/>
      </c>
      <c r="D4211" s="47" t="n">
        <v>41489</v>
      </c>
      <c r="E4211" s="48">
        <f>"RNCP"&amp;D4211</f>
        <v/>
      </c>
      <c r="F4211" s="48" t="inlineStr">
        <is>
          <t>Technicien valoriste du réemploi</t>
        </is>
      </c>
      <c r="G4211" s="49">
        <f>E4211&amp;" - "&amp;F4211</f>
        <v/>
      </c>
      <c r="H4211" s="36" t="inlineStr">
        <is>
          <t>RAS</t>
        </is>
      </c>
      <c r="I4211" s="45" t="inlineStr"/>
      <c r="J4211" s="45" t="inlineStr">
        <is>
          <t>RNCP41489</t>
        </is>
      </c>
      <c r="K4211" s="45" t="inlineStr">
        <is>
          <t>Technicien valoriste du réemploi</t>
        </is>
      </c>
      <c r="L4211" s="45" t="inlineStr">
        <is>
          <t>27/10/2028</t>
        </is>
      </c>
      <c r="M4211" s="45" t="inlineStr">
        <is>
          <t>12582 (Gestion déchet) ; 12578 (Animation environnement) ; 42054 (Services commerces proximité) ; 12573 (Éco-produit)</t>
        </is>
      </c>
      <c r="N4211" s="50" t="inlineStr">
        <is>
          <t>NON</t>
        </is>
      </c>
      <c r="O4211" s="45" t="inlineStr"/>
    </row>
    <row r="4212" customFormat="1" s="3">
      <c r="A4212" s="63" t="n"/>
      <c r="B4212" s="64" t="inlineStr">
        <is>
          <t>42093</t>
        </is>
      </c>
      <c r="C4212" s="64">
        <f>LEFT(Tableau1[[#This Row],[Formacode]],3)</f>
        <v/>
      </c>
      <c r="D4212" s="65" t="n">
        <v>35551</v>
      </c>
      <c r="E4212" s="66">
        <f>"RNCP"&amp;D4212</f>
        <v/>
      </c>
      <c r="F4212" s="66" t="inlineStr">
        <is>
          <t>Agent d’entretien et de rénovation en propreté</t>
        </is>
      </c>
      <c r="G4212" s="67">
        <f>E4212&amp;" - "&amp;F4212</f>
        <v/>
      </c>
      <c r="H4212" s="38" t="inlineStr">
        <is>
          <t>Expiré / remplacé</t>
        </is>
      </c>
      <c r="I4212" s="63" t="inlineStr">
        <is>
          <t>Fiche inactive — remplacée par RNCP42160 (Agent d'entretien et de rénovation en propreté)</t>
        </is>
      </c>
      <c r="J4212" s="63" t="inlineStr">
        <is>
          <t>RNCP42160</t>
        </is>
      </c>
      <c r="K4212" s="63" t="inlineStr">
        <is>
          <t>Agent d'entretien et de rénovation en propreté</t>
        </is>
      </c>
      <c r="L4212" s="63" t="inlineStr">
        <is>
          <t>19/04/2026</t>
        </is>
      </c>
      <c r="M4212" s="63" t="inlineStr">
        <is>
          <t>42093 (Nettoyage locaux)</t>
        </is>
      </c>
      <c r="N4212" s="68" t="inlineStr">
        <is>
          <t>NON</t>
        </is>
      </c>
      <c r="O4212" s="63" t="inlineStr"/>
    </row>
    <row r="4213" customFormat="1" s="3">
      <c r="A4213" s="63" t="n"/>
      <c r="B4213" s="64" t="inlineStr">
        <is>
          <t>42093</t>
        </is>
      </c>
      <c r="C4213" s="64">
        <f>LEFT(Tableau1[[#This Row],[Formacode]],3)</f>
        <v/>
      </c>
      <c r="D4213" s="65" t="n">
        <v>35552</v>
      </c>
      <c r="E4213" s="66">
        <f>"RNCP"&amp;D4213</f>
        <v/>
      </c>
      <c r="F4213" s="66" t="inlineStr">
        <is>
          <t>Chef d’équipe en propreté</t>
        </is>
      </c>
      <c r="G4213" s="67">
        <f>E4213&amp;" - "&amp;F4213</f>
        <v/>
      </c>
      <c r="H4213" s="38" t="inlineStr">
        <is>
          <t>Expiré / remplacé</t>
        </is>
      </c>
      <c r="I4213" s="63" t="inlineStr">
        <is>
          <t>Fiche inactive — remplacée par RNCP42151 (Chef d'équipe en propreté)</t>
        </is>
      </c>
      <c r="J4213" s="63" t="inlineStr">
        <is>
          <t>RNCP42151</t>
        </is>
      </c>
      <c r="K4213" s="63" t="inlineStr">
        <is>
          <t>Chef d'équipe en propreté</t>
        </is>
      </c>
      <c r="L4213" s="63" t="inlineStr">
        <is>
          <t>19/04/2026</t>
        </is>
      </c>
      <c r="M4213" s="63" t="inlineStr">
        <is>
          <t>42093 (Nettoyage locaux)</t>
        </is>
      </c>
      <c r="N4213" s="68" t="inlineStr">
        <is>
          <t>NON</t>
        </is>
      </c>
      <c r="O4213" s="63" t="inlineStr"/>
    </row>
    <row r="4214" customFormat="1" s="3">
      <c r="A4214" s="45" t="n"/>
      <c r="B4214" s="46" t="inlineStr">
        <is>
          <t>42093</t>
        </is>
      </c>
      <c r="C4214" s="46">
        <f>LEFT(Tableau1[[#This Row],[Formacode]],3)</f>
        <v/>
      </c>
      <c r="D4214" s="47" t="n">
        <v>37872</v>
      </c>
      <c r="E4214" s="48">
        <f>"RNCP"&amp;D4214</f>
        <v/>
      </c>
      <c r="F4214" s="48" t="inlineStr">
        <is>
          <t>TP - Agent de propreté et d'hygiène</t>
        </is>
      </c>
      <c r="G4214" s="49">
        <f>E4214&amp;" - "&amp;F4214</f>
        <v/>
      </c>
      <c r="H4214" s="36" t="inlineStr">
        <is>
          <t>RAS</t>
        </is>
      </c>
      <c r="I4214" s="45" t="inlineStr"/>
      <c r="J4214" s="45" t="inlineStr">
        <is>
          <t>RNCP37872</t>
        </is>
      </c>
      <c r="K4214" s="45" t="inlineStr">
        <is>
          <t>Agent de propreté et d'hygiène</t>
        </is>
      </c>
      <c r="L4214" s="45" t="inlineStr">
        <is>
          <t>13/08/2028</t>
        </is>
      </c>
      <c r="M4214" s="45" t="inlineStr">
        <is>
          <t>42093 (Nettoyage locaux) ; 42069 (Employé collectivité)</t>
        </is>
      </c>
      <c r="N4214" s="50" t="inlineStr">
        <is>
          <t>NON</t>
        </is>
      </c>
      <c r="O4214" s="45" t="inlineStr"/>
    </row>
    <row r="4215" customFormat="1" s="3">
      <c r="A4215" s="45" t="n"/>
      <c r="B4215" s="46" t="inlineStr">
        <is>
          <t>42093</t>
        </is>
      </c>
      <c r="C4215" s="46">
        <f>LEFT(Tableau1[[#This Row],[Formacode]],3)</f>
        <v/>
      </c>
      <c r="D4215" s="47" t="n">
        <v>38007</v>
      </c>
      <c r="E4215" s="48">
        <f>"RNCP"&amp;D4215</f>
        <v/>
      </c>
      <c r="F4215" s="48" t="inlineStr">
        <is>
          <t>CQP Responsable de secteur en propreté</t>
        </is>
      </c>
      <c r="G4215" s="49">
        <f>E4215&amp;" - "&amp;F4215</f>
        <v/>
      </c>
      <c r="H4215" s="36" t="inlineStr">
        <is>
          <t>RAS</t>
        </is>
      </c>
      <c r="I4215" s="45" t="inlineStr"/>
      <c r="J4215" s="45" t="inlineStr">
        <is>
          <t>RNCP38007</t>
        </is>
      </c>
      <c r="K4215" s="45" t="inlineStr">
        <is>
          <t>CQP Responsable de secteur en propreté</t>
        </is>
      </c>
      <c r="L4215" s="45" t="inlineStr">
        <is>
          <t>20/09/2028</t>
        </is>
      </c>
      <c r="M4215" s="45" t="inlineStr">
        <is>
          <t>42091 (Gestion entreprise nettoyage)</t>
        </is>
      </c>
      <c r="N4215" s="50" t="inlineStr">
        <is>
          <t>NON</t>
        </is>
      </c>
      <c r="O4215" s="45" t="inlineStr"/>
    </row>
    <row r="4216" customFormat="1" s="3">
      <c r="A4216" s="45" t="n"/>
      <c r="B4216" s="46" t="inlineStr">
        <is>
          <t>42093</t>
        </is>
      </c>
      <c r="C4216" s="46">
        <f>LEFT(Tableau1[[#This Row],[Formacode]],3)</f>
        <v/>
      </c>
      <c r="D4216" s="47" t="n">
        <v>38015</v>
      </c>
      <c r="E4216" s="48">
        <f>"RNCP"&amp;D4216</f>
        <v/>
      </c>
      <c r="F4216" s="48" t="inlineStr">
        <is>
          <t>CQP Chef de site en propreté</t>
        </is>
      </c>
      <c r="G4216" s="49">
        <f>E4216&amp;" - "&amp;F4216</f>
        <v/>
      </c>
      <c r="H4216" s="36" t="inlineStr">
        <is>
          <t>RAS</t>
        </is>
      </c>
      <c r="I4216" s="45" t="inlineStr"/>
      <c r="J4216" s="45" t="inlineStr">
        <is>
          <t>RNCP38015</t>
        </is>
      </c>
      <c r="K4216" s="45" t="inlineStr">
        <is>
          <t>CQP Chef de site en propreté</t>
        </is>
      </c>
      <c r="L4216" s="45" t="inlineStr">
        <is>
          <t>20/09/2028</t>
        </is>
      </c>
      <c r="M4216" s="45" t="inlineStr">
        <is>
          <t>42091 (Gestion entreprise nettoyage)</t>
        </is>
      </c>
      <c r="N4216" s="50" t="inlineStr">
        <is>
          <t>NON</t>
        </is>
      </c>
      <c r="O4216" s="45" t="inlineStr"/>
    </row>
    <row r="4217" customFormat="1" s="3">
      <c r="A4217" s="45" t="n"/>
      <c r="B4217" s="46" t="inlineStr">
        <is>
          <t>42093</t>
        </is>
      </c>
      <c r="C4217" s="46">
        <f>LEFT(Tableau1[[#This Row],[Formacode]],3)</f>
        <v/>
      </c>
      <c r="D4217" s="47" t="n">
        <v>39356</v>
      </c>
      <c r="E4217" s="48">
        <f>"RNCP"&amp;D4217</f>
        <v/>
      </c>
      <c r="F4217" s="48" t="inlineStr">
        <is>
          <t>Agent machiniste en propreté</t>
        </is>
      </c>
      <c r="G4217" s="49">
        <f>E4217&amp;" - "&amp;F4217</f>
        <v/>
      </c>
      <c r="H4217" s="36" t="inlineStr">
        <is>
          <t>RAS</t>
        </is>
      </c>
      <c r="I4217" s="45" t="inlineStr"/>
      <c r="J4217" s="45" t="inlineStr">
        <is>
          <t>RNCP39356</t>
        </is>
      </c>
      <c r="K4217" s="45" t="inlineStr">
        <is>
          <t>Agent machiniste en propreté</t>
        </is>
      </c>
      <c r="L4217" s="45" t="inlineStr">
        <is>
          <t>19/07/2027</t>
        </is>
      </c>
      <c r="M4217" s="45" t="inlineStr">
        <is>
          <t>42093 (Nettoyage locaux)</t>
        </is>
      </c>
      <c r="N4217" s="50" t="inlineStr">
        <is>
          <t>NON</t>
        </is>
      </c>
      <c r="O4217" s="45" t="inlineStr"/>
    </row>
    <row r="4218" customFormat="1" s="3">
      <c r="A4218" s="45" t="n"/>
      <c r="B4218" s="46" t="inlineStr">
        <is>
          <t>42093</t>
        </is>
      </c>
      <c r="C4218" s="46">
        <f>LEFT(Tableau1[[#This Row],[Formacode]],3)</f>
        <v/>
      </c>
      <c r="D4218" s="47" t="n">
        <v>39944</v>
      </c>
      <c r="E4218" s="48">
        <f>"RNCP"&amp;D4218</f>
        <v/>
      </c>
      <c r="F4218" s="48" t="inlineStr">
        <is>
          <t>BTS - Métiers des services à l'environnement</t>
        </is>
      </c>
      <c r="G4218" s="49">
        <f>E4218&amp;" - "&amp;F4218</f>
        <v/>
      </c>
      <c r="H4218" s="36" t="inlineStr">
        <is>
          <t>RAS</t>
        </is>
      </c>
      <c r="I4218" s="45" t="inlineStr"/>
      <c r="J4218" s="45" t="inlineStr">
        <is>
          <t>RNCP39944</t>
        </is>
      </c>
      <c r="K4218" s="45" t="inlineStr">
        <is>
          <t>Métiers des services à l'environnement</t>
        </is>
      </c>
      <c r="L4218" s="45" t="inlineStr">
        <is>
          <t>31/12/2029</t>
        </is>
      </c>
      <c r="M4218" s="45" t="inlineStr">
        <is>
          <t>12582 (Gestion déchet) ; 12570 (Pollution atmosphérique) ; 42093 (Nettoyage locaux) ; 32008 (Responsabilité sociétale entreprise) ; 31407 (Qualité hygiène sécurité environnement)</t>
        </is>
      </c>
      <c r="N4218" s="50" t="inlineStr">
        <is>
          <t>NON</t>
        </is>
      </c>
      <c r="O4218" s="45" t="inlineStr"/>
    </row>
    <row r="4219" customFormat="1" s="3">
      <c r="A4219" s="45" t="n"/>
      <c r="B4219" s="46" t="inlineStr">
        <is>
          <t>42093</t>
        </is>
      </c>
      <c r="C4219" s="46">
        <f>LEFT(Tableau1[[#This Row],[Formacode]],3)</f>
        <v/>
      </c>
      <c r="D4219" s="47" t="n">
        <v>39970</v>
      </c>
      <c r="E4219" s="48">
        <f>"RNCP"&amp;D4219</f>
        <v/>
      </c>
      <c r="F4219" s="48" t="inlineStr">
        <is>
          <t>CQP Ouvrier qualifié en nettoyage industriel du secteur alimentaire</t>
        </is>
      </c>
      <c r="G4219" s="49">
        <f>E4219&amp;" - "&amp;F4219</f>
        <v/>
      </c>
      <c r="H4219" s="36" t="inlineStr">
        <is>
          <t>RAS</t>
        </is>
      </c>
      <c r="I4219" s="45" t="inlineStr"/>
      <c r="J4219" s="45" t="inlineStr">
        <is>
          <t>RNCP39970</t>
        </is>
      </c>
      <c r="K4219" s="45" t="inlineStr">
        <is>
          <t>CQP Ouvrier qualifié en nettoyage industriel du secteur alimentaire</t>
        </is>
      </c>
      <c r="L4219" s="45" t="inlineStr">
        <is>
          <t>18/12/2029</t>
        </is>
      </c>
      <c r="M4219" s="45" t="inlineStr">
        <is>
          <t>42093 (Nettoyage locaux)</t>
        </is>
      </c>
      <c r="N4219" s="50" t="inlineStr">
        <is>
          <t>NON</t>
        </is>
      </c>
      <c r="O4219" s="45" t="inlineStr"/>
    </row>
    <row r="4220" customFormat="1" s="3">
      <c r="A4220" s="45" t="n"/>
      <c r="B4220" s="46" t="inlineStr">
        <is>
          <t>42093</t>
        </is>
      </c>
      <c r="C4220" s="46">
        <f>LEFT(Tableau1[[#This Row],[Formacode]],3)</f>
        <v/>
      </c>
      <c r="D4220" s="47" t="n">
        <v>40309</v>
      </c>
      <c r="E4220" s="48">
        <f>"RNCP"&amp;D4220</f>
        <v/>
      </c>
      <c r="F4220" s="48" t="inlineStr">
        <is>
          <t>CAP - Propreté et prévention des biocontaminations</t>
        </is>
      </c>
      <c r="G4220" s="49">
        <f>E4220&amp;" - "&amp;F4220</f>
        <v/>
      </c>
      <c r="H4220" s="36" t="inlineStr">
        <is>
          <t>RAS</t>
        </is>
      </c>
      <c r="I4220" s="45" t="inlineStr"/>
      <c r="J4220" s="45" t="inlineStr">
        <is>
          <t>RNCP40309</t>
        </is>
      </c>
      <c r="K4220" s="45" t="inlineStr">
        <is>
          <t>Propreté et prévention des biocontaminations</t>
        </is>
      </c>
      <c r="L4220" s="45" t="inlineStr">
        <is>
          <t>31/08/2030</t>
        </is>
      </c>
      <c r="M4220" s="45" t="inlineStr">
        <is>
          <t>42086 (Bio-nettoyage)</t>
        </is>
      </c>
      <c r="N4220" s="50" t="inlineStr">
        <is>
          <t>NON</t>
        </is>
      </c>
      <c r="O4220" s="45" t="inlineStr"/>
    </row>
    <row r="4221" customFormat="1" s="3">
      <c r="A4221" s="45" t="n"/>
      <c r="B4221" s="46" t="inlineStr">
        <is>
          <t>42093</t>
        </is>
      </c>
      <c r="C4221" s="46">
        <f>LEFT(Tableau1[[#This Row],[Formacode]],3)</f>
        <v/>
      </c>
      <c r="D4221" s="47" t="n">
        <v>40311</v>
      </c>
      <c r="E4221" s="48">
        <f>"RNCP"&amp;D4221</f>
        <v/>
      </c>
      <c r="F4221" s="48" t="inlineStr">
        <is>
          <t>BAC PRO - Maintenance environnementale et propreté des espaces urbains</t>
        </is>
      </c>
      <c r="G4221" s="49">
        <f>E4221&amp;" - "&amp;F4221</f>
        <v/>
      </c>
      <c r="H4221" s="36" t="inlineStr">
        <is>
          <t>RAS</t>
        </is>
      </c>
      <c r="I4221" s="45" t="inlineStr"/>
      <c r="J4221" s="45" t="inlineStr">
        <is>
          <t>RNCP40311</t>
        </is>
      </c>
      <c r="K4221" s="45" t="inlineStr">
        <is>
          <t>Maintenance environnementale et propreté des espaces urbains</t>
        </is>
      </c>
      <c r="L4221" s="45" t="inlineStr">
        <is>
          <t>31/08/2030</t>
        </is>
      </c>
      <c r="M4221" s="45" t="inlineStr">
        <is>
          <t>42006 (Nettoyage urbain) ; 42093 (Nettoyage locaux) ; 31624 (Maintenance industrielle) ; 12582 (Gestion déchet)</t>
        </is>
      </c>
      <c r="N4221" s="50" t="inlineStr">
        <is>
          <t>NON</t>
        </is>
      </c>
      <c r="O4221" s="45" t="inlineStr"/>
    </row>
    <row r="4222" customFormat="1" s="3">
      <c r="A4222" s="45" t="n"/>
      <c r="B4222" s="46" t="inlineStr">
        <is>
          <t>42093</t>
        </is>
      </c>
      <c r="C4222" s="46">
        <f>LEFT(Tableau1[[#This Row],[Formacode]],3)</f>
        <v/>
      </c>
      <c r="D4222" s="47" t="n">
        <v>40312</v>
      </c>
      <c r="E4222" s="48">
        <f>"RNCP"&amp;D4222</f>
        <v/>
      </c>
      <c r="F4222" s="48" t="inlineStr">
        <is>
          <t>BAC PRO - Hygiène, propreté, stérilisation</t>
        </is>
      </c>
      <c r="G4222" s="49">
        <f>E4222&amp;" - "&amp;F4222</f>
        <v/>
      </c>
      <c r="H4222" s="36" t="inlineStr">
        <is>
          <t>RAS</t>
        </is>
      </c>
      <c r="I4222" s="45" t="inlineStr"/>
      <c r="J4222" s="45" t="inlineStr">
        <is>
          <t>RNCP40312</t>
        </is>
      </c>
      <c r="K4222" s="45" t="inlineStr">
        <is>
          <t>Hygiène, propreté, stérilisation</t>
        </is>
      </c>
      <c r="L4222" s="45" t="inlineStr">
        <is>
          <t>31/08/2030</t>
        </is>
      </c>
      <c r="M4222" s="45" t="inlineStr">
        <is>
          <t>31407 (Qualité hygiène sécurité environnement) ; 42093 (Nettoyage locaux) ; 43422 (Stérilisation médicale)</t>
        </is>
      </c>
      <c r="N4222" s="50" t="inlineStr">
        <is>
          <t>NON</t>
        </is>
      </c>
      <c r="O4222" s="45" t="inlineStr"/>
    </row>
    <row r="4223" customFormat="1" s="3">
      <c r="A4223" s="45" t="n"/>
      <c r="B4223" s="46" t="inlineStr">
        <is>
          <t>42093</t>
        </is>
      </c>
      <c r="C4223" s="46">
        <f>LEFT(Tableau1[[#This Row],[Formacode]],3)</f>
        <v/>
      </c>
      <c r="D4223" s="47" t="n">
        <v>40558</v>
      </c>
      <c r="E4223" s="48">
        <f>"RNCP"&amp;D4223</f>
        <v/>
      </c>
      <c r="F4223" s="48" t="inlineStr">
        <is>
          <t>Responsable développement et qualité hygiène, propreté et services</t>
        </is>
      </c>
      <c r="G4223" s="49">
        <f>E4223&amp;" - "&amp;F4223</f>
        <v/>
      </c>
      <c r="H4223" s="36" t="inlineStr">
        <is>
          <t>RAS</t>
        </is>
      </c>
      <c r="I4223" s="45" t="inlineStr"/>
      <c r="J4223" s="45" t="inlineStr">
        <is>
          <t>RNCP40558</t>
        </is>
      </c>
      <c r="K4223" s="45" t="inlineStr">
        <is>
          <t>Responsable développement et qualité hygiène, propreté et services</t>
        </is>
      </c>
      <c r="L4223" s="45" t="inlineStr">
        <is>
          <t>30/04/2030</t>
        </is>
      </c>
      <c r="M4223" s="45" t="inlineStr">
        <is>
          <t>42091 (Gestion entreprise nettoyage) ; 31407 (Qualité hygiène sécurité environnement)</t>
        </is>
      </c>
      <c r="N4223" s="50" t="inlineStr">
        <is>
          <t>NON</t>
        </is>
      </c>
      <c r="O4223" s="45" t="inlineStr"/>
    </row>
    <row r="4224" customFormat="1" s="3">
      <c r="A4224" s="45" t="n"/>
      <c r="B4224" s="46" t="inlineStr">
        <is>
          <t>42093</t>
        </is>
      </c>
      <c r="C4224" s="46">
        <f>LEFT(Tableau1[[#This Row],[Formacode]],3)</f>
        <v/>
      </c>
      <c r="D4224" s="47" t="n">
        <v>41326</v>
      </c>
      <c r="E4224" s="48">
        <f>"RNCP"&amp;D4224</f>
        <v/>
      </c>
      <c r="F4224" s="48" t="inlineStr">
        <is>
          <t>CQP Laveur de vitres</t>
        </is>
      </c>
      <c r="G4224" s="49">
        <f>E4224&amp;" - "&amp;F4224</f>
        <v/>
      </c>
      <c r="H4224" s="36" t="inlineStr">
        <is>
          <t>RAS</t>
        </is>
      </c>
      <c r="I4224" s="45" t="inlineStr"/>
      <c r="J4224" s="45" t="inlineStr">
        <is>
          <t>RNCP41326</t>
        </is>
      </c>
      <c r="K4224" s="45" t="inlineStr">
        <is>
          <t>CQP Laveur de vitres</t>
        </is>
      </c>
      <c r="L4224" s="45" t="inlineStr">
        <is>
          <t>24/09/2030</t>
        </is>
      </c>
      <c r="M4224" s="45" t="inlineStr">
        <is>
          <t>42084 (Entretien vitre) ; 31701 (Sécurité travaux en hauteur)</t>
        </is>
      </c>
      <c r="N4224" s="50" t="inlineStr">
        <is>
          <t>NON</t>
        </is>
      </c>
      <c r="O4224" s="45" t="inlineStr"/>
    </row>
    <row r="4225" customFormat="1" s="3">
      <c r="A4225" s="45" t="n"/>
      <c r="B4225" s="46" t="inlineStr">
        <is>
          <t>42093</t>
        </is>
      </c>
      <c r="C4225" s="46">
        <f>LEFT(Tableau1[[#This Row],[Formacode]],3)</f>
        <v/>
      </c>
      <c r="D4225" s="47" t="n">
        <v>41350</v>
      </c>
      <c r="E4225" s="48">
        <f>"RNCP"&amp;D4225</f>
        <v/>
      </c>
      <c r="F4225" s="48" t="inlineStr">
        <is>
          <t>CQP Technicien en maîtrise du risque nuisible</t>
        </is>
      </c>
      <c r="G4225" s="49">
        <f>E4225&amp;" - "&amp;F4225</f>
        <v/>
      </c>
      <c r="H4225" s="36" t="inlineStr">
        <is>
          <t>RAS</t>
        </is>
      </c>
      <c r="I4225" s="45" t="inlineStr"/>
      <c r="J4225" s="45" t="inlineStr">
        <is>
          <t>RNCP41350</t>
        </is>
      </c>
      <c r="K4225" s="45" t="inlineStr">
        <is>
          <t>CQP Technicien en maîtrise du risque nuisible</t>
        </is>
      </c>
      <c r="L4225" s="45" t="inlineStr">
        <is>
          <t>24/09/2030</t>
        </is>
      </c>
      <c r="M4225" s="45" t="inlineStr">
        <is>
          <t>42093 (Nettoyage locaux)</t>
        </is>
      </c>
      <c r="N4225" s="50" t="inlineStr">
        <is>
          <t>NON</t>
        </is>
      </c>
      <c r="O4225" s="45" t="inlineStr"/>
    </row>
    <row r="4226" customFormat="1" s="3">
      <c r="A4226" s="45" t="n"/>
      <c r="B4226" s="46" t="inlineStr">
        <is>
          <t>42093</t>
        </is>
      </c>
      <c r="C4226" s="46">
        <f>LEFT(Tableau1[[#This Row],[Formacode]],3)</f>
        <v/>
      </c>
      <c r="D4226" s="47" t="n">
        <v>41365</v>
      </c>
      <c r="E4226" s="48">
        <f>"RNCP"&amp;D4226</f>
        <v/>
      </c>
      <c r="F4226" s="48" t="inlineStr">
        <is>
          <t>TP - Agent de service médico-social</t>
        </is>
      </c>
      <c r="G4226" s="49">
        <f>E4226&amp;" - "&amp;F4226</f>
        <v/>
      </c>
      <c r="H4226" s="36" t="inlineStr">
        <is>
          <t>RAS</t>
        </is>
      </c>
      <c r="I4226" s="45" t="inlineStr"/>
      <c r="J4226" s="45" t="inlineStr">
        <is>
          <t>RNCP41365</t>
        </is>
      </c>
      <c r="K4226" s="45" t="inlineStr">
        <is>
          <t>Agent de service médico-social</t>
        </is>
      </c>
      <c r="L4226" s="45" t="inlineStr">
        <is>
          <t>04/10/2030</t>
        </is>
      </c>
      <c r="M4226" s="45" t="inlineStr">
        <is>
          <t>43403 (Hygiène hospitalière) ; 42086 (Bio-nettoyage) ; 43429 (Agent service hospitalier) ; 42069 (Employé collectivité)</t>
        </is>
      </c>
      <c r="N4226" s="50" t="inlineStr">
        <is>
          <t>NON</t>
        </is>
      </c>
      <c r="O4226" s="45" t="inlineStr"/>
    </row>
    <row r="4227" customFormat="1" s="3">
      <c r="A4227" s="45" t="n"/>
      <c r="B4227" s="46" t="inlineStr">
        <is>
          <t>42093</t>
        </is>
      </c>
      <c r="C4227" s="46">
        <f>LEFT(Tableau1[[#This Row],[Formacode]],3)</f>
        <v/>
      </c>
      <c r="D4227" s="47" t="n">
        <v>41489</v>
      </c>
      <c r="E4227" s="48">
        <f>"RNCP"&amp;D4227</f>
        <v/>
      </c>
      <c r="F4227" s="48" t="inlineStr">
        <is>
          <t>Technicien valoriste du réemploi</t>
        </is>
      </c>
      <c r="G4227" s="49">
        <f>E4227&amp;" - "&amp;F4227</f>
        <v/>
      </c>
      <c r="H4227" s="36" t="inlineStr">
        <is>
          <t>RAS</t>
        </is>
      </c>
      <c r="I4227" s="45" t="inlineStr"/>
      <c r="J4227" s="45" t="inlineStr">
        <is>
          <t>RNCP41489</t>
        </is>
      </c>
      <c r="K4227" s="45" t="inlineStr">
        <is>
          <t>Technicien valoriste du réemploi</t>
        </is>
      </c>
      <c r="L4227" s="45" t="inlineStr">
        <is>
          <t>27/10/2028</t>
        </is>
      </c>
      <c r="M4227" s="45" t="inlineStr">
        <is>
          <t>12582 (Gestion déchet) ; 12578 (Animation environnement) ; 42054 (Services commerces proximité) ; 12573 (Éco-produit)</t>
        </is>
      </c>
      <c r="N4227" s="50" t="inlineStr">
        <is>
          <t>NON</t>
        </is>
      </c>
      <c r="O4227" s="45" t="inlineStr"/>
    </row>
    <row r="4228" ht="28.8" customFormat="1" customHeight="1" s="3">
      <c r="A4228" s="51" t="n"/>
      <c r="B4228" s="52" t="inlineStr">
        <is>
          <t>42095</t>
        </is>
      </c>
      <c r="C4228" s="52">
        <f>LEFT(Tableau1[[#This Row],[Formacode]],3)</f>
        <v/>
      </c>
      <c r="D4228" s="53" t="n">
        <v>35807</v>
      </c>
      <c r="E4228" s="54">
        <f>"RNCP"&amp;D4228</f>
        <v/>
      </c>
      <c r="F4228" s="54" t="inlineStr">
        <is>
          <t>BAC PRO - Métiers de l'entretien des textiles option A : blanchisserie, option B : pressing</t>
        </is>
      </c>
      <c r="G4228" s="55">
        <f>E4228&amp;" - "&amp;F4228</f>
        <v/>
      </c>
      <c r="H4228" s="37" t="inlineStr">
        <is>
          <t>À vérifier</t>
        </is>
      </c>
      <c r="I4228" s="51" t="inlineStr">
        <is>
          <t>Successeur déjà publié : RNCP42128 (métiers de l'entretien des textiles option A : blanchisserie, option B : pressing) — préparer la bascule de l'offre CPF | Échéance le 31/08/2026 (dans 44 j)</t>
        </is>
      </c>
      <c r="J4228" s="51" t="inlineStr">
        <is>
          <t>RNCP42128</t>
        </is>
      </c>
      <c r="K4228" s="51" t="inlineStr">
        <is>
          <t>métiers de l'entretien des textiles option A : blanchisserie, option B : pressing</t>
        </is>
      </c>
      <c r="L4228" s="51" t="inlineStr">
        <is>
          <t>31/08/2026</t>
        </is>
      </c>
      <c r="M4228" s="51" t="inlineStr">
        <is>
          <t>42097 (Blanchisserie) ; 42095 (Teinturerie pressing)</t>
        </is>
      </c>
      <c r="N4228" s="62" t="inlineStr">
        <is>
          <t>NON</t>
        </is>
      </c>
      <c r="O4228" s="51" t="inlineStr"/>
    </row>
    <row r="4229" customFormat="1" s="3">
      <c r="A4229" s="51" t="n"/>
      <c r="B4229" s="52" t="inlineStr">
        <is>
          <t>42095</t>
        </is>
      </c>
      <c r="C4229" s="52">
        <f>LEFT(Tableau1[[#This Row],[Formacode]],3)</f>
        <v/>
      </c>
      <c r="D4229" s="53" t="n">
        <v>35808</v>
      </c>
      <c r="E4229" s="54">
        <f>"RNCP"&amp;D4229</f>
        <v/>
      </c>
      <c r="F4229" s="54" t="inlineStr">
        <is>
          <t>CAP - Métiers de l’entretien des textiles, option A : blanchisserie, option B : pressing</t>
        </is>
      </c>
      <c r="G4229" s="55">
        <f>E4229&amp;" - "&amp;F4229</f>
        <v/>
      </c>
      <c r="H4229" s="37" t="inlineStr">
        <is>
          <t>À vérifier</t>
        </is>
      </c>
      <c r="I4229" s="51" t="inlineStr">
        <is>
          <t>Successeur déjà publié : RNCP42127 (Métiers de l’entretien des textiles, option A : blanchisserie, option B : pressing) — préparer la bascule de l'offre CPF | Échéance le 31/08/2026 (dans 44 j)</t>
        </is>
      </c>
      <c r="J4229" s="51" t="inlineStr">
        <is>
          <t>RNCP42127</t>
        </is>
      </c>
      <c r="K4229" s="51" t="inlineStr">
        <is>
          <t>Métiers de l’entretien des textiles, option A : blanchisserie, option B : pressing</t>
        </is>
      </c>
      <c r="L4229" s="51" t="inlineStr">
        <is>
          <t>31/08/2026</t>
        </is>
      </c>
      <c r="M4229" s="51" t="inlineStr">
        <is>
          <t>42097 (Blanchisserie) ; 42095 (Teinturerie pressing)</t>
        </is>
      </c>
      <c r="N4229" s="62" t="inlineStr">
        <is>
          <t>NON</t>
        </is>
      </c>
      <c r="O4229" s="51" t="inlineStr"/>
    </row>
    <row r="4230" customFormat="1" s="3">
      <c r="A4230" s="45" t="n"/>
      <c r="B4230" s="46" t="inlineStr">
        <is>
          <t>42095</t>
        </is>
      </c>
      <c r="C4230" s="46">
        <f>LEFT(Tableau1[[#This Row],[Formacode]],3)</f>
        <v/>
      </c>
      <c r="D4230" s="47" t="n">
        <v>41489</v>
      </c>
      <c r="E4230" s="48">
        <f>"RNCP"&amp;D4230</f>
        <v/>
      </c>
      <c r="F4230" s="48" t="inlineStr">
        <is>
          <t>Technicien valoriste du réemploi</t>
        </is>
      </c>
      <c r="G4230" s="49">
        <f>E4230&amp;" - "&amp;F4230</f>
        <v/>
      </c>
      <c r="H4230" s="36" t="inlineStr">
        <is>
          <t>RAS</t>
        </is>
      </c>
      <c r="I4230" s="45" t="inlineStr"/>
      <c r="J4230" s="45" t="inlineStr">
        <is>
          <t>RNCP41489</t>
        </is>
      </c>
      <c r="K4230" s="45" t="inlineStr">
        <is>
          <t>Technicien valoriste du réemploi</t>
        </is>
      </c>
      <c r="L4230" s="45" t="inlineStr">
        <is>
          <t>27/10/2028</t>
        </is>
      </c>
      <c r="M4230" s="45" t="inlineStr">
        <is>
          <t>12582 (Gestion déchet) ; 12578 (Animation environnement) ; 42054 (Services commerces proximité) ; 12573 (Éco-produit)</t>
        </is>
      </c>
      <c r="N4230" s="50" t="inlineStr">
        <is>
          <t>NON</t>
        </is>
      </c>
      <c r="O4230" s="45" t="inlineStr"/>
    </row>
    <row r="4231" ht="28.8" customFormat="1" customHeight="1" s="3">
      <c r="A4231" s="51" t="n"/>
      <c r="B4231" s="52" t="inlineStr">
        <is>
          <t>42097</t>
        </is>
      </c>
      <c r="C4231" s="52">
        <f>LEFT(Tableau1[[#This Row],[Formacode]],3)</f>
        <v/>
      </c>
      <c r="D4231" s="53" t="n">
        <v>35807</v>
      </c>
      <c r="E4231" s="54">
        <f>"RNCP"&amp;D4231</f>
        <v/>
      </c>
      <c r="F4231" s="54" t="inlineStr">
        <is>
          <t>BAC PRO - Métiers de l'entretien des textiles option A : blanchisserie, option B : pressing</t>
        </is>
      </c>
      <c r="G4231" s="55">
        <f>E4231&amp;" - "&amp;F4231</f>
        <v/>
      </c>
      <c r="H4231" s="37" t="inlineStr">
        <is>
          <t>À vérifier</t>
        </is>
      </c>
      <c r="I4231" s="51" t="inlineStr">
        <is>
          <t>Successeur déjà publié : RNCP42128 (métiers de l'entretien des textiles option A : blanchisserie, option B : pressing) — préparer la bascule de l'offre CPF | Échéance le 31/08/2026 (dans 44 j)</t>
        </is>
      </c>
      <c r="J4231" s="51" t="inlineStr">
        <is>
          <t>RNCP42128</t>
        </is>
      </c>
      <c r="K4231" s="51" t="inlineStr">
        <is>
          <t>métiers de l'entretien des textiles option A : blanchisserie, option B : pressing</t>
        </is>
      </c>
      <c r="L4231" s="51" t="inlineStr">
        <is>
          <t>31/08/2026</t>
        </is>
      </c>
      <c r="M4231" s="51" t="inlineStr">
        <is>
          <t>42097 (Blanchisserie) ; 42095 (Teinturerie pressing)</t>
        </is>
      </c>
      <c r="N4231" s="62" t="inlineStr">
        <is>
          <t>NON</t>
        </is>
      </c>
      <c r="O4231" s="51" t="inlineStr"/>
    </row>
    <row r="4232" customFormat="1" s="3">
      <c r="A4232" s="51" t="n"/>
      <c r="B4232" s="52" t="inlineStr">
        <is>
          <t>42097</t>
        </is>
      </c>
      <c r="C4232" s="52">
        <f>LEFT(Tableau1[[#This Row],[Formacode]],3)</f>
        <v/>
      </c>
      <c r="D4232" s="53" t="n">
        <v>35808</v>
      </c>
      <c r="E4232" s="54">
        <f>"RNCP"&amp;D4232</f>
        <v/>
      </c>
      <c r="F4232" s="54" t="inlineStr">
        <is>
          <t>CAP - Métiers de l’entretien des textiles, option A : blanchisserie, option B : pressing</t>
        </is>
      </c>
      <c r="G4232" s="55">
        <f>E4232&amp;" - "&amp;F4232</f>
        <v/>
      </c>
      <c r="H4232" s="37" t="inlineStr">
        <is>
          <t>À vérifier</t>
        </is>
      </c>
      <c r="I4232" s="51" t="inlineStr">
        <is>
          <t>Successeur déjà publié : RNCP42127 (Métiers de l’entretien des textiles, option A : blanchisserie, option B : pressing) — préparer la bascule de l'offre CPF | Échéance le 31/08/2026 (dans 44 j)</t>
        </is>
      </c>
      <c r="J4232" s="51" t="inlineStr">
        <is>
          <t>RNCP42127</t>
        </is>
      </c>
      <c r="K4232" s="51" t="inlineStr">
        <is>
          <t>Métiers de l’entretien des textiles, option A : blanchisserie, option B : pressing</t>
        </is>
      </c>
      <c r="L4232" s="51" t="inlineStr">
        <is>
          <t>31/08/2026</t>
        </is>
      </c>
      <c r="M4232" s="51" t="inlineStr">
        <is>
          <t>42097 (Blanchisserie) ; 42095 (Teinturerie pressing)</t>
        </is>
      </c>
      <c r="N4232" s="62" t="inlineStr">
        <is>
          <t>NON</t>
        </is>
      </c>
      <c r="O4232" s="51" t="inlineStr"/>
    </row>
    <row r="4233" customFormat="1" s="3">
      <c r="A4233" s="45" t="n"/>
      <c r="B4233" s="46" t="inlineStr">
        <is>
          <t>42097</t>
        </is>
      </c>
      <c r="C4233" s="46">
        <f>LEFT(Tableau1[[#This Row],[Formacode]],3)</f>
        <v/>
      </c>
      <c r="D4233" s="47" t="n">
        <v>41489</v>
      </c>
      <c r="E4233" s="48">
        <f>"RNCP"&amp;D4233</f>
        <v/>
      </c>
      <c r="F4233" s="48" t="inlineStr">
        <is>
          <t>Technicien valoriste du réemploi</t>
        </is>
      </c>
      <c r="G4233" s="49">
        <f>E4233&amp;" - "&amp;F4233</f>
        <v/>
      </c>
      <c r="H4233" s="36" t="inlineStr">
        <is>
          <t>RAS</t>
        </is>
      </c>
      <c r="I4233" s="45" t="inlineStr"/>
      <c r="J4233" s="45" t="inlineStr">
        <is>
          <t>RNCP41489</t>
        </is>
      </c>
      <c r="K4233" s="45" t="inlineStr">
        <is>
          <t>Technicien valoriste du réemploi</t>
        </is>
      </c>
      <c r="L4233" s="45" t="inlineStr">
        <is>
          <t>27/10/2028</t>
        </is>
      </c>
      <c r="M4233" s="45" t="inlineStr">
        <is>
          <t>12582 (Gestion déchet) ; 12578 (Animation environnement) ; 42054 (Services commerces proximité) ; 12573 (Éco-produit)</t>
        </is>
      </c>
      <c r="N4233" s="50" t="inlineStr">
        <is>
          <t>NON</t>
        </is>
      </c>
      <c r="O4233" s="45" t="inlineStr"/>
    </row>
    <row r="4234" customFormat="1" s="3">
      <c r="A4234" s="63" t="n"/>
      <c r="B4234" s="64" t="inlineStr">
        <is>
          <t>42101</t>
        </is>
      </c>
      <c r="C4234" s="64">
        <f>LEFT(Tableau1[[#This Row],[Formacode]],3)</f>
        <v/>
      </c>
      <c r="D4234" s="65" t="n">
        <v>35590</v>
      </c>
      <c r="E4234" s="66">
        <f>"RNCP"&amp;D4234</f>
        <v/>
      </c>
      <c r="F4234" s="66" t="inlineStr">
        <is>
          <t>Manager de l'habitat social et durable</t>
        </is>
      </c>
      <c r="G4234" s="67">
        <f>E4234&amp;" - "&amp;F4234</f>
        <v/>
      </c>
      <c r="H4234" s="38" t="inlineStr">
        <is>
          <t>Expiré / remplacé</t>
        </is>
      </c>
      <c r="I4234" s="63" t="inlineStr">
        <is>
          <t>Fiche inactive — remplacée par RNCP42170 (Manager de projet immobilier durable)</t>
        </is>
      </c>
      <c r="J4234" s="63" t="inlineStr">
        <is>
          <t>RNCP42170</t>
        </is>
      </c>
      <c r="K4234" s="63" t="inlineStr">
        <is>
          <t>Manager de projet immobilier durable</t>
        </is>
      </c>
      <c r="L4234" s="63" t="inlineStr">
        <is>
          <t>19/05/2026</t>
        </is>
      </c>
      <c r="M4234" s="63" t="inlineStr">
        <is>
          <t>42154 (Immobilier) ; 22250 (Éco-construction) ; 32145 (Management transversal) ; 12554 (Environnement aménagement)</t>
        </is>
      </c>
      <c r="N4234" s="68" t="inlineStr">
        <is>
          <t>NON</t>
        </is>
      </c>
      <c r="O4234" s="63" t="inlineStr"/>
    </row>
    <row r="4235" customFormat="1" s="3">
      <c r="A4235" s="63" t="n"/>
      <c r="B4235" s="64" t="inlineStr">
        <is>
          <t>42101</t>
        </is>
      </c>
      <c r="C4235" s="64">
        <f>LEFT(Tableau1[[#This Row],[Formacode]],3)</f>
        <v/>
      </c>
      <c r="D4235" s="65" t="n">
        <v>37527</v>
      </c>
      <c r="E4235" s="66">
        <f>"RNCP"&amp;D4235</f>
        <v/>
      </c>
      <c r="F4235" s="66" t="inlineStr">
        <is>
          <t>Technicien en diagnostics immobiliers</t>
        </is>
      </c>
      <c r="G4235" s="67">
        <f>E4235&amp;" - "&amp;F4235</f>
        <v/>
      </c>
      <c r="H4235" s="38" t="inlineStr">
        <is>
          <t>Expiré / remplacé</t>
        </is>
      </c>
      <c r="I4235" s="63" t="inlineStr">
        <is>
          <t>Fiche inactive — remplacée par RNCP41787 (Technicien en diagnostics immobiliers)</t>
        </is>
      </c>
      <c r="J4235" s="63" t="inlineStr">
        <is>
          <t>RNCP41787</t>
        </is>
      </c>
      <c r="K4235" s="63" t="inlineStr">
        <is>
          <t>Technicien en diagnostics immobiliers</t>
        </is>
      </c>
      <c r="L4235" s="63" t="inlineStr">
        <is>
          <t>24/04/2026</t>
        </is>
      </c>
      <c r="M4235" s="63" t="inlineStr">
        <is>
          <t>42101 (Diagnostic immobilier)</t>
        </is>
      </c>
      <c r="N4235" s="68" t="inlineStr">
        <is>
          <t>NON</t>
        </is>
      </c>
      <c r="O4235" s="63" t="inlineStr"/>
    </row>
    <row r="4236" customFormat="1" s="3">
      <c r="A4236" s="45" t="n"/>
      <c r="B4236" s="46" t="inlineStr">
        <is>
          <t>42101</t>
        </is>
      </c>
      <c r="C4236" s="46">
        <f>LEFT(Tableau1[[#This Row],[Formacode]],3)</f>
        <v/>
      </c>
      <c r="D4236" s="47" t="n">
        <v>38931</v>
      </c>
      <c r="E4236" s="48">
        <f>"RNCP"&amp;D4236</f>
        <v/>
      </c>
      <c r="F4236" s="48" t="inlineStr">
        <is>
          <t>Chef de projet en rénovation énergétique performante et durable</t>
        </is>
      </c>
      <c r="G4236" s="49">
        <f>E4236&amp;" - "&amp;F4236</f>
        <v/>
      </c>
      <c r="H4236" s="36" t="inlineStr">
        <is>
          <t>RAS</t>
        </is>
      </c>
      <c r="I4236" s="45" t="inlineStr"/>
      <c r="J4236" s="45" t="inlineStr">
        <is>
          <t>RNCP38931</t>
        </is>
      </c>
      <c r="K4236" s="45" t="inlineStr">
        <is>
          <t>Chef de projet en rénovation énergétique performante et durable</t>
        </is>
      </c>
      <c r="L4236" s="45" t="inlineStr">
        <is>
          <t>26/04/2027</t>
        </is>
      </c>
      <c r="M4236" s="45" t="inlineStr">
        <is>
          <t>22485 (Rénovation bâtiment) ; 22215 (Audit énergétique bâtiment) ; 42105 (Diagnostic performance énergétique) ; 22210 (Réglementation thermique bâtiment)</t>
        </is>
      </c>
      <c r="N4236" s="50" t="inlineStr">
        <is>
          <t>NON</t>
        </is>
      </c>
      <c r="O4236" s="45" t="inlineStr"/>
    </row>
    <row r="4237" customFormat="1" s="3">
      <c r="A4237" s="45" t="n"/>
      <c r="B4237" s="46" t="inlineStr">
        <is>
          <t>42101</t>
        </is>
      </c>
      <c r="C4237" s="46">
        <f>LEFT(Tableau1[[#This Row],[Formacode]],3)</f>
        <v/>
      </c>
      <c r="D4237" s="47" t="n">
        <v>39259</v>
      </c>
      <c r="E4237" s="48">
        <f>"RNCP"&amp;D4237</f>
        <v/>
      </c>
      <c r="F4237" s="48" t="inlineStr">
        <is>
          <t>Chargé d'études en rénovation énergétique</t>
        </is>
      </c>
      <c r="G4237" s="49">
        <f>E4237&amp;" - "&amp;F4237</f>
        <v/>
      </c>
      <c r="H4237" s="36" t="inlineStr">
        <is>
          <t>RAS</t>
        </is>
      </c>
      <c r="I4237" s="45" t="inlineStr"/>
      <c r="J4237" s="45" t="inlineStr">
        <is>
          <t>RNCP39259</t>
        </is>
      </c>
      <c r="K4237" s="45" t="inlineStr">
        <is>
          <t>Chargé d'études en rénovation énergétique</t>
        </is>
      </c>
      <c r="L4237" s="45" t="inlineStr">
        <is>
          <t>27/06/2027</t>
        </is>
      </c>
      <c r="M4237" s="45" t="inlineStr">
        <is>
          <t>24170 (Conseil énergie) ; 42105 (Diagnostic performance énergétique) ; 22215 (Audit énergétique bâtiment)</t>
        </is>
      </c>
      <c r="N4237" s="50" t="inlineStr">
        <is>
          <t>NON</t>
        </is>
      </c>
      <c r="O4237" s="45" t="inlineStr"/>
    </row>
    <row r="4238" customFormat="1" s="3">
      <c r="A4238" s="45" t="n"/>
      <c r="B4238" s="46" t="inlineStr">
        <is>
          <t>42101</t>
        </is>
      </c>
      <c r="C4238" s="46">
        <f>LEFT(Tableau1[[#This Row],[Formacode]],3)</f>
        <v/>
      </c>
      <c r="D4238" s="47" t="n">
        <v>39886</v>
      </c>
      <c r="E4238" s="48">
        <f>"RNCP"&amp;D4238</f>
        <v/>
      </c>
      <c r="F4238" s="48" t="inlineStr">
        <is>
          <t>Diagnostiqueur de produits, équipements, matériaux et déchets issus des bâtiments</t>
        </is>
      </c>
      <c r="G4238" s="49">
        <f>E4238&amp;" - "&amp;F4238</f>
        <v/>
      </c>
      <c r="H4238" s="36" t="inlineStr">
        <is>
          <t>RAS</t>
        </is>
      </c>
      <c r="I4238" s="45" t="inlineStr"/>
      <c r="J4238" s="45" t="inlineStr">
        <is>
          <t>RNCP39886</t>
        </is>
      </c>
      <c r="K4238" s="45" t="inlineStr">
        <is>
          <t>Diagnostiqueur de produits, équipements, matériaux et déchets issus des bâtiments</t>
        </is>
      </c>
      <c r="L4238" s="45" t="inlineStr">
        <is>
          <t>28/11/2027</t>
        </is>
      </c>
      <c r="M4238" s="45" t="inlineStr">
        <is>
          <t>12582 (Gestion déchet) ; 42101 (Diagnostic immobilier) ; 22329 (Démolition) ; 22485 (Rénovation bâtiment)</t>
        </is>
      </c>
      <c r="N4238" s="50" t="inlineStr">
        <is>
          <t>NON</t>
        </is>
      </c>
      <c r="O4238" s="45" t="inlineStr"/>
    </row>
    <row r="4239" customFormat="1" s="3">
      <c r="A4239" s="45" t="n"/>
      <c r="B4239" s="46" t="inlineStr">
        <is>
          <t>42101</t>
        </is>
      </c>
      <c r="C4239" s="46">
        <f>LEFT(Tableau1[[#This Row],[Formacode]],3)</f>
        <v/>
      </c>
      <c r="D4239" s="47" t="n">
        <v>40567</v>
      </c>
      <c r="E4239" s="48">
        <f>"RNCP"&amp;D4239</f>
        <v/>
      </c>
      <c r="F4239" s="48" t="inlineStr">
        <is>
          <t>Diagnostiqueur de produits, équipements, matériaux et déchets issus du bâtiment</t>
        </is>
      </c>
      <c r="G4239" s="49">
        <f>E4239&amp;" - "&amp;F4239</f>
        <v/>
      </c>
      <c r="H4239" s="36" t="inlineStr">
        <is>
          <t>RAS</t>
        </is>
      </c>
      <c r="I4239" s="45" t="inlineStr"/>
      <c r="J4239" s="45" t="inlineStr">
        <is>
          <t>RNCP40567</t>
        </is>
      </c>
      <c r="K4239" s="45" t="inlineStr">
        <is>
          <t>Diagnostiqueur de produits, équipements, matériaux et déchets issus du bâtiment</t>
        </is>
      </c>
      <c r="L4239" s="45" t="inlineStr">
        <is>
          <t>30/04/2028</t>
        </is>
      </c>
      <c r="M4239" s="45" t="inlineStr">
        <is>
          <t>12592 (Gestion déchet industriel) ; 12533 (Economie circulaire) ; 22269 (Maîtrise d'ouvrage BTP)</t>
        </is>
      </c>
      <c r="N4239" s="50" t="inlineStr">
        <is>
          <t>NON</t>
        </is>
      </c>
      <c r="O4239" s="45" t="inlineStr"/>
    </row>
    <row r="4240" customFormat="1" s="3">
      <c r="A4240" s="45" t="n"/>
      <c r="B4240" s="46" t="inlineStr">
        <is>
          <t>42101</t>
        </is>
      </c>
      <c r="C4240" s="46">
        <f>LEFT(Tableau1[[#This Row],[Formacode]],3)</f>
        <v/>
      </c>
      <c r="D4240" s="47" t="n">
        <v>40671</v>
      </c>
      <c r="E4240" s="48">
        <f>"RNCP"&amp;D4240</f>
        <v/>
      </c>
      <c r="F4240" s="48" t="inlineStr">
        <is>
          <t>Diagnostiqueur produits, équipements, matériaux et déchets issus du bâtiment</t>
        </is>
      </c>
      <c r="G4240" s="49">
        <f>E4240&amp;" - "&amp;F4240</f>
        <v/>
      </c>
      <c r="H4240" s="36" t="inlineStr">
        <is>
          <t>RAS</t>
        </is>
      </c>
      <c r="I4240" s="45" t="inlineStr"/>
      <c r="J4240" s="45" t="inlineStr">
        <is>
          <t>RNCP40671</t>
        </is>
      </c>
      <c r="K4240" s="45" t="inlineStr">
        <is>
          <t>Diagnostiqueur produits, équipements, matériaux et déchets issus du bâtiment</t>
        </is>
      </c>
      <c r="L4240" s="45" t="inlineStr">
        <is>
          <t>23/05/2027</t>
        </is>
      </c>
      <c r="M4240" s="45" t="inlineStr">
        <is>
          <t>42101 (Diagnostic immobilier) ; 12582 (Gestion déchet) ; 22329 (Démolition)</t>
        </is>
      </c>
      <c r="N4240" s="50" t="inlineStr">
        <is>
          <t>NON</t>
        </is>
      </c>
      <c r="O4240" s="45" t="inlineStr"/>
    </row>
    <row r="4241" customFormat="1" s="3">
      <c r="A4241" s="45" t="n"/>
      <c r="B4241" s="46" t="inlineStr">
        <is>
          <t>42101</t>
        </is>
      </c>
      <c r="C4241" s="46">
        <f>LEFT(Tableau1[[#This Row],[Formacode]],3)</f>
        <v/>
      </c>
      <c r="D4241" s="47" t="n">
        <v>40678</v>
      </c>
      <c r="E4241" s="48">
        <f>"RNCP"&amp;D4241</f>
        <v/>
      </c>
      <c r="F4241" s="48" t="inlineStr">
        <is>
          <t>Diagnostiqueur produits, équipements, matériaux et déchets issus du bâtiment</t>
        </is>
      </c>
      <c r="G4241" s="49">
        <f>E4241&amp;" - "&amp;F4241</f>
        <v/>
      </c>
      <c r="H4241" s="36" t="inlineStr">
        <is>
          <t>RAS</t>
        </is>
      </c>
      <c r="I4241" s="45" t="inlineStr"/>
      <c r="J4241" s="45" t="inlineStr">
        <is>
          <t>RNCP40678</t>
        </is>
      </c>
      <c r="K4241" s="45" t="inlineStr">
        <is>
          <t>Diagnostiqueur produits, équipements, matériaux et déchets issus du bâtiment</t>
        </is>
      </c>
      <c r="L4241" s="45" t="inlineStr">
        <is>
          <t>23/05/2027</t>
        </is>
      </c>
      <c r="M4241" s="45" t="inlineStr">
        <is>
          <t>42101 (Diagnostic immobilier) ; 12582 (Gestion déchet) ; 22329 (Démolition)</t>
        </is>
      </c>
      <c r="N4241" s="50" t="inlineStr">
        <is>
          <t>NON</t>
        </is>
      </c>
      <c r="O4241" s="45" t="inlineStr"/>
    </row>
    <row r="4242" customFormat="1" s="3">
      <c r="A4242" s="45" t="n"/>
      <c r="B4242" s="46" t="inlineStr">
        <is>
          <t>42101</t>
        </is>
      </c>
      <c r="C4242" s="46">
        <f>LEFT(Tableau1[[#This Row],[Formacode]],3)</f>
        <v/>
      </c>
      <c r="D4242" s="47" t="n">
        <v>40883</v>
      </c>
      <c r="E4242" s="48">
        <f>"RNCP"&amp;D4242</f>
        <v/>
      </c>
      <c r="F4242" s="48" t="inlineStr">
        <is>
          <t>Diagnostiqueur immobilier</t>
        </is>
      </c>
      <c r="G4242" s="49">
        <f>E4242&amp;" - "&amp;F4242</f>
        <v/>
      </c>
      <c r="H4242" s="36" t="inlineStr">
        <is>
          <t>RAS</t>
        </is>
      </c>
      <c r="I4242" s="45" t="inlineStr"/>
      <c r="J4242" s="45" t="inlineStr">
        <is>
          <t>RNCP40883</t>
        </is>
      </c>
      <c r="K4242" s="45" t="inlineStr">
        <is>
          <t>Diagnostiqueur immobilier</t>
        </is>
      </c>
      <c r="L4242" s="45" t="inlineStr">
        <is>
          <t>25/06/2028</t>
        </is>
      </c>
      <c r="M4242" s="45" t="inlineStr">
        <is>
          <t>42105 (Diagnostic performance énergétique) ; 22211 (Performance énergétique bâtiment)</t>
        </is>
      </c>
      <c r="N4242" s="50" t="inlineStr">
        <is>
          <t>NON</t>
        </is>
      </c>
      <c r="O4242" s="45" t="inlineStr"/>
    </row>
    <row r="4243" customFormat="1" s="3">
      <c r="A4243" s="45" t="n"/>
      <c r="B4243" s="46" t="inlineStr">
        <is>
          <t>42101</t>
        </is>
      </c>
      <c r="C4243" s="46">
        <f>LEFT(Tableau1[[#This Row],[Formacode]],3)</f>
        <v/>
      </c>
      <c r="D4243" s="47" t="n">
        <v>40909</v>
      </c>
      <c r="E4243" s="48">
        <f>"RNCP"&amp;D4243</f>
        <v/>
      </c>
      <c r="F4243" s="48" t="inlineStr">
        <is>
          <t>Diagnostiqueur immobilier</t>
        </is>
      </c>
      <c r="G4243" s="49">
        <f>E4243&amp;" - "&amp;F4243</f>
        <v/>
      </c>
      <c r="H4243" s="36" t="inlineStr">
        <is>
          <t>RAS</t>
        </is>
      </c>
      <c r="I4243" s="45" t="inlineStr"/>
      <c r="J4243" s="45" t="inlineStr">
        <is>
          <t>RNCP40909</t>
        </is>
      </c>
      <c r="K4243" s="45" t="inlineStr">
        <is>
          <t>Diagnostiqueur immobilier</t>
        </is>
      </c>
      <c r="L4243" s="45" t="inlineStr">
        <is>
          <t>25/06/2028</t>
        </is>
      </c>
      <c r="M4243" s="45" t="inlineStr">
        <is>
          <t>42105 (Diagnostic performance énergétique) ; 42103 (Diagnostic amiante) ; 22211 (Performance énergétique bâtiment)</t>
        </is>
      </c>
      <c r="N4243" s="50" t="inlineStr">
        <is>
          <t>NON</t>
        </is>
      </c>
      <c r="O4243" s="45" t="inlineStr"/>
    </row>
    <row r="4244" customFormat="1" s="3">
      <c r="A4244" s="63" t="n"/>
      <c r="B4244" s="64" t="inlineStr">
        <is>
          <t>42133</t>
        </is>
      </c>
      <c r="C4244" s="64">
        <f>LEFT(Tableau1[[#This Row],[Formacode]],3)</f>
        <v/>
      </c>
      <c r="D4244" s="65" t="n">
        <v>35590</v>
      </c>
      <c r="E4244" s="66">
        <f>"RNCP"&amp;D4244</f>
        <v/>
      </c>
      <c r="F4244" s="66" t="inlineStr">
        <is>
          <t>Manager de l'habitat social et durable</t>
        </is>
      </c>
      <c r="G4244" s="67">
        <f>E4244&amp;" - "&amp;F4244</f>
        <v/>
      </c>
      <c r="H4244" s="38" t="inlineStr">
        <is>
          <t>Expiré / remplacé</t>
        </is>
      </c>
      <c r="I4244" s="63" t="inlineStr">
        <is>
          <t>Fiche inactive — remplacée par RNCP42170 (Manager de projet immobilier durable)</t>
        </is>
      </c>
      <c r="J4244" s="63" t="inlineStr">
        <is>
          <t>RNCP42170</t>
        </is>
      </c>
      <c r="K4244" s="63" t="inlineStr">
        <is>
          <t>Manager de projet immobilier durable</t>
        </is>
      </c>
      <c r="L4244" s="63" t="inlineStr">
        <is>
          <t>19/05/2026</t>
        </is>
      </c>
      <c r="M4244" s="63" t="inlineStr">
        <is>
          <t>42154 (Immobilier) ; 22250 (Éco-construction) ; 32145 (Management transversal) ; 12554 (Environnement aménagement)</t>
        </is>
      </c>
      <c r="N4244" s="68" t="inlineStr">
        <is>
          <t>NON</t>
        </is>
      </c>
      <c r="O4244" s="63" t="inlineStr"/>
    </row>
    <row r="4245" customFormat="1" s="3">
      <c r="A4245" s="51" t="n"/>
      <c r="B4245" s="52" t="inlineStr">
        <is>
          <t>42133</t>
        </is>
      </c>
      <c r="C4245" s="52">
        <f>LEFT(Tableau1[[#This Row],[Formacode]],3)</f>
        <v/>
      </c>
      <c r="D4245" s="53" t="n">
        <v>36073</v>
      </c>
      <c r="E4245" s="54">
        <f>"RNCP"&amp;D4245</f>
        <v/>
      </c>
      <c r="F4245" s="54" t="inlineStr">
        <is>
          <t>Responsable d’affaires immobilières</t>
        </is>
      </c>
      <c r="G4245" s="55">
        <f>E4245&amp;" - "&amp;F4245</f>
        <v/>
      </c>
      <c r="H4245" s="37" t="inlineStr">
        <is>
          <t>À vérifier</t>
        </is>
      </c>
      <c r="I4245" s="51" t="inlineStr">
        <is>
          <t>Échéance le 15/12/2026 (dans 150 j)</t>
        </is>
      </c>
      <c r="J4245" s="51" t="inlineStr">
        <is>
          <t>RNCP36073</t>
        </is>
      </c>
      <c r="K4245" s="51" t="inlineStr">
        <is>
          <t>Responsable d’affaires immobilières</t>
        </is>
      </c>
      <c r="L4245" s="51" t="inlineStr">
        <is>
          <t>15/12/2026</t>
        </is>
      </c>
      <c r="M4245" s="51" t="inlineStr">
        <is>
          <t>42158 (Commercialisation immobilière) ; 42133 (Gestion immobilière) ; 42184 (Agence immobilière)</t>
        </is>
      </c>
      <c r="N4245" s="62" t="inlineStr">
        <is>
          <t>NON</t>
        </is>
      </c>
      <c r="O4245" s="51" t="inlineStr"/>
    </row>
    <row r="4246" customFormat="1" s="3">
      <c r="A4246" s="63" t="n"/>
      <c r="B4246" s="64" t="inlineStr">
        <is>
          <t>42133</t>
        </is>
      </c>
      <c r="C4246" s="64">
        <f>LEFT(Tableau1[[#This Row],[Formacode]],3)</f>
        <v/>
      </c>
      <c r="D4246" s="65" t="n">
        <v>37435</v>
      </c>
      <c r="E4246" s="66">
        <f>"RNCP"&amp;D4246</f>
        <v/>
      </c>
      <c r="F4246" s="66" t="inlineStr">
        <is>
          <t>Gestionnaire d'affaires immobilières</t>
        </is>
      </c>
      <c r="G4246" s="67">
        <f>E4246&amp;" - "&amp;F4246</f>
        <v/>
      </c>
      <c r="H4246" s="38" t="inlineStr">
        <is>
          <t>Expiré / remplacé</t>
        </is>
      </c>
      <c r="I4246" s="63" t="inlineStr">
        <is>
          <t>Fiche inactive — remplacée par RNCP41800 (Gestionnaire d'affaires immobilières)</t>
        </is>
      </c>
      <c r="J4246" s="63" t="inlineStr">
        <is>
          <t>RNCP41800</t>
        </is>
      </c>
      <c r="K4246" s="63" t="inlineStr">
        <is>
          <t>Gestionnaire d'affaires immobilières</t>
        </is>
      </c>
      <c r="L4246" s="63" t="inlineStr">
        <is>
          <t>27/03/2026</t>
        </is>
      </c>
      <c r="M4246" s="63" t="inlineStr">
        <is>
          <t>13297 (Bail immobilier) ; 42184 (Agence immobilière) ; 42133 (Gestion immobilière)</t>
        </is>
      </c>
      <c r="N4246" s="68" t="inlineStr">
        <is>
          <t>NON</t>
        </is>
      </c>
      <c r="O4246" s="63" t="inlineStr"/>
    </row>
    <row r="4247" customFormat="1" s="3">
      <c r="A4247" s="63" t="n"/>
      <c r="B4247" s="64" t="inlineStr">
        <is>
          <t>42133</t>
        </is>
      </c>
      <c r="C4247" s="64">
        <f>LEFT(Tableau1[[#This Row],[Formacode]],3)</f>
        <v/>
      </c>
      <c r="D4247" s="65" t="n">
        <v>37641</v>
      </c>
      <c r="E4247" s="66">
        <f>"RNCP"&amp;D4247</f>
        <v/>
      </c>
      <c r="F4247" s="66" t="inlineStr">
        <is>
          <t>Chargé d'affaires en immobilier</t>
        </is>
      </c>
      <c r="G4247" s="67">
        <f>E4247&amp;" - "&amp;F4247</f>
        <v/>
      </c>
      <c r="H4247" s="38" t="inlineStr">
        <is>
          <t>Expiré / remplacé</t>
        </is>
      </c>
      <c r="I4247" s="63" t="inlineStr">
        <is>
          <t>Fiche inactive — remplacée par RNCP41735 (Responsable de projets immobiliers)</t>
        </is>
      </c>
      <c r="J4247" s="63" t="inlineStr">
        <is>
          <t>RNCP41735</t>
        </is>
      </c>
      <c r="K4247" s="63" t="inlineStr">
        <is>
          <t>Responsable de projets immobiliers</t>
        </is>
      </c>
      <c r="L4247" s="63" t="inlineStr">
        <is>
          <t>31/05/2026</t>
        </is>
      </c>
      <c r="M4247" s="63" t="inlineStr">
        <is>
          <t>42184 (Agence immobilière) ; 42158 (Commercialisation immobilière) ; 42133 (Gestion immobilière) ; 42186 (Promotion immobilière)</t>
        </is>
      </c>
      <c r="N4247" s="68" t="inlineStr">
        <is>
          <t>NON</t>
        </is>
      </c>
      <c r="O4247" s="63" t="inlineStr"/>
    </row>
    <row r="4248" customFormat="1" s="3">
      <c r="A4248" s="51" t="n"/>
      <c r="B4248" s="52" t="inlineStr">
        <is>
          <t>42133</t>
        </is>
      </c>
      <c r="C4248" s="52">
        <f>LEFT(Tableau1[[#This Row],[Formacode]],3)</f>
        <v/>
      </c>
      <c r="D4248" s="53" t="n">
        <v>38380</v>
      </c>
      <c r="E4248" s="54">
        <f>"RNCP"&amp;D4248</f>
        <v/>
      </c>
      <c r="F4248" s="54" t="inlineStr">
        <is>
          <t>BTS - Professions immobilières</t>
        </is>
      </c>
      <c r="G4248" s="55">
        <f>E4248&amp;" - "&amp;F4248</f>
        <v/>
      </c>
      <c r="H4248" s="37" t="inlineStr">
        <is>
          <t>À vérifier</t>
        </is>
      </c>
      <c r="I4248" s="51" t="inlineStr">
        <is>
          <t>Échéance le 31/12/2026 (dans 166 j)</t>
        </is>
      </c>
      <c r="J4248" s="51" t="inlineStr">
        <is>
          <t>RNCP38380</t>
        </is>
      </c>
      <c r="K4248" s="51" t="inlineStr">
        <is>
          <t>Professions immobilières</t>
        </is>
      </c>
      <c r="L4248" s="51" t="inlineStr">
        <is>
          <t>31/12/2026</t>
        </is>
      </c>
      <c r="M4248" s="51" t="inlineStr">
        <is>
          <t>42158 (Commercialisation immobilière) ; 42133 (Gestion immobilière)</t>
        </is>
      </c>
      <c r="N4248" s="62" t="inlineStr">
        <is>
          <t>NON</t>
        </is>
      </c>
      <c r="O4248" s="51" t="inlineStr"/>
    </row>
    <row r="4249" customFormat="1" s="3">
      <c r="A4249" s="45" t="n"/>
      <c r="B4249" s="46" t="inlineStr">
        <is>
          <t>42133</t>
        </is>
      </c>
      <c r="C4249" s="46">
        <f>LEFT(Tableau1[[#This Row],[Formacode]],3)</f>
        <v/>
      </c>
      <c r="D4249" s="47" t="n">
        <v>38811</v>
      </c>
      <c r="E4249" s="48">
        <f>"RNCP"&amp;D4249</f>
        <v/>
      </c>
      <c r="F4249" s="48" t="inlineStr">
        <is>
          <t>Responsable en gestion et négociation immobilières</t>
        </is>
      </c>
      <c r="G4249" s="49">
        <f>E4249&amp;" - "&amp;F4249</f>
        <v/>
      </c>
      <c r="H4249" s="36" t="inlineStr">
        <is>
          <t>RAS</t>
        </is>
      </c>
      <c r="I4249" s="45" t="inlineStr"/>
      <c r="J4249" s="45" t="inlineStr">
        <is>
          <t>RNCP38811</t>
        </is>
      </c>
      <c r="K4249" s="45" t="inlineStr">
        <is>
          <t>Responsable en gestion et négociation immobilières</t>
        </is>
      </c>
      <c r="L4249" s="45" t="inlineStr">
        <is>
          <t>27/03/2028</t>
        </is>
      </c>
      <c r="M4249" s="45" t="inlineStr">
        <is>
          <t>42158 (Commercialisation immobilière) ; 42121 (Gestion locative) ; 42184 (Agence immobilière)</t>
        </is>
      </c>
      <c r="N4249" s="50" t="inlineStr">
        <is>
          <t>NON</t>
        </is>
      </c>
      <c r="O4249" s="45" t="inlineStr"/>
    </row>
    <row r="4250" customFormat="1" s="3">
      <c r="A4250" s="45" t="n"/>
      <c r="B4250" s="46" t="inlineStr">
        <is>
          <t>42133</t>
        </is>
      </c>
      <c r="C4250" s="46">
        <f>LEFT(Tableau1[[#This Row],[Formacode]],3)</f>
        <v/>
      </c>
      <c r="D4250" s="47" t="n">
        <v>40660</v>
      </c>
      <c r="E4250" s="48">
        <f>"RNCP"&amp;D4250</f>
        <v/>
      </c>
      <c r="F4250" s="48" t="inlineStr">
        <is>
          <t>Responsable d' affaires en immobilier</t>
        </is>
      </c>
      <c r="G4250" s="49">
        <f>E4250&amp;" - "&amp;F4250</f>
        <v/>
      </c>
      <c r="H4250" s="36" t="inlineStr">
        <is>
          <t>RAS</t>
        </is>
      </c>
      <c r="I4250" s="45" t="inlineStr"/>
      <c r="J4250" s="45" t="inlineStr">
        <is>
          <t>RNCP40660</t>
        </is>
      </c>
      <c r="K4250" s="45" t="inlineStr">
        <is>
          <t>Responsable d' affaires en immobilier</t>
        </is>
      </c>
      <c r="L4250" s="45" t="inlineStr">
        <is>
          <t>23/05/2030</t>
        </is>
      </c>
      <c r="M4250" s="45" t="inlineStr">
        <is>
          <t>42133 (Gestion immobilière) ; 42158 (Commercialisation immobilière) ; 42186 (Promotion immobilière) ; 42178 (Financement immobilier)</t>
        </is>
      </c>
      <c r="N4250" s="50" t="inlineStr">
        <is>
          <t>NON</t>
        </is>
      </c>
      <c r="O4250" s="45" t="inlineStr"/>
    </row>
    <row r="4251" customFormat="1" s="3">
      <c r="A4251" s="51" t="n"/>
      <c r="B4251" s="52" t="inlineStr">
        <is>
          <t>42133</t>
        </is>
      </c>
      <c r="C4251" s="52">
        <f>LEFT(Tableau1[[#This Row],[Formacode]],3)</f>
        <v/>
      </c>
      <c r="D4251" s="53" t="n">
        <v>40981</v>
      </c>
      <c r="E4251" s="54">
        <f>"RNCP"&amp;D4251</f>
        <v/>
      </c>
      <c r="F4251" s="54" t="inlineStr">
        <is>
          <t>DIPLOVIS - Diplôme supérieur en immobilier</t>
        </is>
      </c>
      <c r="G4251" s="55">
        <f>E4251&amp;" - "&amp;F4251</f>
        <v/>
      </c>
      <c r="H4251" s="37" t="inlineStr">
        <is>
          <t>À vérifier</t>
        </is>
      </c>
      <c r="I4251" s="51" t="inlineStr">
        <is>
          <t>Successeur déjà publié : RNCP41903 (Diplôme supérieur en immobilier) — préparer la bascule de l'offre CPF</t>
        </is>
      </c>
      <c r="J4251" s="51" t="inlineStr">
        <is>
          <t>RNCP41903</t>
        </is>
      </c>
      <c r="K4251" s="51" t="inlineStr">
        <is>
          <t>Diplôme supérieur en immobilier</t>
        </is>
      </c>
      <c r="L4251" s="51" t="inlineStr">
        <is>
          <t>31/08/2027</t>
        </is>
      </c>
      <c r="M4251" s="51" t="inlineStr">
        <is>
          <t>42158 (Commercialisation immobilière) ; 42178 (Financement immobilier) ; 42137 (Expertise immobilière) ; 42133 (Gestion immobilière) ; 42186 (Promotion immobilière)</t>
        </is>
      </c>
      <c r="N4251" s="62" t="inlineStr">
        <is>
          <t>NON</t>
        </is>
      </c>
      <c r="O4251" s="51" t="inlineStr"/>
    </row>
    <row r="4252" customFormat="1" s="3">
      <c r="A4252" s="45" t="n"/>
      <c r="B4252" s="46" t="inlineStr">
        <is>
          <t>42133</t>
        </is>
      </c>
      <c r="C4252" s="46">
        <f>LEFT(Tableau1[[#This Row],[Formacode]],3)</f>
        <v/>
      </c>
      <c r="D4252" s="47" t="n">
        <v>40989</v>
      </c>
      <c r="E4252" s="48">
        <f>"RNCP"&amp;D4252</f>
        <v/>
      </c>
      <c r="F4252" s="48" t="inlineStr">
        <is>
          <t>TP - Assistant immobilier</t>
        </is>
      </c>
      <c r="G4252" s="49">
        <f>E4252&amp;" - "&amp;F4252</f>
        <v/>
      </c>
      <c r="H4252" s="36" t="inlineStr">
        <is>
          <t>RAS</t>
        </is>
      </c>
      <c r="I4252" s="45" t="inlineStr"/>
      <c r="J4252" s="45" t="inlineStr">
        <is>
          <t>RNCP40989</t>
        </is>
      </c>
      <c r="K4252" s="45" t="inlineStr">
        <is>
          <t>Assistant immobilier</t>
        </is>
      </c>
      <c r="L4252" s="45" t="inlineStr">
        <is>
          <t>06/09/2030</t>
        </is>
      </c>
      <c r="M4252" s="45" t="inlineStr">
        <is>
          <t>35011 (Secrétariat assistanat immobilier) ; 42133 (Gestion immobilière) ; 35028 (Secrétariat assistanat commercial) ; 35047 (Secrétariat assistanat direction)</t>
        </is>
      </c>
      <c r="N4252" s="50" t="inlineStr">
        <is>
          <t>NON</t>
        </is>
      </c>
      <c r="O4252" s="45" t="inlineStr"/>
    </row>
    <row r="4253" customFormat="1" s="3">
      <c r="A4253" s="45" t="n"/>
      <c r="B4253" s="46" t="inlineStr">
        <is>
          <t>42133</t>
        </is>
      </c>
      <c r="C4253" s="46">
        <f>LEFT(Tableau1[[#This Row],[Formacode]],3)</f>
        <v/>
      </c>
      <c r="D4253" s="47" t="n">
        <v>41117</v>
      </c>
      <c r="E4253" s="48">
        <f>"RNCP"&amp;D4253</f>
        <v/>
      </c>
      <c r="F4253" s="48" t="inlineStr">
        <is>
          <t>Expert en management immobilier</t>
        </is>
      </c>
      <c r="G4253" s="49">
        <f>E4253&amp;" - "&amp;F4253</f>
        <v/>
      </c>
      <c r="H4253" s="36" t="inlineStr">
        <is>
          <t>RAS</t>
        </is>
      </c>
      <c r="I4253" s="45" t="inlineStr"/>
      <c r="J4253" s="45" t="inlineStr">
        <is>
          <t>RNCP41117</t>
        </is>
      </c>
      <c r="K4253" s="45" t="inlineStr">
        <is>
          <t>Expert en management immobilier</t>
        </is>
      </c>
      <c r="L4253" s="45" t="inlineStr">
        <is>
          <t>18/07/2028</t>
        </is>
      </c>
      <c r="M4253" s="45" t="inlineStr">
        <is>
          <t>13321 (Fiscalité immobilière) ; 41014 (Gestion patrimoine) ; 42137 (Expertise immobilière) ; 42178 (Financement immobilier) ; 42133 (Gestion immobilière)</t>
        </is>
      </c>
      <c r="N4253" s="50" t="inlineStr">
        <is>
          <t>NON</t>
        </is>
      </c>
      <c r="O4253" s="45" t="inlineStr"/>
    </row>
    <row r="4254" customFormat="1" s="3">
      <c r="A4254" s="45" t="n"/>
      <c r="B4254" s="46" t="inlineStr">
        <is>
          <t>42133</t>
        </is>
      </c>
      <c r="C4254" s="46">
        <f>LEFT(Tableau1[[#This Row],[Formacode]],3)</f>
        <v/>
      </c>
      <c r="D4254" s="47" t="n">
        <v>41121</v>
      </c>
      <c r="E4254" s="48">
        <f>"RNCP"&amp;D4254</f>
        <v/>
      </c>
      <c r="F4254" s="48" t="inlineStr">
        <is>
          <t>Gestionnaire de patrimoine</t>
        </is>
      </c>
      <c r="G4254" s="49">
        <f>E4254&amp;" - "&amp;F4254</f>
        <v/>
      </c>
      <c r="H4254" s="36" t="inlineStr">
        <is>
          <t>RAS</t>
        </is>
      </c>
      <c r="I4254" s="45" t="inlineStr"/>
      <c r="J4254" s="45" t="inlineStr">
        <is>
          <t>RNCP41121</t>
        </is>
      </c>
      <c r="K4254" s="45" t="inlineStr">
        <is>
          <t>Gestionnaire de patrimoine</t>
        </is>
      </c>
      <c r="L4254" s="45" t="inlineStr">
        <is>
          <t>18/07/2028</t>
        </is>
      </c>
      <c r="M4254" s="45" t="inlineStr">
        <is>
          <t>41014 (Gestion patrimoine) ; 42178 (Financement immobilier) ; 13321 (Fiscalité immobilière) ; 42137 (Expertise immobilière) ; 42133 (Gestion immobilière)</t>
        </is>
      </c>
      <c r="N4254" s="50" t="inlineStr">
        <is>
          <t>NON</t>
        </is>
      </c>
      <c r="O4254" s="45" t="inlineStr"/>
    </row>
    <row r="4255" customFormat="1" s="3">
      <c r="A4255" s="45" t="n"/>
      <c r="B4255" s="46" t="inlineStr">
        <is>
          <t>42133</t>
        </is>
      </c>
      <c r="C4255" s="46">
        <f>LEFT(Tableau1[[#This Row],[Formacode]],3)</f>
        <v/>
      </c>
      <c r="D4255" s="47" t="n">
        <v>41735</v>
      </c>
      <c r="E4255" s="48">
        <f>"RNCP"&amp;D4255</f>
        <v/>
      </c>
      <c r="F4255" s="48" t="inlineStr">
        <is>
          <t>Responsable de projets immobiliers</t>
        </is>
      </c>
      <c r="G4255" s="49">
        <f>E4255&amp;" - "&amp;F4255</f>
        <v/>
      </c>
      <c r="H4255" s="36" t="inlineStr">
        <is>
          <t>RAS</t>
        </is>
      </c>
      <c r="I4255" s="45" t="inlineStr"/>
      <c r="J4255" s="45" t="inlineStr">
        <is>
          <t>RNCP41735</t>
        </is>
      </c>
      <c r="K4255" s="45" t="inlineStr">
        <is>
          <t>Responsable de projets immobiliers</t>
        </is>
      </c>
      <c r="L4255" s="45" t="inlineStr">
        <is>
          <t>27/11/2028</t>
        </is>
      </c>
      <c r="M4255" s="45" t="inlineStr">
        <is>
          <t>42184 (Agence immobilière) ; 42158 (Commercialisation immobilière) ; 42133 (Gestion immobilière) ; 42186 (Promotion immobilière)</t>
        </is>
      </c>
      <c r="N4255" s="50" t="inlineStr">
        <is>
          <t>NON</t>
        </is>
      </c>
      <c r="O4255" s="45" t="inlineStr"/>
    </row>
    <row r="4256" customFormat="1" s="3">
      <c r="A4256" s="45" t="n"/>
      <c r="B4256" s="46" t="inlineStr">
        <is>
          <t>42133</t>
        </is>
      </c>
      <c r="C4256" s="46">
        <f>LEFT(Tableau1[[#This Row],[Formacode]],3)</f>
        <v/>
      </c>
      <c r="D4256" s="47" t="n">
        <v>41812</v>
      </c>
      <c r="E4256" s="48">
        <f>"RNCP"&amp;D4256</f>
        <v/>
      </c>
      <c r="F4256" s="48" t="inlineStr">
        <is>
          <t>Manager immobilier</t>
        </is>
      </c>
      <c r="G4256" s="49">
        <f>E4256&amp;" - "&amp;F4256</f>
        <v/>
      </c>
      <c r="H4256" s="36" t="inlineStr">
        <is>
          <t>RAS</t>
        </is>
      </c>
      <c r="I4256" s="45" t="inlineStr"/>
      <c r="J4256" s="45" t="inlineStr">
        <is>
          <t>RNCP41812</t>
        </is>
      </c>
      <c r="K4256" s="45" t="inlineStr">
        <is>
          <t>Manager immobilier</t>
        </is>
      </c>
      <c r="L4256" s="45" t="inlineStr">
        <is>
          <t>18/12/2027</t>
        </is>
      </c>
      <c r="M4256" s="45" t="inlineStr">
        <is>
          <t>42158 (Commercialisation immobilière) ; 42178 (Financement immobilier) ; 42137 (Expertise immobilière) ; 42133 (Gestion immobilière) ; 42186 (Promotion immobilière)</t>
        </is>
      </c>
      <c r="N4256" s="50" t="inlineStr">
        <is>
          <t>NON</t>
        </is>
      </c>
      <c r="O4256" s="45" t="inlineStr"/>
    </row>
    <row r="4257" customFormat="1" s="3">
      <c r="A4257" s="63" t="n"/>
      <c r="B4257" s="64" t="inlineStr">
        <is>
          <t>42137</t>
        </is>
      </c>
      <c r="C4257" s="64">
        <f>LEFT(Tableau1[[#This Row],[Formacode]],3)</f>
        <v/>
      </c>
      <c r="D4257" s="65" t="n">
        <v>35590</v>
      </c>
      <c r="E4257" s="66">
        <f>"RNCP"&amp;D4257</f>
        <v/>
      </c>
      <c r="F4257" s="66" t="inlineStr">
        <is>
          <t>Manager de l'habitat social et durable</t>
        </is>
      </c>
      <c r="G4257" s="67">
        <f>E4257&amp;" - "&amp;F4257</f>
        <v/>
      </c>
      <c r="H4257" s="38" t="inlineStr">
        <is>
          <t>Expiré / remplacé</t>
        </is>
      </c>
      <c r="I4257" s="63" t="inlineStr">
        <is>
          <t>Fiche inactive — remplacée par RNCP42170 (Manager de projet immobilier durable)</t>
        </is>
      </c>
      <c r="J4257" s="63" t="inlineStr">
        <is>
          <t>RNCP42170</t>
        </is>
      </c>
      <c r="K4257" s="63" t="inlineStr">
        <is>
          <t>Manager de projet immobilier durable</t>
        </is>
      </c>
      <c r="L4257" s="63" t="inlineStr">
        <is>
          <t>19/05/2026</t>
        </is>
      </c>
      <c r="M4257" s="63" t="inlineStr">
        <is>
          <t>42154 (Immobilier) ; 22250 (Éco-construction) ; 32145 (Management transversal) ; 12554 (Environnement aménagement)</t>
        </is>
      </c>
      <c r="N4257" s="68" t="inlineStr">
        <is>
          <t>NON</t>
        </is>
      </c>
      <c r="O4257" s="63" t="inlineStr"/>
    </row>
    <row r="4258" customFormat="1" s="3">
      <c r="A4258" s="51" t="n"/>
      <c r="B4258" s="52" t="inlineStr">
        <is>
          <t>42137</t>
        </is>
      </c>
      <c r="C4258" s="52">
        <f>LEFT(Tableau1[[#This Row],[Formacode]],3)</f>
        <v/>
      </c>
      <c r="D4258" s="53" t="n">
        <v>40981</v>
      </c>
      <c r="E4258" s="54">
        <f>"RNCP"&amp;D4258</f>
        <v/>
      </c>
      <c r="F4258" s="54" t="inlineStr">
        <is>
          <t>DIPLOVIS - Diplôme supérieur en immobilier</t>
        </is>
      </c>
      <c r="G4258" s="55">
        <f>E4258&amp;" - "&amp;F4258</f>
        <v/>
      </c>
      <c r="H4258" s="37" t="inlineStr">
        <is>
          <t>À vérifier</t>
        </is>
      </c>
      <c r="I4258" s="51" t="inlineStr">
        <is>
          <t>Successeur déjà publié : RNCP41903 (Diplôme supérieur en immobilier) — préparer la bascule de l'offre CPF</t>
        </is>
      </c>
      <c r="J4258" s="51" t="inlineStr">
        <is>
          <t>RNCP41903</t>
        </is>
      </c>
      <c r="K4258" s="51" t="inlineStr">
        <is>
          <t>Diplôme supérieur en immobilier</t>
        </is>
      </c>
      <c r="L4258" s="51" t="inlineStr">
        <is>
          <t>31/08/2027</t>
        </is>
      </c>
      <c r="M4258" s="51" t="inlineStr">
        <is>
          <t>42158 (Commercialisation immobilière) ; 42178 (Financement immobilier) ; 42137 (Expertise immobilière) ; 42133 (Gestion immobilière) ; 42186 (Promotion immobilière)</t>
        </is>
      </c>
      <c r="N4258" s="62" t="inlineStr">
        <is>
          <t>NON</t>
        </is>
      </c>
      <c r="O4258" s="51" t="inlineStr"/>
    </row>
    <row r="4259" customFormat="1" s="3">
      <c r="A4259" s="45" t="n"/>
      <c r="B4259" s="46" t="inlineStr">
        <is>
          <t>42137</t>
        </is>
      </c>
      <c r="C4259" s="46">
        <f>LEFT(Tableau1[[#This Row],[Formacode]],3)</f>
        <v/>
      </c>
      <c r="D4259" s="47" t="n">
        <v>41117</v>
      </c>
      <c r="E4259" s="48">
        <f>"RNCP"&amp;D4259</f>
        <v/>
      </c>
      <c r="F4259" s="48" t="inlineStr">
        <is>
          <t>Expert en management immobilier</t>
        </is>
      </c>
      <c r="G4259" s="49">
        <f>E4259&amp;" - "&amp;F4259</f>
        <v/>
      </c>
      <c r="H4259" s="36" t="inlineStr">
        <is>
          <t>RAS</t>
        </is>
      </c>
      <c r="I4259" s="45" t="inlineStr"/>
      <c r="J4259" s="45" t="inlineStr">
        <is>
          <t>RNCP41117</t>
        </is>
      </c>
      <c r="K4259" s="45" t="inlineStr">
        <is>
          <t>Expert en management immobilier</t>
        </is>
      </c>
      <c r="L4259" s="45" t="inlineStr">
        <is>
          <t>18/07/2028</t>
        </is>
      </c>
      <c r="M4259" s="45" t="inlineStr">
        <is>
          <t>13321 (Fiscalité immobilière) ; 41014 (Gestion patrimoine) ; 42137 (Expertise immobilière) ; 42178 (Financement immobilier) ; 42133 (Gestion immobilière)</t>
        </is>
      </c>
      <c r="N4259" s="50" t="inlineStr">
        <is>
          <t>NON</t>
        </is>
      </c>
      <c r="O4259" s="45" t="inlineStr"/>
    </row>
    <row r="4260" customFormat="1" s="3">
      <c r="A4260" s="45" t="n"/>
      <c r="B4260" s="46" t="inlineStr">
        <is>
          <t>42137</t>
        </is>
      </c>
      <c r="C4260" s="46">
        <f>LEFT(Tableau1[[#This Row],[Formacode]],3)</f>
        <v/>
      </c>
      <c r="D4260" s="47" t="n">
        <v>41121</v>
      </c>
      <c r="E4260" s="48">
        <f>"RNCP"&amp;D4260</f>
        <v/>
      </c>
      <c r="F4260" s="48" t="inlineStr">
        <is>
          <t>Gestionnaire de patrimoine</t>
        </is>
      </c>
      <c r="G4260" s="49">
        <f>E4260&amp;" - "&amp;F4260</f>
        <v/>
      </c>
      <c r="H4260" s="36" t="inlineStr">
        <is>
          <t>RAS</t>
        </is>
      </c>
      <c r="I4260" s="45" t="inlineStr"/>
      <c r="J4260" s="45" t="inlineStr">
        <is>
          <t>RNCP41121</t>
        </is>
      </c>
      <c r="K4260" s="45" t="inlineStr">
        <is>
          <t>Gestionnaire de patrimoine</t>
        </is>
      </c>
      <c r="L4260" s="45" t="inlineStr">
        <is>
          <t>18/07/2028</t>
        </is>
      </c>
      <c r="M4260" s="45" t="inlineStr">
        <is>
          <t>41014 (Gestion patrimoine) ; 42178 (Financement immobilier) ; 13321 (Fiscalité immobilière) ; 42137 (Expertise immobilière) ; 42133 (Gestion immobilière)</t>
        </is>
      </c>
      <c r="N4260" s="50" t="inlineStr">
        <is>
          <t>NON</t>
        </is>
      </c>
      <c r="O4260" s="45" t="inlineStr"/>
    </row>
    <row r="4261" customFormat="1" s="3">
      <c r="A4261" s="45" t="n"/>
      <c r="B4261" s="46" t="inlineStr">
        <is>
          <t>42137</t>
        </is>
      </c>
      <c r="C4261" s="46">
        <f>LEFT(Tableau1[[#This Row],[Formacode]],3)</f>
        <v/>
      </c>
      <c r="D4261" s="47" t="n">
        <v>41812</v>
      </c>
      <c r="E4261" s="48">
        <f>"RNCP"&amp;D4261</f>
        <v/>
      </c>
      <c r="F4261" s="48" t="inlineStr">
        <is>
          <t>Manager immobilier</t>
        </is>
      </c>
      <c r="G4261" s="49">
        <f>E4261&amp;" - "&amp;F4261</f>
        <v/>
      </c>
      <c r="H4261" s="36" t="inlineStr">
        <is>
          <t>RAS</t>
        </is>
      </c>
      <c r="I4261" s="45" t="inlineStr"/>
      <c r="J4261" s="45" t="inlineStr">
        <is>
          <t>RNCP41812</t>
        </is>
      </c>
      <c r="K4261" s="45" t="inlineStr">
        <is>
          <t>Manager immobilier</t>
        </is>
      </c>
      <c r="L4261" s="45" t="inlineStr">
        <is>
          <t>18/12/2027</t>
        </is>
      </c>
      <c r="M4261" s="45" t="inlineStr">
        <is>
          <t>42158 (Commercialisation immobilière) ; 42178 (Financement immobilier) ; 42137 (Expertise immobilière) ; 42133 (Gestion immobilière) ; 42186 (Promotion immobilière)</t>
        </is>
      </c>
      <c r="N4261" s="50" t="inlineStr">
        <is>
          <t>NON</t>
        </is>
      </c>
      <c r="O4261" s="45" t="inlineStr"/>
    </row>
    <row r="4262" customFormat="1" s="3">
      <c r="A4262" s="63" t="n"/>
      <c r="B4262" s="64" t="inlineStr">
        <is>
          <t>42158</t>
        </is>
      </c>
      <c r="C4262" s="64">
        <f>LEFT(Tableau1[[#This Row],[Formacode]],3)</f>
        <v/>
      </c>
      <c r="D4262" s="65" t="n">
        <v>35590</v>
      </c>
      <c r="E4262" s="66">
        <f>"RNCP"&amp;D4262</f>
        <v/>
      </c>
      <c r="F4262" s="66" t="inlineStr">
        <is>
          <t>Manager de l'habitat social et durable</t>
        </is>
      </c>
      <c r="G4262" s="67">
        <f>E4262&amp;" - "&amp;F4262</f>
        <v/>
      </c>
      <c r="H4262" s="38" t="inlineStr">
        <is>
          <t>Expiré / remplacé</t>
        </is>
      </c>
      <c r="I4262" s="63" t="inlineStr">
        <is>
          <t>Fiche inactive — remplacée par RNCP42170 (Manager de projet immobilier durable)</t>
        </is>
      </c>
      <c r="J4262" s="63" t="inlineStr">
        <is>
          <t>RNCP42170</t>
        </is>
      </c>
      <c r="K4262" s="63" t="inlineStr">
        <is>
          <t>Manager de projet immobilier durable</t>
        </is>
      </c>
      <c r="L4262" s="63" t="inlineStr">
        <is>
          <t>19/05/2026</t>
        </is>
      </c>
      <c r="M4262" s="63" t="inlineStr">
        <is>
          <t>42154 (Immobilier) ; 22250 (Éco-construction) ; 32145 (Management transversal) ; 12554 (Environnement aménagement)</t>
        </is>
      </c>
      <c r="N4262" s="68" t="inlineStr">
        <is>
          <t>NON</t>
        </is>
      </c>
      <c r="O4262" s="63" t="inlineStr"/>
    </row>
    <row r="4263" customFormat="1" s="3">
      <c r="A4263" s="51" t="n"/>
      <c r="B4263" s="52" t="inlineStr">
        <is>
          <t>42158</t>
        </is>
      </c>
      <c r="C4263" s="52">
        <f>LEFT(Tableau1[[#This Row],[Formacode]],3)</f>
        <v/>
      </c>
      <c r="D4263" s="53" t="n">
        <v>36073</v>
      </c>
      <c r="E4263" s="54">
        <f>"RNCP"&amp;D4263</f>
        <v/>
      </c>
      <c r="F4263" s="54" t="inlineStr">
        <is>
          <t>Responsable d’affaires immobilières</t>
        </is>
      </c>
      <c r="G4263" s="55">
        <f>E4263&amp;" - "&amp;F4263</f>
        <v/>
      </c>
      <c r="H4263" s="37" t="inlineStr">
        <is>
          <t>À vérifier</t>
        </is>
      </c>
      <c r="I4263" s="51" t="inlineStr">
        <is>
          <t>Échéance le 15/12/2026 (dans 150 j)</t>
        </is>
      </c>
      <c r="J4263" s="51" t="inlineStr">
        <is>
          <t>RNCP36073</t>
        </is>
      </c>
      <c r="K4263" s="51" t="inlineStr">
        <is>
          <t>Responsable d’affaires immobilières</t>
        </is>
      </c>
      <c r="L4263" s="51" t="inlineStr">
        <is>
          <t>15/12/2026</t>
        </is>
      </c>
      <c r="M4263" s="51" t="inlineStr">
        <is>
          <t>42158 (Commercialisation immobilière) ; 42133 (Gestion immobilière) ; 42184 (Agence immobilière)</t>
        </is>
      </c>
      <c r="N4263" s="62" t="inlineStr">
        <is>
          <t>NON</t>
        </is>
      </c>
      <c r="O4263" s="51" t="inlineStr"/>
    </row>
    <row r="4264" customFormat="1" s="3">
      <c r="A4264" s="63" t="n"/>
      <c r="B4264" s="64" t="inlineStr">
        <is>
          <t>42158</t>
        </is>
      </c>
      <c r="C4264" s="64">
        <f>LEFT(Tableau1[[#This Row],[Formacode]],3)</f>
        <v/>
      </c>
      <c r="D4264" s="65" t="n">
        <v>37641</v>
      </c>
      <c r="E4264" s="66">
        <f>"RNCP"&amp;D4264</f>
        <v/>
      </c>
      <c r="F4264" s="66" t="inlineStr">
        <is>
          <t>Chargé d'affaires en immobilier</t>
        </is>
      </c>
      <c r="G4264" s="67">
        <f>E4264&amp;" - "&amp;F4264</f>
        <v/>
      </c>
      <c r="H4264" s="38" t="inlineStr">
        <is>
          <t>Expiré / remplacé</t>
        </is>
      </c>
      <c r="I4264" s="63" t="inlineStr">
        <is>
          <t>Fiche inactive — remplacée par RNCP41735 (Responsable de projets immobiliers)</t>
        </is>
      </c>
      <c r="J4264" s="63" t="inlineStr">
        <is>
          <t>RNCP41735</t>
        </is>
      </c>
      <c r="K4264" s="63" t="inlineStr">
        <is>
          <t>Responsable de projets immobiliers</t>
        </is>
      </c>
      <c r="L4264" s="63" t="inlineStr">
        <is>
          <t>31/05/2026</t>
        </is>
      </c>
      <c r="M4264" s="63" t="inlineStr">
        <is>
          <t>42184 (Agence immobilière) ; 42158 (Commercialisation immobilière) ; 42133 (Gestion immobilière) ; 42186 (Promotion immobilière)</t>
        </is>
      </c>
      <c r="N4264" s="68" t="inlineStr">
        <is>
          <t>NON</t>
        </is>
      </c>
      <c r="O4264" s="63" t="inlineStr"/>
    </row>
    <row r="4265" customFormat="1" s="3">
      <c r="A4265" s="51" t="n"/>
      <c r="B4265" s="52" t="inlineStr">
        <is>
          <t>42158</t>
        </is>
      </c>
      <c r="C4265" s="52">
        <f>LEFT(Tableau1[[#This Row],[Formacode]],3)</f>
        <v/>
      </c>
      <c r="D4265" s="53" t="n">
        <v>38380</v>
      </c>
      <c r="E4265" s="54">
        <f>"RNCP"&amp;D4265</f>
        <v/>
      </c>
      <c r="F4265" s="54" t="inlineStr">
        <is>
          <t>BTS - Professions immobilières</t>
        </is>
      </c>
      <c r="G4265" s="55">
        <f>E4265&amp;" - "&amp;F4265</f>
        <v/>
      </c>
      <c r="H4265" s="37" t="inlineStr">
        <is>
          <t>À vérifier</t>
        </is>
      </c>
      <c r="I4265" s="51" t="inlineStr">
        <is>
          <t>Échéance le 31/12/2026 (dans 166 j)</t>
        </is>
      </c>
      <c r="J4265" s="51" t="inlineStr">
        <is>
          <t>RNCP38380</t>
        </is>
      </c>
      <c r="K4265" s="51" t="inlineStr">
        <is>
          <t>Professions immobilières</t>
        </is>
      </c>
      <c r="L4265" s="51" t="inlineStr">
        <is>
          <t>31/12/2026</t>
        </is>
      </c>
      <c r="M4265" s="51" t="inlineStr">
        <is>
          <t>42158 (Commercialisation immobilière) ; 42133 (Gestion immobilière)</t>
        </is>
      </c>
      <c r="N4265" s="62" t="inlineStr">
        <is>
          <t>NON</t>
        </is>
      </c>
      <c r="O4265" s="51" t="inlineStr"/>
    </row>
    <row r="4266" customFormat="1" s="3">
      <c r="A4266" s="45" t="n"/>
      <c r="B4266" s="46" t="inlineStr">
        <is>
          <t>42158</t>
        </is>
      </c>
      <c r="C4266" s="46">
        <f>LEFT(Tableau1[[#This Row],[Formacode]],3)</f>
        <v/>
      </c>
      <c r="D4266" s="47" t="n">
        <v>38811</v>
      </c>
      <c r="E4266" s="48">
        <f>"RNCP"&amp;D4266</f>
        <v/>
      </c>
      <c r="F4266" s="48" t="inlineStr">
        <is>
          <t>Responsable en gestion et négociation immobilières</t>
        </is>
      </c>
      <c r="G4266" s="49">
        <f>E4266&amp;" - "&amp;F4266</f>
        <v/>
      </c>
      <c r="H4266" s="36" t="inlineStr">
        <is>
          <t>RAS</t>
        </is>
      </c>
      <c r="I4266" s="45" t="inlineStr"/>
      <c r="J4266" s="45" t="inlineStr">
        <is>
          <t>RNCP38811</t>
        </is>
      </c>
      <c r="K4266" s="45" t="inlineStr">
        <is>
          <t>Responsable en gestion et négociation immobilières</t>
        </is>
      </c>
      <c r="L4266" s="45" t="inlineStr">
        <is>
          <t>27/03/2028</t>
        </is>
      </c>
      <c r="M4266" s="45" t="inlineStr">
        <is>
          <t>42158 (Commercialisation immobilière) ; 42121 (Gestion locative) ; 42184 (Agence immobilière)</t>
        </is>
      </c>
      <c r="N4266" s="50" t="inlineStr">
        <is>
          <t>NON</t>
        </is>
      </c>
      <c r="O4266" s="45" t="inlineStr"/>
    </row>
    <row r="4267" customFormat="1" s="3">
      <c r="A4267" s="45" t="n"/>
      <c r="B4267" s="46" t="inlineStr">
        <is>
          <t>42158</t>
        </is>
      </c>
      <c r="C4267" s="46">
        <f>LEFT(Tableau1[[#This Row],[Formacode]],3)</f>
        <v/>
      </c>
      <c r="D4267" s="47" t="n">
        <v>40660</v>
      </c>
      <c r="E4267" s="48">
        <f>"RNCP"&amp;D4267</f>
        <v/>
      </c>
      <c r="F4267" s="48" t="inlineStr">
        <is>
          <t>Responsable d' affaires en immobilier</t>
        </is>
      </c>
      <c r="G4267" s="49">
        <f>E4267&amp;" - "&amp;F4267</f>
        <v/>
      </c>
      <c r="H4267" s="36" t="inlineStr">
        <is>
          <t>RAS</t>
        </is>
      </c>
      <c r="I4267" s="45" t="inlineStr"/>
      <c r="J4267" s="45" t="inlineStr">
        <is>
          <t>RNCP40660</t>
        </is>
      </c>
      <c r="K4267" s="45" t="inlineStr">
        <is>
          <t>Responsable d' affaires en immobilier</t>
        </is>
      </c>
      <c r="L4267" s="45" t="inlineStr">
        <is>
          <t>23/05/2030</t>
        </is>
      </c>
      <c r="M4267" s="45" t="inlineStr">
        <is>
          <t>42133 (Gestion immobilière) ; 42158 (Commercialisation immobilière) ; 42186 (Promotion immobilière) ; 42178 (Financement immobilier)</t>
        </is>
      </c>
      <c r="N4267" s="50" t="inlineStr">
        <is>
          <t>NON</t>
        </is>
      </c>
      <c r="O4267" s="45" t="inlineStr"/>
    </row>
    <row r="4268" customFormat="1" s="3">
      <c r="A4268" s="45" t="n"/>
      <c r="B4268" s="46" t="inlineStr">
        <is>
          <t>42158</t>
        </is>
      </c>
      <c r="C4268" s="46">
        <f>LEFT(Tableau1[[#This Row],[Formacode]],3)</f>
        <v/>
      </c>
      <c r="D4268" s="47" t="n">
        <v>40869</v>
      </c>
      <c r="E4268" s="48">
        <f>"RNCP"&amp;D4268</f>
        <v/>
      </c>
      <c r="F4268" s="48" t="inlineStr">
        <is>
          <t>Décorateur d’intérieur et aménagement d’espace</t>
        </is>
      </c>
      <c r="G4268" s="49">
        <f>E4268&amp;" - "&amp;F4268</f>
        <v/>
      </c>
      <c r="H4268" s="36" t="inlineStr">
        <is>
          <t>RAS</t>
        </is>
      </c>
      <c r="I4268" s="45" t="inlineStr"/>
      <c r="J4268" s="45" t="inlineStr">
        <is>
          <t>RNCP40869</t>
        </is>
      </c>
      <c r="K4268" s="45" t="inlineStr">
        <is>
          <t>Décorateur d’intérieur et aménagement d’espace</t>
        </is>
      </c>
      <c r="L4268" s="45" t="inlineStr">
        <is>
          <t>25/06/2027</t>
        </is>
      </c>
      <c r="M4268" s="45" t="inlineStr">
        <is>
          <t>45015 (Architecture intérieure) ; 45501 (Peinture décorative) ; 22408 (Cuisine salle de bains) ; 42159 (Valorisation immobilière)</t>
        </is>
      </c>
      <c r="N4268" s="50" t="inlineStr">
        <is>
          <t>NON</t>
        </is>
      </c>
      <c r="O4268" s="45" t="inlineStr"/>
    </row>
    <row r="4269" customFormat="1" s="3">
      <c r="A4269" s="51" t="n"/>
      <c r="B4269" s="52" t="inlineStr">
        <is>
          <t>42158</t>
        </is>
      </c>
      <c r="C4269" s="52">
        <f>LEFT(Tableau1[[#This Row],[Formacode]],3)</f>
        <v/>
      </c>
      <c r="D4269" s="53" t="n">
        <v>40981</v>
      </c>
      <c r="E4269" s="54">
        <f>"RNCP"&amp;D4269</f>
        <v/>
      </c>
      <c r="F4269" s="54" t="inlineStr">
        <is>
          <t>DIPLOVIS - Diplôme supérieur en immobilier</t>
        </is>
      </c>
      <c r="G4269" s="55">
        <f>E4269&amp;" - "&amp;F4269</f>
        <v/>
      </c>
      <c r="H4269" s="37" t="inlineStr">
        <is>
          <t>À vérifier</t>
        </is>
      </c>
      <c r="I4269" s="51" t="inlineStr">
        <is>
          <t>Successeur déjà publié : RNCP41903 (Diplôme supérieur en immobilier) — préparer la bascule de l'offre CPF</t>
        </is>
      </c>
      <c r="J4269" s="51" t="inlineStr">
        <is>
          <t>RNCP41903</t>
        </is>
      </c>
      <c r="K4269" s="51" t="inlineStr">
        <is>
          <t>Diplôme supérieur en immobilier</t>
        </is>
      </c>
      <c r="L4269" s="51" t="inlineStr">
        <is>
          <t>31/08/2027</t>
        </is>
      </c>
      <c r="M4269" s="51" t="inlineStr">
        <is>
          <t>42158 (Commercialisation immobilière) ; 42178 (Financement immobilier) ; 42137 (Expertise immobilière) ; 42133 (Gestion immobilière) ; 42186 (Promotion immobilière)</t>
        </is>
      </c>
      <c r="N4269" s="62" t="inlineStr">
        <is>
          <t>NON</t>
        </is>
      </c>
      <c r="O4269" s="51" t="inlineStr"/>
    </row>
    <row r="4270" customFormat="1" s="3">
      <c r="A4270" s="45" t="n"/>
      <c r="B4270" s="46" t="inlineStr">
        <is>
          <t>42158</t>
        </is>
      </c>
      <c r="C4270" s="46">
        <f>LEFT(Tableau1[[#This Row],[Formacode]],3)</f>
        <v/>
      </c>
      <c r="D4270" s="47" t="n">
        <v>41357</v>
      </c>
      <c r="E4270" s="48">
        <f>"RNCP"&amp;D4270</f>
        <v/>
      </c>
      <c r="F4270" s="48" t="inlineStr">
        <is>
          <t>Designer en espaces intérieurs</t>
        </is>
      </c>
      <c r="G4270" s="49">
        <f>E4270&amp;" - "&amp;F4270</f>
        <v/>
      </c>
      <c r="H4270" s="36" t="inlineStr">
        <is>
          <t>RAS</t>
        </is>
      </c>
      <c r="I4270" s="45" t="inlineStr"/>
      <c r="J4270" s="45" t="inlineStr">
        <is>
          <t>RNCP41357</t>
        </is>
      </c>
      <c r="K4270" s="45" t="inlineStr">
        <is>
          <t>Designer en espaces intérieurs</t>
        </is>
      </c>
      <c r="L4270" s="45" t="inlineStr">
        <is>
          <t>24/09/2028</t>
        </is>
      </c>
      <c r="M4270" s="45" t="inlineStr">
        <is>
          <t>45015 (Architecture intérieure) ; 42159 (Valorisation immobilière) ; 45501 (Peinture décorative) ; 22408 (Cuisine salle de bains)</t>
        </is>
      </c>
      <c r="N4270" s="50" t="inlineStr">
        <is>
          <t>NON</t>
        </is>
      </c>
      <c r="O4270" s="45" t="inlineStr"/>
    </row>
    <row r="4271" customFormat="1" s="3">
      <c r="A4271" s="45" t="n"/>
      <c r="B4271" s="46" t="inlineStr">
        <is>
          <t>42158</t>
        </is>
      </c>
      <c r="C4271" s="46">
        <f>LEFT(Tableau1[[#This Row],[Formacode]],3)</f>
        <v/>
      </c>
      <c r="D4271" s="47" t="n">
        <v>41735</v>
      </c>
      <c r="E4271" s="48">
        <f>"RNCP"&amp;D4271</f>
        <v/>
      </c>
      <c r="F4271" s="48" t="inlineStr">
        <is>
          <t>Responsable de projets immobiliers</t>
        </is>
      </c>
      <c r="G4271" s="49">
        <f>E4271&amp;" - "&amp;F4271</f>
        <v/>
      </c>
      <c r="H4271" s="36" t="inlineStr">
        <is>
          <t>RAS</t>
        </is>
      </c>
      <c r="I4271" s="45" t="inlineStr"/>
      <c r="J4271" s="45" t="inlineStr">
        <is>
          <t>RNCP41735</t>
        </is>
      </c>
      <c r="K4271" s="45" t="inlineStr">
        <is>
          <t>Responsable de projets immobiliers</t>
        </is>
      </c>
      <c r="L4271" s="45" t="inlineStr">
        <is>
          <t>27/11/2028</t>
        </is>
      </c>
      <c r="M4271" s="45" t="inlineStr">
        <is>
          <t>42184 (Agence immobilière) ; 42158 (Commercialisation immobilière) ; 42133 (Gestion immobilière) ; 42186 (Promotion immobilière)</t>
        </is>
      </c>
      <c r="N4271" s="50" t="inlineStr">
        <is>
          <t>NON</t>
        </is>
      </c>
      <c r="O4271" s="45" t="inlineStr"/>
    </row>
    <row r="4272" customFormat="1" s="3">
      <c r="A4272" s="45" t="n"/>
      <c r="B4272" s="46" t="inlineStr">
        <is>
          <t>42158</t>
        </is>
      </c>
      <c r="C4272" s="46">
        <f>LEFT(Tableau1[[#This Row],[Formacode]],3)</f>
        <v/>
      </c>
      <c r="D4272" s="47" t="n">
        <v>41812</v>
      </c>
      <c r="E4272" s="48">
        <f>"RNCP"&amp;D4272</f>
        <v/>
      </c>
      <c r="F4272" s="48" t="inlineStr">
        <is>
          <t>Manager immobilier</t>
        </is>
      </c>
      <c r="G4272" s="49">
        <f>E4272&amp;" - "&amp;F4272</f>
        <v/>
      </c>
      <c r="H4272" s="36" t="inlineStr">
        <is>
          <t>RAS</t>
        </is>
      </c>
      <c r="I4272" s="45" t="inlineStr"/>
      <c r="J4272" s="45" t="inlineStr">
        <is>
          <t>RNCP41812</t>
        </is>
      </c>
      <c r="K4272" s="45" t="inlineStr">
        <is>
          <t>Manager immobilier</t>
        </is>
      </c>
      <c r="L4272" s="45" t="inlineStr">
        <is>
          <t>18/12/2027</t>
        </is>
      </c>
      <c r="M4272" s="45" t="inlineStr">
        <is>
          <t>42158 (Commercialisation immobilière) ; 42178 (Financement immobilier) ; 42137 (Expertise immobilière) ; 42133 (Gestion immobilière) ; 42186 (Promotion immobilière)</t>
        </is>
      </c>
      <c r="N4272" s="50" t="inlineStr">
        <is>
          <t>NON</t>
        </is>
      </c>
      <c r="O4272" s="45" t="inlineStr"/>
    </row>
    <row r="4273" customFormat="1" s="3">
      <c r="A4273" s="63" t="n"/>
      <c r="B4273" s="64" t="inlineStr">
        <is>
          <t>42171</t>
        </is>
      </c>
      <c r="C4273" s="64">
        <f>LEFT(Tableau1[[#This Row],[Formacode]],3)</f>
        <v/>
      </c>
      <c r="D4273" s="65" t="n">
        <v>35590</v>
      </c>
      <c r="E4273" s="66">
        <f>"RNCP"&amp;D4273</f>
        <v/>
      </c>
      <c r="F4273" s="66" t="inlineStr">
        <is>
          <t>Manager de l'habitat social et durable</t>
        </is>
      </c>
      <c r="G4273" s="67">
        <f>E4273&amp;" - "&amp;F4273</f>
        <v/>
      </c>
      <c r="H4273" s="38" t="inlineStr">
        <is>
          <t>Expiré / remplacé</t>
        </is>
      </c>
      <c r="I4273" s="63" t="inlineStr">
        <is>
          <t>Fiche inactive — remplacée par RNCP42170 (Manager de projet immobilier durable)</t>
        </is>
      </c>
      <c r="J4273" s="63" t="inlineStr">
        <is>
          <t>RNCP42170</t>
        </is>
      </c>
      <c r="K4273" s="63" t="inlineStr">
        <is>
          <t>Manager de projet immobilier durable</t>
        </is>
      </c>
      <c r="L4273" s="63" t="inlineStr">
        <is>
          <t>19/05/2026</t>
        </is>
      </c>
      <c r="M4273" s="63" t="inlineStr">
        <is>
          <t>42154 (Immobilier) ; 22250 (Éco-construction) ; 32145 (Management transversal) ; 12554 (Environnement aménagement)</t>
        </is>
      </c>
      <c r="N4273" s="68" t="inlineStr">
        <is>
          <t>NON</t>
        </is>
      </c>
      <c r="O4273" s="63" t="inlineStr"/>
    </row>
    <row r="4274" customFormat="1" s="3">
      <c r="A4274" s="63" t="n"/>
      <c r="B4274" s="64" t="inlineStr">
        <is>
          <t>42178</t>
        </is>
      </c>
      <c r="C4274" s="64">
        <f>LEFT(Tableau1[[#This Row],[Formacode]],3)</f>
        <v/>
      </c>
      <c r="D4274" s="65" t="n">
        <v>35590</v>
      </c>
      <c r="E4274" s="66">
        <f>"RNCP"&amp;D4274</f>
        <v/>
      </c>
      <c r="F4274" s="66" t="inlineStr">
        <is>
          <t>Manager de l'habitat social et durable</t>
        </is>
      </c>
      <c r="G4274" s="67">
        <f>E4274&amp;" - "&amp;F4274</f>
        <v/>
      </c>
      <c r="H4274" s="38" t="inlineStr">
        <is>
          <t>Expiré / remplacé</t>
        </is>
      </c>
      <c r="I4274" s="63" t="inlineStr">
        <is>
          <t>Fiche inactive — remplacée par RNCP42170 (Manager de projet immobilier durable)</t>
        </is>
      </c>
      <c r="J4274" s="63" t="inlineStr">
        <is>
          <t>RNCP42170</t>
        </is>
      </c>
      <c r="K4274" s="63" t="inlineStr">
        <is>
          <t>Manager de projet immobilier durable</t>
        </is>
      </c>
      <c r="L4274" s="63" t="inlineStr">
        <is>
          <t>19/05/2026</t>
        </is>
      </c>
      <c r="M4274" s="63" t="inlineStr">
        <is>
          <t>42154 (Immobilier) ; 22250 (Éco-construction) ; 32145 (Management transversal) ; 12554 (Environnement aménagement)</t>
        </is>
      </c>
      <c r="N4274" s="68" t="inlineStr">
        <is>
          <t>NON</t>
        </is>
      </c>
      <c r="O4274" s="63" t="inlineStr"/>
    </row>
    <row r="4275" customFormat="1" s="3">
      <c r="A4275" s="45" t="n"/>
      <c r="B4275" s="46" t="inlineStr">
        <is>
          <t>42178</t>
        </is>
      </c>
      <c r="C4275" s="46">
        <f>LEFT(Tableau1[[#This Row],[Formacode]],3)</f>
        <v/>
      </c>
      <c r="D4275" s="47" t="n">
        <v>40361</v>
      </c>
      <c r="E4275" s="48">
        <f>"RNCP"&amp;D4275</f>
        <v/>
      </c>
      <c r="F4275" s="48" t="inlineStr">
        <is>
          <t>Expert en conseil patrimonial</t>
        </is>
      </c>
      <c r="G4275" s="49">
        <f>E4275&amp;" - "&amp;F4275</f>
        <v/>
      </c>
      <c r="H4275" s="36" t="inlineStr">
        <is>
          <t>RAS</t>
        </is>
      </c>
      <c r="I4275" s="45" t="inlineStr"/>
      <c r="J4275" s="45" t="inlineStr">
        <is>
          <t>RNCP40361</t>
        </is>
      </c>
      <c r="K4275" s="45" t="inlineStr">
        <is>
          <t>Expert en conseil patrimonial</t>
        </is>
      </c>
      <c r="L4275" s="45" t="inlineStr">
        <is>
          <t>28/03/2028</t>
        </is>
      </c>
      <c r="M4275" s="45" t="inlineStr">
        <is>
          <t>41014 (Gestion patrimoine) ; 42178 (Financement immobilier) ; 41023 (Marché financier) ; 13260 (Transmission entreprise)</t>
        </is>
      </c>
      <c r="N4275" s="50" t="inlineStr">
        <is>
          <t>NON</t>
        </is>
      </c>
      <c r="O4275" s="45" t="inlineStr"/>
    </row>
    <row r="4276" customFormat="1" s="3">
      <c r="A4276" s="45" t="n"/>
      <c r="B4276" s="46" t="inlineStr">
        <is>
          <t>42178</t>
        </is>
      </c>
      <c r="C4276" s="46">
        <f>LEFT(Tableau1[[#This Row],[Formacode]],3)</f>
        <v/>
      </c>
      <c r="D4276" s="47" t="n">
        <v>40660</v>
      </c>
      <c r="E4276" s="48">
        <f>"RNCP"&amp;D4276</f>
        <v/>
      </c>
      <c r="F4276" s="48" t="inlineStr">
        <is>
          <t>Responsable d' affaires en immobilier</t>
        </is>
      </c>
      <c r="G4276" s="49">
        <f>E4276&amp;" - "&amp;F4276</f>
        <v/>
      </c>
      <c r="H4276" s="36" t="inlineStr">
        <is>
          <t>RAS</t>
        </is>
      </c>
      <c r="I4276" s="45" t="inlineStr"/>
      <c r="J4276" s="45" t="inlineStr">
        <is>
          <t>RNCP40660</t>
        </is>
      </c>
      <c r="K4276" s="45" t="inlineStr">
        <is>
          <t>Responsable d' affaires en immobilier</t>
        </is>
      </c>
      <c r="L4276" s="45" t="inlineStr">
        <is>
          <t>23/05/2030</t>
        </is>
      </c>
      <c r="M4276" s="45" t="inlineStr">
        <is>
          <t>42133 (Gestion immobilière) ; 42158 (Commercialisation immobilière) ; 42186 (Promotion immobilière) ; 42178 (Financement immobilier)</t>
        </is>
      </c>
      <c r="N4276" s="50" t="inlineStr">
        <is>
          <t>NON</t>
        </is>
      </c>
      <c r="O4276" s="45" t="inlineStr"/>
    </row>
    <row r="4277" customFormat="1" s="3">
      <c r="A4277" s="45" t="n"/>
      <c r="B4277" s="46" t="inlineStr">
        <is>
          <t>42178</t>
        </is>
      </c>
      <c r="C4277" s="46">
        <f>LEFT(Tableau1[[#This Row],[Formacode]],3)</f>
        <v/>
      </c>
      <c r="D4277" s="47" t="n">
        <v>41117</v>
      </c>
      <c r="E4277" s="48">
        <f>"RNCP"&amp;D4277</f>
        <v/>
      </c>
      <c r="F4277" s="48" t="inlineStr">
        <is>
          <t>Expert en management immobilier</t>
        </is>
      </c>
      <c r="G4277" s="49">
        <f>E4277&amp;" - "&amp;F4277</f>
        <v/>
      </c>
      <c r="H4277" s="36" t="inlineStr">
        <is>
          <t>RAS</t>
        </is>
      </c>
      <c r="I4277" s="45" t="inlineStr"/>
      <c r="J4277" s="45" t="inlineStr">
        <is>
          <t>RNCP41117</t>
        </is>
      </c>
      <c r="K4277" s="45" t="inlineStr">
        <is>
          <t>Expert en management immobilier</t>
        </is>
      </c>
      <c r="L4277" s="45" t="inlineStr">
        <is>
          <t>18/07/2028</t>
        </is>
      </c>
      <c r="M4277" s="45" t="inlineStr">
        <is>
          <t>13321 (Fiscalité immobilière) ; 41014 (Gestion patrimoine) ; 42137 (Expertise immobilière) ; 42178 (Financement immobilier) ; 42133 (Gestion immobilière)</t>
        </is>
      </c>
      <c r="N4277" s="50" t="inlineStr">
        <is>
          <t>NON</t>
        </is>
      </c>
      <c r="O4277" s="45" t="inlineStr"/>
    </row>
    <row r="4278" customFormat="1" s="3">
      <c r="A4278" s="45" t="n"/>
      <c r="B4278" s="46" t="inlineStr">
        <is>
          <t>42178</t>
        </is>
      </c>
      <c r="C4278" s="46">
        <f>LEFT(Tableau1[[#This Row],[Formacode]],3)</f>
        <v/>
      </c>
      <c r="D4278" s="47" t="n">
        <v>41121</v>
      </c>
      <c r="E4278" s="48">
        <f>"RNCP"&amp;D4278</f>
        <v/>
      </c>
      <c r="F4278" s="48" t="inlineStr">
        <is>
          <t>Gestionnaire de patrimoine</t>
        </is>
      </c>
      <c r="G4278" s="49">
        <f>E4278&amp;" - "&amp;F4278</f>
        <v/>
      </c>
      <c r="H4278" s="36" t="inlineStr">
        <is>
          <t>RAS</t>
        </is>
      </c>
      <c r="I4278" s="45" t="inlineStr"/>
      <c r="J4278" s="45" t="inlineStr">
        <is>
          <t>RNCP41121</t>
        </is>
      </c>
      <c r="K4278" s="45" t="inlineStr">
        <is>
          <t>Gestionnaire de patrimoine</t>
        </is>
      </c>
      <c r="L4278" s="45" t="inlineStr">
        <is>
          <t>18/07/2028</t>
        </is>
      </c>
      <c r="M4278" s="45" t="inlineStr">
        <is>
          <t>41014 (Gestion patrimoine) ; 42178 (Financement immobilier) ; 13321 (Fiscalité immobilière) ; 42137 (Expertise immobilière) ; 42133 (Gestion immobilière)</t>
        </is>
      </c>
      <c r="N4278" s="50" t="inlineStr">
        <is>
          <t>NON</t>
        </is>
      </c>
      <c r="O4278" s="45" t="inlineStr"/>
    </row>
    <row r="4279" customFormat="1" s="3">
      <c r="A4279" s="45" t="n"/>
      <c r="B4279" s="46" t="inlineStr">
        <is>
          <t>42178</t>
        </is>
      </c>
      <c r="C4279" s="46">
        <f>LEFT(Tableau1[[#This Row],[Formacode]],3)</f>
        <v/>
      </c>
      <c r="D4279" s="47" t="n">
        <v>41812</v>
      </c>
      <c r="E4279" s="48">
        <f>"RNCP"&amp;D4279</f>
        <v/>
      </c>
      <c r="F4279" s="48" t="inlineStr">
        <is>
          <t>Manager immobilier</t>
        </is>
      </c>
      <c r="G4279" s="49">
        <f>E4279&amp;" - "&amp;F4279</f>
        <v/>
      </c>
      <c r="H4279" s="36" t="inlineStr">
        <is>
          <t>RAS</t>
        </is>
      </c>
      <c r="I4279" s="45" t="inlineStr"/>
      <c r="J4279" s="45" t="inlineStr">
        <is>
          <t>RNCP41812</t>
        </is>
      </c>
      <c r="K4279" s="45" t="inlineStr">
        <is>
          <t>Manager immobilier</t>
        </is>
      </c>
      <c r="L4279" s="45" t="inlineStr">
        <is>
          <t>18/12/2027</t>
        </is>
      </c>
      <c r="M4279" s="45" t="inlineStr">
        <is>
          <t>42158 (Commercialisation immobilière) ; 42178 (Financement immobilier) ; 42137 (Expertise immobilière) ; 42133 (Gestion immobilière) ; 42186 (Promotion immobilière)</t>
        </is>
      </c>
      <c r="N4279" s="50" t="inlineStr">
        <is>
          <t>NON</t>
        </is>
      </c>
      <c r="O4279" s="45" t="inlineStr"/>
    </row>
    <row r="4280" customFormat="1" s="3">
      <c r="A4280" s="63" t="n"/>
      <c r="B4280" s="64" t="inlineStr">
        <is>
          <t>42184</t>
        </is>
      </c>
      <c r="C4280" s="64">
        <f>LEFT(Tableau1[[#This Row],[Formacode]],3)</f>
        <v/>
      </c>
      <c r="D4280" s="65" t="n">
        <v>35590</v>
      </c>
      <c r="E4280" s="66">
        <f>"RNCP"&amp;D4280</f>
        <v/>
      </c>
      <c r="F4280" s="66" t="inlineStr">
        <is>
          <t>Manager de l'habitat social et durable</t>
        </is>
      </c>
      <c r="G4280" s="67">
        <f>E4280&amp;" - "&amp;F4280</f>
        <v/>
      </c>
      <c r="H4280" s="38" t="inlineStr">
        <is>
          <t>Expiré / remplacé</t>
        </is>
      </c>
      <c r="I4280" s="63" t="inlineStr">
        <is>
          <t>Fiche inactive — remplacée par RNCP42170 (Manager de projet immobilier durable)</t>
        </is>
      </c>
      <c r="J4280" s="63" t="inlineStr">
        <is>
          <t>RNCP42170</t>
        </is>
      </c>
      <c r="K4280" s="63" t="inlineStr">
        <is>
          <t>Manager de projet immobilier durable</t>
        </is>
      </c>
      <c r="L4280" s="63" t="inlineStr">
        <is>
          <t>19/05/2026</t>
        </is>
      </c>
      <c r="M4280" s="63" t="inlineStr">
        <is>
          <t>42154 (Immobilier) ; 22250 (Éco-construction) ; 32145 (Management transversal) ; 12554 (Environnement aménagement)</t>
        </is>
      </c>
      <c r="N4280" s="68" t="inlineStr">
        <is>
          <t>NON</t>
        </is>
      </c>
      <c r="O4280" s="63" t="inlineStr"/>
    </row>
    <row r="4281" customFormat="1" s="3">
      <c r="A4281" s="51" t="n"/>
      <c r="B4281" s="52" t="inlineStr">
        <is>
          <t>42184</t>
        </is>
      </c>
      <c r="C4281" s="52">
        <f>LEFT(Tableau1[[#This Row],[Formacode]],3)</f>
        <v/>
      </c>
      <c r="D4281" s="53" t="n">
        <v>36073</v>
      </c>
      <c r="E4281" s="54">
        <f>"RNCP"&amp;D4281</f>
        <v/>
      </c>
      <c r="F4281" s="54" t="inlineStr">
        <is>
          <t>Responsable d’affaires immobilières</t>
        </is>
      </c>
      <c r="G4281" s="55">
        <f>E4281&amp;" - "&amp;F4281</f>
        <v/>
      </c>
      <c r="H4281" s="37" t="inlineStr">
        <is>
          <t>À vérifier</t>
        </is>
      </c>
      <c r="I4281" s="51" t="inlineStr">
        <is>
          <t>Échéance le 15/12/2026 (dans 150 j)</t>
        </is>
      </c>
      <c r="J4281" s="51" t="inlineStr">
        <is>
          <t>RNCP36073</t>
        </is>
      </c>
      <c r="K4281" s="51" t="inlineStr">
        <is>
          <t>Responsable d’affaires immobilières</t>
        </is>
      </c>
      <c r="L4281" s="51" t="inlineStr">
        <is>
          <t>15/12/2026</t>
        </is>
      </c>
      <c r="M4281" s="51" t="inlineStr">
        <is>
          <t>42158 (Commercialisation immobilière) ; 42133 (Gestion immobilière) ; 42184 (Agence immobilière)</t>
        </is>
      </c>
      <c r="N4281" s="62" t="inlineStr">
        <is>
          <t>NON</t>
        </is>
      </c>
      <c r="O4281" s="51" t="inlineStr"/>
    </row>
    <row r="4282" customFormat="1" s="3">
      <c r="A4282" s="63" t="n"/>
      <c r="B4282" s="64" t="inlineStr">
        <is>
          <t>42184</t>
        </is>
      </c>
      <c r="C4282" s="64">
        <f>LEFT(Tableau1[[#This Row],[Formacode]],3)</f>
        <v/>
      </c>
      <c r="D4282" s="65" t="n">
        <v>37435</v>
      </c>
      <c r="E4282" s="66">
        <f>"RNCP"&amp;D4282</f>
        <v/>
      </c>
      <c r="F4282" s="66" t="inlineStr">
        <is>
          <t>Gestionnaire d'affaires immobilières</t>
        </is>
      </c>
      <c r="G4282" s="67">
        <f>E4282&amp;" - "&amp;F4282</f>
        <v/>
      </c>
      <c r="H4282" s="38" t="inlineStr">
        <is>
          <t>Expiré / remplacé</t>
        </is>
      </c>
      <c r="I4282" s="63" t="inlineStr">
        <is>
          <t>Fiche inactive — remplacée par RNCP41800 (Gestionnaire d'affaires immobilières)</t>
        </is>
      </c>
      <c r="J4282" s="63" t="inlineStr">
        <is>
          <t>RNCP41800</t>
        </is>
      </c>
      <c r="K4282" s="63" t="inlineStr">
        <is>
          <t>Gestionnaire d'affaires immobilières</t>
        </is>
      </c>
      <c r="L4282" s="63" t="inlineStr">
        <is>
          <t>27/03/2026</t>
        </is>
      </c>
      <c r="M4282" s="63" t="inlineStr">
        <is>
          <t>13297 (Bail immobilier) ; 42184 (Agence immobilière) ; 42133 (Gestion immobilière)</t>
        </is>
      </c>
      <c r="N4282" s="68" t="inlineStr">
        <is>
          <t>NON</t>
        </is>
      </c>
      <c r="O4282" s="63" t="inlineStr"/>
    </row>
    <row r="4283" customFormat="1" s="3">
      <c r="A4283" s="63" t="n"/>
      <c r="B4283" s="64" t="inlineStr">
        <is>
          <t>42184</t>
        </is>
      </c>
      <c r="C4283" s="64">
        <f>LEFT(Tableau1[[#This Row],[Formacode]],3)</f>
        <v/>
      </c>
      <c r="D4283" s="65" t="n">
        <v>37641</v>
      </c>
      <c r="E4283" s="66">
        <f>"RNCP"&amp;D4283</f>
        <v/>
      </c>
      <c r="F4283" s="66" t="inlineStr">
        <is>
          <t>Chargé d'affaires en immobilier</t>
        </is>
      </c>
      <c r="G4283" s="67">
        <f>E4283&amp;" - "&amp;F4283</f>
        <v/>
      </c>
      <c r="H4283" s="38" t="inlineStr">
        <is>
          <t>Expiré / remplacé</t>
        </is>
      </c>
      <c r="I4283" s="63" t="inlineStr">
        <is>
          <t>Fiche inactive — remplacée par RNCP41735 (Responsable de projets immobiliers)</t>
        </is>
      </c>
      <c r="J4283" s="63" t="inlineStr">
        <is>
          <t>RNCP41735</t>
        </is>
      </c>
      <c r="K4283" s="63" t="inlineStr">
        <is>
          <t>Responsable de projets immobiliers</t>
        </is>
      </c>
      <c r="L4283" s="63" t="inlineStr">
        <is>
          <t>31/05/2026</t>
        </is>
      </c>
      <c r="M4283" s="63" t="inlineStr">
        <is>
          <t>42184 (Agence immobilière) ; 42158 (Commercialisation immobilière) ; 42133 (Gestion immobilière) ; 42186 (Promotion immobilière)</t>
        </is>
      </c>
      <c r="N4283" s="68" t="inlineStr">
        <is>
          <t>NON</t>
        </is>
      </c>
      <c r="O4283" s="63" t="inlineStr"/>
    </row>
    <row r="4284" customFormat="1" s="3">
      <c r="A4284" s="45" t="n"/>
      <c r="B4284" s="46" t="inlineStr">
        <is>
          <t>42184</t>
        </is>
      </c>
      <c r="C4284" s="46">
        <f>LEFT(Tableau1[[#This Row],[Formacode]],3)</f>
        <v/>
      </c>
      <c r="D4284" s="47" t="n">
        <v>38811</v>
      </c>
      <c r="E4284" s="48">
        <f>"RNCP"&amp;D4284</f>
        <v/>
      </c>
      <c r="F4284" s="48" t="inlineStr">
        <is>
          <t>Responsable en gestion et négociation immobilières</t>
        </is>
      </c>
      <c r="G4284" s="49">
        <f>E4284&amp;" - "&amp;F4284</f>
        <v/>
      </c>
      <c r="H4284" s="36" t="inlineStr">
        <is>
          <t>RAS</t>
        </is>
      </c>
      <c r="I4284" s="45" t="inlineStr"/>
      <c r="J4284" s="45" t="inlineStr">
        <is>
          <t>RNCP38811</t>
        </is>
      </c>
      <c r="K4284" s="45" t="inlineStr">
        <is>
          <t>Responsable en gestion et négociation immobilières</t>
        </is>
      </c>
      <c r="L4284" s="45" t="inlineStr">
        <is>
          <t>27/03/2028</t>
        </is>
      </c>
      <c r="M4284" s="45" t="inlineStr">
        <is>
          <t>42158 (Commercialisation immobilière) ; 42121 (Gestion locative) ; 42184 (Agence immobilière)</t>
        </is>
      </c>
      <c r="N4284" s="50" t="inlineStr">
        <is>
          <t>NON</t>
        </is>
      </c>
      <c r="O4284" s="45" t="inlineStr"/>
    </row>
    <row r="4285" customFormat="1" s="3">
      <c r="A4285" s="45" t="n"/>
      <c r="B4285" s="46" t="inlineStr">
        <is>
          <t>42184</t>
        </is>
      </c>
      <c r="C4285" s="46">
        <f>LEFT(Tableau1[[#This Row],[Formacode]],3)</f>
        <v/>
      </c>
      <c r="D4285" s="47" t="n">
        <v>41735</v>
      </c>
      <c r="E4285" s="48">
        <f>"RNCP"&amp;D4285</f>
        <v/>
      </c>
      <c r="F4285" s="48" t="inlineStr">
        <is>
          <t>Responsable de projets immobiliers</t>
        </is>
      </c>
      <c r="G4285" s="49">
        <f>E4285&amp;" - "&amp;F4285</f>
        <v/>
      </c>
      <c r="H4285" s="36" t="inlineStr">
        <is>
          <t>RAS</t>
        </is>
      </c>
      <c r="I4285" s="45" t="inlineStr"/>
      <c r="J4285" s="45" t="inlineStr">
        <is>
          <t>RNCP41735</t>
        </is>
      </c>
      <c r="K4285" s="45" t="inlineStr">
        <is>
          <t>Responsable de projets immobiliers</t>
        </is>
      </c>
      <c r="L4285" s="45" t="inlineStr">
        <is>
          <t>27/11/2028</t>
        </is>
      </c>
      <c r="M4285" s="45" t="inlineStr">
        <is>
          <t>42184 (Agence immobilière) ; 42158 (Commercialisation immobilière) ; 42133 (Gestion immobilière) ; 42186 (Promotion immobilière)</t>
        </is>
      </c>
      <c r="N4285" s="50" t="inlineStr">
        <is>
          <t>NON</t>
        </is>
      </c>
      <c r="O4285" s="45" t="inlineStr"/>
    </row>
    <row r="4286" customFormat="1" s="3">
      <c r="A4286" s="63" t="n"/>
      <c r="B4286" s="64" t="inlineStr">
        <is>
          <t>42186</t>
        </is>
      </c>
      <c r="C4286" s="64">
        <f>LEFT(Tableau1[[#This Row],[Formacode]],3)</f>
        <v/>
      </c>
      <c r="D4286" s="65" t="n">
        <v>35590</v>
      </c>
      <c r="E4286" s="66">
        <f>"RNCP"&amp;D4286</f>
        <v/>
      </c>
      <c r="F4286" s="66" t="inlineStr">
        <is>
          <t>Manager de l'habitat social et durable</t>
        </is>
      </c>
      <c r="G4286" s="67">
        <f>E4286&amp;" - "&amp;F4286</f>
        <v/>
      </c>
      <c r="H4286" s="38" t="inlineStr">
        <is>
          <t>Expiré / remplacé</t>
        </is>
      </c>
      <c r="I4286" s="63" t="inlineStr">
        <is>
          <t>Fiche inactive — remplacée par RNCP42170 (Manager de projet immobilier durable)</t>
        </is>
      </c>
      <c r="J4286" s="63" t="inlineStr">
        <is>
          <t>RNCP42170</t>
        </is>
      </c>
      <c r="K4286" s="63" t="inlineStr">
        <is>
          <t>Manager de projet immobilier durable</t>
        </is>
      </c>
      <c r="L4286" s="63" t="inlineStr">
        <is>
          <t>19/05/2026</t>
        </is>
      </c>
      <c r="M4286" s="63" t="inlineStr">
        <is>
          <t>42154 (Immobilier) ; 22250 (Éco-construction) ; 32145 (Management transversal) ; 12554 (Environnement aménagement)</t>
        </is>
      </c>
      <c r="N4286" s="68" t="inlineStr">
        <is>
          <t>NON</t>
        </is>
      </c>
      <c r="O4286" s="63" t="inlineStr"/>
    </row>
    <row r="4287" customFormat="1" s="3">
      <c r="A4287" s="63" t="n"/>
      <c r="B4287" s="64" t="inlineStr">
        <is>
          <t>42186</t>
        </is>
      </c>
      <c r="C4287" s="64">
        <f>LEFT(Tableau1[[#This Row],[Formacode]],3)</f>
        <v/>
      </c>
      <c r="D4287" s="65" t="n">
        <v>37641</v>
      </c>
      <c r="E4287" s="66">
        <f>"RNCP"&amp;D4287</f>
        <v/>
      </c>
      <c r="F4287" s="66" t="inlineStr">
        <is>
          <t>Chargé d'affaires en immobilier</t>
        </is>
      </c>
      <c r="G4287" s="67">
        <f>E4287&amp;" - "&amp;F4287</f>
        <v/>
      </c>
      <c r="H4287" s="38" t="inlineStr">
        <is>
          <t>Expiré / remplacé</t>
        </is>
      </c>
      <c r="I4287" s="63" t="inlineStr">
        <is>
          <t>Fiche inactive — remplacée par RNCP41735 (Responsable de projets immobiliers)</t>
        </is>
      </c>
      <c r="J4287" s="63" t="inlineStr">
        <is>
          <t>RNCP41735</t>
        </is>
      </c>
      <c r="K4287" s="63" t="inlineStr">
        <is>
          <t>Responsable de projets immobiliers</t>
        </is>
      </c>
      <c r="L4287" s="63" t="inlineStr">
        <is>
          <t>31/05/2026</t>
        </is>
      </c>
      <c r="M4287" s="63" t="inlineStr">
        <is>
          <t>42184 (Agence immobilière) ; 42158 (Commercialisation immobilière) ; 42133 (Gestion immobilière) ; 42186 (Promotion immobilière)</t>
        </is>
      </c>
      <c r="N4287" s="68" t="inlineStr">
        <is>
          <t>NON</t>
        </is>
      </c>
      <c r="O4287" s="63" t="inlineStr"/>
    </row>
    <row r="4288" customFormat="1" s="3">
      <c r="A4288" s="45" t="n"/>
      <c r="B4288" s="46" t="inlineStr">
        <is>
          <t>42186</t>
        </is>
      </c>
      <c r="C4288" s="46">
        <f>LEFT(Tableau1[[#This Row],[Formacode]],3)</f>
        <v/>
      </c>
      <c r="D4288" s="47" t="n">
        <v>40660</v>
      </c>
      <c r="E4288" s="48">
        <f>"RNCP"&amp;D4288</f>
        <v/>
      </c>
      <c r="F4288" s="48" t="inlineStr">
        <is>
          <t>Responsable d' affaires en immobilier</t>
        </is>
      </c>
      <c r="G4288" s="49">
        <f>E4288&amp;" - "&amp;F4288</f>
        <v/>
      </c>
      <c r="H4288" s="36" t="inlineStr">
        <is>
          <t>RAS</t>
        </is>
      </c>
      <c r="I4288" s="45" t="inlineStr"/>
      <c r="J4288" s="45" t="inlineStr">
        <is>
          <t>RNCP40660</t>
        </is>
      </c>
      <c r="K4288" s="45" t="inlineStr">
        <is>
          <t>Responsable d' affaires en immobilier</t>
        </is>
      </c>
      <c r="L4288" s="45" t="inlineStr">
        <is>
          <t>23/05/2030</t>
        </is>
      </c>
      <c r="M4288" s="45" t="inlineStr">
        <is>
          <t>42133 (Gestion immobilière) ; 42158 (Commercialisation immobilière) ; 42186 (Promotion immobilière) ; 42178 (Financement immobilier)</t>
        </is>
      </c>
      <c r="N4288" s="50" t="inlineStr">
        <is>
          <t>NON</t>
        </is>
      </c>
      <c r="O4288" s="45" t="inlineStr"/>
    </row>
    <row r="4289" customFormat="1" s="3">
      <c r="A4289" s="51" t="n"/>
      <c r="B4289" s="52" t="inlineStr">
        <is>
          <t>42186</t>
        </is>
      </c>
      <c r="C4289" s="52">
        <f>LEFT(Tableau1[[#This Row],[Formacode]],3)</f>
        <v/>
      </c>
      <c r="D4289" s="53" t="n">
        <v>40981</v>
      </c>
      <c r="E4289" s="54">
        <f>"RNCP"&amp;D4289</f>
        <v/>
      </c>
      <c r="F4289" s="54" t="inlineStr">
        <is>
          <t>DIPLOVIS - Diplôme supérieur en immobilier</t>
        </is>
      </c>
      <c r="G4289" s="55">
        <f>E4289&amp;" - "&amp;F4289</f>
        <v/>
      </c>
      <c r="H4289" s="37" t="inlineStr">
        <is>
          <t>À vérifier</t>
        </is>
      </c>
      <c r="I4289" s="51" t="inlineStr">
        <is>
          <t>Successeur déjà publié : RNCP41903 (Diplôme supérieur en immobilier) — préparer la bascule de l'offre CPF</t>
        </is>
      </c>
      <c r="J4289" s="51" t="inlineStr">
        <is>
          <t>RNCP41903</t>
        </is>
      </c>
      <c r="K4289" s="51" t="inlineStr">
        <is>
          <t>Diplôme supérieur en immobilier</t>
        </is>
      </c>
      <c r="L4289" s="51" t="inlineStr">
        <is>
          <t>31/08/2027</t>
        </is>
      </c>
      <c r="M4289" s="51" t="inlineStr">
        <is>
          <t>42158 (Commercialisation immobilière) ; 42178 (Financement immobilier) ; 42137 (Expertise immobilière) ; 42133 (Gestion immobilière) ; 42186 (Promotion immobilière)</t>
        </is>
      </c>
      <c r="N4289" s="62" t="inlineStr">
        <is>
          <t>NON</t>
        </is>
      </c>
      <c r="O4289" s="51" t="inlineStr"/>
    </row>
    <row r="4290" customFormat="1" s="3">
      <c r="A4290" s="45" t="n"/>
      <c r="B4290" s="46" t="inlineStr">
        <is>
          <t>42186</t>
        </is>
      </c>
      <c r="C4290" s="46">
        <f>LEFT(Tableau1[[#This Row],[Formacode]],3)</f>
        <v/>
      </c>
      <c r="D4290" s="47" t="n">
        <v>41735</v>
      </c>
      <c r="E4290" s="48">
        <f>"RNCP"&amp;D4290</f>
        <v/>
      </c>
      <c r="F4290" s="48" t="inlineStr">
        <is>
          <t>Responsable de projets immobiliers</t>
        </is>
      </c>
      <c r="G4290" s="49">
        <f>E4290&amp;" - "&amp;F4290</f>
        <v/>
      </c>
      <c r="H4290" s="36" t="inlineStr">
        <is>
          <t>RAS</t>
        </is>
      </c>
      <c r="I4290" s="45" t="inlineStr"/>
      <c r="J4290" s="45" t="inlineStr">
        <is>
          <t>RNCP41735</t>
        </is>
      </c>
      <c r="K4290" s="45" t="inlineStr">
        <is>
          <t>Responsable de projets immobiliers</t>
        </is>
      </c>
      <c r="L4290" s="45" t="inlineStr">
        <is>
          <t>27/11/2028</t>
        </is>
      </c>
      <c r="M4290" s="45" t="inlineStr">
        <is>
          <t>42184 (Agence immobilière) ; 42158 (Commercialisation immobilière) ; 42133 (Gestion immobilière) ; 42186 (Promotion immobilière)</t>
        </is>
      </c>
      <c r="N4290" s="50" t="inlineStr">
        <is>
          <t>NON</t>
        </is>
      </c>
      <c r="O4290" s="45" t="inlineStr"/>
    </row>
    <row r="4291" customFormat="1" s="3">
      <c r="A4291" s="45" t="n"/>
      <c r="B4291" s="46" t="inlineStr">
        <is>
          <t>42186</t>
        </is>
      </c>
      <c r="C4291" s="46">
        <f>LEFT(Tableau1[[#This Row],[Formacode]],3)</f>
        <v/>
      </c>
      <c r="D4291" s="47" t="n">
        <v>41812</v>
      </c>
      <c r="E4291" s="48">
        <f>"RNCP"&amp;D4291</f>
        <v/>
      </c>
      <c r="F4291" s="48" t="inlineStr">
        <is>
          <t>Manager immobilier</t>
        </is>
      </c>
      <c r="G4291" s="49">
        <f>E4291&amp;" - "&amp;F4291</f>
        <v/>
      </c>
      <c r="H4291" s="36" t="inlineStr">
        <is>
          <t>RAS</t>
        </is>
      </c>
      <c r="I4291" s="45" t="inlineStr"/>
      <c r="J4291" s="45" t="inlineStr">
        <is>
          <t>RNCP41812</t>
        </is>
      </c>
      <c r="K4291" s="45" t="inlineStr">
        <is>
          <t>Manager immobilier</t>
        </is>
      </c>
      <c r="L4291" s="45" t="inlineStr">
        <is>
          <t>18/12/2027</t>
        </is>
      </c>
      <c r="M4291" s="45" t="inlineStr">
        <is>
          <t>42158 (Commercialisation immobilière) ; 42178 (Financement immobilier) ; 42137 (Expertise immobilière) ; 42133 (Gestion immobilière) ; 42186 (Promotion immobilière)</t>
        </is>
      </c>
      <c r="N4291" s="50" t="inlineStr">
        <is>
          <t>NON</t>
        </is>
      </c>
      <c r="O4291" s="45" t="inlineStr"/>
    </row>
    <row r="4292" customFormat="1" s="3">
      <c r="A4292" s="45" t="n"/>
      <c r="B4292" s="46" t="inlineStr">
        <is>
          <t>42605</t>
        </is>
      </c>
      <c r="C4292" s="46">
        <f>LEFT(Tableau1[[#This Row],[Formacode]],3)</f>
        <v/>
      </c>
      <c r="D4292" s="47" t="n">
        <v>37890</v>
      </c>
      <c r="E4292" s="48">
        <f>"RNCP"&amp;D4292</f>
        <v/>
      </c>
      <c r="F4292" s="48" t="inlineStr">
        <is>
          <t>Brevet de technicien supérieur - Tourisme</t>
        </is>
      </c>
      <c r="G4292" s="49">
        <f>E4292&amp;" - "&amp;F4292</f>
        <v/>
      </c>
      <c r="H4292" s="36" t="inlineStr">
        <is>
          <t>RAS</t>
        </is>
      </c>
      <c r="I4292" s="45" t="inlineStr"/>
      <c r="J4292" s="45" t="inlineStr">
        <is>
          <t>RNCP37890</t>
        </is>
      </c>
      <c r="K4292" s="45" t="inlineStr">
        <is>
          <t>Tourisme</t>
        </is>
      </c>
      <c r="L4292" s="45" t="inlineStr">
        <is>
          <t>31/08/2028</t>
        </is>
      </c>
      <c r="M4292" s="45" t="inlineStr">
        <is>
          <t>42654 (Tourisme)</t>
        </is>
      </c>
      <c r="N4292" s="50" t="inlineStr">
        <is>
          <t>NON</t>
        </is>
      </c>
      <c r="O4292" s="45" t="inlineStr"/>
    </row>
    <row r="4293" customFormat="1" s="3">
      <c r="A4293" s="45" t="n"/>
      <c r="B4293" s="46" t="inlineStr">
        <is>
          <t>42606</t>
        </is>
      </c>
      <c r="C4293" s="46">
        <f>LEFT(Tableau1[[#This Row],[Formacode]],3)</f>
        <v/>
      </c>
      <c r="D4293" s="47" t="n">
        <v>37890</v>
      </c>
      <c r="E4293" s="48">
        <f>"RNCP"&amp;D4293</f>
        <v/>
      </c>
      <c r="F4293" s="48" t="inlineStr">
        <is>
          <t>Brevet de technicien supérieur - Tourisme</t>
        </is>
      </c>
      <c r="G4293" s="49">
        <f>E4293&amp;" - "&amp;F4293</f>
        <v/>
      </c>
      <c r="H4293" s="36" t="inlineStr">
        <is>
          <t>RAS</t>
        </is>
      </c>
      <c r="I4293" s="45" t="inlineStr"/>
      <c r="J4293" s="45" t="inlineStr">
        <is>
          <t>RNCP37890</t>
        </is>
      </c>
      <c r="K4293" s="45" t="inlineStr">
        <is>
          <t>Tourisme</t>
        </is>
      </c>
      <c r="L4293" s="45" t="inlineStr">
        <is>
          <t>31/08/2028</t>
        </is>
      </c>
      <c r="M4293" s="45" t="inlineStr">
        <is>
          <t>42654 (Tourisme)</t>
        </is>
      </c>
      <c r="N4293" s="50" t="inlineStr">
        <is>
          <t>NON</t>
        </is>
      </c>
      <c r="O4293" s="45" t="inlineStr"/>
    </row>
    <row r="4294" customFormat="1" s="3">
      <c r="A4294" s="45" t="n"/>
      <c r="B4294" s="46" t="inlineStr">
        <is>
          <t>42607</t>
        </is>
      </c>
      <c r="C4294" s="46">
        <f>LEFT(Tableau1[[#This Row],[Formacode]],3)</f>
        <v/>
      </c>
      <c r="D4294" s="47" t="n">
        <v>37890</v>
      </c>
      <c r="E4294" s="48">
        <f>"RNCP"&amp;D4294</f>
        <v/>
      </c>
      <c r="F4294" s="48" t="inlineStr">
        <is>
          <t>Brevet de technicien supérieur - Tourisme</t>
        </is>
      </c>
      <c r="G4294" s="49">
        <f>E4294&amp;" - "&amp;F4294</f>
        <v/>
      </c>
      <c r="H4294" s="36" t="inlineStr">
        <is>
          <t>RAS</t>
        </is>
      </c>
      <c r="I4294" s="45" t="inlineStr"/>
      <c r="J4294" s="45" t="inlineStr">
        <is>
          <t>RNCP37890</t>
        </is>
      </c>
      <c r="K4294" s="45" t="inlineStr">
        <is>
          <t>Tourisme</t>
        </is>
      </c>
      <c r="L4294" s="45" t="inlineStr">
        <is>
          <t>31/08/2028</t>
        </is>
      </c>
      <c r="M4294" s="45" t="inlineStr">
        <is>
          <t>42654 (Tourisme)</t>
        </is>
      </c>
      <c r="N4294" s="50" t="inlineStr">
        <is>
          <t>NON</t>
        </is>
      </c>
      <c r="O4294" s="45" t="inlineStr"/>
    </row>
    <row r="4295" customFormat="1" s="3">
      <c r="A4295" s="45" t="n"/>
      <c r="B4295" s="46" t="inlineStr">
        <is>
          <t>42609</t>
        </is>
      </c>
      <c r="C4295" s="46">
        <f>LEFT(Tableau1[[#This Row],[Formacode]],3)</f>
        <v/>
      </c>
      <c r="D4295" s="47" t="n">
        <v>37890</v>
      </c>
      <c r="E4295" s="48">
        <f>"RNCP"&amp;D4295</f>
        <v/>
      </c>
      <c r="F4295" s="48" t="inlineStr">
        <is>
          <t>Brevet de technicien supérieur - Tourisme</t>
        </is>
      </c>
      <c r="G4295" s="49">
        <f>E4295&amp;" - "&amp;F4295</f>
        <v/>
      </c>
      <c r="H4295" s="36" t="inlineStr">
        <is>
          <t>RAS</t>
        </is>
      </c>
      <c r="I4295" s="45" t="inlineStr"/>
      <c r="J4295" s="45" t="inlineStr">
        <is>
          <t>RNCP37890</t>
        </is>
      </c>
      <c r="K4295" s="45" t="inlineStr">
        <is>
          <t>Tourisme</t>
        </is>
      </c>
      <c r="L4295" s="45" t="inlineStr">
        <is>
          <t>31/08/2028</t>
        </is>
      </c>
      <c r="M4295" s="45" t="inlineStr">
        <is>
          <t>42654 (Tourisme)</t>
        </is>
      </c>
      <c r="N4295" s="50" t="inlineStr">
        <is>
          <t>NON</t>
        </is>
      </c>
      <c r="O4295" s="45" t="inlineStr"/>
    </row>
    <row r="4296" customFormat="1" s="3">
      <c r="A4296" s="45" t="n"/>
      <c r="B4296" s="46" t="inlineStr">
        <is>
          <t>42610</t>
        </is>
      </c>
      <c r="C4296" s="46">
        <f>LEFT(Tableau1[[#This Row],[Formacode]],3)</f>
        <v/>
      </c>
      <c r="D4296" s="47" t="n">
        <v>37890</v>
      </c>
      <c r="E4296" s="48">
        <f>"RNCP"&amp;D4296</f>
        <v/>
      </c>
      <c r="F4296" s="48" t="inlineStr">
        <is>
          <t>Brevet de technicien supérieur - Tourisme</t>
        </is>
      </c>
      <c r="G4296" s="49">
        <f>E4296&amp;" - "&amp;F4296</f>
        <v/>
      </c>
      <c r="H4296" s="36" t="inlineStr">
        <is>
          <t>RAS</t>
        </is>
      </c>
      <c r="I4296" s="45" t="inlineStr"/>
      <c r="J4296" s="45" t="inlineStr">
        <is>
          <t>RNCP37890</t>
        </is>
      </c>
      <c r="K4296" s="45" t="inlineStr">
        <is>
          <t>Tourisme</t>
        </is>
      </c>
      <c r="L4296" s="45" t="inlineStr">
        <is>
          <t>31/08/2028</t>
        </is>
      </c>
      <c r="M4296" s="45" t="inlineStr">
        <is>
          <t>42654 (Tourisme)</t>
        </is>
      </c>
      <c r="N4296" s="50" t="inlineStr">
        <is>
          <t>NON</t>
        </is>
      </c>
      <c r="O4296" s="45" t="inlineStr"/>
    </row>
    <row r="4297" customFormat="1" s="3">
      <c r="A4297" s="45" t="n"/>
      <c r="B4297" s="46" t="inlineStr">
        <is>
          <t>42612</t>
        </is>
      </c>
      <c r="C4297" s="46">
        <f>LEFT(Tableau1[[#This Row],[Formacode]],3)</f>
        <v/>
      </c>
      <c r="D4297" s="47" t="n">
        <v>37890</v>
      </c>
      <c r="E4297" s="48">
        <f>"RNCP"&amp;D4297</f>
        <v/>
      </c>
      <c r="F4297" s="48" t="inlineStr">
        <is>
          <t>Brevet de technicien supérieur - Tourisme</t>
        </is>
      </c>
      <c r="G4297" s="49">
        <f>E4297&amp;" - "&amp;F4297</f>
        <v/>
      </c>
      <c r="H4297" s="36" t="inlineStr">
        <is>
          <t>RAS</t>
        </is>
      </c>
      <c r="I4297" s="45" t="inlineStr"/>
      <c r="J4297" s="45" t="inlineStr">
        <is>
          <t>RNCP37890</t>
        </is>
      </c>
      <c r="K4297" s="45" t="inlineStr">
        <is>
          <t>Tourisme</t>
        </is>
      </c>
      <c r="L4297" s="45" t="inlineStr">
        <is>
          <t>31/08/2028</t>
        </is>
      </c>
      <c r="M4297" s="45" t="inlineStr">
        <is>
          <t>42654 (Tourisme)</t>
        </is>
      </c>
      <c r="N4297" s="50" t="inlineStr">
        <is>
          <t>NON</t>
        </is>
      </c>
      <c r="O4297" s="45" t="inlineStr"/>
    </row>
    <row r="4298" customFormat="1" s="3">
      <c r="A4298" s="45" t="n"/>
      <c r="B4298" s="46" t="inlineStr">
        <is>
          <t>42613</t>
        </is>
      </c>
      <c r="C4298" s="46">
        <f>LEFT(Tableau1[[#This Row],[Formacode]],3)</f>
        <v/>
      </c>
      <c r="D4298" s="47" t="n">
        <v>37890</v>
      </c>
      <c r="E4298" s="48">
        <f>"RNCP"&amp;D4298</f>
        <v/>
      </c>
      <c r="F4298" s="48" t="inlineStr">
        <is>
          <t>Brevet de technicien supérieur - Tourisme</t>
        </is>
      </c>
      <c r="G4298" s="49">
        <f>E4298&amp;" - "&amp;F4298</f>
        <v/>
      </c>
      <c r="H4298" s="36" t="inlineStr">
        <is>
          <t>RAS</t>
        </is>
      </c>
      <c r="I4298" s="45" t="inlineStr"/>
      <c r="J4298" s="45" t="inlineStr">
        <is>
          <t>RNCP37890</t>
        </is>
      </c>
      <c r="K4298" s="45" t="inlineStr">
        <is>
          <t>Tourisme</t>
        </is>
      </c>
      <c r="L4298" s="45" t="inlineStr">
        <is>
          <t>31/08/2028</t>
        </is>
      </c>
      <c r="M4298" s="45" t="inlineStr">
        <is>
          <t>42654 (Tourisme)</t>
        </is>
      </c>
      <c r="N4298" s="50" t="inlineStr">
        <is>
          <t>NON</t>
        </is>
      </c>
      <c r="O4298" s="45" t="inlineStr"/>
    </row>
    <row r="4299" customFormat="1" s="3">
      <c r="A4299" s="45" t="n"/>
      <c r="B4299" s="46" t="inlineStr">
        <is>
          <t>42623</t>
        </is>
      </c>
      <c r="C4299" s="46">
        <f>LEFT(Tableau1[[#This Row],[Formacode]],3)</f>
        <v/>
      </c>
      <c r="D4299" s="47" t="n">
        <v>37890</v>
      </c>
      <c r="E4299" s="48">
        <f>"RNCP"&amp;D4299</f>
        <v/>
      </c>
      <c r="F4299" s="48" t="inlineStr">
        <is>
          <t>Brevet de technicien supérieur - Tourisme</t>
        </is>
      </c>
      <c r="G4299" s="49">
        <f>E4299&amp;" - "&amp;F4299</f>
        <v/>
      </c>
      <c r="H4299" s="36" t="inlineStr">
        <is>
          <t>RAS</t>
        </is>
      </c>
      <c r="I4299" s="45" t="inlineStr"/>
      <c r="J4299" s="45" t="inlineStr">
        <is>
          <t>RNCP37890</t>
        </is>
      </c>
      <c r="K4299" s="45" t="inlineStr">
        <is>
          <t>Tourisme</t>
        </is>
      </c>
      <c r="L4299" s="45" t="inlineStr">
        <is>
          <t>31/08/2028</t>
        </is>
      </c>
      <c r="M4299" s="45" t="inlineStr">
        <is>
          <t>42654 (Tourisme)</t>
        </is>
      </c>
      <c r="N4299" s="50" t="inlineStr">
        <is>
          <t>NON</t>
        </is>
      </c>
      <c r="O4299" s="45" t="inlineStr"/>
    </row>
    <row r="4300" customFormat="1" s="3">
      <c r="A4300" s="45" t="n"/>
      <c r="B4300" s="46" t="inlineStr">
        <is>
          <t>42623</t>
        </is>
      </c>
      <c r="C4300" s="46">
        <f>LEFT(Tableau1[[#This Row],[Formacode]],3)</f>
        <v/>
      </c>
      <c r="D4300" s="47" t="n">
        <v>38548</v>
      </c>
      <c r="E4300" s="48">
        <f>"RNCP"&amp;D4300</f>
        <v/>
      </c>
      <c r="F4300" s="48" t="inlineStr">
        <is>
          <t>TP - Guide accompagnateur touristique</t>
        </is>
      </c>
      <c r="G4300" s="49">
        <f>E4300&amp;" - "&amp;F4300</f>
        <v/>
      </c>
      <c r="H4300" s="36" t="inlineStr">
        <is>
          <t>RAS</t>
        </is>
      </c>
      <c r="I4300" s="45" t="inlineStr"/>
      <c r="J4300" s="45" t="inlineStr">
        <is>
          <t>RNCP38548</t>
        </is>
      </c>
      <c r="K4300" s="45" t="inlineStr">
        <is>
          <t>Guide accompagnateur touristique</t>
        </is>
      </c>
      <c r="L4300" s="45" t="inlineStr">
        <is>
          <t>29/05/2029</t>
        </is>
      </c>
      <c r="M4300" s="45" t="inlineStr">
        <is>
          <t>42611 (Guide accompagnateur)</t>
        </is>
      </c>
      <c r="N4300" s="50" t="inlineStr">
        <is>
          <t>NON</t>
        </is>
      </c>
      <c r="O4300" s="45" t="inlineStr"/>
    </row>
    <row r="4301" customFormat="1" s="3">
      <c r="A4301" s="45" t="n"/>
      <c r="B4301" s="46" t="inlineStr">
        <is>
          <t>42623</t>
        </is>
      </c>
      <c r="C4301" s="46">
        <f>LEFT(Tableau1[[#This Row],[Formacode]],3)</f>
        <v/>
      </c>
      <c r="D4301" s="47" t="n">
        <v>38662</v>
      </c>
      <c r="E4301" s="48">
        <f>"RNCP"&amp;D4301</f>
        <v/>
      </c>
      <c r="F4301" s="48" t="inlineStr">
        <is>
          <t>TP - Animateur loisir tourisme</t>
        </is>
      </c>
      <c r="G4301" s="49">
        <f>E4301&amp;" - "&amp;F4301</f>
        <v/>
      </c>
      <c r="H4301" s="36" t="inlineStr">
        <is>
          <t>RAS</t>
        </is>
      </c>
      <c r="I4301" s="45" t="inlineStr"/>
      <c r="J4301" s="45" t="inlineStr">
        <is>
          <t>RNCP38662</t>
        </is>
      </c>
      <c r="K4301" s="45" t="inlineStr">
        <is>
          <t>Animateur loisir tourisme</t>
        </is>
      </c>
      <c r="L4301" s="45" t="inlineStr">
        <is>
          <t>29/05/2029</t>
        </is>
      </c>
      <c r="M4301" s="45" t="inlineStr">
        <is>
          <t>42623 (Animation tourisme)</t>
        </is>
      </c>
      <c r="N4301" s="50" t="inlineStr">
        <is>
          <t>NON</t>
        </is>
      </c>
      <c r="O4301" s="45" t="inlineStr"/>
    </row>
    <row r="4302" customFormat="1" s="3">
      <c r="A4302" s="45" t="n"/>
      <c r="B4302" s="46" t="inlineStr">
        <is>
          <t>42623</t>
        </is>
      </c>
      <c r="C4302" s="46">
        <f>LEFT(Tableau1[[#This Row],[Formacode]],3)</f>
        <v/>
      </c>
      <c r="D4302" s="47" t="n">
        <v>39672</v>
      </c>
      <c r="E4302" s="48">
        <f>"RNCP"&amp;D4302</f>
        <v/>
      </c>
      <c r="F4302" s="48" t="inlineStr">
        <is>
          <t>CS - Tourisme vert, accueil et animation en milieu rural</t>
        </is>
      </c>
      <c r="G4302" s="49">
        <f>E4302&amp;" - "&amp;F4302</f>
        <v/>
      </c>
      <c r="H4302" s="36" t="inlineStr">
        <is>
          <t>RAS</t>
        </is>
      </c>
      <c r="I4302" s="45" t="inlineStr"/>
      <c r="J4302" s="45" t="inlineStr">
        <is>
          <t>RNCP39672</t>
        </is>
      </c>
      <c r="K4302" s="45" t="inlineStr">
        <is>
          <t>Tourisme vert, accueil et animation en milieu rural</t>
        </is>
      </c>
      <c r="L4302" s="45" t="inlineStr">
        <is>
          <t>31/12/2029</t>
        </is>
      </c>
      <c r="M4302" s="45" t="inlineStr">
        <is>
          <t>42693 (Tourisme rural) ; 42623 (Animation tourisme)</t>
        </is>
      </c>
      <c r="N4302" s="50" t="inlineStr">
        <is>
          <t>NON</t>
        </is>
      </c>
      <c r="O4302" s="45" t="inlineStr"/>
    </row>
    <row r="4303" customFormat="1" s="3">
      <c r="A4303" s="45" t="n"/>
      <c r="B4303" s="46" t="inlineStr">
        <is>
          <t>42625</t>
        </is>
      </c>
      <c r="C4303" s="46">
        <f>LEFT(Tableau1[[#This Row],[Formacode]],3)</f>
        <v/>
      </c>
      <c r="D4303" s="47" t="n">
        <v>37890</v>
      </c>
      <c r="E4303" s="48">
        <f>"RNCP"&amp;D4303</f>
        <v/>
      </c>
      <c r="F4303" s="48" t="inlineStr">
        <is>
          <t>Brevet de technicien supérieur - Tourisme</t>
        </is>
      </c>
      <c r="G4303" s="49">
        <f>E4303&amp;" - "&amp;F4303</f>
        <v/>
      </c>
      <c r="H4303" s="36" t="inlineStr">
        <is>
          <t>RAS</t>
        </is>
      </c>
      <c r="I4303" s="45" t="inlineStr"/>
      <c r="J4303" s="45" t="inlineStr">
        <is>
          <t>RNCP37890</t>
        </is>
      </c>
      <c r="K4303" s="45" t="inlineStr">
        <is>
          <t>Tourisme</t>
        </is>
      </c>
      <c r="L4303" s="45" t="inlineStr">
        <is>
          <t>31/08/2028</t>
        </is>
      </c>
      <c r="M4303" s="45" t="inlineStr">
        <is>
          <t>42654 (Tourisme)</t>
        </is>
      </c>
      <c r="N4303" s="50" t="inlineStr">
        <is>
          <t>NON</t>
        </is>
      </c>
      <c r="O4303" s="45" t="inlineStr"/>
    </row>
    <row r="4304" customFormat="1" s="3">
      <c r="A4304" s="63" t="n"/>
      <c r="B4304" s="64" t="inlineStr">
        <is>
          <t>42627</t>
        </is>
      </c>
      <c r="C4304" s="64">
        <f>LEFT(Tableau1[[#This Row],[Formacode]],3)</f>
        <v/>
      </c>
      <c r="D4304" s="65" t="n">
        <v>35527</v>
      </c>
      <c r="E4304" s="66">
        <f>"RNCP"&amp;D4304</f>
        <v/>
      </c>
      <c r="F4304" s="66" t="inlineStr">
        <is>
          <t>TP - Responsable d'établissement touristique</t>
        </is>
      </c>
      <c r="G4304" s="67">
        <f>E4304&amp;" - "&amp;F4304</f>
        <v/>
      </c>
      <c r="H4304" s="38" t="inlineStr">
        <is>
          <t>Expiré / remplacé</t>
        </is>
      </c>
      <c r="I4304" s="63" t="inlineStr">
        <is>
          <t>Fiche inactive — remplacée par RNCP42020 (Responsable d'établissement touristique)</t>
        </is>
      </c>
      <c r="J4304" s="63" t="inlineStr">
        <is>
          <t>RNCP42020</t>
        </is>
      </c>
      <c r="K4304" s="63" t="inlineStr">
        <is>
          <t>Responsable d'établissement touristique</t>
        </is>
      </c>
      <c r="L4304" s="63" t="inlineStr">
        <is>
          <t>24/05/2026</t>
        </is>
      </c>
      <c r="M4304" s="63" t="inlineStr">
        <is>
          <t>42627 (Gestion entreprise touristique) ; 42766 (Gestion hôtel restaurant bar)</t>
        </is>
      </c>
      <c r="N4304" s="68" t="inlineStr">
        <is>
          <t>NON</t>
        </is>
      </c>
      <c r="O4304" s="63" t="inlineStr"/>
    </row>
    <row r="4305" customFormat="1" s="3">
      <c r="A4305" s="63" t="n"/>
      <c r="B4305" s="64" t="inlineStr">
        <is>
          <t>42627</t>
        </is>
      </c>
      <c r="C4305" s="64">
        <f>LEFT(Tableau1[[#This Row],[Formacode]],3)</f>
        <v/>
      </c>
      <c r="D4305" s="65" t="n">
        <v>37433</v>
      </c>
      <c r="E4305" s="66">
        <f>"RNCP"&amp;D4305</f>
        <v/>
      </c>
      <c r="F4305" s="66" t="inlineStr">
        <is>
          <t>Manager dans le secteur hôtelier international</t>
        </is>
      </c>
      <c r="G4305" s="67">
        <f>E4305&amp;" - "&amp;F4305</f>
        <v/>
      </c>
      <c r="H4305" s="38" t="inlineStr">
        <is>
          <t>Expiré / remplacé</t>
        </is>
      </c>
      <c r="I4305" s="63" t="inlineStr">
        <is>
          <t>Fiche inactive — remplacée par RNCP41888 (Manager dans le secteur hôtelier international)</t>
        </is>
      </c>
      <c r="J4305" s="63" t="inlineStr">
        <is>
          <t>RNCP41888</t>
        </is>
      </c>
      <c r="K4305" s="63" t="inlineStr">
        <is>
          <t>Manager dans le secteur hôtelier international</t>
        </is>
      </c>
      <c r="L4305" s="63" t="inlineStr">
        <is>
          <t>27/03/2026</t>
        </is>
      </c>
      <c r="M4305" s="63" t="inlineStr">
        <is>
          <t>42766 (Gestion hôtel restaurant bar) ; 42627 (Gestion entreprise touristique)</t>
        </is>
      </c>
      <c r="N4305" s="68" t="inlineStr">
        <is>
          <t>NON</t>
        </is>
      </c>
      <c r="O4305" s="63" t="inlineStr"/>
    </row>
    <row r="4306" customFormat="1" s="3">
      <c r="A4306" s="51" t="n"/>
      <c r="B4306" s="52" t="inlineStr">
        <is>
          <t>42627</t>
        </is>
      </c>
      <c r="C4306" s="52">
        <f>LEFT(Tableau1[[#This Row],[Formacode]],3)</f>
        <v/>
      </c>
      <c r="D4306" s="53" t="n">
        <v>37719</v>
      </c>
      <c r="E4306" s="54">
        <f>"RNCP"&amp;D4306</f>
        <v/>
      </c>
      <c r="F4306" s="54" t="inlineStr">
        <is>
          <t>DIPLOVIS - Diplôme en management international de l'hôtellerie et de la restauration</t>
        </is>
      </c>
      <c r="G4306" s="55">
        <f>E4306&amp;" - "&amp;F4306</f>
        <v/>
      </c>
      <c r="H4306" s="37" t="inlineStr">
        <is>
          <t>À vérifier</t>
        </is>
      </c>
      <c r="I4306" s="51" t="inlineStr">
        <is>
          <t>Échéance le 31/08/2026 (dans 44 j)</t>
        </is>
      </c>
      <c r="J4306" s="51" t="inlineStr">
        <is>
          <t>RNCP37719</t>
        </is>
      </c>
      <c r="K4306" s="51" t="inlineStr">
        <is>
          <t>Diplôme en management international de l'hôtellerie et de la restauration</t>
        </is>
      </c>
      <c r="L4306" s="51" t="inlineStr">
        <is>
          <t>31/08/2026</t>
        </is>
      </c>
      <c r="M4306" s="51" t="inlineStr">
        <is>
          <t>32054 (Gestion des organisations) ; 42754 (Hôtellerie restauration) ; 42627 (Gestion entreprise touristique)</t>
        </is>
      </c>
      <c r="N4306" s="62" t="inlineStr">
        <is>
          <t>NON</t>
        </is>
      </c>
      <c r="O4306" s="51" t="inlineStr"/>
    </row>
    <row r="4307" customFormat="1" s="3">
      <c r="A4307" s="45" t="n"/>
      <c r="B4307" s="46" t="inlineStr">
        <is>
          <t>42627</t>
        </is>
      </c>
      <c r="C4307" s="46">
        <f>LEFT(Tableau1[[#This Row],[Formacode]],3)</f>
        <v/>
      </c>
      <c r="D4307" s="47" t="n">
        <v>37890</v>
      </c>
      <c r="E4307" s="48">
        <f>"RNCP"&amp;D4307</f>
        <v/>
      </c>
      <c r="F4307" s="48" t="inlineStr">
        <is>
          <t>Brevet de technicien supérieur - Tourisme</t>
        </is>
      </c>
      <c r="G4307" s="49">
        <f>E4307&amp;" - "&amp;F4307</f>
        <v/>
      </c>
      <c r="H4307" s="36" t="inlineStr">
        <is>
          <t>RAS</t>
        </is>
      </c>
      <c r="I4307" s="45" t="inlineStr"/>
      <c r="J4307" s="45" t="inlineStr">
        <is>
          <t>RNCP37890</t>
        </is>
      </c>
      <c r="K4307" s="45" t="inlineStr">
        <is>
          <t>Tourisme</t>
        </is>
      </c>
      <c r="L4307" s="45" t="inlineStr">
        <is>
          <t>31/08/2028</t>
        </is>
      </c>
      <c r="M4307" s="45" t="inlineStr">
        <is>
          <t>42654 (Tourisme)</t>
        </is>
      </c>
      <c r="N4307" s="50" t="inlineStr">
        <is>
          <t>NON</t>
        </is>
      </c>
      <c r="O4307" s="45" t="inlineStr"/>
    </row>
    <row r="4308" customFormat="1" s="3">
      <c r="A4308" s="45" t="n"/>
      <c r="B4308" s="46" t="inlineStr">
        <is>
          <t>42627</t>
        </is>
      </c>
      <c r="C4308" s="46">
        <f>LEFT(Tableau1[[#This Row],[Formacode]],3)</f>
        <v/>
      </c>
      <c r="D4308" s="47" t="n">
        <v>39248</v>
      </c>
      <c r="E4308" s="48">
        <f>"RNCP"&amp;D4308</f>
        <v/>
      </c>
      <c r="F4308" s="48" t="inlineStr">
        <is>
          <t>Manager en hôtellerie-restauration</t>
        </is>
      </c>
      <c r="G4308" s="49">
        <f>E4308&amp;" - "&amp;F4308</f>
        <v/>
      </c>
      <c r="H4308" s="36" t="inlineStr">
        <is>
          <t>RAS</t>
        </is>
      </c>
      <c r="I4308" s="45" t="inlineStr"/>
      <c r="J4308" s="45" t="inlineStr">
        <is>
          <t>RNCP39248</t>
        </is>
      </c>
      <c r="K4308" s="45" t="inlineStr">
        <is>
          <t>Manager en hôtellerie-restauration</t>
        </is>
      </c>
      <c r="L4308" s="45" t="inlineStr">
        <is>
          <t>27/06/2027</t>
        </is>
      </c>
      <c r="M4308" s="45" t="inlineStr">
        <is>
          <t>42766 (Gestion hôtel restaurant bar) ; 42627 (Gestion entreprise touristique) ; 42776 (Hôtellerie)</t>
        </is>
      </c>
      <c r="N4308" s="50" t="inlineStr">
        <is>
          <t>NON</t>
        </is>
      </c>
      <c r="O4308" s="45" t="inlineStr"/>
    </row>
    <row r="4309" customFormat="1" s="3">
      <c r="A4309" s="45" t="n"/>
      <c r="B4309" s="46" t="inlineStr">
        <is>
          <t>42627</t>
        </is>
      </c>
      <c r="C4309" s="46">
        <f>LEFT(Tableau1[[#This Row],[Formacode]],3)</f>
        <v/>
      </c>
      <c r="D4309" s="47" t="n">
        <v>41315</v>
      </c>
      <c r="E4309" s="48">
        <f>"RNCP"&amp;D4309</f>
        <v/>
      </c>
      <c r="F4309" s="48" t="inlineStr">
        <is>
          <t>Manager des entreprises de l'hôtellerie, tourisme et de la restauration</t>
        </is>
      </c>
      <c r="G4309" s="49">
        <f>E4309&amp;" - "&amp;F4309</f>
        <v/>
      </c>
      <c r="H4309" s="36" t="inlineStr">
        <is>
          <t>RAS</t>
        </is>
      </c>
      <c r="I4309" s="45" t="inlineStr"/>
      <c r="J4309" s="45" t="inlineStr">
        <is>
          <t>RNCP41315</t>
        </is>
      </c>
      <c r="K4309" s="45" t="inlineStr">
        <is>
          <t>Manager des entreprises de l'hôtellerie, tourisme et de la restauration</t>
        </is>
      </c>
      <c r="L4309" s="45" t="inlineStr">
        <is>
          <t>24/09/2028</t>
        </is>
      </c>
      <c r="M4309" s="45" t="inlineStr">
        <is>
          <t>42766 (Gestion hôtel restaurant bar) ; 42627 (Gestion entreprise touristique) ; 42729 (Gestion restauration collective) ; 42776 (Hôtellerie)</t>
        </is>
      </c>
      <c r="N4309" s="50" t="inlineStr">
        <is>
          <t>NON</t>
        </is>
      </c>
      <c r="O4309" s="45" t="inlineStr"/>
    </row>
    <row r="4310" customFormat="1" s="3">
      <c r="A4310" s="45" t="n"/>
      <c r="B4310" s="46" t="inlineStr">
        <is>
          <t>42632</t>
        </is>
      </c>
      <c r="C4310" s="46">
        <f>LEFT(Tableau1[[#This Row],[Formacode]],3)</f>
        <v/>
      </c>
      <c r="D4310" s="47" t="n">
        <v>37890</v>
      </c>
      <c r="E4310" s="48">
        <f>"RNCP"&amp;D4310</f>
        <v/>
      </c>
      <c r="F4310" s="48" t="inlineStr">
        <is>
          <t>Brevet de technicien supérieur - Tourisme</t>
        </is>
      </c>
      <c r="G4310" s="49">
        <f>E4310&amp;" - "&amp;F4310</f>
        <v/>
      </c>
      <c r="H4310" s="36" t="inlineStr">
        <is>
          <t>RAS</t>
        </is>
      </c>
      <c r="I4310" s="45" t="inlineStr"/>
      <c r="J4310" s="45" t="inlineStr">
        <is>
          <t>RNCP37890</t>
        </is>
      </c>
      <c r="K4310" s="45" t="inlineStr">
        <is>
          <t>Tourisme</t>
        </is>
      </c>
      <c r="L4310" s="45" t="inlineStr">
        <is>
          <t>31/08/2028</t>
        </is>
      </c>
      <c r="M4310" s="45" t="inlineStr">
        <is>
          <t>42654 (Tourisme)</t>
        </is>
      </c>
      <c r="N4310" s="50" t="inlineStr">
        <is>
          <t>NON</t>
        </is>
      </c>
      <c r="O4310" s="45" t="inlineStr"/>
    </row>
    <row r="4311" customFormat="1" s="3">
      <c r="A4311" s="51" t="n"/>
      <c r="B4311" s="52" t="inlineStr">
        <is>
          <t>42638</t>
        </is>
      </c>
      <c r="C4311" s="52">
        <f>LEFT(Tableau1[[#This Row],[Formacode]],3)</f>
        <v/>
      </c>
      <c r="D4311" s="53" t="n">
        <v>35706</v>
      </c>
      <c r="E4311" s="54">
        <f>"RNCP"&amp;D4311</f>
        <v/>
      </c>
      <c r="F4311" s="54" t="inlineStr">
        <is>
          <t>TP - Responsable de développement touristique territorial</t>
        </is>
      </c>
      <c r="G4311" s="55">
        <f>E4311&amp;" - "&amp;F4311</f>
        <v/>
      </c>
      <c r="H4311" s="37" t="inlineStr">
        <is>
          <t>À vérifier</t>
        </is>
      </c>
      <c r="I4311" s="51" t="inlineStr">
        <is>
          <t>Successeur déjà publié : RNCP42430 (Chargé de développement touristique territorial) — préparer la bascule de l'offre CPF | Échéance le 02/08/2026 (dans 15 j)</t>
        </is>
      </c>
      <c r="J4311" s="51" t="inlineStr">
        <is>
          <t>RNCP42430</t>
        </is>
      </c>
      <c r="K4311" s="51" t="inlineStr">
        <is>
          <t>Chargé de développement touristique territorial</t>
        </is>
      </c>
      <c r="L4311" s="51" t="inlineStr">
        <is>
          <t>02/08/2026</t>
        </is>
      </c>
      <c r="M4311" s="51" t="inlineStr">
        <is>
          <t>12516 (Aménagement touristique) ; 42638 (Développement touristique)</t>
        </is>
      </c>
      <c r="N4311" s="62" t="inlineStr">
        <is>
          <t>NON</t>
        </is>
      </c>
      <c r="O4311" s="51" t="inlineStr"/>
    </row>
    <row r="4312" customFormat="1" s="3">
      <c r="A4312" s="45" t="n"/>
      <c r="B4312" s="46" t="inlineStr">
        <is>
          <t>42638</t>
        </is>
      </c>
      <c r="C4312" s="46">
        <f>LEFT(Tableau1[[#This Row],[Formacode]],3)</f>
        <v/>
      </c>
      <c r="D4312" s="47" t="n">
        <v>37890</v>
      </c>
      <c r="E4312" s="48">
        <f>"RNCP"&amp;D4312</f>
        <v/>
      </c>
      <c r="F4312" s="48" t="inlineStr">
        <is>
          <t>Brevet de technicien supérieur - Tourisme</t>
        </is>
      </c>
      <c r="G4312" s="49">
        <f>E4312&amp;" - "&amp;F4312</f>
        <v/>
      </c>
      <c r="H4312" s="36" t="inlineStr">
        <is>
          <t>RAS</t>
        </is>
      </c>
      <c r="I4312" s="45" t="inlineStr"/>
      <c r="J4312" s="45" t="inlineStr">
        <is>
          <t>RNCP37890</t>
        </is>
      </c>
      <c r="K4312" s="45" t="inlineStr">
        <is>
          <t>Tourisme</t>
        </is>
      </c>
      <c r="L4312" s="45" t="inlineStr">
        <is>
          <t>31/08/2028</t>
        </is>
      </c>
      <c r="M4312" s="45" t="inlineStr">
        <is>
          <t>42654 (Tourisme)</t>
        </is>
      </c>
      <c r="N4312" s="50" t="inlineStr">
        <is>
          <t>NON</t>
        </is>
      </c>
      <c r="O4312" s="45" t="inlineStr"/>
    </row>
    <row r="4313" customFormat="1" s="3">
      <c r="A4313" s="45" t="n"/>
      <c r="B4313" s="46" t="inlineStr">
        <is>
          <t>42641</t>
        </is>
      </c>
      <c r="C4313" s="46">
        <f>LEFT(Tableau1[[#This Row],[Formacode]],3)</f>
        <v/>
      </c>
      <c r="D4313" s="47" t="n">
        <v>37890</v>
      </c>
      <c r="E4313" s="48">
        <f>"RNCP"&amp;D4313</f>
        <v/>
      </c>
      <c r="F4313" s="48" t="inlineStr">
        <is>
          <t>Brevet de technicien supérieur - Tourisme</t>
        </is>
      </c>
      <c r="G4313" s="49">
        <f>E4313&amp;" - "&amp;F4313</f>
        <v/>
      </c>
      <c r="H4313" s="36" t="inlineStr">
        <is>
          <t>RAS</t>
        </is>
      </c>
      <c r="I4313" s="45" t="inlineStr"/>
      <c r="J4313" s="45" t="inlineStr">
        <is>
          <t>RNCP37890</t>
        </is>
      </c>
      <c r="K4313" s="45" t="inlineStr">
        <is>
          <t>Tourisme</t>
        </is>
      </c>
      <c r="L4313" s="45" t="inlineStr">
        <is>
          <t>31/08/2028</t>
        </is>
      </c>
      <c r="M4313" s="45" t="inlineStr">
        <is>
          <t>42654 (Tourisme)</t>
        </is>
      </c>
      <c r="N4313" s="50" t="inlineStr">
        <is>
          <t>NON</t>
        </is>
      </c>
      <c r="O4313" s="45" t="inlineStr"/>
    </row>
    <row r="4314" customFormat="1" s="3">
      <c r="A4314" s="45" t="n"/>
      <c r="B4314" s="46" t="inlineStr">
        <is>
          <t>42648</t>
        </is>
      </c>
      <c r="C4314" s="46">
        <f>LEFT(Tableau1[[#This Row],[Formacode]],3)</f>
        <v/>
      </c>
      <c r="D4314" s="47" t="n">
        <v>37295</v>
      </c>
      <c r="E4314" s="48">
        <f>"RNCP"&amp;D4314</f>
        <v/>
      </c>
      <c r="F4314" s="48" t="inlineStr">
        <is>
          <t>TP - Conseiller vendeur en voyages</t>
        </is>
      </c>
      <c r="G4314" s="49">
        <f>E4314&amp;" - "&amp;F4314</f>
        <v/>
      </c>
      <c r="H4314" s="36" t="inlineStr">
        <is>
          <t>RAS</t>
        </is>
      </c>
      <c r="I4314" s="45" t="inlineStr"/>
      <c r="J4314" s="45" t="inlineStr">
        <is>
          <t>RNCP37295</t>
        </is>
      </c>
      <c r="K4314" s="45" t="inlineStr">
        <is>
          <t>Conseiller vendeur en voyages</t>
        </is>
      </c>
      <c r="L4314" s="45" t="inlineStr">
        <is>
          <t>12/05/2028</t>
        </is>
      </c>
      <c r="M4314" s="45" t="inlineStr">
        <is>
          <t>42668 (Commercialisation produit touristique) ; 42677 (Agence voyages) ; 42648 (Conception produit touristique) ; 42686 (Accueil tourisme)</t>
        </is>
      </c>
      <c r="N4314" s="50" t="inlineStr">
        <is>
          <t>NON</t>
        </is>
      </c>
      <c r="O4314" s="45" t="inlineStr"/>
    </row>
    <row r="4315" customFormat="1" s="3">
      <c r="A4315" s="45" t="n"/>
      <c r="B4315" s="46" t="inlineStr">
        <is>
          <t>42648</t>
        </is>
      </c>
      <c r="C4315" s="46">
        <f>LEFT(Tableau1[[#This Row],[Formacode]],3)</f>
        <v/>
      </c>
      <c r="D4315" s="47" t="n">
        <v>37890</v>
      </c>
      <c r="E4315" s="48">
        <f>"RNCP"&amp;D4315</f>
        <v/>
      </c>
      <c r="F4315" s="48" t="inlineStr">
        <is>
          <t>Brevet de technicien supérieur - Tourisme</t>
        </is>
      </c>
      <c r="G4315" s="49">
        <f>E4315&amp;" - "&amp;F4315</f>
        <v/>
      </c>
      <c r="H4315" s="36" t="inlineStr">
        <is>
          <t>RAS</t>
        </is>
      </c>
      <c r="I4315" s="45" t="inlineStr"/>
      <c r="J4315" s="45" t="inlineStr">
        <is>
          <t>RNCP37890</t>
        </is>
      </c>
      <c r="K4315" s="45" t="inlineStr">
        <is>
          <t>Tourisme</t>
        </is>
      </c>
      <c r="L4315" s="45" t="inlineStr">
        <is>
          <t>31/08/2028</t>
        </is>
      </c>
      <c r="M4315" s="45" t="inlineStr">
        <is>
          <t>42654 (Tourisme)</t>
        </is>
      </c>
      <c r="N4315" s="50" t="inlineStr">
        <is>
          <t>NON</t>
        </is>
      </c>
      <c r="O4315" s="45" t="inlineStr"/>
    </row>
    <row r="4316" customFormat="1" s="3">
      <c r="A4316" s="45" t="n"/>
      <c r="B4316" s="46" t="inlineStr">
        <is>
          <t>42651</t>
        </is>
      </c>
      <c r="C4316" s="46">
        <f>LEFT(Tableau1[[#This Row],[Formacode]],3)</f>
        <v/>
      </c>
      <c r="D4316" s="47" t="n">
        <v>37890</v>
      </c>
      <c r="E4316" s="48">
        <f>"RNCP"&amp;D4316</f>
        <v/>
      </c>
      <c r="F4316" s="48" t="inlineStr">
        <is>
          <t>Brevet de technicien supérieur - Tourisme</t>
        </is>
      </c>
      <c r="G4316" s="49">
        <f>E4316&amp;" - "&amp;F4316</f>
        <v/>
      </c>
      <c r="H4316" s="36" t="inlineStr">
        <is>
          <t>RAS</t>
        </is>
      </c>
      <c r="I4316" s="45" t="inlineStr"/>
      <c r="J4316" s="45" t="inlineStr">
        <is>
          <t>RNCP37890</t>
        </is>
      </c>
      <c r="K4316" s="45" t="inlineStr">
        <is>
          <t>Tourisme</t>
        </is>
      </c>
      <c r="L4316" s="45" t="inlineStr">
        <is>
          <t>31/08/2028</t>
        </is>
      </c>
      <c r="M4316" s="45" t="inlineStr">
        <is>
          <t>42654 (Tourisme)</t>
        </is>
      </c>
      <c r="N4316" s="50" t="inlineStr">
        <is>
          <t>NON</t>
        </is>
      </c>
      <c r="O4316" s="45" t="inlineStr"/>
    </row>
    <row r="4317" customFormat="1" s="3">
      <c r="A4317" s="45" t="n"/>
      <c r="B4317" s="46" t="inlineStr">
        <is>
          <t>42659</t>
        </is>
      </c>
      <c r="C4317" s="46">
        <f>LEFT(Tableau1[[#This Row],[Formacode]],3)</f>
        <v/>
      </c>
      <c r="D4317" s="47" t="n">
        <v>37890</v>
      </c>
      <c r="E4317" s="48">
        <f>"RNCP"&amp;D4317</f>
        <v/>
      </c>
      <c r="F4317" s="48" t="inlineStr">
        <is>
          <t>Brevet de technicien supérieur - Tourisme</t>
        </is>
      </c>
      <c r="G4317" s="49">
        <f>E4317&amp;" - "&amp;F4317</f>
        <v/>
      </c>
      <c r="H4317" s="36" t="inlineStr">
        <is>
          <t>RAS</t>
        </is>
      </c>
      <c r="I4317" s="45" t="inlineStr"/>
      <c r="J4317" s="45" t="inlineStr">
        <is>
          <t>RNCP37890</t>
        </is>
      </c>
      <c r="K4317" s="45" t="inlineStr">
        <is>
          <t>Tourisme</t>
        </is>
      </c>
      <c r="L4317" s="45" t="inlineStr">
        <is>
          <t>31/08/2028</t>
        </is>
      </c>
      <c r="M4317" s="45" t="inlineStr">
        <is>
          <t>42654 (Tourisme)</t>
        </is>
      </c>
      <c r="N4317" s="50" t="inlineStr">
        <is>
          <t>NON</t>
        </is>
      </c>
      <c r="O4317" s="45" t="inlineStr"/>
    </row>
    <row r="4318" customFormat="1" s="3">
      <c r="A4318" s="45" t="n"/>
      <c r="B4318" s="46" t="inlineStr">
        <is>
          <t>42668</t>
        </is>
      </c>
      <c r="C4318" s="46">
        <f>LEFT(Tableau1[[#This Row],[Formacode]],3)</f>
        <v/>
      </c>
      <c r="D4318" s="47" t="n">
        <v>37295</v>
      </c>
      <c r="E4318" s="48">
        <f>"RNCP"&amp;D4318</f>
        <v/>
      </c>
      <c r="F4318" s="48" t="inlineStr">
        <is>
          <t>TP - Conseiller vendeur en voyages</t>
        </is>
      </c>
      <c r="G4318" s="49">
        <f>E4318&amp;" - "&amp;F4318</f>
        <v/>
      </c>
      <c r="H4318" s="36" t="inlineStr">
        <is>
          <t>RAS</t>
        </is>
      </c>
      <c r="I4318" s="45" t="inlineStr"/>
      <c r="J4318" s="45" t="inlineStr">
        <is>
          <t>RNCP37295</t>
        </is>
      </c>
      <c r="K4318" s="45" t="inlineStr">
        <is>
          <t>Conseiller vendeur en voyages</t>
        </is>
      </c>
      <c r="L4318" s="45" t="inlineStr">
        <is>
          <t>12/05/2028</t>
        </is>
      </c>
      <c r="M4318" s="45" t="inlineStr">
        <is>
          <t>42668 (Commercialisation produit touristique) ; 42677 (Agence voyages) ; 42648 (Conception produit touristique) ; 42686 (Accueil tourisme)</t>
        </is>
      </c>
      <c r="N4318" s="50" t="inlineStr">
        <is>
          <t>NON</t>
        </is>
      </c>
      <c r="O4318" s="45" t="inlineStr"/>
    </row>
    <row r="4319" customFormat="1" s="3">
      <c r="A4319" s="45" t="n"/>
      <c r="B4319" s="46" t="inlineStr">
        <is>
          <t>42668</t>
        </is>
      </c>
      <c r="C4319" s="46">
        <f>LEFT(Tableau1[[#This Row],[Formacode]],3)</f>
        <v/>
      </c>
      <c r="D4319" s="47" t="n">
        <v>37890</v>
      </c>
      <c r="E4319" s="48">
        <f>"RNCP"&amp;D4319</f>
        <v/>
      </c>
      <c r="F4319" s="48" t="inlineStr">
        <is>
          <t>Brevet de technicien supérieur - Tourisme</t>
        </is>
      </c>
      <c r="G4319" s="49">
        <f>E4319&amp;" - "&amp;F4319</f>
        <v/>
      </c>
      <c r="H4319" s="36" t="inlineStr">
        <is>
          <t>RAS</t>
        </is>
      </c>
      <c r="I4319" s="45" t="inlineStr"/>
      <c r="J4319" s="45" t="inlineStr">
        <is>
          <t>RNCP37890</t>
        </is>
      </c>
      <c r="K4319" s="45" t="inlineStr">
        <is>
          <t>Tourisme</t>
        </is>
      </c>
      <c r="L4319" s="45" t="inlineStr">
        <is>
          <t>31/08/2028</t>
        </is>
      </c>
      <c r="M4319" s="45" t="inlineStr">
        <is>
          <t>42654 (Tourisme)</t>
        </is>
      </c>
      <c r="N4319" s="50" t="inlineStr">
        <is>
          <t>NON</t>
        </is>
      </c>
      <c r="O4319" s="45" t="inlineStr"/>
    </row>
    <row r="4320" customFormat="1" s="3">
      <c r="A4320" s="45" t="n"/>
      <c r="B4320" s="46" t="inlineStr">
        <is>
          <t>42671</t>
        </is>
      </c>
      <c r="C4320" s="46">
        <f>LEFT(Tableau1[[#This Row],[Formacode]],3)</f>
        <v/>
      </c>
      <c r="D4320" s="47" t="n">
        <v>37890</v>
      </c>
      <c r="E4320" s="48">
        <f>"RNCP"&amp;D4320</f>
        <v/>
      </c>
      <c r="F4320" s="48" t="inlineStr">
        <is>
          <t>Brevet de technicien supérieur - Tourisme</t>
        </is>
      </c>
      <c r="G4320" s="49">
        <f>E4320&amp;" - "&amp;F4320</f>
        <v/>
      </c>
      <c r="H4320" s="36" t="inlineStr">
        <is>
          <t>RAS</t>
        </is>
      </c>
      <c r="I4320" s="45" t="inlineStr"/>
      <c r="J4320" s="45" t="inlineStr">
        <is>
          <t>RNCP37890</t>
        </is>
      </c>
      <c r="K4320" s="45" t="inlineStr">
        <is>
          <t>Tourisme</t>
        </is>
      </c>
      <c r="L4320" s="45" t="inlineStr">
        <is>
          <t>31/08/2028</t>
        </is>
      </c>
      <c r="M4320" s="45" t="inlineStr">
        <is>
          <t>42654 (Tourisme)</t>
        </is>
      </c>
      <c r="N4320" s="50" t="inlineStr">
        <is>
          <t>NON</t>
        </is>
      </c>
      <c r="O4320" s="45" t="inlineStr"/>
    </row>
    <row r="4321" customFormat="1" s="3">
      <c r="A4321" s="45" t="n"/>
      <c r="B4321" s="46" t="inlineStr">
        <is>
          <t>42677</t>
        </is>
      </c>
      <c r="C4321" s="46">
        <f>LEFT(Tableau1[[#This Row],[Formacode]],3)</f>
        <v/>
      </c>
      <c r="D4321" s="47" t="n">
        <v>37295</v>
      </c>
      <c r="E4321" s="48">
        <f>"RNCP"&amp;D4321</f>
        <v/>
      </c>
      <c r="F4321" s="48" t="inlineStr">
        <is>
          <t>TP - Conseiller vendeur en voyages</t>
        </is>
      </c>
      <c r="G4321" s="49">
        <f>E4321&amp;" - "&amp;F4321</f>
        <v/>
      </c>
      <c r="H4321" s="36" t="inlineStr">
        <is>
          <t>RAS</t>
        </is>
      </c>
      <c r="I4321" s="45" t="inlineStr"/>
      <c r="J4321" s="45" t="inlineStr">
        <is>
          <t>RNCP37295</t>
        </is>
      </c>
      <c r="K4321" s="45" t="inlineStr">
        <is>
          <t>Conseiller vendeur en voyages</t>
        </is>
      </c>
      <c r="L4321" s="45" t="inlineStr">
        <is>
          <t>12/05/2028</t>
        </is>
      </c>
      <c r="M4321" s="45" t="inlineStr">
        <is>
          <t>42668 (Commercialisation produit touristique) ; 42677 (Agence voyages) ; 42648 (Conception produit touristique) ; 42686 (Accueil tourisme)</t>
        </is>
      </c>
      <c r="N4321" s="50" t="inlineStr">
        <is>
          <t>NON</t>
        </is>
      </c>
      <c r="O4321" s="45" t="inlineStr"/>
    </row>
    <row r="4322" customFormat="1" s="3">
      <c r="A4322" s="45" t="n"/>
      <c r="B4322" s="46" t="inlineStr">
        <is>
          <t>42677</t>
        </is>
      </c>
      <c r="C4322" s="46">
        <f>LEFT(Tableau1[[#This Row],[Formacode]],3)</f>
        <v/>
      </c>
      <c r="D4322" s="47" t="n">
        <v>37890</v>
      </c>
      <c r="E4322" s="48">
        <f>"RNCP"&amp;D4322</f>
        <v/>
      </c>
      <c r="F4322" s="48" t="inlineStr">
        <is>
          <t>Brevet de technicien supérieur - Tourisme</t>
        </is>
      </c>
      <c r="G4322" s="49">
        <f>E4322&amp;" - "&amp;F4322</f>
        <v/>
      </c>
      <c r="H4322" s="36" t="inlineStr">
        <is>
          <t>RAS</t>
        </is>
      </c>
      <c r="I4322" s="45" t="inlineStr"/>
      <c r="J4322" s="45" t="inlineStr">
        <is>
          <t>RNCP37890</t>
        </is>
      </c>
      <c r="K4322" s="45" t="inlineStr">
        <is>
          <t>Tourisme</t>
        </is>
      </c>
      <c r="L4322" s="45" t="inlineStr">
        <is>
          <t>31/08/2028</t>
        </is>
      </c>
      <c r="M4322" s="45" t="inlineStr">
        <is>
          <t>42654 (Tourisme)</t>
        </is>
      </c>
      <c r="N4322" s="50" t="inlineStr">
        <is>
          <t>NON</t>
        </is>
      </c>
      <c r="O4322" s="45" t="inlineStr"/>
    </row>
    <row r="4323" customFormat="1" s="3">
      <c r="A4323" s="45" t="n"/>
      <c r="B4323" s="46" t="inlineStr">
        <is>
          <t>42681</t>
        </is>
      </c>
      <c r="C4323" s="46">
        <f>LEFT(Tableau1[[#This Row],[Formacode]],3)</f>
        <v/>
      </c>
      <c r="D4323" s="47" t="n">
        <v>37890</v>
      </c>
      <c r="E4323" s="48">
        <f>"RNCP"&amp;D4323</f>
        <v/>
      </c>
      <c r="F4323" s="48" t="inlineStr">
        <is>
          <t>Brevet de technicien supérieur - Tourisme</t>
        </is>
      </c>
      <c r="G4323" s="49">
        <f>E4323&amp;" - "&amp;F4323</f>
        <v/>
      </c>
      <c r="H4323" s="36" t="inlineStr">
        <is>
          <t>RAS</t>
        </is>
      </c>
      <c r="I4323" s="45" t="inlineStr"/>
      <c r="J4323" s="45" t="inlineStr">
        <is>
          <t>RNCP37890</t>
        </is>
      </c>
      <c r="K4323" s="45" t="inlineStr">
        <is>
          <t>Tourisme</t>
        </is>
      </c>
      <c r="L4323" s="45" t="inlineStr">
        <is>
          <t>31/08/2028</t>
        </is>
      </c>
      <c r="M4323" s="45" t="inlineStr">
        <is>
          <t>42654 (Tourisme)</t>
        </is>
      </c>
      <c r="N4323" s="50" t="inlineStr">
        <is>
          <t>NON</t>
        </is>
      </c>
      <c r="O4323" s="45" t="inlineStr"/>
    </row>
    <row r="4324" customFormat="1" s="3">
      <c r="A4324" s="45" t="n"/>
      <c r="B4324" s="46" t="inlineStr">
        <is>
          <t>42686</t>
        </is>
      </c>
      <c r="C4324" s="46">
        <f>LEFT(Tableau1[[#This Row],[Formacode]],3)</f>
        <v/>
      </c>
      <c r="D4324" s="47" t="n">
        <v>37295</v>
      </c>
      <c r="E4324" s="48">
        <f>"RNCP"&amp;D4324</f>
        <v/>
      </c>
      <c r="F4324" s="48" t="inlineStr">
        <is>
          <t>TP - Conseiller vendeur en voyages</t>
        </is>
      </c>
      <c r="G4324" s="49">
        <f>E4324&amp;" - "&amp;F4324</f>
        <v/>
      </c>
      <c r="H4324" s="36" t="inlineStr">
        <is>
          <t>RAS</t>
        </is>
      </c>
      <c r="I4324" s="45" t="inlineStr"/>
      <c r="J4324" s="45" t="inlineStr">
        <is>
          <t>RNCP37295</t>
        </is>
      </c>
      <c r="K4324" s="45" t="inlineStr">
        <is>
          <t>Conseiller vendeur en voyages</t>
        </is>
      </c>
      <c r="L4324" s="45" t="inlineStr">
        <is>
          <t>12/05/2028</t>
        </is>
      </c>
      <c r="M4324" s="45" t="inlineStr">
        <is>
          <t>42668 (Commercialisation produit touristique) ; 42677 (Agence voyages) ; 42648 (Conception produit touristique) ; 42686 (Accueil tourisme)</t>
        </is>
      </c>
      <c r="N4324" s="50" t="inlineStr">
        <is>
          <t>NON</t>
        </is>
      </c>
      <c r="O4324" s="45" t="inlineStr"/>
    </row>
    <row r="4325" customFormat="1" s="3">
      <c r="A4325" s="45" t="n"/>
      <c r="B4325" s="46" t="inlineStr">
        <is>
          <t>42686</t>
        </is>
      </c>
      <c r="C4325" s="46">
        <f>LEFT(Tableau1[[#This Row],[Formacode]],3)</f>
        <v/>
      </c>
      <c r="D4325" s="47" t="n">
        <v>37396</v>
      </c>
      <c r="E4325" s="48">
        <f>"RNCP"&amp;D4325</f>
        <v/>
      </c>
      <c r="F4325" s="48" t="inlineStr">
        <is>
          <t>TP - Chargé d'accueil touristique et de loisirs</t>
        </is>
      </c>
      <c r="G4325" s="49">
        <f>E4325&amp;" - "&amp;F4325</f>
        <v/>
      </c>
      <c r="H4325" s="36" t="inlineStr">
        <is>
          <t>RAS</t>
        </is>
      </c>
      <c r="I4325" s="45" t="inlineStr"/>
      <c r="J4325" s="45" t="inlineStr">
        <is>
          <t>RNCP37396</t>
        </is>
      </c>
      <c r="K4325" s="45" t="inlineStr">
        <is>
          <t>Chargé d'accueil touristique et de loisirs</t>
        </is>
      </c>
      <c r="L4325" s="45" t="inlineStr">
        <is>
          <t>01/08/2028</t>
        </is>
      </c>
      <c r="M4325" s="45" t="inlineStr">
        <is>
          <t>42686 (Accueil tourisme)</t>
        </is>
      </c>
      <c r="N4325" s="50" t="inlineStr">
        <is>
          <t>NON</t>
        </is>
      </c>
      <c r="O4325" s="45" t="inlineStr"/>
    </row>
    <row r="4326" customFormat="1" s="3">
      <c r="A4326" s="45" t="n"/>
      <c r="B4326" s="46" t="inlineStr">
        <is>
          <t>42686</t>
        </is>
      </c>
      <c r="C4326" s="46">
        <f>LEFT(Tableau1[[#This Row],[Formacode]],3)</f>
        <v/>
      </c>
      <c r="D4326" s="47" t="n">
        <v>37890</v>
      </c>
      <c r="E4326" s="48">
        <f>"RNCP"&amp;D4326</f>
        <v/>
      </c>
      <c r="F4326" s="48" t="inlineStr">
        <is>
          <t>Brevet de technicien supérieur - Tourisme</t>
        </is>
      </c>
      <c r="G4326" s="49">
        <f>E4326&amp;" - "&amp;F4326</f>
        <v/>
      </c>
      <c r="H4326" s="36" t="inlineStr">
        <is>
          <t>RAS</t>
        </is>
      </c>
      <c r="I4326" s="45" t="inlineStr"/>
      <c r="J4326" s="45" t="inlineStr">
        <is>
          <t>RNCP37890</t>
        </is>
      </c>
      <c r="K4326" s="45" t="inlineStr">
        <is>
          <t>Tourisme</t>
        </is>
      </c>
      <c r="L4326" s="45" t="inlineStr">
        <is>
          <t>31/08/2028</t>
        </is>
      </c>
      <c r="M4326" s="45" t="inlineStr">
        <is>
          <t>42654 (Tourisme)</t>
        </is>
      </c>
      <c r="N4326" s="50" t="inlineStr">
        <is>
          <t>NON</t>
        </is>
      </c>
      <c r="O4326" s="45" t="inlineStr"/>
    </row>
    <row r="4327" customFormat="1" s="3">
      <c r="A4327" s="45" t="n"/>
      <c r="B4327" s="46" t="inlineStr">
        <is>
          <t>42686</t>
        </is>
      </c>
      <c r="C4327" s="46">
        <f>LEFT(Tableau1[[#This Row],[Formacode]],3)</f>
        <v/>
      </c>
      <c r="D4327" s="47" t="n">
        <v>37921</v>
      </c>
      <c r="E4327" s="48">
        <f>"RNCP"&amp;D4327</f>
        <v/>
      </c>
      <c r="F4327" s="48" t="inlineStr">
        <is>
          <t>Certificat de spécialisation - Accueil-  réception</t>
        </is>
      </c>
      <c r="G4327" s="49">
        <f>E4327&amp;" - "&amp;F4327</f>
        <v/>
      </c>
      <c r="H4327" s="36" t="inlineStr">
        <is>
          <t>RAS</t>
        </is>
      </c>
      <c r="I4327" s="45" t="inlineStr"/>
      <c r="J4327" s="45" t="inlineStr">
        <is>
          <t>RNCP37921</t>
        </is>
      </c>
      <c r="K4327" s="45" t="inlineStr">
        <is>
          <t>Accueil- réception</t>
        </is>
      </c>
      <c r="L4327" s="45" t="inlineStr">
        <is>
          <t>31/08/2028</t>
        </is>
      </c>
      <c r="M4327" s="45" t="inlineStr">
        <is>
          <t>42788 (Service réception) ; 42686 (Accueil tourisme)</t>
        </is>
      </c>
      <c r="N4327" s="50" t="inlineStr">
        <is>
          <t>NON</t>
        </is>
      </c>
      <c r="O4327" s="45" t="inlineStr"/>
    </row>
    <row r="4328" customFormat="1" s="3">
      <c r="A4328" s="45" t="n"/>
      <c r="B4328" s="46" t="inlineStr">
        <is>
          <t>42686</t>
        </is>
      </c>
      <c r="C4328" s="46">
        <f>LEFT(Tableau1[[#This Row],[Formacode]],3)</f>
        <v/>
      </c>
      <c r="D4328" s="47" t="n">
        <v>38870</v>
      </c>
      <c r="E4328" s="48">
        <f>"RNCP"&amp;D4328</f>
        <v/>
      </c>
      <c r="F4328" s="48" t="inlineStr">
        <is>
          <t>TP - Réceptionniste hôtellerie et hôtellerie de plein air</t>
        </is>
      </c>
      <c r="G4328" s="49">
        <f>E4328&amp;" - "&amp;F4328</f>
        <v/>
      </c>
      <c r="H4328" s="36" t="inlineStr">
        <is>
          <t>RAS</t>
        </is>
      </c>
      <c r="I4328" s="45" t="inlineStr"/>
      <c r="J4328" s="45" t="inlineStr">
        <is>
          <t>RNCP38870</t>
        </is>
      </c>
      <c r="K4328" s="45" t="inlineStr">
        <is>
          <t>Réceptionniste hôtellerie et hôtellerie de plein air</t>
        </is>
      </c>
      <c r="L4328" s="45" t="inlineStr">
        <is>
          <t>02/08/2029</t>
        </is>
      </c>
      <c r="M4328" s="45" t="inlineStr">
        <is>
          <t>42686 (Accueil tourisme) ; 42776 (Hôtellerie)</t>
        </is>
      </c>
      <c r="N4328" s="50" t="inlineStr">
        <is>
          <t>NON</t>
        </is>
      </c>
      <c r="O4328" s="45" t="inlineStr"/>
    </row>
    <row r="4329" customFormat="1" s="3">
      <c r="A4329" s="45" t="n"/>
      <c r="B4329" s="46" t="inlineStr">
        <is>
          <t>42691</t>
        </is>
      </c>
      <c r="C4329" s="46">
        <f>LEFT(Tableau1[[#This Row],[Formacode]],3)</f>
        <v/>
      </c>
      <c r="D4329" s="47" t="n">
        <v>37890</v>
      </c>
      <c r="E4329" s="48">
        <f>"RNCP"&amp;D4329</f>
        <v/>
      </c>
      <c r="F4329" s="48" t="inlineStr">
        <is>
          <t>Brevet de technicien supérieur - Tourisme</t>
        </is>
      </c>
      <c r="G4329" s="49">
        <f>E4329&amp;" - "&amp;F4329</f>
        <v/>
      </c>
      <c r="H4329" s="36" t="inlineStr">
        <is>
          <t>RAS</t>
        </is>
      </c>
      <c r="I4329" s="45" t="inlineStr"/>
      <c r="J4329" s="45" t="inlineStr">
        <is>
          <t>RNCP37890</t>
        </is>
      </c>
      <c r="K4329" s="45" t="inlineStr">
        <is>
          <t>Tourisme</t>
        </is>
      </c>
      <c r="L4329" s="45" t="inlineStr">
        <is>
          <t>31/08/2028</t>
        </is>
      </c>
      <c r="M4329" s="45" t="inlineStr">
        <is>
          <t>42654 (Tourisme)</t>
        </is>
      </c>
      <c r="N4329" s="50" t="inlineStr">
        <is>
          <t>NON</t>
        </is>
      </c>
      <c r="O4329" s="45" t="inlineStr"/>
    </row>
    <row r="4330" customFormat="1" s="3">
      <c r="A4330" s="45" t="n"/>
      <c r="B4330" s="46" t="inlineStr">
        <is>
          <t>42691</t>
        </is>
      </c>
      <c r="C4330" s="46">
        <f>LEFT(Tableau1[[#This Row],[Formacode]],3)</f>
        <v/>
      </c>
      <c r="D4330" s="47" t="n">
        <v>40798</v>
      </c>
      <c r="E4330" s="48">
        <f>"RNCP"&amp;D4330</f>
        <v/>
      </c>
      <c r="F4330" s="48" t="inlineStr">
        <is>
          <t>Certificat de spécialisation - Traction équine et conduite d'attelages</t>
        </is>
      </c>
      <c r="G4330" s="49">
        <f>E4330&amp;" - "&amp;F4330</f>
        <v/>
      </c>
      <c r="H4330" s="36" t="inlineStr">
        <is>
          <t>RAS</t>
        </is>
      </c>
      <c r="I4330" s="45" t="inlineStr"/>
      <c r="J4330" s="45" t="inlineStr">
        <is>
          <t>RNCP40798</t>
        </is>
      </c>
      <c r="K4330" s="45" t="inlineStr">
        <is>
          <t>Traction équine et conduite d'attelages</t>
        </is>
      </c>
      <c r="L4330" s="45" t="inlineStr">
        <is>
          <t>31/12/2030</t>
        </is>
      </c>
      <c r="M4330" s="45" t="inlineStr">
        <is>
          <t>42691 (Tourisme équestre) ; 15479 (Sport équestre) ; 21053 (Viticulture) ; 21042 (Exploitation forestière) ; 31854 (Transport)</t>
        </is>
      </c>
      <c r="N4330" s="50" t="inlineStr">
        <is>
          <t>NON</t>
        </is>
      </c>
      <c r="O4330" s="45" t="inlineStr"/>
    </row>
    <row r="4331" customFormat="1" s="3">
      <c r="A4331" s="45" t="n"/>
      <c r="B4331" s="46" t="inlineStr">
        <is>
          <t>42691</t>
        </is>
      </c>
      <c r="C4331" s="46">
        <f>LEFT(Tableau1[[#This Row],[Formacode]],3)</f>
        <v/>
      </c>
      <c r="D4331" s="47" t="n">
        <v>41095</v>
      </c>
      <c r="E4331" s="48">
        <f>"RNCP"&amp;D4331</f>
        <v/>
      </c>
      <c r="F4331" s="48" t="inlineStr">
        <is>
          <t>CQP Organisateur de randonnées équestres</t>
        </is>
      </c>
      <c r="G4331" s="49">
        <f>E4331&amp;" - "&amp;F4331</f>
        <v/>
      </c>
      <c r="H4331" s="36" t="inlineStr">
        <is>
          <t>RAS</t>
        </is>
      </c>
      <c r="I4331" s="45" t="inlineStr"/>
      <c r="J4331" s="45" t="inlineStr">
        <is>
          <t>RNCP41095</t>
        </is>
      </c>
      <c r="K4331" s="45" t="inlineStr">
        <is>
          <t>CQP Organisateur de randonnées équestres</t>
        </is>
      </c>
      <c r="L4331" s="45" t="inlineStr">
        <is>
          <t>18/07/2028</t>
        </is>
      </c>
      <c r="M4331" s="45" t="inlineStr">
        <is>
          <t>42691 (Tourisme équestre) ; 15436 (Éducation sportive) ; 21099 (Soin cheval) ; 15479 (Sport équestre)</t>
        </is>
      </c>
      <c r="N4331" s="50" t="inlineStr">
        <is>
          <t>NON</t>
        </is>
      </c>
      <c r="O4331" s="45" t="inlineStr"/>
    </row>
    <row r="4332" customFormat="1" s="3">
      <c r="A4332" s="45" t="n"/>
      <c r="B4332" s="46" t="inlineStr">
        <is>
          <t>42692</t>
        </is>
      </c>
      <c r="C4332" s="46">
        <f>LEFT(Tableau1[[#This Row],[Formacode]],3)</f>
        <v/>
      </c>
      <c r="D4332" s="47" t="n">
        <v>37890</v>
      </c>
      <c r="E4332" s="48">
        <f>"RNCP"&amp;D4332</f>
        <v/>
      </c>
      <c r="F4332" s="48" t="inlineStr">
        <is>
          <t>Brevet de technicien supérieur - Tourisme</t>
        </is>
      </c>
      <c r="G4332" s="49">
        <f>E4332&amp;" - "&amp;F4332</f>
        <v/>
      </c>
      <c r="H4332" s="36" t="inlineStr">
        <is>
          <t>RAS</t>
        </is>
      </c>
      <c r="I4332" s="45" t="inlineStr"/>
      <c r="J4332" s="45" t="inlineStr">
        <is>
          <t>RNCP37890</t>
        </is>
      </c>
      <c r="K4332" s="45" t="inlineStr">
        <is>
          <t>Tourisme</t>
        </is>
      </c>
      <c r="L4332" s="45" t="inlineStr">
        <is>
          <t>31/08/2028</t>
        </is>
      </c>
      <c r="M4332" s="45" t="inlineStr">
        <is>
          <t>42654 (Tourisme)</t>
        </is>
      </c>
      <c r="N4332" s="50" t="inlineStr">
        <is>
          <t>NON</t>
        </is>
      </c>
      <c r="O4332" s="45" t="inlineStr"/>
    </row>
    <row r="4333" customFormat="1" s="3">
      <c r="A4333" s="45" t="n"/>
      <c r="B4333" s="46" t="inlineStr">
        <is>
          <t>42693</t>
        </is>
      </c>
      <c r="C4333" s="46">
        <f>LEFT(Tableau1[[#This Row],[Formacode]],3)</f>
        <v/>
      </c>
      <c r="D4333" s="47" t="n">
        <v>37890</v>
      </c>
      <c r="E4333" s="48">
        <f>"RNCP"&amp;D4333</f>
        <v/>
      </c>
      <c r="F4333" s="48" t="inlineStr">
        <is>
          <t>Brevet de technicien supérieur - Tourisme</t>
        </is>
      </c>
      <c r="G4333" s="49">
        <f>E4333&amp;" - "&amp;F4333</f>
        <v/>
      </c>
      <c r="H4333" s="36" t="inlineStr">
        <is>
          <t>RAS</t>
        </is>
      </c>
      <c r="I4333" s="45" t="inlineStr"/>
      <c r="J4333" s="45" t="inlineStr">
        <is>
          <t>RNCP37890</t>
        </is>
      </c>
      <c r="K4333" s="45" t="inlineStr">
        <is>
          <t>Tourisme</t>
        </is>
      </c>
      <c r="L4333" s="45" t="inlineStr">
        <is>
          <t>31/08/2028</t>
        </is>
      </c>
      <c r="M4333" s="45" t="inlineStr">
        <is>
          <t>42654 (Tourisme)</t>
        </is>
      </c>
      <c r="N4333" s="50" t="inlineStr">
        <is>
          <t>NON</t>
        </is>
      </c>
      <c r="O4333" s="45" t="inlineStr"/>
    </row>
    <row r="4334" customFormat="1" s="3">
      <c r="A4334" s="45" t="n"/>
      <c r="B4334" s="46" t="inlineStr">
        <is>
          <t>42693</t>
        </is>
      </c>
      <c r="C4334" s="46">
        <f>LEFT(Tableau1[[#This Row],[Formacode]],3)</f>
        <v/>
      </c>
      <c r="D4334" s="47" t="n">
        <v>39672</v>
      </c>
      <c r="E4334" s="48">
        <f>"RNCP"&amp;D4334</f>
        <v/>
      </c>
      <c r="F4334" s="48" t="inlineStr">
        <is>
          <t>CS - Tourisme vert, accueil et animation en milieu rural</t>
        </is>
      </c>
      <c r="G4334" s="49">
        <f>E4334&amp;" - "&amp;F4334</f>
        <v/>
      </c>
      <c r="H4334" s="36" t="inlineStr">
        <is>
          <t>RAS</t>
        </is>
      </c>
      <c r="I4334" s="45" t="inlineStr"/>
      <c r="J4334" s="45" t="inlineStr">
        <is>
          <t>RNCP39672</t>
        </is>
      </c>
      <c r="K4334" s="45" t="inlineStr">
        <is>
          <t>Tourisme vert, accueil et animation en milieu rural</t>
        </is>
      </c>
      <c r="L4334" s="45" t="inlineStr">
        <is>
          <t>31/12/2029</t>
        </is>
      </c>
      <c r="M4334" s="45" t="inlineStr">
        <is>
          <t>42693 (Tourisme rural) ; 42623 (Animation tourisme)</t>
        </is>
      </c>
      <c r="N4334" s="50" t="inlineStr">
        <is>
          <t>NON</t>
        </is>
      </c>
      <c r="O4334" s="45" t="inlineStr"/>
    </row>
    <row r="4335" customFormat="1" s="3">
      <c r="A4335" s="45" t="n"/>
      <c r="B4335" s="46" t="inlineStr">
        <is>
          <t>42694</t>
        </is>
      </c>
      <c r="C4335" s="46">
        <f>LEFT(Tableau1[[#This Row],[Formacode]],3)</f>
        <v/>
      </c>
      <c r="D4335" s="47" t="n">
        <v>37890</v>
      </c>
      <c r="E4335" s="48">
        <f>"RNCP"&amp;D4335</f>
        <v/>
      </c>
      <c r="F4335" s="48" t="inlineStr">
        <is>
          <t>Brevet de technicien supérieur - Tourisme</t>
        </is>
      </c>
      <c r="G4335" s="49">
        <f>E4335&amp;" - "&amp;F4335</f>
        <v/>
      </c>
      <c r="H4335" s="36" t="inlineStr">
        <is>
          <t>RAS</t>
        </is>
      </c>
      <c r="I4335" s="45" t="inlineStr"/>
      <c r="J4335" s="45" t="inlineStr">
        <is>
          <t>RNCP37890</t>
        </is>
      </c>
      <c r="K4335" s="45" t="inlineStr">
        <is>
          <t>Tourisme</t>
        </is>
      </c>
      <c r="L4335" s="45" t="inlineStr">
        <is>
          <t>31/08/2028</t>
        </is>
      </c>
      <c r="M4335" s="45" t="inlineStr">
        <is>
          <t>42654 (Tourisme)</t>
        </is>
      </c>
      <c r="N4335" s="50" t="inlineStr">
        <is>
          <t>NON</t>
        </is>
      </c>
      <c r="O4335" s="45" t="inlineStr"/>
    </row>
    <row r="4336" customFormat="1" s="3">
      <c r="A4336" s="45" t="n"/>
      <c r="B4336" s="46" t="inlineStr">
        <is>
          <t>42695</t>
        </is>
      </c>
      <c r="C4336" s="46">
        <f>LEFT(Tableau1[[#This Row],[Formacode]],3)</f>
        <v/>
      </c>
      <c r="D4336" s="47" t="n">
        <v>37890</v>
      </c>
      <c r="E4336" s="48">
        <f>"RNCP"&amp;D4336</f>
        <v/>
      </c>
      <c r="F4336" s="48" t="inlineStr">
        <is>
          <t>Brevet de technicien supérieur - Tourisme</t>
        </is>
      </c>
      <c r="G4336" s="49">
        <f>E4336&amp;" - "&amp;F4336</f>
        <v/>
      </c>
      <c r="H4336" s="36" t="inlineStr">
        <is>
          <t>RAS</t>
        </is>
      </c>
      <c r="I4336" s="45" t="inlineStr"/>
      <c r="J4336" s="45" t="inlineStr">
        <is>
          <t>RNCP37890</t>
        </is>
      </c>
      <c r="K4336" s="45" t="inlineStr">
        <is>
          <t>Tourisme</t>
        </is>
      </c>
      <c r="L4336" s="45" t="inlineStr">
        <is>
          <t>31/08/2028</t>
        </is>
      </c>
      <c r="M4336" s="45" t="inlineStr">
        <is>
          <t>42654 (Tourisme)</t>
        </is>
      </c>
      <c r="N4336" s="50" t="inlineStr">
        <is>
          <t>NON</t>
        </is>
      </c>
      <c r="O4336" s="45" t="inlineStr"/>
    </row>
    <row r="4337" customFormat="1" s="3">
      <c r="A4337" s="51" t="n"/>
      <c r="B4337" s="52" t="inlineStr">
        <is>
          <t>42702</t>
        </is>
      </c>
      <c r="C4337" s="52">
        <f>LEFT(Tableau1[[#This Row],[Formacode]],3)</f>
        <v/>
      </c>
      <c r="D4337" s="53" t="n">
        <v>37719</v>
      </c>
      <c r="E4337" s="54">
        <f>"RNCP"&amp;D4337</f>
        <v/>
      </c>
      <c r="F4337" s="54" t="inlineStr">
        <is>
          <t>DIPLOVIS - Diplôme en management international de l'hôtellerie et de la restauration</t>
        </is>
      </c>
      <c r="G4337" s="55">
        <f>E4337&amp;" - "&amp;F4337</f>
        <v/>
      </c>
      <c r="H4337" s="37" t="inlineStr">
        <is>
          <t>À vérifier</t>
        </is>
      </c>
      <c r="I4337" s="51" t="inlineStr">
        <is>
          <t>Échéance le 31/08/2026 (dans 44 j)</t>
        </is>
      </c>
      <c r="J4337" s="51" t="inlineStr">
        <is>
          <t>RNCP37719</t>
        </is>
      </c>
      <c r="K4337" s="51" t="inlineStr">
        <is>
          <t>Diplôme en management international de l'hôtellerie et de la restauration</t>
        </is>
      </c>
      <c r="L4337" s="51" t="inlineStr">
        <is>
          <t>31/08/2026</t>
        </is>
      </c>
      <c r="M4337" s="51" t="inlineStr">
        <is>
          <t>32054 (Gestion des organisations) ; 42754 (Hôtellerie restauration) ; 42627 (Gestion entreprise touristique)</t>
        </is>
      </c>
      <c r="N4337" s="62" t="inlineStr">
        <is>
          <t>NON</t>
        </is>
      </c>
      <c r="O4337" s="51" t="inlineStr"/>
    </row>
    <row r="4338" customFormat="1" s="3">
      <c r="A4338" s="45" t="n"/>
      <c r="B4338" s="46" t="inlineStr">
        <is>
          <t>42702</t>
        </is>
      </c>
      <c r="C4338" s="46">
        <f>LEFT(Tableau1[[#This Row],[Formacode]],3)</f>
        <v/>
      </c>
      <c r="D4338" s="47" t="n">
        <v>37922</v>
      </c>
      <c r="E4338" s="48">
        <f>"RNCP"&amp;D4338</f>
        <v/>
      </c>
      <c r="F4338" s="48" t="inlineStr">
        <is>
          <t>Certificat de spécialisation - Organisateur de réceptions</t>
        </is>
      </c>
      <c r="G4338" s="49">
        <f>E4338&amp;" - "&amp;F4338</f>
        <v/>
      </c>
      <c r="H4338" s="36" t="inlineStr">
        <is>
          <t>RAS</t>
        </is>
      </c>
      <c r="I4338" s="45" t="inlineStr"/>
      <c r="J4338" s="45" t="inlineStr">
        <is>
          <t>RNCP37922</t>
        </is>
      </c>
      <c r="K4338" s="45" t="inlineStr">
        <is>
          <t>Organisateur de réceptions</t>
        </is>
      </c>
      <c r="L4338" s="45" t="inlineStr">
        <is>
          <t>31/08/2028</t>
        </is>
      </c>
      <c r="M4338" s="45" t="inlineStr">
        <is>
          <t>42008 (Organisation événement) ; 42754 (Hôtellerie restauration)</t>
        </is>
      </c>
      <c r="N4338" s="50" t="inlineStr">
        <is>
          <t>NON</t>
        </is>
      </c>
      <c r="O4338" s="45" t="inlineStr"/>
    </row>
    <row r="4339" customFormat="1" s="3">
      <c r="A4339" s="51" t="n"/>
      <c r="B4339" s="52" t="inlineStr">
        <is>
          <t>42719</t>
        </is>
      </c>
      <c r="C4339" s="52">
        <f>LEFT(Tableau1[[#This Row],[Formacode]],3)</f>
        <v/>
      </c>
      <c r="D4339" s="53" t="n">
        <v>37719</v>
      </c>
      <c r="E4339" s="54">
        <f>"RNCP"&amp;D4339</f>
        <v/>
      </c>
      <c r="F4339" s="54" t="inlineStr">
        <is>
          <t>DIPLOVIS - Diplôme en management international de l'hôtellerie et de la restauration</t>
        </is>
      </c>
      <c r="G4339" s="55">
        <f>E4339&amp;" - "&amp;F4339</f>
        <v/>
      </c>
      <c r="H4339" s="37" t="inlineStr">
        <is>
          <t>À vérifier</t>
        </is>
      </c>
      <c r="I4339" s="51" t="inlineStr">
        <is>
          <t>Échéance le 31/08/2026 (dans 44 j)</t>
        </is>
      </c>
      <c r="J4339" s="51" t="inlineStr">
        <is>
          <t>RNCP37719</t>
        </is>
      </c>
      <c r="K4339" s="51" t="inlineStr">
        <is>
          <t>Diplôme en management international de l'hôtellerie et de la restauration</t>
        </is>
      </c>
      <c r="L4339" s="51" t="inlineStr">
        <is>
          <t>31/08/2026</t>
        </is>
      </c>
      <c r="M4339" s="51" t="inlineStr">
        <is>
          <t>32054 (Gestion des organisations) ; 42754 (Hôtellerie restauration) ; 42627 (Gestion entreprise touristique)</t>
        </is>
      </c>
      <c r="N4339" s="62" t="inlineStr">
        <is>
          <t>NON</t>
        </is>
      </c>
      <c r="O4339" s="51" t="inlineStr"/>
    </row>
    <row r="4340" customFormat="1" s="3">
      <c r="A4340" s="45" t="n"/>
      <c r="B4340" s="46" t="inlineStr">
        <is>
          <t>42719</t>
        </is>
      </c>
      <c r="C4340" s="46">
        <f>LEFT(Tableau1[[#This Row],[Formacode]],3)</f>
        <v/>
      </c>
      <c r="D4340" s="47" t="n">
        <v>37922</v>
      </c>
      <c r="E4340" s="48">
        <f>"RNCP"&amp;D4340</f>
        <v/>
      </c>
      <c r="F4340" s="48" t="inlineStr">
        <is>
          <t>Certificat de spécialisation - Organisateur de réceptions</t>
        </is>
      </c>
      <c r="G4340" s="49">
        <f>E4340&amp;" - "&amp;F4340</f>
        <v/>
      </c>
      <c r="H4340" s="36" t="inlineStr">
        <is>
          <t>RAS</t>
        </is>
      </c>
      <c r="I4340" s="45" t="inlineStr"/>
      <c r="J4340" s="45" t="inlineStr">
        <is>
          <t>RNCP37922</t>
        </is>
      </c>
      <c r="K4340" s="45" t="inlineStr">
        <is>
          <t>Organisateur de réceptions</t>
        </is>
      </c>
      <c r="L4340" s="45" t="inlineStr">
        <is>
          <t>31/08/2028</t>
        </is>
      </c>
      <c r="M4340" s="45" t="inlineStr">
        <is>
          <t>42008 (Organisation événement) ; 42754 (Hôtellerie restauration)</t>
        </is>
      </c>
      <c r="N4340" s="50" t="inlineStr">
        <is>
          <t>NON</t>
        </is>
      </c>
      <c r="O4340" s="45" t="inlineStr"/>
    </row>
    <row r="4341" customFormat="1" s="3">
      <c r="A4341" s="51" t="n"/>
      <c r="B4341" s="52" t="inlineStr">
        <is>
          <t>42723</t>
        </is>
      </c>
      <c r="C4341" s="52">
        <f>LEFT(Tableau1[[#This Row],[Formacode]],3)</f>
        <v/>
      </c>
      <c r="D4341" s="53" t="n">
        <v>37492</v>
      </c>
      <c r="E4341" s="54">
        <f>"RNCP"&amp;D4341</f>
        <v/>
      </c>
      <c r="F4341" s="54" t="inlineStr">
        <is>
          <t>Brevet professionnel - barman</t>
        </is>
      </c>
      <c r="G4341" s="55">
        <f>E4341&amp;" - "&amp;F4341</f>
        <v/>
      </c>
      <c r="H4341" s="37" t="inlineStr">
        <is>
          <t>À vérifier</t>
        </is>
      </c>
      <c r="I4341" s="51" t="inlineStr">
        <is>
          <t>Échéance le 31/08/2026 (dans 44 j)</t>
        </is>
      </c>
      <c r="J4341" s="51" t="inlineStr">
        <is>
          <t>RNCP37492</t>
        </is>
      </c>
      <c r="K4341" s="51" t="inlineStr">
        <is>
          <t>barman</t>
        </is>
      </c>
      <c r="L4341" s="51" t="inlineStr">
        <is>
          <t>31/08/2026</t>
        </is>
      </c>
      <c r="M4341" s="51" t="inlineStr">
        <is>
          <t>42757 (Service salle) ; 42723 (Bar)</t>
        </is>
      </c>
      <c r="N4341" s="62" t="inlineStr">
        <is>
          <t>NON</t>
        </is>
      </c>
      <c r="O4341" s="51" t="inlineStr"/>
    </row>
    <row r="4342" customFormat="1" s="3">
      <c r="A4342" s="51" t="n"/>
      <c r="B4342" s="52" t="inlineStr">
        <is>
          <t>42723</t>
        </is>
      </c>
      <c r="C4342" s="52">
        <f>LEFT(Tableau1[[#This Row],[Formacode]],3)</f>
        <v/>
      </c>
      <c r="D4342" s="53" t="n">
        <v>37719</v>
      </c>
      <c r="E4342" s="54">
        <f>"RNCP"&amp;D4342</f>
        <v/>
      </c>
      <c r="F4342" s="54" t="inlineStr">
        <is>
          <t>DIPLOVIS - Diplôme en management international de l'hôtellerie et de la restauration</t>
        </is>
      </c>
      <c r="G4342" s="55">
        <f>E4342&amp;" - "&amp;F4342</f>
        <v/>
      </c>
      <c r="H4342" s="37" t="inlineStr">
        <is>
          <t>À vérifier</t>
        </is>
      </c>
      <c r="I4342" s="51" t="inlineStr">
        <is>
          <t>Échéance le 31/08/2026 (dans 44 j)</t>
        </is>
      </c>
      <c r="J4342" s="51" t="inlineStr">
        <is>
          <t>RNCP37719</t>
        </is>
      </c>
      <c r="K4342" s="51" t="inlineStr">
        <is>
          <t>Diplôme en management international de l'hôtellerie et de la restauration</t>
        </is>
      </c>
      <c r="L4342" s="51" t="inlineStr">
        <is>
          <t>31/08/2026</t>
        </is>
      </c>
      <c r="M4342" s="51" t="inlineStr">
        <is>
          <t>32054 (Gestion des organisations) ; 42754 (Hôtellerie restauration) ; 42627 (Gestion entreprise touristique)</t>
        </is>
      </c>
      <c r="N4342" s="62" t="inlineStr">
        <is>
          <t>NON</t>
        </is>
      </c>
      <c r="O4342" s="51" t="inlineStr"/>
    </row>
    <row r="4343" customFormat="1" s="3">
      <c r="A4343" s="45" t="n"/>
      <c r="B4343" s="46" t="inlineStr">
        <is>
          <t>42723</t>
        </is>
      </c>
      <c r="C4343" s="46">
        <f>LEFT(Tableau1[[#This Row],[Formacode]],3)</f>
        <v/>
      </c>
      <c r="D4343" s="47" t="n">
        <v>37922</v>
      </c>
      <c r="E4343" s="48">
        <f>"RNCP"&amp;D4343</f>
        <v/>
      </c>
      <c r="F4343" s="48" t="inlineStr">
        <is>
          <t>Certificat de spécialisation - Organisateur de réceptions</t>
        </is>
      </c>
      <c r="G4343" s="49">
        <f>E4343&amp;" - "&amp;F4343</f>
        <v/>
      </c>
      <c r="H4343" s="36" t="inlineStr">
        <is>
          <t>RAS</t>
        </is>
      </c>
      <c r="I4343" s="45" t="inlineStr"/>
      <c r="J4343" s="45" t="inlineStr">
        <is>
          <t>RNCP37922</t>
        </is>
      </c>
      <c r="K4343" s="45" t="inlineStr">
        <is>
          <t>Organisateur de réceptions</t>
        </is>
      </c>
      <c r="L4343" s="45" t="inlineStr">
        <is>
          <t>31/08/2028</t>
        </is>
      </c>
      <c r="M4343" s="45" t="inlineStr">
        <is>
          <t>42008 (Organisation événement) ; 42754 (Hôtellerie restauration)</t>
        </is>
      </c>
      <c r="N4343" s="50" t="inlineStr">
        <is>
          <t>NON</t>
        </is>
      </c>
      <c r="O4343" s="45" t="inlineStr"/>
    </row>
    <row r="4344" customFormat="1" s="3">
      <c r="A4344" s="45" t="n"/>
      <c r="B4344" s="46" t="inlineStr">
        <is>
          <t>42723</t>
        </is>
      </c>
      <c r="C4344" s="46">
        <f>LEFT(Tableau1[[#This Row],[Formacode]],3)</f>
        <v/>
      </c>
      <c r="D4344" s="47" t="n">
        <v>40096</v>
      </c>
      <c r="E4344" s="48">
        <f>"RNCP"&amp;D4344</f>
        <v/>
      </c>
      <c r="F4344" s="48" t="inlineStr">
        <is>
          <t>Certificat de spécialisation - Métiers du bar</t>
        </is>
      </c>
      <c r="G4344" s="49">
        <f>E4344&amp;" - "&amp;F4344</f>
        <v/>
      </c>
      <c r="H4344" s="36" t="inlineStr">
        <is>
          <t>RAS</t>
        </is>
      </c>
      <c r="I4344" s="45" t="inlineStr"/>
      <c r="J4344" s="45" t="inlineStr">
        <is>
          <t>RNCP40096</t>
        </is>
      </c>
      <c r="K4344" s="45" t="inlineStr">
        <is>
          <t>Métiers du bar</t>
        </is>
      </c>
      <c r="L4344" s="45" t="inlineStr">
        <is>
          <t>31/08/2030</t>
        </is>
      </c>
      <c r="M4344" s="45" t="inlineStr">
        <is>
          <t>42723 (Bar)</t>
        </is>
      </c>
      <c r="N4344" s="50" t="inlineStr">
        <is>
          <t>NON</t>
        </is>
      </c>
      <c r="O4344" s="45" t="inlineStr"/>
    </row>
    <row r="4345" ht="28.8" customFormat="1" customHeight="1" s="3">
      <c r="A4345" s="51" t="n"/>
      <c r="B4345" s="52" t="inlineStr">
        <is>
          <t>42725</t>
        </is>
      </c>
      <c r="C4345" s="52">
        <f>LEFT(Tableau1[[#This Row],[Formacode]],3)</f>
        <v/>
      </c>
      <c r="D4345" s="53" t="n">
        <v>35317</v>
      </c>
      <c r="E4345" s="54">
        <f>"RNCP"&amp;D4345</f>
        <v/>
      </c>
      <c r="F4345" s="54" t="inlineStr">
        <is>
          <t>Certificat d'aptitude professionnelle - Production et service en restaurations (rapide, collective, cafétéria)</t>
        </is>
      </c>
      <c r="G4345" s="55">
        <f>E4345&amp;" - "&amp;F4345</f>
        <v/>
      </c>
      <c r="H4345" s="37" t="inlineStr">
        <is>
          <t>À vérifier</t>
        </is>
      </c>
      <c r="I4345" s="51" t="inlineStr">
        <is>
          <t>Successeur déjà publié : RNCP42120 (Production et service en restauration (rapide, collective, cafétéria)) — préparer la bascule de l'offre CPF | Échéance le 31/08/2026 (dans 44 j)</t>
        </is>
      </c>
      <c r="J4345" s="51" t="inlineStr">
        <is>
          <t>RNCP42120</t>
        </is>
      </c>
      <c r="K4345" s="51" t="inlineStr">
        <is>
          <t>Production et service en restauration (rapide, collective, cafétéria)</t>
        </is>
      </c>
      <c r="L4345" s="51" t="inlineStr">
        <is>
          <t>31/08/2026</t>
        </is>
      </c>
      <c r="M4345" s="51" t="inlineStr">
        <is>
          <t>42746 (Restauration) ; 42729 (Gestion restauration collective) ; 42725 (Restauration rapide)</t>
        </is>
      </c>
      <c r="N4345" s="62" t="inlineStr">
        <is>
          <t>NON</t>
        </is>
      </c>
      <c r="O4345" s="51" t="inlineStr"/>
    </row>
    <row r="4346" customFormat="1" s="3">
      <c r="A4346" s="51" t="n"/>
      <c r="B4346" s="52" t="inlineStr">
        <is>
          <t>42725</t>
        </is>
      </c>
      <c r="C4346" s="52">
        <f>LEFT(Tableau1[[#This Row],[Formacode]],3)</f>
        <v/>
      </c>
      <c r="D4346" s="53" t="n">
        <v>37719</v>
      </c>
      <c r="E4346" s="54">
        <f>"RNCP"&amp;D4346</f>
        <v/>
      </c>
      <c r="F4346" s="54" t="inlineStr">
        <is>
          <t>DIPLOVIS - Diplôme en management international de l'hôtellerie et de la restauration</t>
        </is>
      </c>
      <c r="G4346" s="55">
        <f>E4346&amp;" - "&amp;F4346</f>
        <v/>
      </c>
      <c r="H4346" s="37" t="inlineStr">
        <is>
          <t>À vérifier</t>
        </is>
      </c>
      <c r="I4346" s="51" t="inlineStr">
        <is>
          <t>Échéance le 31/08/2026 (dans 44 j)</t>
        </is>
      </c>
      <c r="J4346" s="51" t="inlineStr">
        <is>
          <t>RNCP37719</t>
        </is>
      </c>
      <c r="K4346" s="51" t="inlineStr">
        <is>
          <t>Diplôme en management international de l'hôtellerie et de la restauration</t>
        </is>
      </c>
      <c r="L4346" s="51" t="inlineStr">
        <is>
          <t>31/08/2026</t>
        </is>
      </c>
      <c r="M4346" s="51" t="inlineStr">
        <is>
          <t>32054 (Gestion des organisations) ; 42754 (Hôtellerie restauration) ; 42627 (Gestion entreprise touristique)</t>
        </is>
      </c>
      <c r="N4346" s="62" t="inlineStr">
        <is>
          <t>NON</t>
        </is>
      </c>
      <c r="O4346" s="51" t="inlineStr"/>
    </row>
    <row r="4347" customFormat="1" s="3">
      <c r="A4347" s="45" t="n"/>
      <c r="B4347" s="46" t="inlineStr">
        <is>
          <t>42725</t>
        </is>
      </c>
      <c r="C4347" s="46">
        <f>LEFT(Tableau1[[#This Row],[Formacode]],3)</f>
        <v/>
      </c>
      <c r="D4347" s="47" t="n">
        <v>37922</v>
      </c>
      <c r="E4347" s="48">
        <f>"RNCP"&amp;D4347</f>
        <v/>
      </c>
      <c r="F4347" s="48" t="inlineStr">
        <is>
          <t>Certificat de spécialisation - Organisateur de réceptions</t>
        </is>
      </c>
      <c r="G4347" s="49">
        <f>E4347&amp;" - "&amp;F4347</f>
        <v/>
      </c>
      <c r="H4347" s="36" t="inlineStr">
        <is>
          <t>RAS</t>
        </is>
      </c>
      <c r="I4347" s="45" t="inlineStr"/>
      <c r="J4347" s="45" t="inlineStr">
        <is>
          <t>RNCP37922</t>
        </is>
      </c>
      <c r="K4347" s="45" t="inlineStr">
        <is>
          <t>Organisateur de réceptions</t>
        </is>
      </c>
      <c r="L4347" s="45" t="inlineStr">
        <is>
          <t>31/08/2028</t>
        </is>
      </c>
      <c r="M4347" s="45" t="inlineStr">
        <is>
          <t>42008 (Organisation événement) ; 42754 (Hôtellerie restauration)</t>
        </is>
      </c>
      <c r="N4347" s="50" t="inlineStr">
        <is>
          <t>NON</t>
        </is>
      </c>
      <c r="O4347" s="45" t="inlineStr"/>
    </row>
    <row r="4348" customFormat="1" s="3">
      <c r="A4348" s="45" t="n"/>
      <c r="B4348" s="46" t="inlineStr">
        <is>
          <t>42725</t>
        </is>
      </c>
      <c r="C4348" s="46">
        <f>LEFT(Tableau1[[#This Row],[Formacode]],3)</f>
        <v/>
      </c>
      <c r="D4348" s="47" t="n">
        <v>38663</v>
      </c>
      <c r="E4348" s="48">
        <f>"RNCP"&amp;D4348</f>
        <v/>
      </c>
      <c r="F4348" s="48" t="inlineStr">
        <is>
          <t>TP - Employé polyvalent en restauration</t>
        </is>
      </c>
      <c r="G4348" s="49">
        <f>E4348&amp;" - "&amp;F4348</f>
        <v/>
      </c>
      <c r="H4348" s="36" t="inlineStr">
        <is>
          <t>RAS</t>
        </is>
      </c>
      <c r="I4348" s="45" t="inlineStr"/>
      <c r="J4348" s="45" t="inlineStr">
        <is>
          <t>RNCP38663</t>
        </is>
      </c>
      <c r="K4348" s="45" t="inlineStr">
        <is>
          <t>Employé polyvalent en restauration</t>
        </is>
      </c>
      <c r="L4348" s="45" t="inlineStr">
        <is>
          <t>04/06/2029</t>
        </is>
      </c>
      <c r="M4348" s="45" t="inlineStr">
        <is>
          <t>42708 (Cuisine collectivité) ; 42725 (Restauration rapide) ; 42791 (Néocuisine) ; 42780 (Entretien cuisine)</t>
        </is>
      </c>
      <c r="N4348" s="50" t="inlineStr">
        <is>
          <t>NON</t>
        </is>
      </c>
      <c r="O4348" s="45" t="inlineStr"/>
    </row>
    <row r="4349" customFormat="1" s="3">
      <c r="A4349" s="45" t="n"/>
      <c r="B4349" s="46" t="inlineStr">
        <is>
          <t>42725</t>
        </is>
      </c>
      <c r="C4349" s="46">
        <f>LEFT(Tableau1[[#This Row],[Formacode]],3)</f>
        <v/>
      </c>
      <c r="D4349" s="47" t="n">
        <v>41647</v>
      </c>
      <c r="E4349" s="48">
        <f>"RNCP"&amp;D4349</f>
        <v/>
      </c>
      <c r="F4349" s="48" t="inlineStr">
        <is>
          <t>Cuisinier</t>
        </is>
      </c>
      <c r="G4349" s="49">
        <f>E4349&amp;" - "&amp;F4349</f>
        <v/>
      </c>
      <c r="H4349" s="36" t="inlineStr">
        <is>
          <t>RAS</t>
        </is>
      </c>
      <c r="I4349" s="45" t="inlineStr"/>
      <c r="J4349" s="45" t="inlineStr">
        <is>
          <t>RNCP41647</t>
        </is>
      </c>
      <c r="K4349" s="45" t="inlineStr">
        <is>
          <t>Cuisinier</t>
        </is>
      </c>
      <c r="L4349" s="45" t="inlineStr">
        <is>
          <t>27/11/2030</t>
        </is>
      </c>
      <c r="M4349" s="45" t="inlineStr">
        <is>
          <t>42746 (Restauration) ; 42742 (Spécialisation cuisine) ; 42725 (Restauration rapide) ; 42782 (Gestion cuisine)</t>
        </is>
      </c>
      <c r="N4349" s="50" t="inlineStr">
        <is>
          <t>NON</t>
        </is>
      </c>
      <c r="O4349" s="45" t="inlineStr"/>
    </row>
    <row r="4350" ht="28.8" customFormat="1" customHeight="1" s="3">
      <c r="A4350" s="51" t="n"/>
      <c r="B4350" s="52" t="inlineStr">
        <is>
          <t>42729</t>
        </is>
      </c>
      <c r="C4350" s="52">
        <f>LEFT(Tableau1[[#This Row],[Formacode]],3)</f>
        <v/>
      </c>
      <c r="D4350" s="53" t="n">
        <v>35317</v>
      </c>
      <c r="E4350" s="54">
        <f>"RNCP"&amp;D4350</f>
        <v/>
      </c>
      <c r="F4350" s="54" t="inlineStr">
        <is>
          <t>Certificat d'aptitude professionnelle - Production et service en restaurations (rapide, collective, cafétéria)</t>
        </is>
      </c>
      <c r="G4350" s="55">
        <f>E4350&amp;" - "&amp;F4350</f>
        <v/>
      </c>
      <c r="H4350" s="37" t="inlineStr">
        <is>
          <t>À vérifier</t>
        </is>
      </c>
      <c r="I4350" s="51" t="inlineStr">
        <is>
          <t>Successeur déjà publié : RNCP42120 (Production et service en restauration (rapide, collective, cafétéria)) — préparer la bascule de l'offre CPF | Échéance le 31/08/2026 (dans 44 j)</t>
        </is>
      </c>
      <c r="J4350" s="51" t="inlineStr">
        <is>
          <t>RNCP42120</t>
        </is>
      </c>
      <c r="K4350" s="51" t="inlineStr">
        <is>
          <t>Production et service en restauration (rapide, collective, cafétéria)</t>
        </is>
      </c>
      <c r="L4350" s="51" t="inlineStr">
        <is>
          <t>31/08/2026</t>
        </is>
      </c>
      <c r="M4350" s="51" t="inlineStr">
        <is>
          <t>42746 (Restauration) ; 42729 (Gestion restauration collective) ; 42725 (Restauration rapide)</t>
        </is>
      </c>
      <c r="N4350" s="62" t="inlineStr">
        <is>
          <t>NON</t>
        </is>
      </c>
      <c r="O4350" s="51" t="inlineStr"/>
    </row>
    <row r="4351" customFormat="1" s="3">
      <c r="A4351" s="51" t="n"/>
      <c r="B4351" s="52" t="inlineStr">
        <is>
          <t>42729</t>
        </is>
      </c>
      <c r="C4351" s="52">
        <f>LEFT(Tableau1[[#This Row],[Formacode]],3)</f>
        <v/>
      </c>
      <c r="D4351" s="53" t="n">
        <v>37719</v>
      </c>
      <c r="E4351" s="54">
        <f>"RNCP"&amp;D4351</f>
        <v/>
      </c>
      <c r="F4351" s="54" t="inlineStr">
        <is>
          <t>DIPLOVIS - Diplôme en management international de l'hôtellerie et de la restauration</t>
        </is>
      </c>
      <c r="G4351" s="55">
        <f>E4351&amp;" - "&amp;F4351</f>
        <v/>
      </c>
      <c r="H4351" s="37" t="inlineStr">
        <is>
          <t>À vérifier</t>
        </is>
      </c>
      <c r="I4351" s="51" t="inlineStr">
        <is>
          <t>Échéance le 31/08/2026 (dans 44 j)</t>
        </is>
      </c>
      <c r="J4351" s="51" t="inlineStr">
        <is>
          <t>RNCP37719</t>
        </is>
      </c>
      <c r="K4351" s="51" t="inlineStr">
        <is>
          <t>Diplôme en management international de l'hôtellerie et de la restauration</t>
        </is>
      </c>
      <c r="L4351" s="51" t="inlineStr">
        <is>
          <t>31/08/2026</t>
        </is>
      </c>
      <c r="M4351" s="51" t="inlineStr">
        <is>
          <t>32054 (Gestion des organisations) ; 42754 (Hôtellerie restauration) ; 42627 (Gestion entreprise touristique)</t>
        </is>
      </c>
      <c r="N4351" s="62" t="inlineStr">
        <is>
          <t>NON</t>
        </is>
      </c>
      <c r="O4351" s="51" t="inlineStr"/>
    </row>
    <row r="4352" customFormat="1" s="3">
      <c r="A4352" s="45" t="n"/>
      <c r="B4352" s="46" t="inlineStr">
        <is>
          <t>42729</t>
        </is>
      </c>
      <c r="C4352" s="46">
        <f>LEFT(Tableau1[[#This Row],[Formacode]],3)</f>
        <v/>
      </c>
      <c r="D4352" s="47" t="n">
        <v>37922</v>
      </c>
      <c r="E4352" s="48">
        <f>"RNCP"&amp;D4352</f>
        <v/>
      </c>
      <c r="F4352" s="48" t="inlineStr">
        <is>
          <t>Certificat de spécialisation - Organisateur de réceptions</t>
        </is>
      </c>
      <c r="G4352" s="49">
        <f>E4352&amp;" - "&amp;F4352</f>
        <v/>
      </c>
      <c r="H4352" s="36" t="inlineStr">
        <is>
          <t>RAS</t>
        </is>
      </c>
      <c r="I4352" s="45" t="inlineStr"/>
      <c r="J4352" s="45" t="inlineStr">
        <is>
          <t>RNCP37922</t>
        </is>
      </c>
      <c r="K4352" s="45" t="inlineStr">
        <is>
          <t>Organisateur de réceptions</t>
        </is>
      </c>
      <c r="L4352" s="45" t="inlineStr">
        <is>
          <t>31/08/2028</t>
        </is>
      </c>
      <c r="M4352" s="45" t="inlineStr">
        <is>
          <t>42008 (Organisation événement) ; 42754 (Hôtellerie restauration)</t>
        </is>
      </c>
      <c r="N4352" s="50" t="inlineStr">
        <is>
          <t>NON</t>
        </is>
      </c>
      <c r="O4352" s="45" t="inlineStr"/>
    </row>
    <row r="4353" customFormat="1" s="3">
      <c r="A4353" s="45" t="n"/>
      <c r="B4353" s="46" t="inlineStr">
        <is>
          <t>42729</t>
        </is>
      </c>
      <c r="C4353" s="46">
        <f>LEFT(Tableau1[[#This Row],[Formacode]],3)</f>
        <v/>
      </c>
      <c r="D4353" s="47" t="n">
        <v>38623</v>
      </c>
      <c r="E4353" s="48">
        <f>"RNCP"&amp;D4353</f>
        <v/>
      </c>
      <c r="F4353" s="48" t="inlineStr">
        <is>
          <t>Cuisinier-gestionnaire en restauration collective</t>
        </is>
      </c>
      <c r="G4353" s="49">
        <f>E4353&amp;" - "&amp;F4353</f>
        <v/>
      </c>
      <c r="H4353" s="36" t="inlineStr">
        <is>
          <t>RAS</t>
        </is>
      </c>
      <c r="I4353" s="45" t="inlineStr"/>
      <c r="J4353" s="45" t="inlineStr">
        <is>
          <t>RNCP38623</t>
        </is>
      </c>
      <c r="K4353" s="45" t="inlineStr">
        <is>
          <t>Cuisinier-gestionnaire en restauration collective</t>
        </is>
      </c>
      <c r="L4353" s="45" t="inlineStr">
        <is>
          <t>09/02/2029</t>
        </is>
      </c>
      <c r="M4353" s="45" t="inlineStr">
        <is>
          <t>42729 (Gestion restauration collective)</t>
        </is>
      </c>
      <c r="N4353" s="50" t="inlineStr">
        <is>
          <t>NON</t>
        </is>
      </c>
      <c r="O4353" s="45" t="inlineStr"/>
    </row>
    <row r="4354" customFormat="1" s="3">
      <c r="A4354" s="45" t="n"/>
      <c r="B4354" s="46" t="inlineStr">
        <is>
          <t>42729</t>
        </is>
      </c>
      <c r="C4354" s="46">
        <f>LEFT(Tableau1[[#This Row],[Formacode]],3)</f>
        <v/>
      </c>
      <c r="D4354" s="47" t="n">
        <v>38785</v>
      </c>
      <c r="E4354" s="48">
        <f>"RNCP"&amp;D4354</f>
        <v/>
      </c>
      <c r="F4354" s="48" t="inlineStr">
        <is>
          <t>Responsable de service en hôtellerie, tourisme et restauration</t>
        </is>
      </c>
      <c r="G4354" s="49">
        <f>E4354&amp;" - "&amp;F4354</f>
        <v/>
      </c>
      <c r="H4354" s="36" t="inlineStr">
        <is>
          <t>RAS</t>
        </is>
      </c>
      <c r="I4354" s="45" t="inlineStr"/>
      <c r="J4354" s="45" t="inlineStr">
        <is>
          <t>RNCP38785</t>
        </is>
      </c>
      <c r="K4354" s="45" t="inlineStr">
        <is>
          <t>Responsable de service en hôtellerie, tourisme et restauration</t>
        </is>
      </c>
      <c r="L4354" s="45" t="inlineStr">
        <is>
          <t>27/03/2027</t>
        </is>
      </c>
      <c r="M4354" s="45" t="inlineStr">
        <is>
          <t>42766 (Gestion hôtel restaurant bar) ; 42729 (Gestion restauration collective) ; 42776 (Hôtellerie)</t>
        </is>
      </c>
      <c r="N4354" s="50" t="inlineStr">
        <is>
          <t>NON</t>
        </is>
      </c>
      <c r="O4354" s="45" t="inlineStr"/>
    </row>
    <row r="4355" customFormat="1" s="3">
      <c r="A4355" s="45" t="n"/>
      <c r="B4355" s="46" t="inlineStr">
        <is>
          <t>42729</t>
        </is>
      </c>
      <c r="C4355" s="46">
        <f>LEFT(Tableau1[[#This Row],[Formacode]],3)</f>
        <v/>
      </c>
      <c r="D4355" s="47" t="n">
        <v>38871</v>
      </c>
      <c r="E4355" s="48">
        <f>"RNCP"&amp;D4355</f>
        <v/>
      </c>
      <c r="F4355" s="48" t="inlineStr">
        <is>
          <t>TP - Cuisinier en restauration collective</t>
        </is>
      </c>
      <c r="G4355" s="49">
        <f>E4355&amp;" - "&amp;F4355</f>
        <v/>
      </c>
      <c r="H4355" s="36" t="inlineStr">
        <is>
          <t>RAS</t>
        </is>
      </c>
      <c r="I4355" s="45" t="inlineStr"/>
      <c r="J4355" s="45" t="inlineStr">
        <is>
          <t>RNCP38871</t>
        </is>
      </c>
      <c r="K4355" s="45" t="inlineStr">
        <is>
          <t>Cuisinier en restauration collective</t>
        </is>
      </c>
      <c r="L4355" s="45" t="inlineStr">
        <is>
          <t>01/06/2029</t>
        </is>
      </c>
      <c r="M4355" s="45" t="inlineStr">
        <is>
          <t>42708 (Cuisine collectivité) ; 42729 (Gestion restauration collective)</t>
        </is>
      </c>
      <c r="N4355" s="50" t="inlineStr">
        <is>
          <t>NON</t>
        </is>
      </c>
      <c r="O4355" s="45" t="inlineStr"/>
    </row>
    <row r="4356" customFormat="1" s="3">
      <c r="A4356" s="45" t="n"/>
      <c r="B4356" s="46" t="inlineStr">
        <is>
          <t>42729</t>
        </is>
      </c>
      <c r="C4356" s="46">
        <f>LEFT(Tableau1[[#This Row],[Formacode]],3)</f>
        <v/>
      </c>
      <c r="D4356" s="47" t="n">
        <v>41315</v>
      </c>
      <c r="E4356" s="48">
        <f>"RNCP"&amp;D4356</f>
        <v/>
      </c>
      <c r="F4356" s="48" t="inlineStr">
        <is>
          <t>Manager des entreprises de l'hôtellerie, tourisme et de la restauration</t>
        </is>
      </c>
      <c r="G4356" s="49">
        <f>E4356&amp;" - "&amp;F4356</f>
        <v/>
      </c>
      <c r="H4356" s="36" t="inlineStr">
        <is>
          <t>RAS</t>
        </is>
      </c>
      <c r="I4356" s="45" t="inlineStr"/>
      <c r="J4356" s="45" t="inlineStr">
        <is>
          <t>RNCP41315</t>
        </is>
      </c>
      <c r="K4356" s="45" t="inlineStr">
        <is>
          <t>Manager des entreprises de l'hôtellerie, tourisme et de la restauration</t>
        </is>
      </c>
      <c r="L4356" s="45" t="inlineStr">
        <is>
          <t>24/09/2028</t>
        </is>
      </c>
      <c r="M4356" s="45" t="inlineStr">
        <is>
          <t>42766 (Gestion hôtel restaurant bar) ; 42627 (Gestion entreprise touristique) ; 42729 (Gestion restauration collective) ; 42776 (Hôtellerie)</t>
        </is>
      </c>
      <c r="N4356" s="50" t="inlineStr">
        <is>
          <t>NON</t>
        </is>
      </c>
      <c r="O4356" s="45" t="inlineStr"/>
    </row>
    <row r="4357" customFormat="1" s="3">
      <c r="A4357" s="45" t="n"/>
      <c r="B4357" s="46" t="inlineStr">
        <is>
          <t>42729</t>
        </is>
      </c>
      <c r="C4357" s="46">
        <f>LEFT(Tableau1[[#This Row],[Formacode]],3)</f>
        <v/>
      </c>
      <c r="D4357" s="47" t="n">
        <v>41538</v>
      </c>
      <c r="E4357" s="48">
        <f>"RNCP"&amp;D4357</f>
        <v/>
      </c>
      <c r="F4357" s="48" t="inlineStr">
        <is>
          <t>TP - Responsable d'unité de restauration collective</t>
        </is>
      </c>
      <c r="G4357" s="49">
        <f>E4357&amp;" - "&amp;F4357</f>
        <v/>
      </c>
      <c r="H4357" s="36" t="inlineStr">
        <is>
          <t>RAS</t>
        </is>
      </c>
      <c r="I4357" s="45" t="inlineStr"/>
      <c r="J4357" s="45" t="inlineStr">
        <is>
          <t>RNCP41538</t>
        </is>
      </c>
      <c r="K4357" s="45" t="inlineStr">
        <is>
          <t>Responsable d'unité de restauration collective</t>
        </is>
      </c>
      <c r="L4357" s="45" t="inlineStr">
        <is>
          <t>21/01/2027</t>
        </is>
      </c>
      <c r="M4357" s="45" t="inlineStr">
        <is>
          <t>42729 (Gestion restauration collective)</t>
        </is>
      </c>
      <c r="N4357" s="50" t="inlineStr">
        <is>
          <t>NON</t>
        </is>
      </c>
      <c r="O4357" s="45" t="inlineStr"/>
    </row>
    <row r="4358" customFormat="1" s="3">
      <c r="A4358" s="51" t="n"/>
      <c r="B4358" s="52" t="inlineStr">
        <is>
          <t>42745</t>
        </is>
      </c>
      <c r="C4358" s="52">
        <f>LEFT(Tableau1[[#This Row],[Formacode]],3)</f>
        <v/>
      </c>
      <c r="D4358" s="53" t="n">
        <v>37719</v>
      </c>
      <c r="E4358" s="54">
        <f>"RNCP"&amp;D4358</f>
        <v/>
      </c>
      <c r="F4358" s="54" t="inlineStr">
        <is>
          <t>DIPLOVIS - Diplôme en management international de l'hôtellerie et de la restauration</t>
        </is>
      </c>
      <c r="G4358" s="55">
        <f>E4358&amp;" - "&amp;F4358</f>
        <v/>
      </c>
      <c r="H4358" s="37" t="inlineStr">
        <is>
          <t>À vérifier</t>
        </is>
      </c>
      <c r="I4358" s="51" t="inlineStr">
        <is>
          <t>Échéance le 31/08/2026 (dans 44 j)</t>
        </is>
      </c>
      <c r="J4358" s="51" t="inlineStr">
        <is>
          <t>RNCP37719</t>
        </is>
      </c>
      <c r="K4358" s="51" t="inlineStr">
        <is>
          <t>Diplôme en management international de l'hôtellerie et de la restauration</t>
        </is>
      </c>
      <c r="L4358" s="51" t="inlineStr">
        <is>
          <t>31/08/2026</t>
        </is>
      </c>
      <c r="M4358" s="51" t="inlineStr">
        <is>
          <t>32054 (Gestion des organisations) ; 42754 (Hôtellerie restauration) ; 42627 (Gestion entreprise touristique)</t>
        </is>
      </c>
      <c r="N4358" s="62" t="inlineStr">
        <is>
          <t>NON</t>
        </is>
      </c>
      <c r="O4358" s="51" t="inlineStr"/>
    </row>
    <row r="4359" customFormat="1" s="3">
      <c r="A4359" s="45" t="n"/>
      <c r="B4359" s="46" t="inlineStr">
        <is>
          <t>42745</t>
        </is>
      </c>
      <c r="C4359" s="46">
        <f>LEFT(Tableau1[[#This Row],[Formacode]],3)</f>
        <v/>
      </c>
      <c r="D4359" s="47" t="n">
        <v>37922</v>
      </c>
      <c r="E4359" s="48">
        <f>"RNCP"&amp;D4359</f>
        <v/>
      </c>
      <c r="F4359" s="48" t="inlineStr">
        <is>
          <t>Certificat de spécialisation - Organisateur de réceptions</t>
        </is>
      </c>
      <c r="G4359" s="49">
        <f>E4359&amp;" - "&amp;F4359</f>
        <v/>
      </c>
      <c r="H4359" s="36" t="inlineStr">
        <is>
          <t>RAS</t>
        </is>
      </c>
      <c r="I4359" s="45" t="inlineStr"/>
      <c r="J4359" s="45" t="inlineStr">
        <is>
          <t>RNCP37922</t>
        </is>
      </c>
      <c r="K4359" s="45" t="inlineStr">
        <is>
          <t>Organisateur de réceptions</t>
        </is>
      </c>
      <c r="L4359" s="45" t="inlineStr">
        <is>
          <t>31/08/2028</t>
        </is>
      </c>
      <c r="M4359" s="45" t="inlineStr">
        <is>
          <t>42008 (Organisation événement) ; 42754 (Hôtellerie restauration)</t>
        </is>
      </c>
      <c r="N4359" s="50" t="inlineStr">
        <is>
          <t>NON</t>
        </is>
      </c>
      <c r="O4359" s="45" t="inlineStr"/>
    </row>
    <row r="4360" ht="28.8" customFormat="1" customHeight="1" s="3">
      <c r="A4360" s="51" t="n"/>
      <c r="B4360" s="52" t="inlineStr">
        <is>
          <t>42746</t>
        </is>
      </c>
      <c r="C4360" s="52">
        <f>LEFT(Tableau1[[#This Row],[Formacode]],3)</f>
        <v/>
      </c>
      <c r="D4360" s="53" t="n">
        <v>35317</v>
      </c>
      <c r="E4360" s="54">
        <f>"RNCP"&amp;D4360</f>
        <v/>
      </c>
      <c r="F4360" s="54" t="inlineStr">
        <is>
          <t>Certificat d'aptitude professionnelle - Production et service en restaurations (rapide, collective, cafétéria)</t>
        </is>
      </c>
      <c r="G4360" s="55">
        <f>E4360&amp;" - "&amp;F4360</f>
        <v/>
      </c>
      <c r="H4360" s="37" t="inlineStr">
        <is>
          <t>À vérifier</t>
        </is>
      </c>
      <c r="I4360" s="51" t="inlineStr">
        <is>
          <t>Successeur déjà publié : RNCP42120 (Production et service en restauration (rapide, collective, cafétéria)) — préparer la bascule de l'offre CPF | Échéance le 31/08/2026 (dans 44 j)</t>
        </is>
      </c>
      <c r="J4360" s="51" t="inlineStr">
        <is>
          <t>RNCP42120</t>
        </is>
      </c>
      <c r="K4360" s="51" t="inlineStr">
        <is>
          <t>Production et service en restauration (rapide, collective, cafétéria)</t>
        </is>
      </c>
      <c r="L4360" s="51" t="inlineStr">
        <is>
          <t>31/08/2026</t>
        </is>
      </c>
      <c r="M4360" s="51" t="inlineStr">
        <is>
          <t>42746 (Restauration) ; 42729 (Gestion restauration collective) ; 42725 (Restauration rapide)</t>
        </is>
      </c>
      <c r="N4360" s="62" t="inlineStr">
        <is>
          <t>NON</t>
        </is>
      </c>
      <c r="O4360" s="51" t="inlineStr"/>
    </row>
    <row r="4361" customFormat="1" s="3">
      <c r="A4361" s="51" t="n"/>
      <c r="B4361" s="52" t="inlineStr">
        <is>
          <t>42746</t>
        </is>
      </c>
      <c r="C4361" s="52">
        <f>LEFT(Tableau1[[#This Row],[Formacode]],3)</f>
        <v/>
      </c>
      <c r="D4361" s="53" t="n">
        <v>35863</v>
      </c>
      <c r="E4361" s="54">
        <f>"RNCP"&amp;D4361</f>
        <v/>
      </c>
      <c r="F4361" s="54" t="inlineStr">
        <is>
          <t>Sommelier-conseil, caviste</t>
        </is>
      </c>
      <c r="G4361" s="55">
        <f>E4361&amp;" - "&amp;F4361</f>
        <v/>
      </c>
      <c r="H4361" s="37" t="inlineStr">
        <is>
          <t>À vérifier</t>
        </is>
      </c>
      <c r="I4361" s="51" t="inlineStr">
        <is>
          <t>Échéance le 15/09/2026 (dans 59 j)</t>
        </is>
      </c>
      <c r="J4361" s="51" t="inlineStr">
        <is>
          <t>RNCP35863</t>
        </is>
      </c>
      <c r="K4361" s="51" t="inlineStr">
        <is>
          <t>Sommelier-conseil, caviste</t>
        </is>
      </c>
      <c r="L4361" s="51" t="inlineStr">
        <is>
          <t>15/09/2026</t>
        </is>
      </c>
      <c r="M4361" s="51" t="inlineStr">
        <is>
          <t>21511 (Dégustation vin) ; 21540 (Commercialisation vin spiritueux) ; 34513 (Vente vin spiritueux) ; 42739 (Sommellerie)</t>
        </is>
      </c>
      <c r="N4361" s="62" t="inlineStr">
        <is>
          <t>NON</t>
        </is>
      </c>
      <c r="O4361" s="51" t="inlineStr"/>
    </row>
    <row r="4362" customFormat="1" s="3">
      <c r="A4362" s="45" t="n"/>
      <c r="B4362" s="46" t="inlineStr">
        <is>
          <t>42746</t>
        </is>
      </c>
      <c r="C4362" s="46">
        <f>LEFT(Tableau1[[#This Row],[Formacode]],3)</f>
        <v/>
      </c>
      <c r="D4362" s="47" t="n">
        <v>37382</v>
      </c>
      <c r="E4362" s="48">
        <f>"RNCP"&amp;D4362</f>
        <v/>
      </c>
      <c r="F4362" s="48" t="inlineStr">
        <is>
          <t>Certificat de spécialisation - Sommellerie</t>
        </is>
      </c>
      <c r="G4362" s="49">
        <f>E4362&amp;" - "&amp;F4362</f>
        <v/>
      </c>
      <c r="H4362" s="36" t="inlineStr">
        <is>
          <t>RAS</t>
        </is>
      </c>
      <c r="I4362" s="45" t="inlineStr"/>
      <c r="J4362" s="45" t="inlineStr">
        <is>
          <t>RNCP37382</t>
        </is>
      </c>
      <c r="K4362" s="45" t="inlineStr">
        <is>
          <t>Sommellerie</t>
        </is>
      </c>
      <c r="L4362" s="45" t="inlineStr">
        <is>
          <t>31/08/2028</t>
        </is>
      </c>
      <c r="M4362" s="45" t="inlineStr">
        <is>
          <t>42739 (Sommellerie)</t>
        </is>
      </c>
      <c r="N4362" s="50" t="inlineStr">
        <is>
          <t>NON</t>
        </is>
      </c>
      <c r="O4362" s="45" t="inlineStr"/>
    </row>
    <row r="4363" customFormat="1" s="3">
      <c r="A4363" s="45" t="n"/>
      <c r="B4363" s="46" t="inlineStr">
        <is>
          <t>42746</t>
        </is>
      </c>
      <c r="C4363" s="46">
        <f>LEFT(Tableau1[[#This Row],[Formacode]],3)</f>
        <v/>
      </c>
      <c r="D4363" s="47" t="n">
        <v>37384</v>
      </c>
      <c r="E4363" s="48">
        <f>"RNCP"&amp;D4363</f>
        <v/>
      </c>
      <c r="F4363" s="48" t="inlineStr">
        <is>
          <t>Brevet professionnel - Sommelier</t>
        </is>
      </c>
      <c r="G4363" s="49">
        <f>E4363&amp;" - "&amp;F4363</f>
        <v/>
      </c>
      <c r="H4363" s="36" t="inlineStr">
        <is>
          <t>RAS</t>
        </is>
      </c>
      <c r="I4363" s="45" t="inlineStr"/>
      <c r="J4363" s="45" t="inlineStr">
        <is>
          <t>RNCP37384</t>
        </is>
      </c>
      <c r="K4363" s="45" t="inlineStr">
        <is>
          <t>Sommelier</t>
        </is>
      </c>
      <c r="L4363" s="45" t="inlineStr">
        <is>
          <t>01/09/2028</t>
        </is>
      </c>
      <c r="M4363" s="45" t="inlineStr">
        <is>
          <t>42739 (Sommellerie) ; 42757 (Service salle)</t>
        </is>
      </c>
      <c r="N4363" s="50" t="inlineStr">
        <is>
          <t>NON</t>
        </is>
      </c>
      <c r="O4363" s="45" t="inlineStr"/>
    </row>
    <row r="4364" customFormat="1" s="3">
      <c r="A4364" s="51" t="n"/>
      <c r="B4364" s="52" t="inlineStr">
        <is>
          <t>42746</t>
        </is>
      </c>
      <c r="C4364" s="52">
        <f>LEFT(Tableau1[[#This Row],[Formacode]],3)</f>
        <v/>
      </c>
      <c r="D4364" s="53" t="n">
        <v>37492</v>
      </c>
      <c r="E4364" s="54">
        <f>"RNCP"&amp;D4364</f>
        <v/>
      </c>
      <c r="F4364" s="54" t="inlineStr">
        <is>
          <t>Brevet professionnel - barman</t>
        </is>
      </c>
      <c r="G4364" s="55">
        <f>E4364&amp;" - "&amp;F4364</f>
        <v/>
      </c>
      <c r="H4364" s="37" t="inlineStr">
        <is>
          <t>À vérifier</t>
        </is>
      </c>
      <c r="I4364" s="51" t="inlineStr">
        <is>
          <t>Échéance le 31/08/2026 (dans 44 j)</t>
        </is>
      </c>
      <c r="J4364" s="51" t="inlineStr">
        <is>
          <t>RNCP37492</t>
        </is>
      </c>
      <c r="K4364" s="51" t="inlineStr">
        <is>
          <t>barman</t>
        </is>
      </c>
      <c r="L4364" s="51" t="inlineStr">
        <is>
          <t>31/08/2026</t>
        </is>
      </c>
      <c r="M4364" s="51" t="inlineStr">
        <is>
          <t>42757 (Service salle) ; 42723 (Bar)</t>
        </is>
      </c>
      <c r="N4364" s="62" t="inlineStr">
        <is>
          <t>NON</t>
        </is>
      </c>
      <c r="O4364" s="51" t="inlineStr"/>
    </row>
    <row r="4365" customFormat="1" s="3">
      <c r="A4365" s="51" t="n"/>
      <c r="B4365" s="52" t="inlineStr">
        <is>
          <t>42746</t>
        </is>
      </c>
      <c r="C4365" s="52">
        <f>LEFT(Tableau1[[#This Row],[Formacode]],3)</f>
        <v/>
      </c>
      <c r="D4365" s="53" t="n">
        <v>37719</v>
      </c>
      <c r="E4365" s="54">
        <f>"RNCP"&amp;D4365</f>
        <v/>
      </c>
      <c r="F4365" s="54" t="inlineStr">
        <is>
          <t>DIPLOVIS - Diplôme en management international de l'hôtellerie et de la restauration</t>
        </is>
      </c>
      <c r="G4365" s="55">
        <f>E4365&amp;" - "&amp;F4365</f>
        <v/>
      </c>
      <c r="H4365" s="37" t="inlineStr">
        <is>
          <t>À vérifier</t>
        </is>
      </c>
      <c r="I4365" s="51" t="inlineStr">
        <is>
          <t>Échéance le 31/08/2026 (dans 44 j)</t>
        </is>
      </c>
      <c r="J4365" s="51" t="inlineStr">
        <is>
          <t>RNCP37719</t>
        </is>
      </c>
      <c r="K4365" s="51" t="inlineStr">
        <is>
          <t>Diplôme en management international de l'hôtellerie et de la restauration</t>
        </is>
      </c>
      <c r="L4365" s="51" t="inlineStr">
        <is>
          <t>31/08/2026</t>
        </is>
      </c>
      <c r="M4365" s="51" t="inlineStr">
        <is>
          <t>32054 (Gestion des organisations) ; 42754 (Hôtellerie restauration) ; 42627 (Gestion entreprise touristique)</t>
        </is>
      </c>
      <c r="N4365" s="62" t="inlineStr">
        <is>
          <t>NON</t>
        </is>
      </c>
      <c r="O4365" s="51" t="inlineStr"/>
    </row>
    <row r="4366" customFormat="1" s="3">
      <c r="A4366" s="45" t="n"/>
      <c r="B4366" s="46" t="inlineStr">
        <is>
          <t>42746</t>
        </is>
      </c>
      <c r="C4366" s="46">
        <f>LEFT(Tableau1[[#This Row],[Formacode]],3)</f>
        <v/>
      </c>
      <c r="D4366" s="47" t="n">
        <v>37909</v>
      </c>
      <c r="E4366" s="48">
        <f>"RNCP"&amp;D4366</f>
        <v/>
      </c>
      <c r="F4366" s="48" t="inlineStr">
        <is>
          <t>Baccalauréat professionnel - Commercialisation et services en restauration</t>
        </is>
      </c>
      <c r="G4366" s="49">
        <f>E4366&amp;" - "&amp;F4366</f>
        <v/>
      </c>
      <c r="H4366" s="36" t="inlineStr">
        <is>
          <t>RAS</t>
        </is>
      </c>
      <c r="I4366" s="45" t="inlineStr"/>
      <c r="J4366" s="45" t="inlineStr">
        <is>
          <t>RNCP37909</t>
        </is>
      </c>
      <c r="K4366" s="45" t="inlineStr">
        <is>
          <t>Commercialisation et services en restauration</t>
        </is>
      </c>
      <c r="L4366" s="45" t="inlineStr">
        <is>
          <t>31/08/2028</t>
        </is>
      </c>
      <c r="M4366" s="45" t="inlineStr">
        <is>
          <t>42746 (Restauration)</t>
        </is>
      </c>
      <c r="N4366" s="50" t="inlineStr">
        <is>
          <t>NON</t>
        </is>
      </c>
      <c r="O4366" s="45" t="inlineStr"/>
    </row>
    <row r="4367" customFormat="1" s="3">
      <c r="A4367" s="45" t="n"/>
      <c r="B4367" s="46" t="inlineStr">
        <is>
          <t>42746</t>
        </is>
      </c>
      <c r="C4367" s="46">
        <f>LEFT(Tableau1[[#This Row],[Formacode]],3)</f>
        <v/>
      </c>
      <c r="D4367" s="47" t="n">
        <v>37922</v>
      </c>
      <c r="E4367" s="48">
        <f>"RNCP"&amp;D4367</f>
        <v/>
      </c>
      <c r="F4367" s="48" t="inlineStr">
        <is>
          <t>Certificat de spécialisation - Organisateur de réceptions</t>
        </is>
      </c>
      <c r="G4367" s="49">
        <f>E4367&amp;" - "&amp;F4367</f>
        <v/>
      </c>
      <c r="H4367" s="36" t="inlineStr">
        <is>
          <t>RAS</t>
        </is>
      </c>
      <c r="I4367" s="45" t="inlineStr"/>
      <c r="J4367" s="45" t="inlineStr">
        <is>
          <t>RNCP37922</t>
        </is>
      </c>
      <c r="K4367" s="45" t="inlineStr">
        <is>
          <t>Organisateur de réceptions</t>
        </is>
      </c>
      <c r="L4367" s="45" t="inlineStr">
        <is>
          <t>31/08/2028</t>
        </is>
      </c>
      <c r="M4367" s="45" t="inlineStr">
        <is>
          <t>42008 (Organisation événement) ; 42754 (Hôtellerie restauration)</t>
        </is>
      </c>
      <c r="N4367" s="50" t="inlineStr">
        <is>
          <t>NON</t>
        </is>
      </c>
      <c r="O4367" s="45" t="inlineStr"/>
    </row>
    <row r="4368" customFormat="1" s="3">
      <c r="A4368" s="45" t="n"/>
      <c r="B4368" s="46" t="inlineStr">
        <is>
          <t>42746</t>
        </is>
      </c>
      <c r="C4368" s="46">
        <f>LEFT(Tableau1[[#This Row],[Formacode]],3)</f>
        <v/>
      </c>
      <c r="D4368" s="47" t="n">
        <v>37927</v>
      </c>
      <c r="E4368" s="48">
        <f>"RNCP"&amp;D4368</f>
        <v/>
      </c>
      <c r="F4368" s="48" t="inlineStr">
        <is>
          <t>BAC PRO - Poissonnier - écailler - traiteur</t>
        </is>
      </c>
      <c r="G4368" s="49">
        <f>E4368&amp;" - "&amp;F4368</f>
        <v/>
      </c>
      <c r="H4368" s="36" t="inlineStr">
        <is>
          <t>RAS</t>
        </is>
      </c>
      <c r="I4368" s="45" t="inlineStr"/>
      <c r="J4368" s="45" t="inlineStr">
        <is>
          <t>RNCP37927</t>
        </is>
      </c>
      <c r="K4368" s="45" t="inlineStr">
        <is>
          <t>Poissonnier - écailler - traiteur</t>
        </is>
      </c>
      <c r="L4368" s="45" t="inlineStr">
        <is>
          <t>31/08/2028</t>
        </is>
      </c>
      <c r="M4368" s="45" t="inlineStr">
        <is>
          <t>21576 (Traiteur) ; 34506 (Vente produit mer) ; 42759 (Écailler) ; 42712 (Cuisine poisson)</t>
        </is>
      </c>
      <c r="N4368" s="50" t="inlineStr">
        <is>
          <t>NON</t>
        </is>
      </c>
      <c r="O4368" s="45" t="inlineStr"/>
    </row>
    <row r="4369" ht="28.8" customFormat="1" customHeight="1" s="3">
      <c r="A4369" s="45" t="n"/>
      <c r="B4369" s="46" t="inlineStr">
        <is>
          <t>42746</t>
        </is>
      </c>
      <c r="C4369" s="46">
        <f>LEFT(Tableau1[[#This Row],[Formacode]],3)</f>
        <v/>
      </c>
      <c r="D4369" s="47" t="n">
        <v>38424</v>
      </c>
      <c r="E4369" s="48">
        <f>"RNCP"&amp;D4369</f>
        <v/>
      </c>
      <c r="F4369" s="48" t="inlineStr">
        <is>
          <t>Certificat d'aptitude professionnelle - Commercialisation et services en hôtel-café-restaurant</t>
        </is>
      </c>
      <c r="G4369" s="49">
        <f>E4369&amp;" - "&amp;F4369</f>
        <v/>
      </c>
      <c r="H4369" s="36" t="inlineStr">
        <is>
          <t>RAS</t>
        </is>
      </c>
      <c r="I4369" s="45" t="inlineStr"/>
      <c r="J4369" s="45" t="inlineStr">
        <is>
          <t>RNCP38424</t>
        </is>
      </c>
      <c r="K4369" s="45" t="inlineStr">
        <is>
          <t>Commercialisation et services en hôtel-café-restaurant</t>
        </is>
      </c>
      <c r="L4369" s="45" t="inlineStr">
        <is>
          <t>31/08/2029</t>
        </is>
      </c>
      <c r="M4369" s="45" t="inlineStr">
        <is>
          <t>42788 (Service réception) ; 42757 (Service salle) ; 42786 (Service étage)</t>
        </is>
      </c>
      <c r="N4369" s="50" t="inlineStr">
        <is>
          <t>NON</t>
        </is>
      </c>
      <c r="O4369" s="45" t="inlineStr"/>
    </row>
    <row r="4370" customFormat="1" s="3">
      <c r="A4370" s="45" t="n"/>
      <c r="B4370" s="46" t="inlineStr">
        <is>
          <t>42746</t>
        </is>
      </c>
      <c r="C4370" s="46">
        <f>LEFT(Tableau1[[#This Row],[Formacode]],3)</f>
        <v/>
      </c>
      <c r="D4370" s="47" t="n">
        <v>38429</v>
      </c>
      <c r="E4370" s="48">
        <f>"RNCP"&amp;D4370</f>
        <v/>
      </c>
      <c r="F4370" s="48" t="inlineStr">
        <is>
          <t>Brevet professionnel - Arts du service et commercialisation en restauration</t>
        </is>
      </c>
      <c r="G4370" s="49">
        <f>E4370&amp;" - "&amp;F4370</f>
        <v/>
      </c>
      <c r="H4370" s="36" t="inlineStr">
        <is>
          <t>RAS</t>
        </is>
      </c>
      <c r="I4370" s="45" t="inlineStr"/>
      <c r="J4370" s="45" t="inlineStr">
        <is>
          <t>RNCP38429</t>
        </is>
      </c>
      <c r="K4370" s="45" t="inlineStr">
        <is>
          <t>Arts du service et commercialisation en restauration</t>
        </is>
      </c>
      <c r="L4370" s="45" t="inlineStr">
        <is>
          <t>31/08/2029</t>
        </is>
      </c>
      <c r="M4370" s="45" t="inlineStr">
        <is>
          <t>42746 (Restauration)</t>
        </is>
      </c>
      <c r="N4370" s="50" t="inlineStr">
        <is>
          <t>NON</t>
        </is>
      </c>
      <c r="O4370" s="45" t="inlineStr"/>
    </row>
    <row r="4371" customFormat="1" s="3">
      <c r="A4371" s="51" t="n"/>
      <c r="B4371" s="52" t="inlineStr">
        <is>
          <t>42746</t>
        </is>
      </c>
      <c r="C4371" s="52">
        <f>LEFT(Tableau1[[#This Row],[Formacode]],3)</f>
        <v/>
      </c>
      <c r="D4371" s="53" t="n">
        <v>39534</v>
      </c>
      <c r="E4371" s="54">
        <f>"RNCP"&amp;D4371</f>
        <v/>
      </c>
      <c r="F4371" s="54" t="inlineStr">
        <is>
          <t>TP - Serveur en restauration</t>
        </is>
      </c>
      <c r="G4371" s="55">
        <f>E4371&amp;" - "&amp;F4371</f>
        <v/>
      </c>
      <c r="H4371" s="37" t="inlineStr">
        <is>
          <t>À vérifier</t>
        </is>
      </c>
      <c r="I4371" s="51" t="inlineStr">
        <is>
          <t>Échéance le 07/01/2027 (dans 173 j)</t>
        </is>
      </c>
      <c r="J4371" s="51" t="inlineStr">
        <is>
          <t>RNCP39534</t>
        </is>
      </c>
      <c r="K4371" s="51" t="inlineStr">
        <is>
          <t>Serveur en restauration</t>
        </is>
      </c>
      <c r="L4371" s="51" t="inlineStr">
        <is>
          <t>07/01/2027</t>
        </is>
      </c>
      <c r="M4371" s="51" t="inlineStr">
        <is>
          <t>42757 (Service salle) ; 42716 (Café brasserie)</t>
        </is>
      </c>
      <c r="N4371" s="62" t="inlineStr">
        <is>
          <t>NON</t>
        </is>
      </c>
      <c r="O4371" s="51" t="inlineStr"/>
    </row>
    <row r="4372" customFormat="1" s="3">
      <c r="A4372" s="45" t="n"/>
      <c r="B4372" s="46" t="inlineStr">
        <is>
          <t>42746</t>
        </is>
      </c>
      <c r="C4372" s="46">
        <f>LEFT(Tableau1[[#This Row],[Formacode]],3)</f>
        <v/>
      </c>
      <c r="D4372" s="47" t="n">
        <v>41647</v>
      </c>
      <c r="E4372" s="48">
        <f>"RNCP"&amp;D4372</f>
        <v/>
      </c>
      <c r="F4372" s="48" t="inlineStr">
        <is>
          <t>Cuisinier</t>
        </is>
      </c>
      <c r="G4372" s="49">
        <f>E4372&amp;" - "&amp;F4372</f>
        <v/>
      </c>
      <c r="H4372" s="36" t="inlineStr">
        <is>
          <t>RAS</t>
        </is>
      </c>
      <c r="I4372" s="45" t="inlineStr"/>
      <c r="J4372" s="45" t="inlineStr">
        <is>
          <t>RNCP41647</t>
        </is>
      </c>
      <c r="K4372" s="45" t="inlineStr">
        <is>
          <t>Cuisinier</t>
        </is>
      </c>
      <c r="L4372" s="45" t="inlineStr">
        <is>
          <t>27/11/2030</t>
        </is>
      </c>
      <c r="M4372" s="45" t="inlineStr">
        <is>
          <t>42746 (Restauration) ; 42742 (Spécialisation cuisine) ; 42725 (Restauration rapide) ; 42782 (Gestion cuisine)</t>
        </is>
      </c>
      <c r="N4372" s="50" t="inlineStr">
        <is>
          <t>NON</t>
        </is>
      </c>
      <c r="O4372" s="45" t="inlineStr"/>
    </row>
    <row r="4373" customFormat="1" s="3">
      <c r="A4373" s="51" t="n"/>
      <c r="B4373" s="52" t="inlineStr">
        <is>
          <t>42752</t>
        </is>
      </c>
      <c r="C4373" s="52">
        <f>LEFT(Tableau1[[#This Row],[Formacode]],3)</f>
        <v/>
      </c>
      <c r="D4373" s="53" t="n">
        <v>37719</v>
      </c>
      <c r="E4373" s="54">
        <f>"RNCP"&amp;D4373</f>
        <v/>
      </c>
      <c r="F4373" s="54" t="inlineStr">
        <is>
          <t>DIPLOVIS - Diplôme en management international de l'hôtellerie et de la restauration</t>
        </is>
      </c>
      <c r="G4373" s="55">
        <f>E4373&amp;" - "&amp;F4373</f>
        <v/>
      </c>
      <c r="H4373" s="37" t="inlineStr">
        <is>
          <t>À vérifier</t>
        </is>
      </c>
      <c r="I4373" s="51" t="inlineStr">
        <is>
          <t>Échéance le 31/08/2026 (dans 44 j)</t>
        </is>
      </c>
      <c r="J4373" s="51" t="inlineStr">
        <is>
          <t>RNCP37719</t>
        </is>
      </c>
      <c r="K4373" s="51" t="inlineStr">
        <is>
          <t>Diplôme en management international de l'hôtellerie et de la restauration</t>
        </is>
      </c>
      <c r="L4373" s="51" t="inlineStr">
        <is>
          <t>31/08/2026</t>
        </is>
      </c>
      <c r="M4373" s="51" t="inlineStr">
        <is>
          <t>32054 (Gestion des organisations) ; 42754 (Hôtellerie restauration) ; 42627 (Gestion entreprise touristique)</t>
        </is>
      </c>
      <c r="N4373" s="62" t="inlineStr">
        <is>
          <t>NON</t>
        </is>
      </c>
      <c r="O4373" s="51" t="inlineStr"/>
    </row>
    <row r="4374" customFormat="1" s="3">
      <c r="A4374" s="45" t="n"/>
      <c r="B4374" s="46" t="inlineStr">
        <is>
          <t>42752</t>
        </is>
      </c>
      <c r="C4374" s="46">
        <f>LEFT(Tableau1[[#This Row],[Formacode]],3)</f>
        <v/>
      </c>
      <c r="D4374" s="47" t="n">
        <v>37910</v>
      </c>
      <c r="E4374" s="48">
        <f>"RNCP"&amp;D4374</f>
        <v/>
      </c>
      <c r="F4374" s="48" t="inlineStr">
        <is>
          <t>BAC PRO - Cuisine</t>
        </is>
      </c>
      <c r="G4374" s="49">
        <f>E4374&amp;" - "&amp;F4374</f>
        <v/>
      </c>
      <c r="H4374" s="36" t="inlineStr">
        <is>
          <t>RAS</t>
        </is>
      </c>
      <c r="I4374" s="45" t="inlineStr"/>
      <c r="J4374" s="45" t="inlineStr">
        <is>
          <t>RNCP37910</t>
        </is>
      </c>
      <c r="K4374" s="45" t="inlineStr">
        <is>
          <t>Cuisine</t>
        </is>
      </c>
      <c r="L4374" s="45" t="inlineStr">
        <is>
          <t>31/08/2028</t>
        </is>
      </c>
      <c r="M4374" s="45" t="inlineStr">
        <is>
          <t>42752 (Cuisine)</t>
        </is>
      </c>
      <c r="N4374" s="50" t="inlineStr">
        <is>
          <t>NON</t>
        </is>
      </c>
      <c r="O4374" s="45" t="inlineStr"/>
    </row>
    <row r="4375" customFormat="1" s="3">
      <c r="A4375" s="45" t="n"/>
      <c r="B4375" s="46" t="inlineStr">
        <is>
          <t>42752</t>
        </is>
      </c>
      <c r="C4375" s="46">
        <f>LEFT(Tableau1[[#This Row],[Formacode]],3)</f>
        <v/>
      </c>
      <c r="D4375" s="47" t="n">
        <v>37922</v>
      </c>
      <c r="E4375" s="48">
        <f>"RNCP"&amp;D4375</f>
        <v/>
      </c>
      <c r="F4375" s="48" t="inlineStr">
        <is>
          <t>Certificat de spécialisation - Organisateur de réceptions</t>
        </is>
      </c>
      <c r="G4375" s="49">
        <f>E4375&amp;" - "&amp;F4375</f>
        <v/>
      </c>
      <c r="H4375" s="36" t="inlineStr">
        <is>
          <t>RAS</t>
        </is>
      </c>
      <c r="I4375" s="45" t="inlineStr"/>
      <c r="J4375" s="45" t="inlineStr">
        <is>
          <t>RNCP37922</t>
        </is>
      </c>
      <c r="K4375" s="45" t="inlineStr">
        <is>
          <t>Organisateur de réceptions</t>
        </is>
      </c>
      <c r="L4375" s="45" t="inlineStr">
        <is>
          <t>31/08/2028</t>
        </is>
      </c>
      <c r="M4375" s="45" t="inlineStr">
        <is>
          <t>42008 (Organisation événement) ; 42754 (Hôtellerie restauration)</t>
        </is>
      </c>
      <c r="N4375" s="50" t="inlineStr">
        <is>
          <t>NON</t>
        </is>
      </c>
      <c r="O4375" s="45" t="inlineStr"/>
    </row>
    <row r="4376" customFormat="1" s="3">
      <c r="A4376" s="45" t="n"/>
      <c r="B4376" s="46" t="inlineStr">
        <is>
          <t>42752</t>
        </is>
      </c>
      <c r="C4376" s="46">
        <f>LEFT(Tableau1[[#This Row],[Formacode]],3)</f>
        <v/>
      </c>
      <c r="D4376" s="47" t="n">
        <v>37927</v>
      </c>
      <c r="E4376" s="48">
        <f>"RNCP"&amp;D4376</f>
        <v/>
      </c>
      <c r="F4376" s="48" t="inlineStr">
        <is>
          <t>BAC PRO - Poissonnier - écailler - traiteur</t>
        </is>
      </c>
      <c r="G4376" s="49">
        <f>E4376&amp;" - "&amp;F4376</f>
        <v/>
      </c>
      <c r="H4376" s="36" t="inlineStr">
        <is>
          <t>RAS</t>
        </is>
      </c>
      <c r="I4376" s="45" t="inlineStr"/>
      <c r="J4376" s="45" t="inlineStr">
        <is>
          <t>RNCP37927</t>
        </is>
      </c>
      <c r="K4376" s="45" t="inlineStr">
        <is>
          <t>Poissonnier - écailler - traiteur</t>
        </is>
      </c>
      <c r="L4376" s="45" t="inlineStr">
        <is>
          <t>31/08/2028</t>
        </is>
      </c>
      <c r="M4376" s="45" t="inlineStr">
        <is>
          <t>21576 (Traiteur) ; 34506 (Vente produit mer) ; 42759 (Écailler) ; 42712 (Cuisine poisson)</t>
        </is>
      </c>
      <c r="N4376" s="50" t="inlineStr">
        <is>
          <t>NON</t>
        </is>
      </c>
      <c r="O4376" s="45" t="inlineStr"/>
    </row>
    <row r="4377" customFormat="1" s="3">
      <c r="A4377" s="51" t="n"/>
      <c r="B4377" s="52" t="inlineStr">
        <is>
          <t>42752</t>
        </is>
      </c>
      <c r="C4377" s="52">
        <f>LEFT(Tableau1[[#This Row],[Formacode]],3)</f>
        <v/>
      </c>
      <c r="D4377" s="53" t="n">
        <v>37932</v>
      </c>
      <c r="E4377" s="54">
        <f>"RNCP"&amp;D4377</f>
        <v/>
      </c>
      <c r="F4377" s="54" t="inlineStr">
        <is>
          <t>DIPLOVIS - Diplôme en Management International des Arts Culinaires</t>
        </is>
      </c>
      <c r="G4377" s="55">
        <f>E4377&amp;" - "&amp;F4377</f>
        <v/>
      </c>
      <c r="H4377" s="37" t="inlineStr">
        <is>
          <t>À vérifier</t>
        </is>
      </c>
      <c r="I4377" s="51" t="inlineStr">
        <is>
          <t>Successeur déjà publié : RNCP42267 (DIPLOVIS - Diplôme en management international des arts culinaires) — préparer la bascule de l'offre CPF | Échéance le 31/08/2026 (dans 44 j)</t>
        </is>
      </c>
      <c r="J4377" s="51" t="inlineStr">
        <is>
          <t>RNCP42267</t>
        </is>
      </c>
      <c r="K4377" s="51" t="inlineStr">
        <is>
          <t>DIPLOVIS - Diplôme en management international des arts culinaires</t>
        </is>
      </c>
      <c r="L4377" s="51" t="inlineStr">
        <is>
          <t>31/08/2026</t>
        </is>
      </c>
      <c r="M4377" s="51" t="inlineStr">
        <is>
          <t>42782 (Gestion cuisine) ; 42760 (Gastronomie) ; 42766 (Gestion hôtel restaurant bar) ; 32054 (Gestion des organisations)</t>
        </is>
      </c>
      <c r="N4377" s="62" t="inlineStr">
        <is>
          <t>NON</t>
        </is>
      </c>
      <c r="O4377" s="51" t="inlineStr"/>
    </row>
    <row r="4378" customFormat="1" s="3">
      <c r="A4378" s="45" t="n"/>
      <c r="B4378" s="46" t="inlineStr">
        <is>
          <t>42752</t>
        </is>
      </c>
      <c r="C4378" s="46">
        <f>LEFT(Tableau1[[#This Row],[Formacode]],3)</f>
        <v/>
      </c>
      <c r="D4378" s="47" t="n">
        <v>38430</v>
      </c>
      <c r="E4378" s="48">
        <f>"RNCP"&amp;D4378</f>
        <v/>
      </c>
      <c r="F4378" s="48" t="inlineStr">
        <is>
          <t>CAP - Cuisine</t>
        </is>
      </c>
      <c r="G4378" s="49">
        <f>E4378&amp;" - "&amp;F4378</f>
        <v/>
      </c>
      <c r="H4378" s="36" t="inlineStr">
        <is>
          <t>RAS</t>
        </is>
      </c>
      <c r="I4378" s="45" t="inlineStr"/>
      <c r="J4378" s="45" t="inlineStr">
        <is>
          <t>RNCP38430</t>
        </is>
      </c>
      <c r="K4378" s="45" t="inlineStr">
        <is>
          <t>Cuisine</t>
        </is>
      </c>
      <c r="L4378" s="45" t="inlineStr">
        <is>
          <t>31/08/2029</t>
        </is>
      </c>
      <c r="M4378" s="45" t="inlineStr">
        <is>
          <t>42752 (Cuisine)</t>
        </is>
      </c>
      <c r="N4378" s="50" t="inlineStr">
        <is>
          <t>NON</t>
        </is>
      </c>
      <c r="O4378" s="45" t="inlineStr"/>
    </row>
    <row r="4379" customFormat="1" s="3">
      <c r="A4379" s="45" t="n"/>
      <c r="B4379" s="46" t="inlineStr">
        <is>
          <t>42752</t>
        </is>
      </c>
      <c r="C4379" s="46">
        <f>LEFT(Tableau1[[#This Row],[Formacode]],3)</f>
        <v/>
      </c>
      <c r="D4379" s="47" t="n">
        <v>38431</v>
      </c>
      <c r="E4379" s="48">
        <f>"RNCP"&amp;D4379</f>
        <v/>
      </c>
      <c r="F4379" s="48" t="inlineStr">
        <is>
          <t>Brevet professionnel - Arts de la cuisine</t>
        </is>
      </c>
      <c r="G4379" s="49">
        <f>E4379&amp;" - "&amp;F4379</f>
        <v/>
      </c>
      <c r="H4379" s="36" t="inlineStr">
        <is>
          <t>RAS</t>
        </is>
      </c>
      <c r="I4379" s="45" t="inlineStr"/>
      <c r="J4379" s="45" t="inlineStr">
        <is>
          <t>RNCP38431</t>
        </is>
      </c>
      <c r="K4379" s="45" t="inlineStr">
        <is>
          <t>Arts de la cuisine</t>
        </is>
      </c>
      <c r="L4379" s="45" t="inlineStr">
        <is>
          <t>31/08/2029</t>
        </is>
      </c>
      <c r="M4379" s="45" t="inlineStr">
        <is>
          <t>42760 (Gastronomie) ; 42782 (Gestion cuisine)</t>
        </is>
      </c>
      <c r="N4379" s="50" t="inlineStr">
        <is>
          <t>NON</t>
        </is>
      </c>
      <c r="O4379" s="45" t="inlineStr"/>
    </row>
    <row r="4380" customFormat="1" s="3">
      <c r="A4380" s="45" t="n"/>
      <c r="B4380" s="46" t="inlineStr">
        <is>
          <t>42752</t>
        </is>
      </c>
      <c r="C4380" s="46">
        <f>LEFT(Tableau1[[#This Row],[Formacode]],3)</f>
        <v/>
      </c>
      <c r="D4380" s="47" t="n">
        <v>38657</v>
      </c>
      <c r="E4380" s="48">
        <f>"RNCP"&amp;D4380</f>
        <v/>
      </c>
      <c r="F4380" s="48" t="inlineStr">
        <is>
          <t>CS - Restauration collective</t>
        </is>
      </c>
      <c r="G4380" s="49">
        <f>E4380&amp;" - "&amp;F4380</f>
        <v/>
      </c>
      <c r="H4380" s="36" t="inlineStr">
        <is>
          <t>RAS</t>
        </is>
      </c>
      <c r="I4380" s="45" t="inlineStr"/>
      <c r="J4380" s="45" t="inlineStr">
        <is>
          <t>RNCP38657</t>
        </is>
      </c>
      <c r="K4380" s="45" t="inlineStr">
        <is>
          <t>Restauration collective</t>
        </is>
      </c>
      <c r="L4380" s="45" t="inlineStr">
        <is>
          <t>01/01/2029</t>
        </is>
      </c>
      <c r="M4380" s="45" t="inlineStr">
        <is>
          <t>42708 (Cuisine collectivité)</t>
        </is>
      </c>
      <c r="N4380" s="50" t="inlineStr">
        <is>
          <t>NON</t>
        </is>
      </c>
      <c r="O4380" s="45" t="inlineStr"/>
    </row>
    <row r="4381" customFormat="1" s="3">
      <c r="A4381" s="45" t="n"/>
      <c r="B4381" s="46" t="inlineStr">
        <is>
          <t>42752</t>
        </is>
      </c>
      <c r="C4381" s="46">
        <f>LEFT(Tableau1[[#This Row],[Formacode]],3)</f>
        <v/>
      </c>
      <c r="D4381" s="47" t="n">
        <v>38663</v>
      </c>
      <c r="E4381" s="48">
        <f>"RNCP"&amp;D4381</f>
        <v/>
      </c>
      <c r="F4381" s="48" t="inlineStr">
        <is>
          <t>TP - Employé polyvalent en restauration</t>
        </is>
      </c>
      <c r="G4381" s="49">
        <f>E4381&amp;" - "&amp;F4381</f>
        <v/>
      </c>
      <c r="H4381" s="36" t="inlineStr">
        <is>
          <t>RAS</t>
        </is>
      </c>
      <c r="I4381" s="45" t="inlineStr"/>
      <c r="J4381" s="45" t="inlineStr">
        <is>
          <t>RNCP38663</t>
        </is>
      </c>
      <c r="K4381" s="45" t="inlineStr">
        <is>
          <t>Employé polyvalent en restauration</t>
        </is>
      </c>
      <c r="L4381" s="45" t="inlineStr">
        <is>
          <t>04/06/2029</t>
        </is>
      </c>
      <c r="M4381" s="45" t="inlineStr">
        <is>
          <t>42708 (Cuisine collectivité) ; 42725 (Restauration rapide) ; 42791 (Néocuisine) ; 42780 (Entretien cuisine)</t>
        </is>
      </c>
      <c r="N4381" s="50" t="inlineStr">
        <is>
          <t>NON</t>
        </is>
      </c>
      <c r="O4381" s="45" t="inlineStr"/>
    </row>
    <row r="4382" customFormat="1" s="3">
      <c r="A4382" s="45" t="n"/>
      <c r="B4382" s="46" t="inlineStr">
        <is>
          <t>42752</t>
        </is>
      </c>
      <c r="C4382" s="46">
        <f>LEFT(Tableau1[[#This Row],[Formacode]],3)</f>
        <v/>
      </c>
      <c r="D4382" s="47" t="n">
        <v>38722</v>
      </c>
      <c r="E4382" s="48">
        <f>"RNCP"&amp;D4382</f>
        <v/>
      </c>
      <c r="F4382" s="48" t="inlineStr">
        <is>
          <t>TP - Commis de cuisine</t>
        </is>
      </c>
      <c r="G4382" s="49">
        <f>E4382&amp;" - "&amp;F4382</f>
        <v/>
      </c>
      <c r="H4382" s="36" t="inlineStr">
        <is>
          <t>RAS</t>
        </is>
      </c>
      <c r="I4382" s="45" t="inlineStr"/>
      <c r="J4382" s="45" t="inlineStr">
        <is>
          <t>RNCP38722</t>
        </is>
      </c>
      <c r="K4382" s="45" t="inlineStr">
        <is>
          <t>Commis de cuisine</t>
        </is>
      </c>
      <c r="L4382" s="45" t="inlineStr">
        <is>
          <t>05/06/2029</t>
        </is>
      </c>
      <c r="M4382" s="45" t="inlineStr">
        <is>
          <t>42752 (Cuisine)</t>
        </is>
      </c>
      <c r="N4382" s="50" t="inlineStr">
        <is>
          <t>NON</t>
        </is>
      </c>
      <c r="O4382" s="45" t="inlineStr"/>
    </row>
    <row r="4383" customFormat="1" s="3">
      <c r="A4383" s="45" t="n"/>
      <c r="B4383" s="46" t="inlineStr">
        <is>
          <t>42752</t>
        </is>
      </c>
      <c r="C4383" s="46">
        <f>LEFT(Tableau1[[#This Row],[Formacode]],3)</f>
        <v/>
      </c>
      <c r="D4383" s="47" t="n">
        <v>38871</v>
      </c>
      <c r="E4383" s="48">
        <f>"RNCP"&amp;D4383</f>
        <v/>
      </c>
      <c r="F4383" s="48" t="inlineStr">
        <is>
          <t>TP - Cuisinier en restauration collective</t>
        </is>
      </c>
      <c r="G4383" s="49">
        <f>E4383&amp;" - "&amp;F4383</f>
        <v/>
      </c>
      <c r="H4383" s="36" t="inlineStr">
        <is>
          <t>RAS</t>
        </is>
      </c>
      <c r="I4383" s="45" t="inlineStr"/>
      <c r="J4383" s="45" t="inlineStr">
        <is>
          <t>RNCP38871</t>
        </is>
      </c>
      <c r="K4383" s="45" t="inlineStr">
        <is>
          <t>Cuisinier en restauration collective</t>
        </is>
      </c>
      <c r="L4383" s="45" t="inlineStr">
        <is>
          <t>01/06/2029</t>
        </is>
      </c>
      <c r="M4383" s="45" t="inlineStr">
        <is>
          <t>42708 (Cuisine collectivité) ; 42729 (Gestion restauration collective)</t>
        </is>
      </c>
      <c r="N4383" s="50" t="inlineStr">
        <is>
          <t>NON</t>
        </is>
      </c>
      <c r="O4383" s="45" t="inlineStr"/>
    </row>
    <row r="4384" customFormat="1" s="3">
      <c r="A4384" s="45" t="n"/>
      <c r="B4384" s="46" t="inlineStr">
        <is>
          <t>42752</t>
        </is>
      </c>
      <c r="C4384" s="46">
        <f>LEFT(Tableau1[[#This Row],[Formacode]],3)</f>
        <v/>
      </c>
      <c r="D4384" s="47" t="n">
        <v>39515</v>
      </c>
      <c r="E4384" s="48">
        <f>"RNCP"&amp;D4384</f>
        <v/>
      </c>
      <c r="F4384" s="48" t="inlineStr">
        <is>
          <t>TP - Chef de partie arts culinaires et pâtisserie</t>
        </is>
      </c>
      <c r="G4384" s="49">
        <f>E4384&amp;" - "&amp;F4384</f>
        <v/>
      </c>
      <c r="H4384" s="36" t="inlineStr">
        <is>
          <t>RAS</t>
        </is>
      </c>
      <c r="I4384" s="45" t="inlineStr"/>
      <c r="J4384" s="45" t="inlineStr">
        <is>
          <t>RNCP39515</t>
        </is>
      </c>
      <c r="K4384" s="45" t="inlineStr">
        <is>
          <t>Chef de partie arts culinaires et pâtisserie</t>
        </is>
      </c>
      <c r="L4384" s="45" t="inlineStr">
        <is>
          <t>31/08/2029</t>
        </is>
      </c>
      <c r="M4384" s="45" t="inlineStr">
        <is>
          <t>42710 (Cuisine dessert) ; 42791 (Néocuisine) ; 42780 (Entretien cuisine) ; 42760 (Gastronomie)</t>
        </is>
      </c>
      <c r="N4384" s="50" t="inlineStr">
        <is>
          <t>NON</t>
        </is>
      </c>
      <c r="O4384" s="45" t="inlineStr"/>
    </row>
    <row r="4385" customFormat="1" s="3">
      <c r="A4385" s="45" t="n"/>
      <c r="B4385" s="46" t="inlineStr">
        <is>
          <t>42752</t>
        </is>
      </c>
      <c r="C4385" s="46">
        <f>LEFT(Tableau1[[#This Row],[Formacode]],3)</f>
        <v/>
      </c>
      <c r="D4385" s="47" t="n">
        <v>40287</v>
      </c>
      <c r="E4385" s="48">
        <f>"RNCP"&amp;D4385</f>
        <v/>
      </c>
      <c r="F4385" s="48" t="inlineStr">
        <is>
          <t>Certificat de spécialisation - Desserts de restaurant</t>
        </is>
      </c>
      <c r="G4385" s="49">
        <f>E4385&amp;" - "&amp;F4385</f>
        <v/>
      </c>
      <c r="H4385" s="36" t="inlineStr">
        <is>
          <t>RAS</t>
        </is>
      </c>
      <c r="I4385" s="45" t="inlineStr"/>
      <c r="J4385" s="45" t="inlineStr">
        <is>
          <t>RNCP40287</t>
        </is>
      </c>
      <c r="K4385" s="45" t="inlineStr">
        <is>
          <t>Desserts de restaurant</t>
        </is>
      </c>
      <c r="L4385" s="45" t="inlineStr">
        <is>
          <t>31/08/2029</t>
        </is>
      </c>
      <c r="M4385" s="45" t="inlineStr">
        <is>
          <t>42710 (Cuisine dessert)</t>
        </is>
      </c>
      <c r="N4385" s="50" t="inlineStr">
        <is>
          <t>NON</t>
        </is>
      </c>
      <c r="O4385" s="45" t="inlineStr"/>
    </row>
    <row r="4386" customFormat="1" s="3">
      <c r="A4386" s="45" t="n"/>
      <c r="B4386" s="46" t="inlineStr">
        <is>
          <t>42752</t>
        </is>
      </c>
      <c r="C4386" s="46">
        <f>LEFT(Tableau1[[#This Row],[Formacode]],3)</f>
        <v/>
      </c>
      <c r="D4386" s="47" t="n">
        <v>41647</v>
      </c>
      <c r="E4386" s="48">
        <f>"RNCP"&amp;D4386</f>
        <v/>
      </c>
      <c r="F4386" s="48" t="inlineStr">
        <is>
          <t>Cuisinier</t>
        </is>
      </c>
      <c r="G4386" s="49">
        <f>E4386&amp;" - "&amp;F4386</f>
        <v/>
      </c>
      <c r="H4386" s="36" t="inlineStr">
        <is>
          <t>RAS</t>
        </is>
      </c>
      <c r="I4386" s="45" t="inlineStr"/>
      <c r="J4386" s="45" t="inlineStr">
        <is>
          <t>RNCP41647</t>
        </is>
      </c>
      <c r="K4386" s="45" t="inlineStr">
        <is>
          <t>Cuisinier</t>
        </is>
      </c>
      <c r="L4386" s="45" t="inlineStr">
        <is>
          <t>27/11/2030</t>
        </is>
      </c>
      <c r="M4386" s="45" t="inlineStr">
        <is>
          <t>42746 (Restauration) ; 42742 (Spécialisation cuisine) ; 42725 (Restauration rapide) ; 42782 (Gestion cuisine)</t>
        </is>
      </c>
      <c r="N4386" s="50" t="inlineStr">
        <is>
          <t>NON</t>
        </is>
      </c>
      <c r="O4386" s="45" t="inlineStr"/>
    </row>
    <row r="4387" customFormat="1" s="3">
      <c r="A4387" s="51" t="n"/>
      <c r="B4387" s="52" t="inlineStr">
        <is>
          <t>42756</t>
        </is>
      </c>
      <c r="C4387" s="52">
        <f>LEFT(Tableau1[[#This Row],[Formacode]],3)</f>
        <v/>
      </c>
      <c r="D4387" s="53" t="n">
        <v>37719</v>
      </c>
      <c r="E4387" s="54">
        <f>"RNCP"&amp;D4387</f>
        <v/>
      </c>
      <c r="F4387" s="54" t="inlineStr">
        <is>
          <t>DIPLOVIS - Diplôme en management international de l'hôtellerie et de la restauration</t>
        </is>
      </c>
      <c r="G4387" s="55">
        <f>E4387&amp;" - "&amp;F4387</f>
        <v/>
      </c>
      <c r="H4387" s="37" t="inlineStr">
        <is>
          <t>À vérifier</t>
        </is>
      </c>
      <c r="I4387" s="51" t="inlineStr">
        <is>
          <t>Échéance le 31/08/2026 (dans 44 j)</t>
        </is>
      </c>
      <c r="J4387" s="51" t="inlineStr">
        <is>
          <t>RNCP37719</t>
        </is>
      </c>
      <c r="K4387" s="51" t="inlineStr">
        <is>
          <t>Diplôme en management international de l'hôtellerie et de la restauration</t>
        </is>
      </c>
      <c r="L4387" s="51" t="inlineStr">
        <is>
          <t>31/08/2026</t>
        </is>
      </c>
      <c r="M4387" s="51" t="inlineStr">
        <is>
          <t>32054 (Gestion des organisations) ; 42754 (Hôtellerie restauration) ; 42627 (Gestion entreprise touristique)</t>
        </is>
      </c>
      <c r="N4387" s="62" t="inlineStr">
        <is>
          <t>NON</t>
        </is>
      </c>
      <c r="O4387" s="51" t="inlineStr"/>
    </row>
    <row r="4388" customFormat="1" s="3">
      <c r="A4388" s="45" t="n"/>
      <c r="B4388" s="46" t="inlineStr">
        <is>
          <t>42756</t>
        </is>
      </c>
      <c r="C4388" s="46">
        <f>LEFT(Tableau1[[#This Row],[Formacode]],3)</f>
        <v/>
      </c>
      <c r="D4388" s="47" t="n">
        <v>37922</v>
      </c>
      <c r="E4388" s="48">
        <f>"RNCP"&amp;D4388</f>
        <v/>
      </c>
      <c r="F4388" s="48" t="inlineStr">
        <is>
          <t>Certificat de spécialisation - Organisateur de réceptions</t>
        </is>
      </c>
      <c r="G4388" s="49">
        <f>E4388&amp;" - "&amp;F4388</f>
        <v/>
      </c>
      <c r="H4388" s="36" t="inlineStr">
        <is>
          <t>RAS</t>
        </is>
      </c>
      <c r="I4388" s="45" t="inlineStr"/>
      <c r="J4388" s="45" t="inlineStr">
        <is>
          <t>RNCP37922</t>
        </is>
      </c>
      <c r="K4388" s="45" t="inlineStr">
        <is>
          <t>Organisateur de réceptions</t>
        </is>
      </c>
      <c r="L4388" s="45" t="inlineStr">
        <is>
          <t>31/08/2028</t>
        </is>
      </c>
      <c r="M4388" s="45" t="inlineStr">
        <is>
          <t>42008 (Organisation événement) ; 42754 (Hôtellerie restauration)</t>
        </is>
      </c>
      <c r="N4388" s="50" t="inlineStr">
        <is>
          <t>NON</t>
        </is>
      </c>
      <c r="O4388" s="45" t="inlineStr"/>
    </row>
    <row r="4389" customFormat="1" s="3">
      <c r="A4389" s="63" t="n"/>
      <c r="B4389" s="64" t="inlineStr">
        <is>
          <t>42766</t>
        </is>
      </c>
      <c r="C4389" s="64">
        <f>LEFT(Tableau1[[#This Row],[Formacode]],3)</f>
        <v/>
      </c>
      <c r="D4389" s="65" t="n">
        <v>37433</v>
      </c>
      <c r="E4389" s="66">
        <f>"RNCP"&amp;D4389</f>
        <v/>
      </c>
      <c r="F4389" s="66" t="inlineStr">
        <is>
          <t>Manager dans le secteur hôtelier international</t>
        </is>
      </c>
      <c r="G4389" s="67">
        <f>E4389&amp;" - "&amp;F4389</f>
        <v/>
      </c>
      <c r="H4389" s="38" t="inlineStr">
        <is>
          <t>Expiré / remplacé</t>
        </is>
      </c>
      <c r="I4389" s="63" t="inlineStr">
        <is>
          <t>Fiche inactive — remplacée par RNCP41888 (Manager dans le secteur hôtelier international)</t>
        </is>
      </c>
      <c r="J4389" s="63" t="inlineStr">
        <is>
          <t>RNCP41888</t>
        </is>
      </c>
      <c r="K4389" s="63" t="inlineStr">
        <is>
          <t>Manager dans le secteur hôtelier international</t>
        </is>
      </c>
      <c r="L4389" s="63" t="inlineStr">
        <is>
          <t>27/03/2026</t>
        </is>
      </c>
      <c r="M4389" s="63" t="inlineStr">
        <is>
          <t>42766 (Gestion hôtel restaurant bar) ; 42627 (Gestion entreprise touristique)</t>
        </is>
      </c>
      <c r="N4389" s="68" t="inlineStr">
        <is>
          <t>NON</t>
        </is>
      </c>
      <c r="O4389" s="63" t="inlineStr"/>
    </row>
    <row r="4390" customFormat="1" s="3">
      <c r="A4390" s="51" t="n"/>
      <c r="B4390" s="52" t="inlineStr">
        <is>
          <t>42766</t>
        </is>
      </c>
      <c r="C4390" s="52">
        <f>LEFT(Tableau1[[#This Row],[Formacode]],3)</f>
        <v/>
      </c>
      <c r="D4390" s="53" t="n">
        <v>37719</v>
      </c>
      <c r="E4390" s="54">
        <f>"RNCP"&amp;D4390</f>
        <v/>
      </c>
      <c r="F4390" s="54" t="inlineStr">
        <is>
          <t>DIPLOVIS - Diplôme en management international de l'hôtellerie et de la restauration</t>
        </is>
      </c>
      <c r="G4390" s="55">
        <f>E4390&amp;" - "&amp;F4390</f>
        <v/>
      </c>
      <c r="H4390" s="37" t="inlineStr">
        <is>
          <t>À vérifier</t>
        </is>
      </c>
      <c r="I4390" s="51" t="inlineStr">
        <is>
          <t>Échéance le 31/08/2026 (dans 44 j)</t>
        </is>
      </c>
      <c r="J4390" s="51" t="inlineStr">
        <is>
          <t>RNCP37719</t>
        </is>
      </c>
      <c r="K4390" s="51" t="inlineStr">
        <is>
          <t>Diplôme en management international de l'hôtellerie et de la restauration</t>
        </is>
      </c>
      <c r="L4390" s="51" t="inlineStr">
        <is>
          <t>31/08/2026</t>
        </is>
      </c>
      <c r="M4390" s="51" t="inlineStr">
        <is>
          <t>32054 (Gestion des organisations) ; 42754 (Hôtellerie restauration) ; 42627 (Gestion entreprise touristique)</t>
        </is>
      </c>
      <c r="N4390" s="62" t="inlineStr">
        <is>
          <t>NON</t>
        </is>
      </c>
      <c r="O4390" s="51" t="inlineStr"/>
    </row>
    <row r="4391" ht="43.2" customFormat="1" customHeight="1" s="3">
      <c r="A4391" s="45" t="n"/>
      <c r="B4391" s="46" t="inlineStr">
        <is>
          <t>42766</t>
        </is>
      </c>
      <c r="C4391" s="46">
        <f>LEFT(Tableau1[[#This Row],[Formacode]],3)</f>
        <v/>
      </c>
      <c r="D4391" s="47" t="n">
        <v>37889</v>
      </c>
      <c r="E4391" s="48">
        <f>"RNCP"&amp;D4391</f>
        <v/>
      </c>
      <c r="F4391" s="48" t="inlineStr">
        <is>
          <t>BTS - Management en hôtellerie - restauration (option A : Management d'unité de restauration ; option B : Management d'unité de production culinaire ; option C : Management d'unité d'hébergement)</t>
        </is>
      </c>
      <c r="G4391" s="49">
        <f>E4391&amp;" - "&amp;F4391</f>
        <v/>
      </c>
      <c r="H4391" s="36" t="inlineStr">
        <is>
          <t>RAS</t>
        </is>
      </c>
      <c r="I4391" s="45" t="inlineStr"/>
      <c r="J4391" s="45" t="inlineStr">
        <is>
          <t>RNCP37889</t>
        </is>
      </c>
      <c r="K4391" s="45" t="inlineStr">
        <is>
          <t>Management en hôtellerie - restauration (option A : Management d'unité de restauration ; option B : Management d'unité de production culinaire ; option C : Management d'unité d'hébergement)</t>
        </is>
      </c>
      <c r="L4391" s="45" t="inlineStr">
        <is>
          <t>31/08/2028</t>
        </is>
      </c>
      <c r="M4391" s="45" t="inlineStr">
        <is>
          <t>42766 (Gestion hôtel restaurant bar)</t>
        </is>
      </c>
      <c r="N4391" s="50" t="inlineStr">
        <is>
          <t>NON</t>
        </is>
      </c>
      <c r="O4391" s="45" t="inlineStr"/>
    </row>
    <row r="4392" customFormat="1" s="3">
      <c r="A4392" s="45" t="n"/>
      <c r="B4392" s="46" t="inlineStr">
        <is>
          <t>42766</t>
        </is>
      </c>
      <c r="C4392" s="46">
        <f>LEFT(Tableau1[[#This Row],[Formacode]],3)</f>
        <v/>
      </c>
      <c r="D4392" s="47" t="n">
        <v>37922</v>
      </c>
      <c r="E4392" s="48">
        <f>"RNCP"&amp;D4392</f>
        <v/>
      </c>
      <c r="F4392" s="48" t="inlineStr">
        <is>
          <t>Certificat de spécialisation - Organisateur de réceptions</t>
        </is>
      </c>
      <c r="G4392" s="49">
        <f>E4392&amp;" - "&amp;F4392</f>
        <v/>
      </c>
      <c r="H4392" s="36" t="inlineStr">
        <is>
          <t>RAS</t>
        </is>
      </c>
      <c r="I4392" s="45" t="inlineStr"/>
      <c r="J4392" s="45" t="inlineStr">
        <is>
          <t>RNCP37922</t>
        </is>
      </c>
      <c r="K4392" s="45" t="inlineStr">
        <is>
          <t>Organisateur de réceptions</t>
        </is>
      </c>
      <c r="L4392" s="45" t="inlineStr">
        <is>
          <t>31/08/2028</t>
        </is>
      </c>
      <c r="M4392" s="45" t="inlineStr">
        <is>
          <t>42008 (Organisation événement) ; 42754 (Hôtellerie restauration)</t>
        </is>
      </c>
      <c r="N4392" s="50" t="inlineStr">
        <is>
          <t>NON</t>
        </is>
      </c>
      <c r="O4392" s="45" t="inlineStr"/>
    </row>
    <row r="4393" customFormat="1" s="3">
      <c r="A4393" s="51" t="n"/>
      <c r="B4393" s="52" t="inlineStr">
        <is>
          <t>42766</t>
        </is>
      </c>
      <c r="C4393" s="52">
        <f>LEFT(Tableau1[[#This Row],[Formacode]],3)</f>
        <v/>
      </c>
      <c r="D4393" s="53" t="n">
        <v>37932</v>
      </c>
      <c r="E4393" s="54">
        <f>"RNCP"&amp;D4393</f>
        <v/>
      </c>
      <c r="F4393" s="54" t="inlineStr">
        <is>
          <t>DIPLOVIS - Diplôme en Management International des Arts Culinaires</t>
        </is>
      </c>
      <c r="G4393" s="55">
        <f>E4393&amp;" - "&amp;F4393</f>
        <v/>
      </c>
      <c r="H4393" s="37" t="inlineStr">
        <is>
          <t>À vérifier</t>
        </is>
      </c>
      <c r="I4393" s="51" t="inlineStr">
        <is>
          <t>Successeur déjà publié : RNCP42267 (DIPLOVIS - Diplôme en management international des arts culinaires) — préparer la bascule de l'offre CPF | Échéance le 31/08/2026 (dans 44 j)</t>
        </is>
      </c>
      <c r="J4393" s="51" t="inlineStr">
        <is>
          <t>RNCP42267</t>
        </is>
      </c>
      <c r="K4393" s="51" t="inlineStr">
        <is>
          <t>DIPLOVIS - Diplôme en management international des arts culinaires</t>
        </is>
      </c>
      <c r="L4393" s="51" t="inlineStr">
        <is>
          <t>31/08/2026</t>
        </is>
      </c>
      <c r="M4393" s="51" t="inlineStr">
        <is>
          <t>42782 (Gestion cuisine) ; 42760 (Gastronomie) ; 42766 (Gestion hôtel restaurant bar) ; 32054 (Gestion des organisations)</t>
        </is>
      </c>
      <c r="N4393" s="62" t="inlineStr">
        <is>
          <t>NON</t>
        </is>
      </c>
      <c r="O4393" s="51" t="inlineStr"/>
    </row>
    <row r="4394" customFormat="1" s="3">
      <c r="A4394" s="45" t="n"/>
      <c r="B4394" s="46" t="inlineStr">
        <is>
          <t>42766</t>
        </is>
      </c>
      <c r="C4394" s="46">
        <f>LEFT(Tableau1[[#This Row],[Formacode]],3)</f>
        <v/>
      </c>
      <c r="D4394" s="47" t="n">
        <v>38785</v>
      </c>
      <c r="E4394" s="48">
        <f>"RNCP"&amp;D4394</f>
        <v/>
      </c>
      <c r="F4394" s="48" t="inlineStr">
        <is>
          <t>Responsable de service en hôtellerie, tourisme et restauration</t>
        </is>
      </c>
      <c r="G4394" s="49">
        <f>E4394&amp;" - "&amp;F4394</f>
        <v/>
      </c>
      <c r="H4394" s="36" t="inlineStr">
        <is>
          <t>RAS</t>
        </is>
      </c>
      <c r="I4394" s="45" t="inlineStr"/>
      <c r="J4394" s="45" t="inlineStr">
        <is>
          <t>RNCP38785</t>
        </is>
      </c>
      <c r="K4394" s="45" t="inlineStr">
        <is>
          <t>Responsable de service en hôtellerie, tourisme et restauration</t>
        </is>
      </c>
      <c r="L4394" s="45" t="inlineStr">
        <is>
          <t>27/03/2027</t>
        </is>
      </c>
      <c r="M4394" s="45" t="inlineStr">
        <is>
          <t>42766 (Gestion hôtel restaurant bar) ; 42729 (Gestion restauration collective) ; 42776 (Hôtellerie)</t>
        </is>
      </c>
      <c r="N4394" s="50" t="inlineStr">
        <is>
          <t>NON</t>
        </is>
      </c>
      <c r="O4394" s="45" t="inlineStr"/>
    </row>
    <row r="4395" customFormat="1" s="3">
      <c r="A4395" s="45" t="n"/>
      <c r="B4395" s="46" t="inlineStr">
        <is>
          <t>42766</t>
        </is>
      </c>
      <c r="C4395" s="46">
        <f>LEFT(Tableau1[[#This Row],[Formacode]],3)</f>
        <v/>
      </c>
      <c r="D4395" s="47" t="n">
        <v>39248</v>
      </c>
      <c r="E4395" s="48">
        <f>"RNCP"&amp;D4395</f>
        <v/>
      </c>
      <c r="F4395" s="48" t="inlineStr">
        <is>
          <t>Manager en hôtellerie-restauration</t>
        </is>
      </c>
      <c r="G4395" s="49">
        <f>E4395&amp;" - "&amp;F4395</f>
        <v/>
      </c>
      <c r="H4395" s="36" t="inlineStr">
        <is>
          <t>RAS</t>
        </is>
      </c>
      <c r="I4395" s="45" t="inlineStr"/>
      <c r="J4395" s="45" t="inlineStr">
        <is>
          <t>RNCP39248</t>
        </is>
      </c>
      <c r="K4395" s="45" t="inlineStr">
        <is>
          <t>Manager en hôtellerie-restauration</t>
        </is>
      </c>
      <c r="L4395" s="45" t="inlineStr">
        <is>
          <t>27/06/2027</t>
        </is>
      </c>
      <c r="M4395" s="45" t="inlineStr">
        <is>
          <t>42766 (Gestion hôtel restaurant bar) ; 42627 (Gestion entreprise touristique) ; 42776 (Hôtellerie)</t>
        </is>
      </c>
      <c r="N4395" s="50" t="inlineStr">
        <is>
          <t>NON</t>
        </is>
      </c>
      <c r="O4395" s="45" t="inlineStr"/>
    </row>
    <row r="4396" customFormat="1" s="3">
      <c r="A4396" s="45" t="n"/>
      <c r="B4396" s="46" t="inlineStr">
        <is>
          <t>42766</t>
        </is>
      </c>
      <c r="C4396" s="46">
        <f>LEFT(Tableau1[[#This Row],[Formacode]],3)</f>
        <v/>
      </c>
      <c r="D4396" s="47" t="n">
        <v>41315</v>
      </c>
      <c r="E4396" s="48">
        <f>"RNCP"&amp;D4396</f>
        <v/>
      </c>
      <c r="F4396" s="48" t="inlineStr">
        <is>
          <t>Manager des entreprises de l'hôtellerie, tourisme et de la restauration</t>
        </is>
      </c>
      <c r="G4396" s="49">
        <f>E4396&amp;" - "&amp;F4396</f>
        <v/>
      </c>
      <c r="H4396" s="36" t="inlineStr">
        <is>
          <t>RAS</t>
        </is>
      </c>
      <c r="I4396" s="45" t="inlineStr"/>
      <c r="J4396" s="45" t="inlineStr">
        <is>
          <t>RNCP41315</t>
        </is>
      </c>
      <c r="K4396" s="45" t="inlineStr">
        <is>
          <t>Manager des entreprises de l'hôtellerie, tourisme et de la restauration</t>
        </is>
      </c>
      <c r="L4396" s="45" t="inlineStr">
        <is>
          <t>24/09/2028</t>
        </is>
      </c>
      <c r="M4396" s="45" t="inlineStr">
        <is>
          <t>42766 (Gestion hôtel restaurant bar) ; 42627 (Gestion entreprise touristique) ; 42729 (Gestion restauration collective) ; 42776 (Hôtellerie)</t>
        </is>
      </c>
      <c r="N4396" s="50" t="inlineStr">
        <is>
          <t>NON</t>
        </is>
      </c>
      <c r="O4396" s="45" t="inlineStr"/>
    </row>
    <row r="4397" customFormat="1" s="3">
      <c r="A4397" s="51" t="n"/>
      <c r="B4397" s="52" t="inlineStr">
        <is>
          <t>42776</t>
        </is>
      </c>
      <c r="C4397" s="52">
        <f>LEFT(Tableau1[[#This Row],[Formacode]],3)</f>
        <v/>
      </c>
      <c r="D4397" s="53" t="n">
        <v>37719</v>
      </c>
      <c r="E4397" s="54">
        <f>"RNCP"&amp;D4397</f>
        <v/>
      </c>
      <c r="F4397" s="54" t="inlineStr">
        <is>
          <t>DIPLOVIS - Diplôme en management international de l'hôtellerie et de la restauration</t>
        </is>
      </c>
      <c r="G4397" s="55">
        <f>E4397&amp;" - "&amp;F4397</f>
        <v/>
      </c>
      <c r="H4397" s="37" t="inlineStr">
        <is>
          <t>À vérifier</t>
        </is>
      </c>
      <c r="I4397" s="51" t="inlineStr">
        <is>
          <t>Échéance le 31/08/2026 (dans 44 j)</t>
        </is>
      </c>
      <c r="J4397" s="51" t="inlineStr">
        <is>
          <t>RNCP37719</t>
        </is>
      </c>
      <c r="K4397" s="51" t="inlineStr">
        <is>
          <t>Diplôme en management international de l'hôtellerie et de la restauration</t>
        </is>
      </c>
      <c r="L4397" s="51" t="inlineStr">
        <is>
          <t>31/08/2026</t>
        </is>
      </c>
      <c r="M4397" s="51" t="inlineStr">
        <is>
          <t>32054 (Gestion des organisations) ; 42754 (Hôtellerie restauration) ; 42627 (Gestion entreprise touristique)</t>
        </is>
      </c>
      <c r="N4397" s="62" t="inlineStr">
        <is>
          <t>NON</t>
        </is>
      </c>
      <c r="O4397" s="51" t="inlineStr"/>
    </row>
    <row r="4398" customFormat="1" s="3">
      <c r="A4398" s="45" t="n"/>
      <c r="B4398" s="46" t="inlineStr">
        <is>
          <t>42776</t>
        </is>
      </c>
      <c r="C4398" s="46">
        <f>LEFT(Tableau1[[#This Row],[Formacode]],3)</f>
        <v/>
      </c>
      <c r="D4398" s="47" t="n">
        <v>37921</v>
      </c>
      <c r="E4398" s="48">
        <f>"RNCP"&amp;D4398</f>
        <v/>
      </c>
      <c r="F4398" s="48" t="inlineStr">
        <is>
          <t>Certificat de spécialisation - Accueil-  réception</t>
        </is>
      </c>
      <c r="G4398" s="49">
        <f>E4398&amp;" - "&amp;F4398</f>
        <v/>
      </c>
      <c r="H4398" s="36" t="inlineStr">
        <is>
          <t>RAS</t>
        </is>
      </c>
      <c r="I4398" s="45" t="inlineStr"/>
      <c r="J4398" s="45" t="inlineStr">
        <is>
          <t>RNCP37921</t>
        </is>
      </c>
      <c r="K4398" s="45" t="inlineStr">
        <is>
          <t>Accueil- réception</t>
        </is>
      </c>
      <c r="L4398" s="45" t="inlineStr">
        <is>
          <t>31/08/2028</t>
        </is>
      </c>
      <c r="M4398" s="45" t="inlineStr">
        <is>
          <t>42788 (Service réception) ; 42686 (Accueil tourisme)</t>
        </is>
      </c>
      <c r="N4398" s="50" t="inlineStr">
        <is>
          <t>NON</t>
        </is>
      </c>
      <c r="O4398" s="45" t="inlineStr"/>
    </row>
    <row r="4399" customFormat="1" s="3">
      <c r="A4399" s="45" t="n"/>
      <c r="B4399" s="46" t="inlineStr">
        <is>
          <t>42776</t>
        </is>
      </c>
      <c r="C4399" s="46">
        <f>LEFT(Tableau1[[#This Row],[Formacode]],3)</f>
        <v/>
      </c>
      <c r="D4399" s="47" t="n">
        <v>37922</v>
      </c>
      <c r="E4399" s="48">
        <f>"RNCP"&amp;D4399</f>
        <v/>
      </c>
      <c r="F4399" s="48" t="inlineStr">
        <is>
          <t>Certificat de spécialisation - Organisateur de réceptions</t>
        </is>
      </c>
      <c r="G4399" s="49">
        <f>E4399&amp;" - "&amp;F4399</f>
        <v/>
      </c>
      <c r="H4399" s="36" t="inlineStr">
        <is>
          <t>RAS</t>
        </is>
      </c>
      <c r="I4399" s="45" t="inlineStr"/>
      <c r="J4399" s="45" t="inlineStr">
        <is>
          <t>RNCP37922</t>
        </is>
      </c>
      <c r="K4399" s="45" t="inlineStr">
        <is>
          <t>Organisateur de réceptions</t>
        </is>
      </c>
      <c r="L4399" s="45" t="inlineStr">
        <is>
          <t>31/08/2028</t>
        </is>
      </c>
      <c r="M4399" s="45" t="inlineStr">
        <is>
          <t>42008 (Organisation événement) ; 42754 (Hôtellerie restauration)</t>
        </is>
      </c>
      <c r="N4399" s="50" t="inlineStr">
        <is>
          <t>NON</t>
        </is>
      </c>
      <c r="O4399" s="45" t="inlineStr"/>
    </row>
    <row r="4400" ht="28.8" customFormat="1" customHeight="1" s="3">
      <c r="A4400" s="45" t="n"/>
      <c r="B4400" s="46" t="inlineStr">
        <is>
          <t>42776</t>
        </is>
      </c>
      <c r="C4400" s="46">
        <f>LEFT(Tableau1[[#This Row],[Formacode]],3)</f>
        <v/>
      </c>
      <c r="D4400" s="47" t="n">
        <v>38424</v>
      </c>
      <c r="E4400" s="48">
        <f>"RNCP"&amp;D4400</f>
        <v/>
      </c>
      <c r="F4400" s="48" t="inlineStr">
        <is>
          <t>Certificat d'aptitude professionnelle - Commercialisation et services en hôtel-café-restaurant</t>
        </is>
      </c>
      <c r="G4400" s="49">
        <f>E4400&amp;" - "&amp;F4400</f>
        <v/>
      </c>
      <c r="H4400" s="36" t="inlineStr">
        <is>
          <t>RAS</t>
        </is>
      </c>
      <c r="I4400" s="45" t="inlineStr"/>
      <c r="J4400" s="45" t="inlineStr">
        <is>
          <t>RNCP38424</t>
        </is>
      </c>
      <c r="K4400" s="45" t="inlineStr">
        <is>
          <t>Commercialisation et services en hôtel-café-restaurant</t>
        </is>
      </c>
      <c r="L4400" s="45" t="inlineStr">
        <is>
          <t>31/08/2029</t>
        </is>
      </c>
      <c r="M4400" s="45" t="inlineStr">
        <is>
          <t>42788 (Service réception) ; 42757 (Service salle) ; 42786 (Service étage)</t>
        </is>
      </c>
      <c r="N4400" s="50" t="inlineStr">
        <is>
          <t>NON</t>
        </is>
      </c>
      <c r="O4400" s="45" t="inlineStr"/>
    </row>
    <row r="4401" customFormat="1" s="3">
      <c r="A4401" s="45" t="n"/>
      <c r="B4401" s="46" t="inlineStr">
        <is>
          <t>42776</t>
        </is>
      </c>
      <c r="C4401" s="46">
        <f>LEFT(Tableau1[[#This Row],[Formacode]],3)</f>
        <v/>
      </c>
      <c r="D4401" s="47" t="n">
        <v>38547</v>
      </c>
      <c r="E4401" s="48">
        <f>"RNCP"&amp;D4401</f>
        <v/>
      </c>
      <c r="F4401" s="48" t="inlineStr">
        <is>
          <t>TP - Employé d'étage hôtellerie et hôtellerie de plein air</t>
        </is>
      </c>
      <c r="G4401" s="49">
        <f>E4401&amp;" - "&amp;F4401</f>
        <v/>
      </c>
      <c r="H4401" s="36" t="inlineStr">
        <is>
          <t>RAS</t>
        </is>
      </c>
      <c r="I4401" s="45" t="inlineStr"/>
      <c r="J4401" s="45" t="inlineStr">
        <is>
          <t>RNCP38547</t>
        </is>
      </c>
      <c r="K4401" s="45" t="inlineStr">
        <is>
          <t>Employé d'étage hôtellerie et hôtellerie de plein air</t>
        </is>
      </c>
      <c r="L4401" s="45" t="inlineStr">
        <is>
          <t>25/05/2029</t>
        </is>
      </c>
      <c r="M4401" s="45" t="inlineStr">
        <is>
          <t>42786 (Service étage)</t>
        </is>
      </c>
      <c r="N4401" s="50" t="inlineStr">
        <is>
          <t>NON</t>
        </is>
      </c>
      <c r="O4401" s="45" t="inlineStr"/>
    </row>
    <row r="4402" customFormat="1" s="3">
      <c r="A4402" s="45" t="n"/>
      <c r="B4402" s="46" t="inlineStr">
        <is>
          <t>42776</t>
        </is>
      </c>
      <c r="C4402" s="46">
        <f>LEFT(Tableau1[[#This Row],[Formacode]],3)</f>
        <v/>
      </c>
      <c r="D4402" s="47" t="n">
        <v>38785</v>
      </c>
      <c r="E4402" s="48">
        <f>"RNCP"&amp;D4402</f>
        <v/>
      </c>
      <c r="F4402" s="48" t="inlineStr">
        <is>
          <t>Responsable de service en hôtellerie, tourisme et restauration</t>
        </is>
      </c>
      <c r="G4402" s="49">
        <f>E4402&amp;" - "&amp;F4402</f>
        <v/>
      </c>
      <c r="H4402" s="36" t="inlineStr">
        <is>
          <t>RAS</t>
        </is>
      </c>
      <c r="I4402" s="45" t="inlineStr"/>
      <c r="J4402" s="45" t="inlineStr">
        <is>
          <t>RNCP38785</t>
        </is>
      </c>
      <c r="K4402" s="45" t="inlineStr">
        <is>
          <t>Responsable de service en hôtellerie, tourisme et restauration</t>
        </is>
      </c>
      <c r="L4402" s="45" t="inlineStr">
        <is>
          <t>27/03/2027</t>
        </is>
      </c>
      <c r="M4402" s="45" t="inlineStr">
        <is>
          <t>42766 (Gestion hôtel restaurant bar) ; 42729 (Gestion restauration collective) ; 42776 (Hôtellerie)</t>
        </is>
      </c>
      <c r="N4402" s="50" t="inlineStr">
        <is>
          <t>NON</t>
        </is>
      </c>
      <c r="O4402" s="45" t="inlineStr"/>
    </row>
    <row r="4403" customFormat="1" s="3">
      <c r="A4403" s="45" t="n"/>
      <c r="B4403" s="46" t="inlineStr">
        <is>
          <t>42776</t>
        </is>
      </c>
      <c r="C4403" s="46">
        <f>LEFT(Tableau1[[#This Row],[Formacode]],3)</f>
        <v/>
      </c>
      <c r="D4403" s="47" t="n">
        <v>38870</v>
      </c>
      <c r="E4403" s="48">
        <f>"RNCP"&amp;D4403</f>
        <v/>
      </c>
      <c r="F4403" s="48" t="inlineStr">
        <is>
          <t>TP - Réceptionniste hôtellerie et hôtellerie de plein air</t>
        </is>
      </c>
      <c r="G4403" s="49">
        <f>E4403&amp;" - "&amp;F4403</f>
        <v/>
      </c>
      <c r="H4403" s="36" t="inlineStr">
        <is>
          <t>RAS</t>
        </is>
      </c>
      <c r="I4403" s="45" t="inlineStr"/>
      <c r="J4403" s="45" t="inlineStr">
        <is>
          <t>RNCP38870</t>
        </is>
      </c>
      <c r="K4403" s="45" t="inlineStr">
        <is>
          <t>Réceptionniste hôtellerie et hôtellerie de plein air</t>
        </is>
      </c>
      <c r="L4403" s="45" t="inlineStr">
        <is>
          <t>02/08/2029</t>
        </is>
      </c>
      <c r="M4403" s="45" t="inlineStr">
        <is>
          <t>42686 (Accueil tourisme) ; 42776 (Hôtellerie)</t>
        </is>
      </c>
      <c r="N4403" s="50" t="inlineStr">
        <is>
          <t>NON</t>
        </is>
      </c>
      <c r="O4403" s="45" t="inlineStr"/>
    </row>
    <row r="4404" customFormat="1" s="3">
      <c r="A4404" s="45" t="n"/>
      <c r="B4404" s="46" t="inlineStr">
        <is>
          <t>42776</t>
        </is>
      </c>
      <c r="C4404" s="46">
        <f>LEFT(Tableau1[[#This Row],[Formacode]],3)</f>
        <v/>
      </c>
      <c r="D4404" s="47" t="n">
        <v>39248</v>
      </c>
      <c r="E4404" s="48">
        <f>"RNCP"&amp;D4404</f>
        <v/>
      </c>
      <c r="F4404" s="48" t="inlineStr">
        <is>
          <t>Manager en hôtellerie-restauration</t>
        </is>
      </c>
      <c r="G4404" s="49">
        <f>E4404&amp;" - "&amp;F4404</f>
        <v/>
      </c>
      <c r="H4404" s="36" t="inlineStr">
        <is>
          <t>RAS</t>
        </is>
      </c>
      <c r="I4404" s="45" t="inlineStr"/>
      <c r="J4404" s="45" t="inlineStr">
        <is>
          <t>RNCP39248</t>
        </is>
      </c>
      <c r="K4404" s="45" t="inlineStr">
        <is>
          <t>Manager en hôtellerie-restauration</t>
        </is>
      </c>
      <c r="L4404" s="45" t="inlineStr">
        <is>
          <t>27/06/2027</t>
        </is>
      </c>
      <c r="M4404" s="45" t="inlineStr">
        <is>
          <t>42766 (Gestion hôtel restaurant bar) ; 42627 (Gestion entreprise touristique) ; 42776 (Hôtellerie)</t>
        </is>
      </c>
      <c r="N4404" s="50" t="inlineStr">
        <is>
          <t>NON</t>
        </is>
      </c>
      <c r="O4404" s="45" t="inlineStr"/>
    </row>
    <row r="4405" customFormat="1" s="3">
      <c r="A4405" s="51" t="n"/>
      <c r="B4405" s="52" t="inlineStr">
        <is>
          <t>42776</t>
        </is>
      </c>
      <c r="C4405" s="52">
        <f>LEFT(Tableau1[[#This Row],[Formacode]],3)</f>
        <v/>
      </c>
      <c r="D4405" s="53" t="n">
        <v>39533</v>
      </c>
      <c r="E4405" s="54">
        <f>"RNCP"&amp;D4405</f>
        <v/>
      </c>
      <c r="F4405" s="54" t="inlineStr">
        <is>
          <t>TP - Gouvernant en hôtellerie</t>
        </is>
      </c>
      <c r="G4405" s="55">
        <f>E4405&amp;" - "&amp;F4405</f>
        <v/>
      </c>
      <c r="H4405" s="37" t="inlineStr">
        <is>
          <t>À vérifier</t>
        </is>
      </c>
      <c r="I4405" s="51" t="inlineStr">
        <is>
          <t>Échéance le 17/12/2026 (dans 152 j)</t>
        </is>
      </c>
      <c r="J4405" s="51" t="inlineStr">
        <is>
          <t>RNCP39533</t>
        </is>
      </c>
      <c r="K4405" s="51" t="inlineStr">
        <is>
          <t>Gouvernant en hôtellerie</t>
        </is>
      </c>
      <c r="L4405" s="51" t="inlineStr">
        <is>
          <t>17/12/2026</t>
        </is>
      </c>
      <c r="M4405" s="51" t="inlineStr">
        <is>
          <t>42797 (Gouvernante hôtel)</t>
        </is>
      </c>
      <c r="N4405" s="62" t="inlineStr">
        <is>
          <t>NON</t>
        </is>
      </c>
      <c r="O4405" s="51" t="inlineStr"/>
    </row>
    <row r="4406" customFormat="1" s="3">
      <c r="A4406" s="45" t="n"/>
      <c r="B4406" s="46" t="inlineStr">
        <is>
          <t>42776</t>
        </is>
      </c>
      <c r="C4406" s="46">
        <f>LEFT(Tableau1[[#This Row],[Formacode]],3)</f>
        <v/>
      </c>
      <c r="D4406" s="47" t="n">
        <v>41315</v>
      </c>
      <c r="E4406" s="48">
        <f>"RNCP"&amp;D4406</f>
        <v/>
      </c>
      <c r="F4406" s="48" t="inlineStr">
        <is>
          <t>Manager des entreprises de l'hôtellerie, tourisme et de la restauration</t>
        </is>
      </c>
      <c r="G4406" s="49">
        <f>E4406&amp;" - "&amp;F4406</f>
        <v/>
      </c>
      <c r="H4406" s="36" t="inlineStr">
        <is>
          <t>RAS</t>
        </is>
      </c>
      <c r="I4406" s="45" t="inlineStr"/>
      <c r="J4406" s="45" t="inlineStr">
        <is>
          <t>RNCP41315</t>
        </is>
      </c>
      <c r="K4406" s="45" t="inlineStr">
        <is>
          <t>Manager des entreprises de l'hôtellerie, tourisme et de la restauration</t>
        </is>
      </c>
      <c r="L4406" s="45" t="inlineStr">
        <is>
          <t>24/09/2028</t>
        </is>
      </c>
      <c r="M4406" s="45" t="inlineStr">
        <is>
          <t>42766 (Gestion hôtel restaurant bar) ; 42627 (Gestion entreprise touristique) ; 42729 (Gestion restauration collective) ; 42776 (Hôtellerie)</t>
        </is>
      </c>
      <c r="N4406" s="50" t="inlineStr">
        <is>
          <t>NON</t>
        </is>
      </c>
      <c r="O4406" s="45" t="inlineStr"/>
    </row>
    <row r="4407" customFormat="1" s="3">
      <c r="A4407" s="51" t="n"/>
      <c r="B4407" s="52" t="inlineStr">
        <is>
          <t>42785</t>
        </is>
      </c>
      <c r="C4407" s="52">
        <f>LEFT(Tableau1[[#This Row],[Formacode]],3)</f>
        <v/>
      </c>
      <c r="D4407" s="53" t="n">
        <v>37719</v>
      </c>
      <c r="E4407" s="54">
        <f>"RNCP"&amp;D4407</f>
        <v/>
      </c>
      <c r="F4407" s="54" t="inlineStr">
        <is>
          <t>DIPLOVIS - Diplôme en management international de l'hôtellerie et de la restauration</t>
        </is>
      </c>
      <c r="G4407" s="55">
        <f>E4407&amp;" - "&amp;F4407</f>
        <v/>
      </c>
      <c r="H4407" s="37" t="inlineStr">
        <is>
          <t>À vérifier</t>
        </is>
      </c>
      <c r="I4407" s="51" t="inlineStr">
        <is>
          <t>Échéance le 31/08/2026 (dans 44 j)</t>
        </is>
      </c>
      <c r="J4407" s="51" t="inlineStr">
        <is>
          <t>RNCP37719</t>
        </is>
      </c>
      <c r="K4407" s="51" t="inlineStr">
        <is>
          <t>Diplôme en management international de l'hôtellerie et de la restauration</t>
        </is>
      </c>
      <c r="L4407" s="51" t="inlineStr">
        <is>
          <t>31/08/2026</t>
        </is>
      </c>
      <c r="M4407" s="51" t="inlineStr">
        <is>
          <t>32054 (Gestion des organisations) ; 42754 (Hôtellerie restauration) ; 42627 (Gestion entreprise touristique)</t>
        </is>
      </c>
      <c r="N4407" s="62" t="inlineStr">
        <is>
          <t>NON</t>
        </is>
      </c>
      <c r="O4407" s="51" t="inlineStr"/>
    </row>
    <row r="4408" customFormat="1" s="3">
      <c r="A4408" s="45" t="n"/>
      <c r="B4408" s="46" t="inlineStr">
        <is>
          <t>42785</t>
        </is>
      </c>
      <c r="C4408" s="46">
        <f>LEFT(Tableau1[[#This Row],[Formacode]],3)</f>
        <v/>
      </c>
      <c r="D4408" s="47" t="n">
        <v>37922</v>
      </c>
      <c r="E4408" s="48">
        <f>"RNCP"&amp;D4408</f>
        <v/>
      </c>
      <c r="F4408" s="48" t="inlineStr">
        <is>
          <t>Certificat de spécialisation - Organisateur de réceptions</t>
        </is>
      </c>
      <c r="G4408" s="49">
        <f>E4408&amp;" - "&amp;F4408</f>
        <v/>
      </c>
      <c r="H4408" s="36" t="inlineStr">
        <is>
          <t>RAS</t>
        </is>
      </c>
      <c r="I4408" s="45" t="inlineStr"/>
      <c r="J4408" s="45" t="inlineStr">
        <is>
          <t>RNCP37922</t>
        </is>
      </c>
      <c r="K4408" s="45" t="inlineStr">
        <is>
          <t>Organisateur de réceptions</t>
        </is>
      </c>
      <c r="L4408" s="45" t="inlineStr">
        <is>
          <t>31/08/2028</t>
        </is>
      </c>
      <c r="M4408" s="45" t="inlineStr">
        <is>
          <t>42008 (Organisation événement) ; 42754 (Hôtellerie restauration)</t>
        </is>
      </c>
      <c r="N4408" s="50" t="inlineStr">
        <is>
          <t>NON</t>
        </is>
      </c>
      <c r="O4408" s="45" t="inlineStr"/>
    </row>
    <row r="4409" customFormat="1" s="3">
      <c r="A4409" s="51" t="n"/>
      <c r="B4409" s="52" t="inlineStr">
        <is>
          <t>42793</t>
        </is>
      </c>
      <c r="C4409" s="52">
        <f>LEFT(Tableau1[[#This Row],[Formacode]],3)</f>
        <v/>
      </c>
      <c r="D4409" s="53" t="n">
        <v>37719</v>
      </c>
      <c r="E4409" s="54">
        <f>"RNCP"&amp;D4409</f>
        <v/>
      </c>
      <c r="F4409" s="54" t="inlineStr">
        <is>
          <t>DIPLOVIS - Diplôme en management international de l'hôtellerie et de la restauration</t>
        </is>
      </c>
      <c r="G4409" s="55">
        <f>E4409&amp;" - "&amp;F4409</f>
        <v/>
      </c>
      <c r="H4409" s="37" t="inlineStr">
        <is>
          <t>À vérifier</t>
        </is>
      </c>
      <c r="I4409" s="51" t="inlineStr">
        <is>
          <t>Échéance le 31/08/2026 (dans 44 j)</t>
        </is>
      </c>
      <c r="J4409" s="51" t="inlineStr">
        <is>
          <t>RNCP37719</t>
        </is>
      </c>
      <c r="K4409" s="51" t="inlineStr">
        <is>
          <t>Diplôme en management international de l'hôtellerie et de la restauration</t>
        </is>
      </c>
      <c r="L4409" s="51" t="inlineStr">
        <is>
          <t>31/08/2026</t>
        </is>
      </c>
      <c r="M4409" s="51" t="inlineStr">
        <is>
          <t>32054 (Gestion des organisations) ; 42754 (Hôtellerie restauration) ; 42627 (Gestion entreprise touristique)</t>
        </is>
      </c>
      <c r="N4409" s="62" t="inlineStr">
        <is>
          <t>NON</t>
        </is>
      </c>
      <c r="O4409" s="51" t="inlineStr"/>
    </row>
    <row r="4410" customFormat="1" s="3">
      <c r="A4410" s="45" t="n"/>
      <c r="B4410" s="46" t="inlineStr">
        <is>
          <t>42793</t>
        </is>
      </c>
      <c r="C4410" s="46">
        <f>LEFT(Tableau1[[#This Row],[Formacode]],3)</f>
        <v/>
      </c>
      <c r="D4410" s="47" t="n">
        <v>37922</v>
      </c>
      <c r="E4410" s="48">
        <f>"RNCP"&amp;D4410</f>
        <v/>
      </c>
      <c r="F4410" s="48" t="inlineStr">
        <is>
          <t>Certificat de spécialisation - Organisateur de réceptions</t>
        </is>
      </c>
      <c r="G4410" s="49">
        <f>E4410&amp;" - "&amp;F4410</f>
        <v/>
      </c>
      <c r="H4410" s="36" t="inlineStr">
        <is>
          <t>RAS</t>
        </is>
      </c>
      <c r="I4410" s="45" t="inlineStr"/>
      <c r="J4410" s="45" t="inlineStr">
        <is>
          <t>RNCP37922</t>
        </is>
      </c>
      <c r="K4410" s="45" t="inlineStr">
        <is>
          <t>Organisateur de réceptions</t>
        </is>
      </c>
      <c r="L4410" s="45" t="inlineStr">
        <is>
          <t>31/08/2028</t>
        </is>
      </c>
      <c r="M4410" s="45" t="inlineStr">
        <is>
          <t>42008 (Organisation événement) ; 42754 (Hôtellerie restauration)</t>
        </is>
      </c>
      <c r="N4410" s="50" t="inlineStr">
        <is>
          <t>NON</t>
        </is>
      </c>
      <c r="O4410" s="45" t="inlineStr"/>
    </row>
    <row r="4411" customFormat="1" s="3">
      <c r="A4411" s="63" t="n"/>
      <c r="B4411" s="64" t="inlineStr">
        <is>
          <t>42802</t>
        </is>
      </c>
      <c r="C4411" s="64">
        <f>LEFT(Tableau1[[#This Row],[Formacode]],3)</f>
        <v/>
      </c>
      <c r="D4411" s="65" t="n">
        <v>35297</v>
      </c>
      <c r="E4411" s="66">
        <f>"RNCP"&amp;D4411</f>
        <v/>
      </c>
      <c r="F4411" s="66" t="inlineStr">
        <is>
          <t>TP - Opérateur en dépollution pyrotechnique</t>
        </is>
      </c>
      <c r="G4411" s="67">
        <f>E4411&amp;" - "&amp;F4411</f>
        <v/>
      </c>
      <c r="H4411" s="38" t="inlineStr">
        <is>
          <t>Expiré / remplacé</t>
        </is>
      </c>
      <c r="I4411" s="63" t="inlineStr">
        <is>
          <t>Fiche inactive — remplacée par RNCP41872 (Opérateur en dépollution pyrotechnique)</t>
        </is>
      </c>
      <c r="J4411" s="63" t="inlineStr">
        <is>
          <t>RNCP41872</t>
        </is>
      </c>
      <c r="K4411" s="63" t="inlineStr">
        <is>
          <t>Opérateur en dépollution pyrotechnique</t>
        </is>
      </c>
      <c r="L4411" s="63" t="inlineStr">
        <is>
          <t>28/04/2026</t>
        </is>
      </c>
      <c r="M4411" s="63" t="inlineStr">
        <is>
          <t>42804 (Déminage) ; 22294 (Conduite chantier BTP) ; 22097 (Explosif) ; 12580 (Pollution sol)</t>
        </is>
      </c>
      <c r="N4411" s="68" t="inlineStr">
        <is>
          <t>NON</t>
        </is>
      </c>
      <c r="O4411" s="63" t="inlineStr"/>
    </row>
    <row r="4412" customFormat="1" s="3">
      <c r="A4412" s="63" t="n"/>
      <c r="B4412" s="64" t="inlineStr">
        <is>
          <t>42802</t>
        </is>
      </c>
      <c r="C4412" s="64">
        <f>LEFT(Tableau1[[#This Row],[Formacode]],3)</f>
        <v/>
      </c>
      <c r="D4412" s="65" t="n">
        <v>35298</v>
      </c>
      <c r="E4412" s="66">
        <f>"RNCP"&amp;D4412</f>
        <v/>
      </c>
      <c r="F4412" s="66" t="inlineStr">
        <is>
          <t>TP - Responsable de chantier de dépollution pyrotechnique</t>
        </is>
      </c>
      <c r="G4412" s="67">
        <f>E4412&amp;" - "&amp;F4412</f>
        <v/>
      </c>
      <c r="H4412" s="38" t="inlineStr">
        <is>
          <t>Expiré / remplacé</t>
        </is>
      </c>
      <c r="I4412" s="63" t="inlineStr">
        <is>
          <t>Fiche inactive — remplacée par RNCP41873 (Responsable de chantier de dépollution pyrotechnique)</t>
        </is>
      </c>
      <c r="J4412" s="63" t="inlineStr">
        <is>
          <t>RNCP41873</t>
        </is>
      </c>
      <c r="K4412" s="63" t="inlineStr">
        <is>
          <t>Responsable de chantier de dépollution pyrotechnique</t>
        </is>
      </c>
      <c r="L4412" s="63" t="inlineStr">
        <is>
          <t>08/06/2026</t>
        </is>
      </c>
      <c r="M4412" s="63" t="inlineStr">
        <is>
          <t>42804 (Déminage) ; 22097 (Explosif) ; 22294 (Conduite chantier BTP)</t>
        </is>
      </c>
      <c r="N4412" s="68" t="inlineStr">
        <is>
          <t>NON</t>
        </is>
      </c>
      <c r="O4412" s="63" t="inlineStr"/>
    </row>
    <row r="4413" customFormat="1" s="3">
      <c r="A4413" s="45" t="n"/>
      <c r="B4413" s="46" t="inlineStr">
        <is>
          <t>42802</t>
        </is>
      </c>
      <c r="C4413" s="46">
        <f>LEFT(Tableau1[[#This Row],[Formacode]],3)</f>
        <v/>
      </c>
      <c r="D4413" s="47" t="n">
        <v>41000</v>
      </c>
      <c r="E4413" s="48">
        <f>"RNCP"&amp;D4413</f>
        <v/>
      </c>
      <c r="F4413" s="48" t="inlineStr">
        <is>
          <t>BTS - Management opérationnel de la sécurité</t>
        </is>
      </c>
      <c r="G4413" s="49">
        <f>E4413&amp;" - "&amp;F4413</f>
        <v/>
      </c>
      <c r="H4413" s="36" t="inlineStr">
        <is>
          <t>RAS</t>
        </is>
      </c>
      <c r="I4413" s="45" t="inlineStr"/>
      <c r="J4413" s="45" t="inlineStr">
        <is>
          <t>RNCP41000</t>
        </is>
      </c>
      <c r="K4413" s="45" t="inlineStr">
        <is>
          <t>Management opérationnel de la sécurité</t>
        </is>
      </c>
      <c r="L4413" s="45" t="inlineStr">
        <is>
          <t>31/08/2030</t>
        </is>
      </c>
      <c r="M4413" s="45" t="inlineStr">
        <is>
          <t>42854 (Prévention sécurité) ; 32154 (Encadrement management)</t>
        </is>
      </c>
      <c r="N4413" s="50" t="inlineStr">
        <is>
          <t>NON</t>
        </is>
      </c>
      <c r="O4413" s="45" t="inlineStr"/>
    </row>
    <row r="4414" customFormat="1" s="3">
      <c r="A4414" s="45" t="n"/>
      <c r="B4414" s="46" t="inlineStr">
        <is>
          <t>42803</t>
        </is>
      </c>
      <c r="C4414" s="46">
        <f>LEFT(Tableau1[[#This Row],[Formacode]],3)</f>
        <v/>
      </c>
      <c r="D4414" s="47" t="n">
        <v>39133</v>
      </c>
      <c r="E4414" s="48">
        <f>"RNCP"&amp;D4414</f>
        <v/>
      </c>
      <c r="F4414" s="48" t="inlineStr">
        <is>
          <t>BAC PRO - Métiers de la sécurité</t>
        </is>
      </c>
      <c r="G4414" s="49">
        <f>E4414&amp;" - "&amp;F4414</f>
        <v/>
      </c>
      <c r="H4414" s="36" t="inlineStr">
        <is>
          <t>RAS</t>
        </is>
      </c>
      <c r="I4414" s="45" t="inlineStr"/>
      <c r="J4414" s="45" t="inlineStr">
        <is>
          <t>RNCP39133</t>
        </is>
      </c>
      <c r="K4414" s="45" t="inlineStr">
        <is>
          <t>Métiers de la sécurité</t>
        </is>
      </c>
      <c r="L4414" s="45" t="inlineStr">
        <is>
          <t>31/08/2027</t>
        </is>
      </c>
      <c r="M4414" s="45" t="inlineStr">
        <is>
          <t>42803 (Sécurité publique) ; 42872 (Sécurité incendie)</t>
        </is>
      </c>
      <c r="N4414" s="50" t="inlineStr">
        <is>
          <t>NON</t>
        </is>
      </c>
      <c r="O4414" s="45" t="inlineStr"/>
    </row>
    <row r="4415" customFormat="1" s="3">
      <c r="A4415" s="45" t="n"/>
      <c r="B4415" s="46" t="inlineStr">
        <is>
          <t>42803</t>
        </is>
      </c>
      <c r="C4415" s="46">
        <f>LEFT(Tableau1[[#This Row],[Formacode]],3)</f>
        <v/>
      </c>
      <c r="D4415" s="47" t="n">
        <v>39853</v>
      </c>
      <c r="E4415" s="48">
        <f>"RNCP"&amp;D4415</f>
        <v/>
      </c>
      <c r="F4415" s="48" t="inlineStr">
        <is>
          <t>Expert en relations et coopérations internationales</t>
        </is>
      </c>
      <c r="G4415" s="49">
        <f>E4415&amp;" - "&amp;F4415</f>
        <v/>
      </c>
      <c r="H4415" s="36" t="inlineStr">
        <is>
          <t>RAS</t>
        </is>
      </c>
      <c r="I4415" s="45" t="inlineStr"/>
      <c r="J4415" s="45" t="inlineStr">
        <is>
          <t>RNCP39853</t>
        </is>
      </c>
      <c r="K4415" s="45" t="inlineStr">
        <is>
          <t>Expert en relations et coopérations internationales</t>
        </is>
      </c>
      <c r="L4415" s="45" t="inlineStr">
        <is>
          <t>28/11/2029</t>
        </is>
      </c>
      <c r="M4415" s="45" t="inlineStr">
        <is>
          <t>13027 (Politique publique) ; 32136 (Conduite projet international) ; 13121 (Gestion publique) ; 42803 (Sécurité publique)</t>
        </is>
      </c>
      <c r="N4415" s="50" t="inlineStr">
        <is>
          <t>NON</t>
        </is>
      </c>
      <c r="O4415" s="45" t="inlineStr"/>
    </row>
    <row r="4416" customFormat="1" s="3">
      <c r="A4416" s="45" t="n"/>
      <c r="B4416" s="46" t="inlineStr">
        <is>
          <t>42803</t>
        </is>
      </c>
      <c r="C4416" s="46">
        <f>LEFT(Tableau1[[#This Row],[Formacode]],3)</f>
        <v/>
      </c>
      <c r="D4416" s="47" t="n">
        <v>41000</v>
      </c>
      <c r="E4416" s="48">
        <f>"RNCP"&amp;D4416</f>
        <v/>
      </c>
      <c r="F4416" s="48" t="inlineStr">
        <is>
          <t>BTS - Management opérationnel de la sécurité</t>
        </is>
      </c>
      <c r="G4416" s="49">
        <f>E4416&amp;" - "&amp;F4416</f>
        <v/>
      </c>
      <c r="H4416" s="36" t="inlineStr">
        <is>
          <t>RAS</t>
        </is>
      </c>
      <c r="I4416" s="45" t="inlineStr"/>
      <c r="J4416" s="45" t="inlineStr">
        <is>
          <t>RNCP41000</t>
        </is>
      </c>
      <c r="K4416" s="45" t="inlineStr">
        <is>
          <t>Management opérationnel de la sécurité</t>
        </is>
      </c>
      <c r="L4416" s="45" t="inlineStr">
        <is>
          <t>31/08/2030</t>
        </is>
      </c>
      <c r="M4416" s="45" t="inlineStr">
        <is>
          <t>42854 (Prévention sécurité) ; 32154 (Encadrement management)</t>
        </is>
      </c>
      <c r="N4416" s="50" t="inlineStr">
        <is>
          <t>NON</t>
        </is>
      </c>
      <c r="O4416" s="45" t="inlineStr"/>
    </row>
    <row r="4417" customFormat="1" s="3">
      <c r="A4417" s="51" t="n"/>
      <c r="B4417" s="52" t="inlineStr">
        <is>
          <t>42822</t>
        </is>
      </c>
      <c r="C4417" s="52">
        <f>LEFT(Tableau1[[#This Row],[Formacode]],3)</f>
        <v/>
      </c>
      <c r="D4417" s="53" t="n">
        <v>37879</v>
      </c>
      <c r="E4417" s="54">
        <f>"RNCP"&amp;D4417</f>
        <v/>
      </c>
      <c r="F4417" s="54" t="inlineStr">
        <is>
          <t>TP - Opérateur en vidéoprotection et en télésurveillance</t>
        </is>
      </c>
      <c r="G4417" s="55">
        <f>E4417&amp;" - "&amp;F4417</f>
        <v/>
      </c>
      <c r="H4417" s="37" t="inlineStr">
        <is>
          <t>À vérifier</t>
        </is>
      </c>
      <c r="I4417" s="51" t="inlineStr">
        <is>
          <t>Échéance le 16/09/2026 (dans 60 j)</t>
        </is>
      </c>
      <c r="J4417" s="51" t="inlineStr">
        <is>
          <t>RNCP37879</t>
        </is>
      </c>
      <c r="K4417" s="51" t="inlineStr">
        <is>
          <t>Opérateur en vidéoprotection et en télésurveillance</t>
        </is>
      </c>
      <c r="L4417" s="51" t="inlineStr">
        <is>
          <t>16/09/2026</t>
        </is>
      </c>
      <c r="M4417" s="51" t="inlineStr">
        <is>
          <t>42801 (Télésurveillance)</t>
        </is>
      </c>
      <c r="N4417" s="62" t="inlineStr">
        <is>
          <t>NON</t>
        </is>
      </c>
      <c r="O4417" s="51" t="inlineStr"/>
    </row>
    <row r="4418" customFormat="1" s="3">
      <c r="A4418" s="45" t="n"/>
      <c r="B4418" s="46" t="inlineStr">
        <is>
          <t>42822</t>
        </is>
      </c>
      <c r="C4418" s="46">
        <f>LEFT(Tableau1[[#This Row],[Formacode]],3)</f>
        <v/>
      </c>
      <c r="D4418" s="47" t="n">
        <v>38226</v>
      </c>
      <c r="E4418" s="48">
        <f>"RNCP"&amp;D4418</f>
        <v/>
      </c>
      <c r="F4418" s="48" t="inlineStr">
        <is>
          <t>CAP - Agent de sécurité</t>
        </is>
      </c>
      <c r="G4418" s="49">
        <f>E4418&amp;" - "&amp;F4418</f>
        <v/>
      </c>
      <c r="H4418" s="36" t="inlineStr">
        <is>
          <t>RAS</t>
        </is>
      </c>
      <c r="I4418" s="45" t="inlineStr"/>
      <c r="J4418" s="45" t="inlineStr">
        <is>
          <t>RNCP38226</t>
        </is>
      </c>
      <c r="K4418" s="45" t="inlineStr">
        <is>
          <t>Agent de sécurité</t>
        </is>
      </c>
      <c r="L4418" s="45" t="inlineStr">
        <is>
          <t>31/08/2027</t>
        </is>
      </c>
      <c r="M4418" s="45" t="inlineStr">
        <is>
          <t>42822 (Surveillance protection gardiennage)</t>
        </is>
      </c>
      <c r="N4418" s="50" t="inlineStr">
        <is>
          <t>NON</t>
        </is>
      </c>
      <c r="O4418" s="45" t="inlineStr"/>
    </row>
    <row r="4419" customFormat="1" s="3">
      <c r="A4419" s="45" t="n"/>
      <c r="B4419" s="46" t="inlineStr">
        <is>
          <t>42822</t>
        </is>
      </c>
      <c r="C4419" s="46">
        <f>LEFT(Tableau1[[#This Row],[Formacode]],3)</f>
        <v/>
      </c>
      <c r="D4419" s="47" t="n">
        <v>38227</v>
      </c>
      <c r="E4419" s="48">
        <f>"RNCP"&amp;D4419</f>
        <v/>
      </c>
      <c r="F4419" s="48" t="inlineStr">
        <is>
          <t>BP - Agent technique de prévention et de sécurité</t>
        </is>
      </c>
      <c r="G4419" s="49">
        <f>E4419&amp;" - "&amp;F4419</f>
        <v/>
      </c>
      <c r="H4419" s="36" t="inlineStr">
        <is>
          <t>RAS</t>
        </is>
      </c>
      <c r="I4419" s="45" t="inlineStr"/>
      <c r="J4419" s="45" t="inlineStr">
        <is>
          <t>RNCP38227</t>
        </is>
      </c>
      <c r="K4419" s="45" t="inlineStr">
        <is>
          <t>Agent technique de prévention et de sécurité</t>
        </is>
      </c>
      <c r="L4419" s="45" t="inlineStr">
        <is>
          <t>31/08/2027</t>
        </is>
      </c>
      <c r="M4419" s="45" t="inlineStr">
        <is>
          <t>42822 (Surveillance protection gardiennage)</t>
        </is>
      </c>
      <c r="N4419" s="50" t="inlineStr">
        <is>
          <t>NON</t>
        </is>
      </c>
      <c r="O4419" s="45" t="inlineStr"/>
    </row>
    <row r="4420" customFormat="1" s="3">
      <c r="A4420" s="45" t="n"/>
      <c r="B4420" s="46" t="inlineStr">
        <is>
          <t>42822</t>
        </is>
      </c>
      <c r="C4420" s="46">
        <f>LEFT(Tableau1[[#This Row],[Formacode]],3)</f>
        <v/>
      </c>
      <c r="D4420" s="47" t="n">
        <v>38843</v>
      </c>
      <c r="E4420" s="48">
        <f>"RNCP"&amp;D4420</f>
        <v/>
      </c>
      <c r="F4420" s="48" t="inlineStr">
        <is>
          <t>TP - Opérateur en télésurveillance et services associés</t>
        </is>
      </c>
      <c r="G4420" s="49">
        <f>E4420&amp;" - "&amp;F4420</f>
        <v/>
      </c>
      <c r="H4420" s="36" t="inlineStr">
        <is>
          <t>RAS</t>
        </is>
      </c>
      <c r="I4420" s="45" t="inlineStr"/>
      <c r="J4420" s="45" t="inlineStr">
        <is>
          <t>RNCP38843</t>
        </is>
      </c>
      <c r="K4420" s="45" t="inlineStr">
        <is>
          <t>Opérateur en télésurveillance et services associés</t>
        </is>
      </c>
      <c r="L4420" s="45" t="inlineStr">
        <is>
          <t>31/05/2028</t>
        </is>
      </c>
      <c r="M4420" s="45" t="inlineStr">
        <is>
          <t>42801 (Télésurveillance)</t>
        </is>
      </c>
      <c r="N4420" s="50" t="inlineStr">
        <is>
          <t>NON</t>
        </is>
      </c>
      <c r="O4420" s="45" t="inlineStr"/>
    </row>
    <row r="4421" customFormat="1" s="3">
      <c r="A4421" s="51" t="n"/>
      <c r="B4421" s="52" t="inlineStr">
        <is>
          <t>42822</t>
        </is>
      </c>
      <c r="C4421" s="52">
        <f>LEFT(Tableau1[[#This Row],[Formacode]],3)</f>
        <v/>
      </c>
      <c r="D4421" s="53" t="n">
        <v>40298</v>
      </c>
      <c r="E4421" s="54">
        <f>"RNCP"&amp;D4421</f>
        <v/>
      </c>
      <c r="F4421" s="54" t="inlineStr">
        <is>
          <t>TP - Agent de sûreté et de sécurité privée</t>
        </is>
      </c>
      <c r="G4421" s="55">
        <f>E4421&amp;" - "&amp;F4421</f>
        <v/>
      </c>
      <c r="H4421" s="37" t="inlineStr">
        <is>
          <t>À vérifier</t>
        </is>
      </c>
      <c r="I4421" s="51" t="inlineStr">
        <is>
          <t>Successeur déjà publié : RNCP42530 (Agent de sûreté et de sécurité privée) — préparer la bascule de l'offre CPF | Échéance le 01/09/2026 (dans 45 j)</t>
        </is>
      </c>
      <c r="J4421" s="51" t="inlineStr">
        <is>
          <t>RNCP42530</t>
        </is>
      </c>
      <c r="K4421" s="51" t="inlineStr">
        <is>
          <t>Agent de sûreté et de sécurité privée</t>
        </is>
      </c>
      <c r="L4421" s="51" t="inlineStr">
        <is>
          <t>01/09/2026</t>
        </is>
      </c>
      <c r="M4421" s="51" t="inlineStr">
        <is>
          <t>42811 (SSIAP) ; 42841 (Surveillance sécurité IGH) ; 42850 (Surveillance sécurité ERP) ; 42820 (Surveillance sécurité magasin) ; 31875 (Sécurité transport)</t>
        </is>
      </c>
      <c r="N4421" s="62" t="inlineStr">
        <is>
          <t>NON</t>
        </is>
      </c>
      <c r="O4421" s="51" t="inlineStr"/>
    </row>
    <row r="4422" customFormat="1" s="3">
      <c r="A4422" s="45" t="n"/>
      <c r="B4422" s="46" t="inlineStr">
        <is>
          <t>42822</t>
        </is>
      </c>
      <c r="C4422" s="46">
        <f>LEFT(Tableau1[[#This Row],[Formacode]],3)</f>
        <v/>
      </c>
      <c r="D4422" s="47" t="n">
        <v>40308</v>
      </c>
      <c r="E4422" s="48">
        <f>"RNCP"&amp;D4422</f>
        <v/>
      </c>
      <c r="F4422" s="48" t="inlineStr">
        <is>
          <t>Certificat d'aptitude professionnelle - Gardien d'immeubles</t>
        </is>
      </c>
      <c r="G4422" s="49">
        <f>E4422&amp;" - "&amp;F4422</f>
        <v/>
      </c>
      <c r="H4422" s="36" t="inlineStr">
        <is>
          <t>RAS</t>
        </is>
      </c>
      <c r="I4422" s="45" t="inlineStr"/>
      <c r="J4422" s="45" t="inlineStr">
        <is>
          <t>RNCP40308</t>
        </is>
      </c>
      <c r="K4422" s="45" t="inlineStr">
        <is>
          <t>Gardien d'immeubles</t>
        </is>
      </c>
      <c r="L4422" s="45" t="inlineStr">
        <is>
          <t>31/08/2030</t>
        </is>
      </c>
      <c r="M4422" s="45" t="inlineStr">
        <is>
          <t>42810 (Surveillance gardiennage)</t>
        </is>
      </c>
      <c r="N4422" s="50" t="inlineStr">
        <is>
          <t>NON</t>
        </is>
      </c>
      <c r="O4422" s="45" t="inlineStr"/>
    </row>
    <row r="4423" customFormat="1" s="3">
      <c r="A4423" s="45" t="n"/>
      <c r="B4423" s="46" t="inlineStr">
        <is>
          <t>42822</t>
        </is>
      </c>
      <c r="C4423" s="46">
        <f>LEFT(Tableau1[[#This Row],[Formacode]],3)</f>
        <v/>
      </c>
      <c r="D4423" s="47" t="n">
        <v>40892</v>
      </c>
      <c r="E4423" s="48">
        <f>"RNCP"&amp;D4423</f>
        <v/>
      </c>
      <c r="F4423" s="48" t="inlineStr">
        <is>
          <t>Gardien d'immeubles</t>
        </is>
      </c>
      <c r="G4423" s="49">
        <f>E4423&amp;" - "&amp;F4423</f>
        <v/>
      </c>
      <c r="H4423" s="36" t="inlineStr">
        <is>
          <t>RAS</t>
        </is>
      </c>
      <c r="I4423" s="45" t="inlineStr"/>
      <c r="J4423" s="45" t="inlineStr">
        <is>
          <t>RNCP40892</t>
        </is>
      </c>
      <c r="K4423" s="45" t="inlineStr">
        <is>
          <t>Gardien d'immeubles</t>
        </is>
      </c>
      <c r="L4423" s="45" t="inlineStr">
        <is>
          <t>25/06/2030</t>
        </is>
      </c>
      <c r="M4423" s="45" t="inlineStr">
        <is>
          <t>42810 (Surveillance gardiennage)</t>
        </is>
      </c>
      <c r="N4423" s="50" t="inlineStr">
        <is>
          <t>NON</t>
        </is>
      </c>
      <c r="O4423" s="45" t="inlineStr"/>
    </row>
    <row r="4424" customFormat="1" s="3">
      <c r="A4424" s="45" t="n"/>
      <c r="B4424" s="46" t="inlineStr">
        <is>
          <t>42822</t>
        </is>
      </c>
      <c r="C4424" s="46">
        <f>LEFT(Tableau1[[#This Row],[Formacode]],3)</f>
        <v/>
      </c>
      <c r="D4424" s="47" t="n">
        <v>41000</v>
      </c>
      <c r="E4424" s="48">
        <f>"RNCP"&amp;D4424</f>
        <v/>
      </c>
      <c r="F4424" s="48" t="inlineStr">
        <is>
          <t>BTS - Management opérationnel de la sécurité</t>
        </is>
      </c>
      <c r="G4424" s="49">
        <f>E4424&amp;" - "&amp;F4424</f>
        <v/>
      </c>
      <c r="H4424" s="36" t="inlineStr">
        <is>
          <t>RAS</t>
        </is>
      </c>
      <c r="I4424" s="45" t="inlineStr"/>
      <c r="J4424" s="45" t="inlineStr">
        <is>
          <t>RNCP41000</t>
        </is>
      </c>
      <c r="K4424" s="45" t="inlineStr">
        <is>
          <t>Management opérationnel de la sécurité</t>
        </is>
      </c>
      <c r="L4424" s="45" t="inlineStr">
        <is>
          <t>31/08/2030</t>
        </is>
      </c>
      <c r="M4424" s="45" t="inlineStr">
        <is>
          <t>42854 (Prévention sécurité) ; 32154 (Encadrement management)</t>
        </is>
      </c>
      <c r="N4424" s="50" t="inlineStr">
        <is>
          <t>NON</t>
        </is>
      </c>
      <c r="O4424" s="45" t="inlineStr"/>
    </row>
    <row r="4425" customFormat="1" s="3">
      <c r="A4425" s="45" t="n"/>
      <c r="B4425" s="46" t="inlineStr">
        <is>
          <t>42848</t>
        </is>
      </c>
      <c r="C4425" s="46">
        <f>LEFT(Tableau1[[#This Row],[Formacode]],3)</f>
        <v/>
      </c>
      <c r="D4425" s="47" t="n">
        <v>41000</v>
      </c>
      <c r="E4425" s="48">
        <f>"RNCP"&amp;D4425</f>
        <v/>
      </c>
      <c r="F4425" s="48" t="inlineStr">
        <is>
          <t>BTS - Management opérationnel de la sécurité</t>
        </is>
      </c>
      <c r="G4425" s="49">
        <f>E4425&amp;" - "&amp;F4425</f>
        <v/>
      </c>
      <c r="H4425" s="36" t="inlineStr">
        <is>
          <t>RAS</t>
        </is>
      </c>
      <c r="I4425" s="45" t="inlineStr"/>
      <c r="J4425" s="45" t="inlineStr">
        <is>
          <t>RNCP41000</t>
        </is>
      </c>
      <c r="K4425" s="45" t="inlineStr">
        <is>
          <t>Management opérationnel de la sécurité</t>
        </is>
      </c>
      <c r="L4425" s="45" t="inlineStr">
        <is>
          <t>31/08/2030</t>
        </is>
      </c>
      <c r="M4425" s="45" t="inlineStr">
        <is>
          <t>42854 (Prévention sécurité) ; 32154 (Encadrement management)</t>
        </is>
      </c>
      <c r="N4425" s="50" t="inlineStr">
        <is>
          <t>NON</t>
        </is>
      </c>
      <c r="O4425" s="45" t="inlineStr"/>
    </row>
    <row r="4426" customFormat="1" s="3">
      <c r="A4426" s="45" t="n"/>
      <c r="B4426" s="46" t="inlineStr">
        <is>
          <t>42856</t>
        </is>
      </c>
      <c r="C4426" s="46">
        <f>LEFT(Tableau1[[#This Row],[Formacode]],3)</f>
        <v/>
      </c>
      <c r="D4426" s="47" t="n">
        <v>41000</v>
      </c>
      <c r="E4426" s="48">
        <f>"RNCP"&amp;D4426</f>
        <v/>
      </c>
      <c r="F4426" s="48" t="inlineStr">
        <is>
          <t>BTS - Management opérationnel de la sécurité</t>
        </is>
      </c>
      <c r="G4426" s="49">
        <f>E4426&amp;" - "&amp;F4426</f>
        <v/>
      </c>
      <c r="H4426" s="36" t="inlineStr">
        <is>
          <t>RAS</t>
        </is>
      </c>
      <c r="I4426" s="45" t="inlineStr"/>
      <c r="J4426" s="45" t="inlineStr">
        <is>
          <t>RNCP41000</t>
        </is>
      </c>
      <c r="K4426" s="45" t="inlineStr">
        <is>
          <t>Management opérationnel de la sécurité</t>
        </is>
      </c>
      <c r="L4426" s="45" t="inlineStr">
        <is>
          <t>31/08/2030</t>
        </is>
      </c>
      <c r="M4426" s="45" t="inlineStr">
        <is>
          <t>42854 (Prévention sécurité) ; 32154 (Encadrement management)</t>
        </is>
      </c>
      <c r="N4426" s="50" t="inlineStr">
        <is>
          <t>NON</t>
        </is>
      </c>
      <c r="O4426" s="45" t="inlineStr"/>
    </row>
    <row r="4427" customFormat="1" s="3">
      <c r="A4427" s="45" t="n"/>
      <c r="B4427" s="46" t="inlineStr">
        <is>
          <t>42863</t>
        </is>
      </c>
      <c r="C4427" s="46">
        <f>LEFT(Tableau1[[#This Row],[Formacode]],3)</f>
        <v/>
      </c>
      <c r="D4427" s="47" t="n">
        <v>41000</v>
      </c>
      <c r="E4427" s="48">
        <f>"RNCP"&amp;D4427</f>
        <v/>
      </c>
      <c r="F4427" s="48" t="inlineStr">
        <is>
          <t>BTS - Management opérationnel de la sécurité</t>
        </is>
      </c>
      <c r="G4427" s="49">
        <f>E4427&amp;" - "&amp;F4427</f>
        <v/>
      </c>
      <c r="H4427" s="36" t="inlineStr">
        <is>
          <t>RAS</t>
        </is>
      </c>
      <c r="I4427" s="45" t="inlineStr"/>
      <c r="J4427" s="45" t="inlineStr">
        <is>
          <t>RNCP41000</t>
        </is>
      </c>
      <c r="K4427" s="45" t="inlineStr">
        <is>
          <t>Management opérationnel de la sécurité</t>
        </is>
      </c>
      <c r="L4427" s="45" t="inlineStr">
        <is>
          <t>31/08/2030</t>
        </is>
      </c>
      <c r="M4427" s="45" t="inlineStr">
        <is>
          <t>42854 (Prévention sécurité) ; 32154 (Encadrement management)</t>
        </is>
      </c>
      <c r="N4427" s="50" t="inlineStr">
        <is>
          <t>NON</t>
        </is>
      </c>
      <c r="O4427" s="45" t="inlineStr"/>
    </row>
    <row r="4428" customFormat="1" s="3">
      <c r="A4428" s="51" t="n"/>
      <c r="B4428" s="52" t="inlineStr">
        <is>
          <t>42866</t>
        </is>
      </c>
      <c r="C4428" s="52">
        <f>LEFT(Tableau1[[#This Row],[Formacode]],3)</f>
        <v/>
      </c>
      <c r="D4428" s="53" t="n">
        <v>35862</v>
      </c>
      <c r="E4428" s="54">
        <f>"RNCP"&amp;D4428</f>
        <v/>
      </c>
      <c r="F4428" s="54" t="inlineStr">
        <is>
          <t>Responsable qualité, santé, sécurité, environnement</t>
        </is>
      </c>
      <c r="G4428" s="55">
        <f>E4428&amp;" - "&amp;F4428</f>
        <v/>
      </c>
      <c r="H4428" s="37" t="inlineStr">
        <is>
          <t>À vérifier</t>
        </is>
      </c>
      <c r="I4428" s="51" t="inlineStr">
        <is>
          <t>Successeur déjà publié : RNCP42494 (Responsable qualité santé sécurité environnement) — préparer la bascule de l'offre CPF | Échéance le 15/09/2026 (dans 59 j)</t>
        </is>
      </c>
      <c r="J4428" s="51" t="inlineStr">
        <is>
          <t>RNCP42494</t>
        </is>
      </c>
      <c r="K4428" s="51" t="inlineStr">
        <is>
          <t>Responsable qualité santé sécurité environnement</t>
        </is>
      </c>
      <c r="L4428" s="51" t="inlineStr">
        <is>
          <t>15/09/2026</t>
        </is>
      </c>
      <c r="M4428" s="51" t="inlineStr">
        <is>
          <t>31407 (Qualité hygiène sécurité environnement) ; 32008 (Responsabilité sociétale entreprise) ; 42818 (Système management santé sécurité travail) ; 12587 (Management environnemental)</t>
        </is>
      </c>
      <c r="N4428" s="62" t="inlineStr">
        <is>
          <t>NON</t>
        </is>
      </c>
      <c r="O4428" s="51" t="inlineStr"/>
    </row>
    <row r="4429" customFormat="1" s="3">
      <c r="A4429" s="45" t="n"/>
      <c r="B4429" s="46" t="inlineStr">
        <is>
          <t>42866</t>
        </is>
      </c>
      <c r="C4429" s="46">
        <f>LEFT(Tableau1[[#This Row],[Formacode]],3)</f>
        <v/>
      </c>
      <c r="D4429" s="47" t="n">
        <v>36916</v>
      </c>
      <c r="E4429" s="48">
        <f>"RNCP"&amp;D4429</f>
        <v/>
      </c>
      <c r="F4429" s="48" t="inlineStr">
        <is>
          <t>Responsable management durable qualité sécurité environnement</t>
        </is>
      </c>
      <c r="G4429" s="49">
        <f>E4429&amp;" - "&amp;F4429</f>
        <v/>
      </c>
      <c r="H4429" s="36" t="inlineStr">
        <is>
          <t>RAS</t>
        </is>
      </c>
      <c r="I4429" s="45" t="inlineStr"/>
      <c r="J4429" s="45" t="inlineStr">
        <is>
          <t>RNCP36916</t>
        </is>
      </c>
      <c r="K4429" s="45" t="inlineStr">
        <is>
          <t>Responsable management durable qualité sécurité environnement</t>
        </is>
      </c>
      <c r="L4429" s="45" t="inlineStr">
        <is>
          <t>29/09/2027</t>
        </is>
      </c>
      <c r="M4429" s="45" t="inlineStr">
        <is>
          <t>31407 (Qualité hygiène sécurité environnement) ; 12554 (Environnement aménagement) ; 42866 (Santé sécurité travail)</t>
        </is>
      </c>
      <c r="N4429" s="50" t="inlineStr">
        <is>
          <t>NON</t>
        </is>
      </c>
      <c r="O4429" s="45" t="inlineStr"/>
    </row>
    <row r="4430" customFormat="1" s="3">
      <c r="A4430" s="45" t="n"/>
      <c r="B4430" s="46" t="inlineStr">
        <is>
          <t>42866</t>
        </is>
      </c>
      <c r="C4430" s="46">
        <f>LEFT(Tableau1[[#This Row],[Formacode]],3)</f>
        <v/>
      </c>
      <c r="D4430" s="47" t="n">
        <v>39588</v>
      </c>
      <c r="E4430" s="48">
        <f>"RNCP"&amp;D4430</f>
        <v/>
      </c>
      <c r="F4430" s="48" t="inlineStr">
        <is>
          <t>Manager santé, sécurité et environnement</t>
        </is>
      </c>
      <c r="G4430" s="49">
        <f>E4430&amp;" - "&amp;F4430</f>
        <v/>
      </c>
      <c r="H4430" s="36" t="inlineStr">
        <is>
          <t>RAS</t>
        </is>
      </c>
      <c r="I4430" s="45" t="inlineStr"/>
      <c r="J4430" s="45" t="inlineStr">
        <is>
          <t>RNCP39588</t>
        </is>
      </c>
      <c r="K4430" s="45" t="inlineStr">
        <is>
          <t>Manager santé, sécurité et environnement</t>
        </is>
      </c>
      <c r="L4430" s="45" t="inlineStr">
        <is>
          <t>01/10/2027</t>
        </is>
      </c>
      <c r="M4430" s="45" t="inlineStr">
        <is>
          <t>42866 (Santé sécurité travail) ; 12554 (Environnement aménagement)</t>
        </is>
      </c>
      <c r="N4430" s="50" t="inlineStr">
        <is>
          <t>NON</t>
        </is>
      </c>
      <c r="O4430" s="45" t="inlineStr"/>
    </row>
    <row r="4431" customFormat="1" s="3">
      <c r="A4431" s="45" t="n"/>
      <c r="B4431" s="46" t="inlineStr">
        <is>
          <t>42866</t>
        </is>
      </c>
      <c r="C4431" s="46">
        <f>LEFT(Tableau1[[#This Row],[Formacode]],3)</f>
        <v/>
      </c>
      <c r="D4431" s="47" t="n">
        <v>39599</v>
      </c>
      <c r="E4431" s="48">
        <f>"RNCP"&amp;D4431</f>
        <v/>
      </c>
      <c r="F4431" s="48" t="inlineStr">
        <is>
          <t>Responsable de projet qualité sécurité environnement et développement durable</t>
        </is>
      </c>
      <c r="G4431" s="49">
        <f>E4431&amp;" - "&amp;F4431</f>
        <v/>
      </c>
      <c r="H4431" s="36" t="inlineStr">
        <is>
          <t>RAS</t>
        </is>
      </c>
      <c r="I4431" s="45" t="inlineStr"/>
      <c r="J4431" s="45" t="inlineStr">
        <is>
          <t>RNCP39599</t>
        </is>
      </c>
      <c r="K4431" s="45" t="inlineStr">
        <is>
          <t>Responsable de projet qualité sécurité environnement et développement durable</t>
        </is>
      </c>
      <c r="L4431" s="45" t="inlineStr">
        <is>
          <t>01/10/2027</t>
        </is>
      </c>
      <c r="M4431" s="45" t="inlineStr">
        <is>
          <t>42818 (Système management santé sécurité travail) ; 12587 (Management environnemental) ; 31407 (Qualité hygiène sécurité environnement) ; 31354 (Qualité industrielle) ; 31449 (Norme qualité)</t>
        </is>
      </c>
      <c r="N4431" s="50" t="inlineStr">
        <is>
          <t>NON</t>
        </is>
      </c>
      <c r="O4431" s="45" t="inlineStr"/>
    </row>
    <row r="4432" customFormat="1" s="3">
      <c r="A4432" s="45" t="n"/>
      <c r="B4432" s="46" t="inlineStr">
        <is>
          <t>42866</t>
        </is>
      </c>
      <c r="C4432" s="46">
        <f>LEFT(Tableau1[[#This Row],[Formacode]],3)</f>
        <v/>
      </c>
      <c r="D4432" s="47" t="n">
        <v>41000</v>
      </c>
      <c r="E4432" s="48">
        <f>"RNCP"&amp;D4432</f>
        <v/>
      </c>
      <c r="F4432" s="48" t="inlineStr">
        <is>
          <t>BTS - Management opérationnel de la sécurité</t>
        </is>
      </c>
      <c r="G4432" s="49">
        <f>E4432&amp;" - "&amp;F4432</f>
        <v/>
      </c>
      <c r="H4432" s="36" t="inlineStr">
        <is>
          <t>RAS</t>
        </is>
      </c>
      <c r="I4432" s="45" t="inlineStr"/>
      <c r="J4432" s="45" t="inlineStr">
        <is>
          <t>RNCP41000</t>
        </is>
      </c>
      <c r="K4432" s="45" t="inlineStr">
        <is>
          <t>Management opérationnel de la sécurité</t>
        </is>
      </c>
      <c r="L4432" s="45" t="inlineStr">
        <is>
          <t>31/08/2030</t>
        </is>
      </c>
      <c r="M4432" s="45" t="inlineStr">
        <is>
          <t>42854 (Prévention sécurité) ; 32154 (Encadrement management)</t>
        </is>
      </c>
      <c r="N4432" s="50" t="inlineStr">
        <is>
          <t>NON</t>
        </is>
      </c>
      <c r="O4432" s="45" t="inlineStr"/>
    </row>
    <row r="4433" customFormat="1" s="3">
      <c r="A4433" s="45" t="n"/>
      <c r="B4433" s="46" t="inlineStr">
        <is>
          <t>42866</t>
        </is>
      </c>
      <c r="C4433" s="46">
        <f>LEFT(Tableau1[[#This Row],[Formacode]],3)</f>
        <v/>
      </c>
      <c r="D4433" s="47" t="n">
        <v>41136</v>
      </c>
      <c r="E4433" s="48">
        <f>"RNCP"&amp;D4433</f>
        <v/>
      </c>
      <c r="F4433" s="48" t="inlineStr">
        <is>
          <t>CQP Coordonnateur du système QSE</t>
        </is>
      </c>
      <c r="G4433" s="49">
        <f>E4433&amp;" - "&amp;F4433</f>
        <v/>
      </c>
      <c r="H4433" s="36" t="inlineStr">
        <is>
          <t>RAS</t>
        </is>
      </c>
      <c r="I4433" s="45" t="inlineStr"/>
      <c r="J4433" s="45" t="inlineStr">
        <is>
          <t>RNCP41136</t>
        </is>
      </c>
      <c r="K4433" s="45" t="inlineStr">
        <is>
          <t>CQP Coordonnateur du système QSE</t>
        </is>
      </c>
      <c r="L4433" s="45" t="inlineStr">
        <is>
          <t>18/07/2030</t>
        </is>
      </c>
      <c r="M4433" s="45" t="inlineStr">
        <is>
          <t>42818 (Système management santé sécurité travail) ; 31354 (Qualité industrielle) ; 23642 (Sécurité mécanique construction réparation) ; 42817 (Réglementation santé sécurité travail) ; 31407 (Qualité hygiène sécurité environnement)</t>
        </is>
      </c>
      <c r="N4433" s="50" t="inlineStr">
        <is>
          <t>NON</t>
        </is>
      </c>
      <c r="O4433" s="45" t="inlineStr"/>
    </row>
    <row r="4434" customFormat="1" s="3">
      <c r="A4434" s="45" t="n"/>
      <c r="B4434" s="46" t="inlineStr">
        <is>
          <t>42866</t>
        </is>
      </c>
      <c r="C4434" s="46">
        <f>LEFT(Tableau1[[#This Row],[Formacode]],3)</f>
        <v/>
      </c>
      <c r="D4434" s="47" t="n">
        <v>41291</v>
      </c>
      <c r="E4434" s="48">
        <f>"RNCP"&amp;D4434</f>
        <v/>
      </c>
      <c r="F4434" s="48" t="inlineStr">
        <is>
          <t>CQP Préventeur santé-sécurité au travail et environnement</t>
        </is>
      </c>
      <c r="G4434" s="49">
        <f>E4434&amp;" - "&amp;F4434</f>
        <v/>
      </c>
      <c r="H4434" s="36" t="inlineStr">
        <is>
          <t>RAS</t>
        </is>
      </c>
      <c r="I4434" s="45" t="inlineStr"/>
      <c r="J4434" s="45" t="inlineStr">
        <is>
          <t>RNCP41291</t>
        </is>
      </c>
      <c r="K4434" s="45" t="inlineStr">
        <is>
          <t>CQP Préventeur santé-sécurité au travail et environnement</t>
        </is>
      </c>
      <c r="L4434" s="45" t="inlineStr">
        <is>
          <t>24/09/2030</t>
        </is>
      </c>
      <c r="M4434" s="45" t="inlineStr">
        <is>
          <t>42866 (Santé sécurité travail) ; 31407 (Qualité hygiène sécurité environnement)</t>
        </is>
      </c>
      <c r="N4434" s="50" t="inlineStr">
        <is>
          <t>NON</t>
        </is>
      </c>
      <c r="O4434" s="45" t="inlineStr"/>
    </row>
    <row r="4435" customFormat="1" s="3">
      <c r="A4435" s="45" t="n"/>
      <c r="B4435" s="46" t="inlineStr">
        <is>
          <t>42870</t>
        </is>
      </c>
      <c r="C4435" s="46">
        <f>LEFT(Tableau1[[#This Row],[Formacode]],3)</f>
        <v/>
      </c>
      <c r="D4435" s="47" t="n">
        <v>41000</v>
      </c>
      <c r="E4435" s="48">
        <f>"RNCP"&amp;D4435</f>
        <v/>
      </c>
      <c r="F4435" s="48" t="inlineStr">
        <is>
          <t>BTS - Management opérationnel de la sécurité</t>
        </is>
      </c>
      <c r="G4435" s="49">
        <f>E4435&amp;" - "&amp;F4435</f>
        <v/>
      </c>
      <c r="H4435" s="36" t="inlineStr">
        <is>
          <t>RAS</t>
        </is>
      </c>
      <c r="I4435" s="45" t="inlineStr"/>
      <c r="J4435" s="45" t="inlineStr">
        <is>
          <t>RNCP41000</t>
        </is>
      </c>
      <c r="K4435" s="45" t="inlineStr">
        <is>
          <t>Management opérationnel de la sécurité</t>
        </is>
      </c>
      <c r="L4435" s="45" t="inlineStr">
        <is>
          <t>31/08/2030</t>
        </is>
      </c>
      <c r="M4435" s="45" t="inlineStr">
        <is>
          <t>42854 (Prévention sécurité) ; 32154 (Encadrement management)</t>
        </is>
      </c>
      <c r="N4435" s="50" t="inlineStr">
        <is>
          <t>NON</t>
        </is>
      </c>
      <c r="O4435" s="45" t="inlineStr"/>
    </row>
    <row r="4436" customFormat="1" s="3">
      <c r="A4436" s="45" t="n"/>
      <c r="B4436" s="46" t="inlineStr">
        <is>
          <t>42872</t>
        </is>
      </c>
      <c r="C4436" s="46">
        <f>LEFT(Tableau1[[#This Row],[Formacode]],3)</f>
        <v/>
      </c>
      <c r="D4436" s="47" t="n">
        <v>38228</v>
      </c>
      <c r="E4436" s="48">
        <f>"RNCP"&amp;D4436</f>
        <v/>
      </c>
      <c r="F4436" s="48" t="inlineStr">
        <is>
          <t>CAP - Agent vérificateur d'appareils extincteurs</t>
        </is>
      </c>
      <c r="G4436" s="49">
        <f>E4436&amp;" - "&amp;F4436</f>
        <v/>
      </c>
      <c r="H4436" s="36" t="inlineStr">
        <is>
          <t>RAS</t>
        </is>
      </c>
      <c r="I4436" s="45" t="inlineStr"/>
      <c r="J4436" s="45" t="inlineStr">
        <is>
          <t>RNCP38228</t>
        </is>
      </c>
      <c r="K4436" s="45" t="inlineStr">
        <is>
          <t>Agent vérificateur d'appareils extincteurs</t>
        </is>
      </c>
      <c r="L4436" s="45" t="inlineStr">
        <is>
          <t>31/08/2028</t>
        </is>
      </c>
      <c r="M4436" s="45" t="inlineStr">
        <is>
          <t>42872 (Sécurité incendie)</t>
        </is>
      </c>
      <c r="N4436" s="50" t="inlineStr">
        <is>
          <t>NON</t>
        </is>
      </c>
      <c r="O4436" s="45" t="inlineStr"/>
    </row>
    <row r="4437" customFormat="1" s="3">
      <c r="A4437" s="45" t="n"/>
      <c r="B4437" s="46" t="inlineStr">
        <is>
          <t>42872</t>
        </is>
      </c>
      <c r="C4437" s="46">
        <f>LEFT(Tableau1[[#This Row],[Formacode]],3)</f>
        <v/>
      </c>
      <c r="D4437" s="47" t="n">
        <v>39133</v>
      </c>
      <c r="E4437" s="48">
        <f>"RNCP"&amp;D4437</f>
        <v/>
      </c>
      <c r="F4437" s="48" t="inlineStr">
        <is>
          <t>BAC PRO - Métiers de la sécurité</t>
        </is>
      </c>
      <c r="G4437" s="49">
        <f>E4437&amp;" - "&amp;F4437</f>
        <v/>
      </c>
      <c r="H4437" s="36" t="inlineStr">
        <is>
          <t>RAS</t>
        </is>
      </c>
      <c r="I4437" s="45" t="inlineStr"/>
      <c r="J4437" s="45" t="inlineStr">
        <is>
          <t>RNCP39133</t>
        </is>
      </c>
      <c r="K4437" s="45" t="inlineStr">
        <is>
          <t>Métiers de la sécurité</t>
        </is>
      </c>
      <c r="L4437" s="45" t="inlineStr">
        <is>
          <t>31/08/2027</t>
        </is>
      </c>
      <c r="M4437" s="45" t="inlineStr">
        <is>
          <t>42803 (Sécurité publique) ; 42872 (Sécurité incendie)</t>
        </is>
      </c>
      <c r="N4437" s="50" t="inlineStr">
        <is>
          <t>NON</t>
        </is>
      </c>
      <c r="O4437" s="45" t="inlineStr"/>
    </row>
    <row r="4438" customFormat="1" s="3">
      <c r="A4438" s="45" t="n"/>
      <c r="B4438" s="46" t="inlineStr">
        <is>
          <t>42872</t>
        </is>
      </c>
      <c r="C4438" s="46">
        <f>LEFT(Tableau1[[#This Row],[Formacode]],3)</f>
        <v/>
      </c>
      <c r="D4438" s="47" t="n">
        <v>41000</v>
      </c>
      <c r="E4438" s="48">
        <f>"RNCP"&amp;D4438</f>
        <v/>
      </c>
      <c r="F4438" s="48" t="inlineStr">
        <is>
          <t>BTS - Management opérationnel de la sécurité</t>
        </is>
      </c>
      <c r="G4438" s="49">
        <f>E4438&amp;" - "&amp;F4438</f>
        <v/>
      </c>
      <c r="H4438" s="36" t="inlineStr">
        <is>
          <t>RAS</t>
        </is>
      </c>
      <c r="I4438" s="45" t="inlineStr"/>
      <c r="J4438" s="45" t="inlineStr">
        <is>
          <t>RNCP41000</t>
        </is>
      </c>
      <c r="K4438" s="45" t="inlineStr">
        <is>
          <t>Management opérationnel de la sécurité</t>
        </is>
      </c>
      <c r="L4438" s="45" t="inlineStr">
        <is>
          <t>31/08/2030</t>
        </is>
      </c>
      <c r="M4438" s="45" t="inlineStr">
        <is>
          <t>42854 (Prévention sécurité) ; 32154 (Encadrement management)</t>
        </is>
      </c>
      <c r="N4438" s="50" t="inlineStr">
        <is>
          <t>NON</t>
        </is>
      </c>
      <c r="O4438" s="45" t="inlineStr"/>
    </row>
    <row r="4439" customFormat="1" s="3">
      <c r="A4439" s="45" t="n"/>
      <c r="B4439" s="46" t="inlineStr">
        <is>
          <t>42877</t>
        </is>
      </c>
      <c r="C4439" s="46">
        <f>LEFT(Tableau1[[#This Row],[Formacode]],3)</f>
        <v/>
      </c>
      <c r="D4439" s="47" t="n">
        <v>40283</v>
      </c>
      <c r="E4439" s="48">
        <f>"RNCP"&amp;D4439</f>
        <v/>
      </c>
      <c r="F4439" s="48" t="inlineStr">
        <is>
          <t>CQP Technicien protection risques naturels</t>
        </is>
      </c>
      <c r="G4439" s="49">
        <f>E4439&amp;" - "&amp;F4439</f>
        <v/>
      </c>
      <c r="H4439" s="36" t="inlineStr">
        <is>
          <t>RAS</t>
        </is>
      </c>
      <c r="I4439" s="45" t="inlineStr"/>
      <c r="J4439" s="45" t="inlineStr">
        <is>
          <t>RNCP40283</t>
        </is>
      </c>
      <c r="K4439" s="45" t="inlineStr">
        <is>
          <t>CQP Technicien protection risques naturels</t>
        </is>
      </c>
      <c r="L4439" s="45" t="inlineStr">
        <is>
          <t>28/02/2030</t>
        </is>
      </c>
      <c r="M4439" s="45" t="inlineStr">
        <is>
          <t>42883 (Risque naturel) ; 22028 (Réhabilitation travaux publics)</t>
        </is>
      </c>
      <c r="N4439" s="50" t="inlineStr">
        <is>
          <t>NON</t>
        </is>
      </c>
      <c r="O4439" s="45" t="inlineStr"/>
    </row>
    <row r="4440" customFormat="1" s="3">
      <c r="A4440" s="45" t="n"/>
      <c r="B4440" s="46" t="inlineStr">
        <is>
          <t>42877</t>
        </is>
      </c>
      <c r="C4440" s="46">
        <f>LEFT(Tableau1[[#This Row],[Formacode]],3)</f>
        <v/>
      </c>
      <c r="D4440" s="47" t="n">
        <v>40897</v>
      </c>
      <c r="E4440" s="48">
        <f>"RNCP"&amp;D4440</f>
        <v/>
      </c>
      <c r="F4440" s="48" t="inlineStr">
        <is>
          <t>Expert en cybersécurité</t>
        </is>
      </c>
      <c r="G4440" s="49">
        <f>E4440&amp;" - "&amp;F4440</f>
        <v/>
      </c>
      <c r="H4440" s="36" t="inlineStr">
        <is>
          <t>RAS</t>
        </is>
      </c>
      <c r="I4440" s="45" t="inlineStr"/>
      <c r="J4440" s="45" t="inlineStr">
        <is>
          <t>RNCP40897</t>
        </is>
      </c>
      <c r="K4440" s="45" t="inlineStr">
        <is>
          <t>Expert en cybersécurité</t>
        </is>
      </c>
      <c r="L4440" s="45" t="inlineStr">
        <is>
          <t>25/06/2028</t>
        </is>
      </c>
      <c r="M4440" s="45" t="inlineStr">
        <is>
          <t>31045 (Cybersécurité) ; 31038 (Audit informatique) ; 31008 (Système information) ; 42881 (Risque criminel entreprise)</t>
        </is>
      </c>
      <c r="N4440" s="50" t="inlineStr">
        <is>
          <t>NON</t>
        </is>
      </c>
      <c r="O4440" s="45" t="inlineStr"/>
    </row>
    <row r="4441" customFormat="1" s="3">
      <c r="A4441" s="45" t="n"/>
      <c r="B4441" s="46" t="inlineStr">
        <is>
          <t>42877</t>
        </is>
      </c>
      <c r="C4441" s="46">
        <f>LEFT(Tableau1[[#This Row],[Formacode]],3)</f>
        <v/>
      </c>
      <c r="D4441" s="47" t="n">
        <v>41000</v>
      </c>
      <c r="E4441" s="48">
        <f>"RNCP"&amp;D4441</f>
        <v/>
      </c>
      <c r="F4441" s="48" t="inlineStr">
        <is>
          <t>BTS - Management opérationnel de la sécurité</t>
        </is>
      </c>
      <c r="G4441" s="49">
        <f>E4441&amp;" - "&amp;F4441</f>
        <v/>
      </c>
      <c r="H4441" s="36" t="inlineStr">
        <is>
          <t>RAS</t>
        </is>
      </c>
      <c r="I4441" s="45" t="inlineStr"/>
      <c r="J4441" s="45" t="inlineStr">
        <is>
          <t>RNCP41000</t>
        </is>
      </c>
      <c r="K4441" s="45" t="inlineStr">
        <is>
          <t>Management opérationnel de la sécurité</t>
        </is>
      </c>
      <c r="L4441" s="45" t="inlineStr">
        <is>
          <t>31/08/2030</t>
        </is>
      </c>
      <c r="M4441" s="45" t="inlineStr">
        <is>
          <t>42854 (Prévention sécurité) ; 32154 (Encadrement management)</t>
        </is>
      </c>
      <c r="N4441" s="50" t="inlineStr">
        <is>
          <t>NON</t>
        </is>
      </c>
      <c r="O4441" s="45" t="inlineStr"/>
    </row>
    <row r="4442" customFormat="1" s="3">
      <c r="A4442" s="45" t="n"/>
      <c r="B4442" s="46" t="inlineStr">
        <is>
          <t>42877</t>
        </is>
      </c>
      <c r="C4442" s="46">
        <f>LEFT(Tableau1[[#This Row],[Formacode]],3)</f>
        <v/>
      </c>
      <c r="D4442" s="47" t="n">
        <v>41413</v>
      </c>
      <c r="E4442" s="48">
        <f>"RNCP"&amp;D4442</f>
        <v/>
      </c>
      <c r="F4442" s="48" t="inlineStr">
        <is>
          <t>Manager qualité hygiène sécurité environnement</t>
        </is>
      </c>
      <c r="G4442" s="49">
        <f>E4442&amp;" - "&amp;F4442</f>
        <v/>
      </c>
      <c r="H4442" s="36" t="inlineStr">
        <is>
          <t>RAS</t>
        </is>
      </c>
      <c r="I4442" s="45" t="inlineStr"/>
      <c r="J4442" s="45" t="inlineStr">
        <is>
          <t>RNCP41413</t>
        </is>
      </c>
      <c r="K4442" s="45" t="inlineStr">
        <is>
          <t>Manager qualité hygiène sécurité environnement</t>
        </is>
      </c>
      <c r="L4442" s="45" t="inlineStr">
        <is>
          <t>27/10/2028</t>
        </is>
      </c>
      <c r="M4442" s="45" t="inlineStr">
        <is>
          <t>31407 (Qualité hygiène sécurité environnement) ; 31436 (Contrôle qualité) ; 31449 (Norme qualité) ; 42881 (Risque criminel entreprise)</t>
        </is>
      </c>
      <c r="N4442" s="50" t="inlineStr">
        <is>
          <t>NON</t>
        </is>
      </c>
      <c r="O4442" s="45" t="inlineStr"/>
    </row>
    <row r="4443" customFormat="1" s="3">
      <c r="A4443" s="45" t="n"/>
      <c r="B4443" s="46" t="inlineStr">
        <is>
          <t>42891</t>
        </is>
      </c>
      <c r="C4443" s="46">
        <f>LEFT(Tableau1[[#This Row],[Formacode]],3)</f>
        <v/>
      </c>
      <c r="D4443" s="47" t="n">
        <v>41000</v>
      </c>
      <c r="E4443" s="48">
        <f>"RNCP"&amp;D4443</f>
        <v/>
      </c>
      <c r="F4443" s="48" t="inlineStr">
        <is>
          <t>BTS - Management opérationnel de la sécurité</t>
        </is>
      </c>
      <c r="G4443" s="49">
        <f>E4443&amp;" - "&amp;F4443</f>
        <v/>
      </c>
      <c r="H4443" s="36" t="inlineStr">
        <is>
          <t>RAS</t>
        </is>
      </c>
      <c r="I4443" s="45" t="inlineStr"/>
      <c r="J4443" s="45" t="inlineStr">
        <is>
          <t>RNCP41000</t>
        </is>
      </c>
      <c r="K4443" s="45" t="inlineStr">
        <is>
          <t>Management opérationnel de la sécurité</t>
        </is>
      </c>
      <c r="L4443" s="45" t="inlineStr">
        <is>
          <t>31/08/2030</t>
        </is>
      </c>
      <c r="M4443" s="45" t="inlineStr">
        <is>
          <t>42854 (Prévention sécurité) ; 32154 (Encadrement management)</t>
        </is>
      </c>
      <c r="N4443" s="50" t="inlineStr">
        <is>
          <t>NON</t>
        </is>
      </c>
      <c r="O4443" s="45" t="inlineStr"/>
    </row>
    <row r="4444" customFormat="1" s="3">
      <c r="A4444" s="45" t="n"/>
      <c r="B4444" s="46" t="inlineStr">
        <is>
          <t>43001</t>
        </is>
      </c>
      <c r="C4444" s="46">
        <f>LEFT(Tableau1[[#This Row],[Formacode]],3)</f>
        <v/>
      </c>
      <c r="D4444" s="47" t="n">
        <v>40276</v>
      </c>
      <c r="E4444" s="48">
        <f>"RNCP"&amp;D4444</f>
        <v/>
      </c>
      <c r="F4444" s="48" t="inlineStr">
        <is>
          <t>Attaché de recherche clinique</t>
        </is>
      </c>
      <c r="G4444" s="49">
        <f>E4444&amp;" - "&amp;F4444</f>
        <v/>
      </c>
      <c r="H4444" s="36" t="inlineStr">
        <is>
          <t>RAS</t>
        </is>
      </c>
      <c r="I4444" s="45" t="inlineStr"/>
      <c r="J4444" s="45" t="inlineStr">
        <is>
          <t>RNCP40276</t>
        </is>
      </c>
      <c r="K4444" s="45" t="inlineStr">
        <is>
          <t>Attaché de recherche clinique</t>
        </is>
      </c>
      <c r="L4444" s="45" t="inlineStr">
        <is>
          <t>28/02/2030</t>
        </is>
      </c>
      <c r="M4444" s="45" t="inlineStr">
        <is>
          <t>43001 (Recherche médicale)</t>
        </is>
      </c>
      <c r="N4444" s="50" t="inlineStr">
        <is>
          <t>NON</t>
        </is>
      </c>
      <c r="O4444" s="45" t="inlineStr"/>
    </row>
    <row r="4445" customFormat="1" s="3">
      <c r="A4445" s="45" t="n"/>
      <c r="B4445" s="46" t="inlineStr">
        <is>
          <t>43026</t>
        </is>
      </c>
      <c r="C4445" s="46">
        <f>LEFT(Tableau1[[#This Row],[Formacode]],3)</f>
        <v/>
      </c>
      <c r="D4445" s="47" t="n">
        <v>39982</v>
      </c>
      <c r="E4445" s="48">
        <f>"RNCP"&amp;D4445</f>
        <v/>
      </c>
      <c r="F4445" s="48" t="inlineStr">
        <is>
          <t>Manager en services et industries de santé (MS)</t>
        </is>
      </c>
      <c r="G4445" s="49">
        <f>E4445&amp;" - "&amp;F4445</f>
        <v/>
      </c>
      <c r="H4445" s="36" t="inlineStr">
        <is>
          <t>RAS</t>
        </is>
      </c>
      <c r="I4445" s="45" t="inlineStr"/>
      <c r="J4445" s="45" t="inlineStr">
        <is>
          <t>RNCP39982</t>
        </is>
      </c>
      <c r="K4445" s="45" t="inlineStr">
        <is>
          <t>Manager en services et industries de santé (MS)</t>
        </is>
      </c>
      <c r="L4445" s="45" t="inlineStr">
        <is>
          <t>18/12/2029</t>
        </is>
      </c>
      <c r="M4445" s="45" t="inlineStr">
        <is>
          <t>43026 (Pharmacie) ; 43454 (Santé)</t>
        </is>
      </c>
      <c r="N4445" s="50" t="inlineStr">
        <is>
          <t>NON</t>
        </is>
      </c>
      <c r="O4445" s="45" t="inlineStr"/>
    </row>
    <row r="4446" customFormat="1" s="3">
      <c r="A4446" s="45" t="n"/>
      <c r="B4446" s="46" t="inlineStr">
        <is>
          <t>43064</t>
        </is>
      </c>
      <c r="C4446" s="46">
        <f>LEFT(Tableau1[[#This Row],[Formacode]],3)</f>
        <v/>
      </c>
      <c r="D4446" s="47" t="n">
        <v>40028</v>
      </c>
      <c r="E4446" s="48">
        <f>"RNCP"&amp;D4446</f>
        <v/>
      </c>
      <c r="F4446" s="48" t="inlineStr">
        <is>
          <t>Brevet de technicien supérieur - Diététique et nutrition</t>
        </is>
      </c>
      <c r="G4446" s="49">
        <f>E4446&amp;" - "&amp;F4446</f>
        <v/>
      </c>
      <c r="H4446" s="36" t="inlineStr">
        <is>
          <t>RAS</t>
        </is>
      </c>
      <c r="I4446" s="45" t="inlineStr"/>
      <c r="J4446" s="45" t="inlineStr">
        <is>
          <t>RNCP40028</t>
        </is>
      </c>
      <c r="K4446" s="45" t="inlineStr">
        <is>
          <t>Diététique et nutrition</t>
        </is>
      </c>
      <c r="L4446" s="45" t="inlineStr">
        <is>
          <t>31/12/2029</t>
        </is>
      </c>
      <c r="M4446" s="45" t="inlineStr">
        <is>
          <t>43440 (Diététique) ; 43070 (Nutrition)</t>
        </is>
      </c>
      <c r="N4446" s="50" t="inlineStr">
        <is>
          <t>NON</t>
        </is>
      </c>
      <c r="O4446" s="45" t="inlineStr"/>
    </row>
    <row r="4447" customFormat="1" s="3">
      <c r="A4447" s="45" t="n"/>
      <c r="B4447" s="46" t="inlineStr">
        <is>
          <t>43415</t>
        </is>
      </c>
      <c r="C4447" s="46">
        <f>LEFT(Tableau1[[#This Row],[Formacode]],3)</f>
        <v/>
      </c>
      <c r="D4447" s="47" t="n">
        <v>36939</v>
      </c>
      <c r="E4447" s="48">
        <f>"RNCP"&amp;D4447</f>
        <v/>
      </c>
      <c r="F4447" s="48" t="inlineStr">
        <is>
          <t>BTS - Services et prestations des secteurs sanitaire et social</t>
        </is>
      </c>
      <c r="G4447" s="49">
        <f>E4447&amp;" - "&amp;F4447</f>
        <v/>
      </c>
      <c r="H4447" s="36" t="inlineStr">
        <is>
          <t>RAS</t>
        </is>
      </c>
      <c r="I4447" s="45" t="inlineStr"/>
      <c r="J4447" s="45" t="inlineStr">
        <is>
          <t>RNCP36939</t>
        </is>
      </c>
      <c r="K4447" s="45" t="inlineStr">
        <is>
          <t>Services et prestations des secteurs sanitaire et social</t>
        </is>
      </c>
      <c r="L4447" s="45" t="inlineStr">
        <is>
          <t>31/08/2027</t>
        </is>
      </c>
      <c r="M4447" s="45" t="inlineStr">
        <is>
          <t>44022 (Aide médico-sociale) ; 43454 (Santé)</t>
        </is>
      </c>
      <c r="N4447" s="50" t="inlineStr">
        <is>
          <t>NON</t>
        </is>
      </c>
      <c r="O4447" s="45" t="inlineStr"/>
    </row>
    <row r="4448" customFormat="1" s="3">
      <c r="A4448" s="45" t="n"/>
      <c r="B4448" s="46" t="inlineStr">
        <is>
          <t>43415</t>
        </is>
      </c>
      <c r="C4448" s="46">
        <f>LEFT(Tableau1[[#This Row],[Formacode]],3)</f>
        <v/>
      </c>
      <c r="D4448" s="47" t="n">
        <v>39982</v>
      </c>
      <c r="E4448" s="48">
        <f>"RNCP"&amp;D4448</f>
        <v/>
      </c>
      <c r="F4448" s="48" t="inlineStr">
        <is>
          <t>Manager en services et industries de santé (MS)</t>
        </is>
      </c>
      <c r="G4448" s="49">
        <f>E4448&amp;" - "&amp;F4448</f>
        <v/>
      </c>
      <c r="H4448" s="36" t="inlineStr">
        <is>
          <t>RAS</t>
        </is>
      </c>
      <c r="I4448" s="45" t="inlineStr"/>
      <c r="J4448" s="45" t="inlineStr">
        <is>
          <t>RNCP39982</t>
        </is>
      </c>
      <c r="K4448" s="45" t="inlineStr">
        <is>
          <t>Manager en services et industries de santé (MS)</t>
        </is>
      </c>
      <c r="L4448" s="45" t="inlineStr">
        <is>
          <t>18/12/2029</t>
        </is>
      </c>
      <c r="M4448" s="45" t="inlineStr">
        <is>
          <t>43026 (Pharmacie) ; 43454 (Santé)</t>
        </is>
      </c>
      <c r="N4448" s="50" t="inlineStr">
        <is>
          <t>NON</t>
        </is>
      </c>
      <c r="O4448" s="45" t="inlineStr"/>
    </row>
    <row r="4449" customFormat="1" s="3">
      <c r="A4449" s="45" t="n"/>
      <c r="B4449" s="46" t="inlineStr">
        <is>
          <t>43416</t>
        </is>
      </c>
      <c r="C4449" s="46">
        <f>LEFT(Tableau1[[#This Row],[Formacode]],3)</f>
        <v/>
      </c>
      <c r="D4449" s="47" t="n">
        <v>36939</v>
      </c>
      <c r="E4449" s="48">
        <f>"RNCP"&amp;D4449</f>
        <v/>
      </c>
      <c r="F4449" s="48" t="inlineStr">
        <is>
          <t>BTS - Services et prestations des secteurs sanitaire et social</t>
        </is>
      </c>
      <c r="G4449" s="49">
        <f>E4449&amp;" - "&amp;F4449</f>
        <v/>
      </c>
      <c r="H4449" s="36" t="inlineStr">
        <is>
          <t>RAS</t>
        </is>
      </c>
      <c r="I4449" s="45" t="inlineStr"/>
      <c r="J4449" s="45" t="inlineStr">
        <is>
          <t>RNCP36939</t>
        </is>
      </c>
      <c r="K4449" s="45" t="inlineStr">
        <is>
          <t>Services et prestations des secteurs sanitaire et social</t>
        </is>
      </c>
      <c r="L4449" s="45" t="inlineStr">
        <is>
          <t>31/08/2027</t>
        </is>
      </c>
      <c r="M4449" s="45" t="inlineStr">
        <is>
          <t>44022 (Aide médico-sociale) ; 43454 (Santé)</t>
        </is>
      </c>
      <c r="N4449" s="50" t="inlineStr">
        <is>
          <t>NON</t>
        </is>
      </c>
      <c r="O4449" s="45" t="inlineStr"/>
    </row>
    <row r="4450" customFormat="1" s="3">
      <c r="A4450" s="45" t="n"/>
      <c r="B4450" s="46" t="inlineStr">
        <is>
          <t>43416</t>
        </is>
      </c>
      <c r="C4450" s="46">
        <f>LEFT(Tableau1[[#This Row],[Formacode]],3)</f>
        <v/>
      </c>
      <c r="D4450" s="47" t="n">
        <v>39982</v>
      </c>
      <c r="E4450" s="48">
        <f>"RNCP"&amp;D4450</f>
        <v/>
      </c>
      <c r="F4450" s="48" t="inlineStr">
        <is>
          <t>Manager en services et industries de santé (MS)</t>
        </is>
      </c>
      <c r="G4450" s="49">
        <f>E4450&amp;" - "&amp;F4450</f>
        <v/>
      </c>
      <c r="H4450" s="36" t="inlineStr">
        <is>
          <t>RAS</t>
        </is>
      </c>
      <c r="I4450" s="45" t="inlineStr"/>
      <c r="J4450" s="45" t="inlineStr">
        <is>
          <t>RNCP39982</t>
        </is>
      </c>
      <c r="K4450" s="45" t="inlineStr">
        <is>
          <t>Manager en services et industries de santé (MS)</t>
        </is>
      </c>
      <c r="L4450" s="45" t="inlineStr">
        <is>
          <t>18/12/2029</t>
        </is>
      </c>
      <c r="M4450" s="45" t="inlineStr">
        <is>
          <t>43026 (Pharmacie) ; 43454 (Santé)</t>
        </is>
      </c>
      <c r="N4450" s="50" t="inlineStr">
        <is>
          <t>NON</t>
        </is>
      </c>
      <c r="O4450" s="45" t="inlineStr"/>
    </row>
    <row r="4451" customFormat="1" s="3">
      <c r="A4451" s="45" t="n"/>
      <c r="B4451" s="46" t="inlineStr">
        <is>
          <t>43425</t>
        </is>
      </c>
      <c r="C4451" s="46">
        <f>LEFT(Tableau1[[#This Row],[Formacode]],3)</f>
        <v/>
      </c>
      <c r="D4451" s="47" t="n">
        <v>36939</v>
      </c>
      <c r="E4451" s="48">
        <f>"RNCP"&amp;D4451</f>
        <v/>
      </c>
      <c r="F4451" s="48" t="inlineStr">
        <is>
          <t>BTS - Services et prestations des secteurs sanitaire et social</t>
        </is>
      </c>
      <c r="G4451" s="49">
        <f>E4451&amp;" - "&amp;F4451</f>
        <v/>
      </c>
      <c r="H4451" s="36" t="inlineStr">
        <is>
          <t>RAS</t>
        </is>
      </c>
      <c r="I4451" s="45" t="inlineStr"/>
      <c r="J4451" s="45" t="inlineStr">
        <is>
          <t>RNCP36939</t>
        </is>
      </c>
      <c r="K4451" s="45" t="inlineStr">
        <is>
          <t>Services et prestations des secteurs sanitaire et social</t>
        </is>
      </c>
      <c r="L4451" s="45" t="inlineStr">
        <is>
          <t>31/08/2027</t>
        </is>
      </c>
      <c r="M4451" s="45" t="inlineStr">
        <is>
          <t>44022 (Aide médico-sociale) ; 43454 (Santé)</t>
        </is>
      </c>
      <c r="N4451" s="50" t="inlineStr">
        <is>
          <t>NON</t>
        </is>
      </c>
      <c r="O4451" s="45" t="inlineStr"/>
    </row>
    <row r="4452" customFormat="1" s="3">
      <c r="A4452" s="45" t="n"/>
      <c r="B4452" s="46" t="inlineStr">
        <is>
          <t>43425</t>
        </is>
      </c>
      <c r="C4452" s="46">
        <f>LEFT(Tableau1[[#This Row],[Formacode]],3)</f>
        <v/>
      </c>
      <c r="D4452" s="47" t="n">
        <v>37818</v>
      </c>
      <c r="E4452" s="48">
        <f>"RNCP"&amp;D4452</f>
        <v/>
      </c>
      <c r="F4452" s="48" t="inlineStr">
        <is>
          <t>Socio-esthéticien</t>
        </is>
      </c>
      <c r="G4452" s="49">
        <f>E4452&amp;" - "&amp;F4452</f>
        <v/>
      </c>
      <c r="H4452" s="36" t="inlineStr">
        <is>
          <t>RAS</t>
        </is>
      </c>
      <c r="I4452" s="45" t="inlineStr"/>
      <c r="J4452" s="45" t="inlineStr">
        <is>
          <t>RNCP37818</t>
        </is>
      </c>
      <c r="K4452" s="45" t="inlineStr">
        <is>
          <t>Socio-esthéticien</t>
        </is>
      </c>
      <c r="L4452" s="45" t="inlineStr">
        <is>
          <t>19/07/2028</t>
        </is>
      </c>
      <c r="M4452" s="45" t="inlineStr">
        <is>
          <t>42032 (Esthétique soin corporel) ; 43445 (Massage bien-être) ; 43437 (Personnel paramédical)</t>
        </is>
      </c>
      <c r="N4452" s="50" t="inlineStr">
        <is>
          <t>NON</t>
        </is>
      </c>
      <c r="O4452" s="45" t="inlineStr"/>
    </row>
    <row r="4453" customFormat="1" s="3">
      <c r="A4453" s="45" t="n"/>
      <c r="B4453" s="46" t="inlineStr">
        <is>
          <t>43425</t>
        </is>
      </c>
      <c r="C4453" s="46">
        <f>LEFT(Tableau1[[#This Row],[Formacode]],3)</f>
        <v/>
      </c>
      <c r="D4453" s="47" t="n">
        <v>39982</v>
      </c>
      <c r="E4453" s="48">
        <f>"RNCP"&amp;D4453</f>
        <v/>
      </c>
      <c r="F4453" s="48" t="inlineStr">
        <is>
          <t>Manager en services et industries de santé (MS)</t>
        </is>
      </c>
      <c r="G4453" s="49">
        <f>E4453&amp;" - "&amp;F4453</f>
        <v/>
      </c>
      <c r="H4453" s="36" t="inlineStr">
        <is>
          <t>RAS</t>
        </is>
      </c>
      <c r="I4453" s="45" t="inlineStr"/>
      <c r="J4453" s="45" t="inlineStr">
        <is>
          <t>RNCP39982</t>
        </is>
      </c>
      <c r="K4453" s="45" t="inlineStr">
        <is>
          <t>Manager en services et industries de santé (MS)</t>
        </is>
      </c>
      <c r="L4453" s="45" t="inlineStr">
        <is>
          <t>18/12/2029</t>
        </is>
      </c>
      <c r="M4453" s="45" t="inlineStr">
        <is>
          <t>43026 (Pharmacie) ; 43454 (Santé)</t>
        </is>
      </c>
      <c r="N4453" s="50" t="inlineStr">
        <is>
          <t>NON</t>
        </is>
      </c>
      <c r="O4453" s="45" t="inlineStr"/>
    </row>
    <row r="4454" customFormat="1" s="3">
      <c r="A4454" s="45" t="n"/>
      <c r="B4454" s="46" t="inlineStr">
        <is>
          <t>43431</t>
        </is>
      </c>
      <c r="C4454" s="46">
        <f>LEFT(Tableau1[[#This Row],[Formacode]],3)</f>
        <v/>
      </c>
      <c r="D4454" s="47" t="n">
        <v>36939</v>
      </c>
      <c r="E4454" s="48">
        <f>"RNCP"&amp;D4454</f>
        <v/>
      </c>
      <c r="F4454" s="48" t="inlineStr">
        <is>
          <t>BTS - Services et prestations des secteurs sanitaire et social</t>
        </is>
      </c>
      <c r="G4454" s="49">
        <f>E4454&amp;" - "&amp;F4454</f>
        <v/>
      </c>
      <c r="H4454" s="36" t="inlineStr">
        <is>
          <t>RAS</t>
        </is>
      </c>
      <c r="I4454" s="45" t="inlineStr"/>
      <c r="J4454" s="45" t="inlineStr">
        <is>
          <t>RNCP36939</t>
        </is>
      </c>
      <c r="K4454" s="45" t="inlineStr">
        <is>
          <t>Services et prestations des secteurs sanitaire et social</t>
        </is>
      </c>
      <c r="L4454" s="45" t="inlineStr">
        <is>
          <t>31/08/2027</t>
        </is>
      </c>
      <c r="M4454" s="45" t="inlineStr">
        <is>
          <t>44022 (Aide médico-sociale) ; 43454 (Santé)</t>
        </is>
      </c>
      <c r="N4454" s="50" t="inlineStr">
        <is>
          <t>NON</t>
        </is>
      </c>
      <c r="O4454" s="45" t="inlineStr"/>
    </row>
    <row r="4455" customFormat="1" s="3">
      <c r="A4455" s="45" t="n"/>
      <c r="B4455" s="46" t="inlineStr">
        <is>
          <t>43431</t>
        </is>
      </c>
      <c r="C4455" s="46">
        <f>LEFT(Tableau1[[#This Row],[Formacode]],3)</f>
        <v/>
      </c>
      <c r="D4455" s="47" t="n">
        <v>39982</v>
      </c>
      <c r="E4455" s="48">
        <f>"RNCP"&amp;D4455</f>
        <v/>
      </c>
      <c r="F4455" s="48" t="inlineStr">
        <is>
          <t>Manager en services et industries de santé (MS)</t>
        </is>
      </c>
      <c r="G4455" s="49">
        <f>E4455&amp;" - "&amp;F4455</f>
        <v/>
      </c>
      <c r="H4455" s="36" t="inlineStr">
        <is>
          <t>RAS</t>
        </is>
      </c>
      <c r="I4455" s="45" t="inlineStr"/>
      <c r="J4455" s="45" t="inlineStr">
        <is>
          <t>RNCP39982</t>
        </is>
      </c>
      <c r="K4455" s="45" t="inlineStr">
        <is>
          <t>Manager en services et industries de santé (MS)</t>
        </is>
      </c>
      <c r="L4455" s="45" t="inlineStr">
        <is>
          <t>18/12/2029</t>
        </is>
      </c>
      <c r="M4455" s="45" t="inlineStr">
        <is>
          <t>43026 (Pharmacie) ; 43454 (Santé)</t>
        </is>
      </c>
      <c r="N4455" s="50" t="inlineStr">
        <is>
          <t>NON</t>
        </is>
      </c>
      <c r="O4455" s="45" t="inlineStr"/>
    </row>
    <row r="4456" customFormat="1" s="3">
      <c r="A4456" s="45" t="n"/>
      <c r="B4456" s="46" t="inlineStr">
        <is>
          <t>43432</t>
        </is>
      </c>
      <c r="C4456" s="46">
        <f>LEFT(Tableau1[[#This Row],[Formacode]],3)</f>
        <v/>
      </c>
      <c r="D4456" s="47" t="n">
        <v>36939</v>
      </c>
      <c r="E4456" s="48">
        <f>"RNCP"&amp;D4456</f>
        <v/>
      </c>
      <c r="F4456" s="48" t="inlineStr">
        <is>
          <t>BTS - Services et prestations des secteurs sanitaire et social</t>
        </is>
      </c>
      <c r="G4456" s="49">
        <f>E4456&amp;" - "&amp;F4456</f>
        <v/>
      </c>
      <c r="H4456" s="36" t="inlineStr">
        <is>
          <t>RAS</t>
        </is>
      </c>
      <c r="I4456" s="45" t="inlineStr"/>
      <c r="J4456" s="45" t="inlineStr">
        <is>
          <t>RNCP36939</t>
        </is>
      </c>
      <c r="K4456" s="45" t="inlineStr">
        <is>
          <t>Services et prestations des secteurs sanitaire et social</t>
        </is>
      </c>
      <c r="L4456" s="45" t="inlineStr">
        <is>
          <t>31/08/2027</t>
        </is>
      </c>
      <c r="M4456" s="45" t="inlineStr">
        <is>
          <t>44022 (Aide médico-sociale) ; 43454 (Santé)</t>
        </is>
      </c>
      <c r="N4456" s="50" t="inlineStr">
        <is>
          <t>NON</t>
        </is>
      </c>
      <c r="O4456" s="45" t="inlineStr"/>
    </row>
    <row r="4457" customFormat="1" s="3">
      <c r="A4457" s="45" t="n"/>
      <c r="B4457" s="46" t="inlineStr">
        <is>
          <t>43432</t>
        </is>
      </c>
      <c r="C4457" s="46">
        <f>LEFT(Tableau1[[#This Row],[Formacode]],3)</f>
        <v/>
      </c>
      <c r="D4457" s="47" t="n">
        <v>39982</v>
      </c>
      <c r="E4457" s="48">
        <f>"RNCP"&amp;D4457</f>
        <v/>
      </c>
      <c r="F4457" s="48" t="inlineStr">
        <is>
          <t>Manager en services et industries de santé (MS)</t>
        </is>
      </c>
      <c r="G4457" s="49">
        <f>E4457&amp;" - "&amp;F4457</f>
        <v/>
      </c>
      <c r="H4457" s="36" t="inlineStr">
        <is>
          <t>RAS</t>
        </is>
      </c>
      <c r="I4457" s="45" t="inlineStr"/>
      <c r="J4457" s="45" t="inlineStr">
        <is>
          <t>RNCP39982</t>
        </is>
      </c>
      <c r="K4457" s="45" t="inlineStr">
        <is>
          <t>Manager en services et industries de santé (MS)</t>
        </is>
      </c>
      <c r="L4457" s="45" t="inlineStr">
        <is>
          <t>18/12/2029</t>
        </is>
      </c>
      <c r="M4457" s="45" t="inlineStr">
        <is>
          <t>43026 (Pharmacie) ; 43454 (Santé)</t>
        </is>
      </c>
      <c r="N4457" s="50" t="inlineStr">
        <is>
          <t>NON</t>
        </is>
      </c>
      <c r="O4457" s="45" t="inlineStr"/>
    </row>
    <row r="4458" customFormat="1" s="3">
      <c r="A4458" s="45" t="n"/>
      <c r="B4458" s="46" t="inlineStr">
        <is>
          <t>43434</t>
        </is>
      </c>
      <c r="C4458" s="46">
        <f>LEFT(Tableau1[[#This Row],[Formacode]],3)</f>
        <v/>
      </c>
      <c r="D4458" s="47" t="n">
        <v>36939</v>
      </c>
      <c r="E4458" s="48">
        <f>"RNCP"&amp;D4458</f>
        <v/>
      </c>
      <c r="F4458" s="48" t="inlineStr">
        <is>
          <t>BTS - Services et prestations des secteurs sanitaire et social</t>
        </is>
      </c>
      <c r="G4458" s="49">
        <f>E4458&amp;" - "&amp;F4458</f>
        <v/>
      </c>
      <c r="H4458" s="36" t="inlineStr">
        <is>
          <t>RAS</t>
        </is>
      </c>
      <c r="I4458" s="45" t="inlineStr"/>
      <c r="J4458" s="45" t="inlineStr">
        <is>
          <t>RNCP36939</t>
        </is>
      </c>
      <c r="K4458" s="45" t="inlineStr">
        <is>
          <t>Services et prestations des secteurs sanitaire et social</t>
        </is>
      </c>
      <c r="L4458" s="45" t="inlineStr">
        <is>
          <t>31/08/2027</t>
        </is>
      </c>
      <c r="M4458" s="45" t="inlineStr">
        <is>
          <t>44022 (Aide médico-sociale) ; 43454 (Santé)</t>
        </is>
      </c>
      <c r="N4458" s="50" t="inlineStr">
        <is>
          <t>NON</t>
        </is>
      </c>
      <c r="O4458" s="45" t="inlineStr"/>
    </row>
    <row r="4459" customFormat="1" s="3">
      <c r="A4459" s="45" t="n"/>
      <c r="B4459" s="46" t="inlineStr">
        <is>
          <t>43434</t>
        </is>
      </c>
      <c r="C4459" s="46">
        <f>LEFT(Tableau1[[#This Row],[Formacode]],3)</f>
        <v/>
      </c>
      <c r="D4459" s="47" t="n">
        <v>37614</v>
      </c>
      <c r="E4459" s="48">
        <f>"RNCP"&amp;D4459</f>
        <v/>
      </c>
      <c r="F4459" s="48" t="inlineStr">
        <is>
          <t>Directeur d'établissement sanitaire, social ou médico-social (MS)</t>
        </is>
      </c>
      <c r="G4459" s="49">
        <f>E4459&amp;" - "&amp;F4459</f>
        <v/>
      </c>
      <c r="H4459" s="36" t="inlineStr">
        <is>
          <t>RAS</t>
        </is>
      </c>
      <c r="I4459" s="45" t="inlineStr"/>
      <c r="J4459" s="45" t="inlineStr">
        <is>
          <t>RNCP37614</t>
        </is>
      </c>
      <c r="K4459" s="45" t="inlineStr">
        <is>
          <t>Directeur d'établissement sanitaire, social ou médico-social (MS)</t>
        </is>
      </c>
      <c r="L4459" s="45" t="inlineStr">
        <is>
          <t>31/05/2028</t>
        </is>
      </c>
      <c r="M4459" s="45" t="inlineStr">
        <is>
          <t>44047 (Direction établissement médico-social) ; 43426 (Gestion hospitalière) ; 42082 (Gestion structure service à la personne) ; 44072 (Travail social)</t>
        </is>
      </c>
      <c r="N4459" s="50" t="inlineStr">
        <is>
          <t>NON</t>
        </is>
      </c>
      <c r="O4459" s="45" t="inlineStr"/>
    </row>
    <row r="4460" customFormat="1" s="3">
      <c r="A4460" s="45" t="n"/>
      <c r="B4460" s="46" t="inlineStr">
        <is>
          <t>43434</t>
        </is>
      </c>
      <c r="C4460" s="46">
        <f>LEFT(Tableau1[[#This Row],[Formacode]],3)</f>
        <v/>
      </c>
      <c r="D4460" s="47" t="n">
        <v>39982</v>
      </c>
      <c r="E4460" s="48">
        <f>"RNCP"&amp;D4460</f>
        <v/>
      </c>
      <c r="F4460" s="48" t="inlineStr">
        <is>
          <t>Manager en services et industries de santé (MS)</t>
        </is>
      </c>
      <c r="G4460" s="49">
        <f>E4460&amp;" - "&amp;F4460</f>
        <v/>
      </c>
      <c r="H4460" s="36" t="inlineStr">
        <is>
          <t>RAS</t>
        </is>
      </c>
      <c r="I4460" s="45" t="inlineStr"/>
      <c r="J4460" s="45" t="inlineStr">
        <is>
          <t>RNCP39982</t>
        </is>
      </c>
      <c r="K4460" s="45" t="inlineStr">
        <is>
          <t>Manager en services et industries de santé (MS)</t>
        </is>
      </c>
      <c r="L4460" s="45" t="inlineStr">
        <is>
          <t>18/12/2029</t>
        </is>
      </c>
      <c r="M4460" s="45" t="inlineStr">
        <is>
          <t>43026 (Pharmacie) ; 43454 (Santé)</t>
        </is>
      </c>
      <c r="N4460" s="50" t="inlineStr">
        <is>
          <t>NON</t>
        </is>
      </c>
      <c r="O4460" s="45" t="inlineStr"/>
    </row>
    <row r="4461" customFormat="1" s="3">
      <c r="A4461" s="45" t="n"/>
      <c r="B4461" s="46" t="inlineStr">
        <is>
          <t>43434</t>
        </is>
      </c>
      <c r="C4461" s="46">
        <f>LEFT(Tableau1[[#This Row],[Formacode]],3)</f>
        <v/>
      </c>
      <c r="D4461" s="47" t="n">
        <v>40312</v>
      </c>
      <c r="E4461" s="48">
        <f>"RNCP"&amp;D4461</f>
        <v/>
      </c>
      <c r="F4461" s="48" t="inlineStr">
        <is>
          <t>BAC PRO - Hygiène, propreté, stérilisation</t>
        </is>
      </c>
      <c r="G4461" s="49">
        <f>E4461&amp;" - "&amp;F4461</f>
        <v/>
      </c>
      <c r="H4461" s="36" t="inlineStr">
        <is>
          <t>RAS</t>
        </is>
      </c>
      <c r="I4461" s="45" t="inlineStr"/>
      <c r="J4461" s="45" t="inlineStr">
        <is>
          <t>RNCP40312</t>
        </is>
      </c>
      <c r="K4461" s="45" t="inlineStr">
        <is>
          <t>Hygiène, propreté, stérilisation</t>
        </is>
      </c>
      <c r="L4461" s="45" t="inlineStr">
        <is>
          <t>31/08/2030</t>
        </is>
      </c>
      <c r="M4461" s="45" t="inlineStr">
        <is>
          <t>31407 (Qualité hygiène sécurité environnement) ; 42093 (Nettoyage locaux) ; 43422 (Stérilisation médicale)</t>
        </is>
      </c>
      <c r="N4461" s="50" t="inlineStr">
        <is>
          <t>NON</t>
        </is>
      </c>
      <c r="O4461" s="45" t="inlineStr"/>
    </row>
    <row r="4462" customFormat="1" s="3">
      <c r="A4462" s="45" t="n"/>
      <c r="B4462" s="46" t="inlineStr">
        <is>
          <t>43434</t>
        </is>
      </c>
      <c r="C4462" s="46">
        <f>LEFT(Tableau1[[#This Row],[Formacode]],3)</f>
        <v/>
      </c>
      <c r="D4462" s="47" t="n">
        <v>40448</v>
      </c>
      <c r="E4462" s="48">
        <f>"RNCP"&amp;D4462</f>
        <v/>
      </c>
      <c r="F4462" s="48" t="inlineStr">
        <is>
          <t>Grade_Licence - Sciences et Ingénierie - Systèmes Numériques pour la Santé</t>
        </is>
      </c>
      <c r="G4462" s="49">
        <f>E4462&amp;" - "&amp;F4462</f>
        <v/>
      </c>
      <c r="H4462" s="36" t="inlineStr">
        <is>
          <t>RAS</t>
        </is>
      </c>
      <c r="I4462" s="45" t="inlineStr"/>
      <c r="J4462" s="45" t="inlineStr">
        <is>
          <t>RNCP40448</t>
        </is>
      </c>
      <c r="K4462" s="45" t="inlineStr">
        <is>
          <t>Sciences et Ingénierie - Systèmes Numériques pour la Santé</t>
        </is>
      </c>
      <c r="L4462" s="45" t="inlineStr">
        <is>
          <t>31/08/2027</t>
        </is>
      </c>
      <c r="M4462" s="45" t="inlineStr">
        <is>
          <t>31036 (Administration base de données) ; 31085 (Informatisation des processus) ; 31045 (Cybersécurité) ; 43417 (Gestion technique hôpital)</t>
        </is>
      </c>
      <c r="N4462" s="50" t="inlineStr">
        <is>
          <t>NON</t>
        </is>
      </c>
      <c r="O4462" s="45" t="inlineStr"/>
    </row>
    <row r="4463" customFormat="1" s="3">
      <c r="A4463" s="45" t="n"/>
      <c r="B4463" s="46" t="inlineStr">
        <is>
          <t>43434</t>
        </is>
      </c>
      <c r="C4463" s="46">
        <f>LEFT(Tableau1[[#This Row],[Formacode]],3)</f>
        <v/>
      </c>
      <c r="D4463" s="47" t="n">
        <v>40800</v>
      </c>
      <c r="E4463" s="48">
        <f>"RNCP"&amp;D4463</f>
        <v/>
      </c>
      <c r="F4463" s="48" t="inlineStr">
        <is>
          <t>TP - Secrétaire assistant médico-administratif</t>
        </is>
      </c>
      <c r="G4463" s="49">
        <f>E4463&amp;" - "&amp;F4463</f>
        <v/>
      </c>
      <c r="H4463" s="36" t="inlineStr">
        <is>
          <t>RAS</t>
        </is>
      </c>
      <c r="I4463" s="45" t="inlineStr"/>
      <c r="J4463" s="45" t="inlineStr">
        <is>
          <t>RNCP40800</t>
        </is>
      </c>
      <c r="K4463" s="45" t="inlineStr">
        <is>
          <t>Secrétaire assistant médico-administratif</t>
        </is>
      </c>
      <c r="L4463" s="45" t="inlineStr">
        <is>
          <t>01/09/2030</t>
        </is>
      </c>
      <c r="M4463" s="45" t="inlineStr">
        <is>
          <t>35015 (Secrétariat assistanat médicosocial) ; 43421 (Accueil hôpital) ; 43401 (Dossier soin)</t>
        </is>
      </c>
      <c r="N4463" s="50" t="inlineStr">
        <is>
          <t>NON</t>
        </is>
      </c>
      <c r="O4463" s="45" t="inlineStr"/>
    </row>
    <row r="4464" customFormat="1" s="3">
      <c r="A4464" s="45" t="n"/>
      <c r="B4464" s="46" t="inlineStr">
        <is>
          <t>43434</t>
        </is>
      </c>
      <c r="C4464" s="46">
        <f>LEFT(Tableau1[[#This Row],[Formacode]],3)</f>
        <v/>
      </c>
      <c r="D4464" s="47" t="n">
        <v>41365</v>
      </c>
      <c r="E4464" s="48">
        <f>"RNCP"&amp;D4464</f>
        <v/>
      </c>
      <c r="F4464" s="48" t="inlineStr">
        <is>
          <t>TP - Agent de service médico-social</t>
        </is>
      </c>
      <c r="G4464" s="49">
        <f>E4464&amp;" - "&amp;F4464</f>
        <v/>
      </c>
      <c r="H4464" s="36" t="inlineStr">
        <is>
          <t>RAS</t>
        </is>
      </c>
      <c r="I4464" s="45" t="inlineStr"/>
      <c r="J4464" s="45" t="inlineStr">
        <is>
          <t>RNCP41365</t>
        </is>
      </c>
      <c r="K4464" s="45" t="inlineStr">
        <is>
          <t>Agent de service médico-social</t>
        </is>
      </c>
      <c r="L4464" s="45" t="inlineStr">
        <is>
          <t>04/10/2030</t>
        </is>
      </c>
      <c r="M4464" s="45" t="inlineStr">
        <is>
          <t>43403 (Hygiène hospitalière) ; 42086 (Bio-nettoyage) ; 43429 (Agent service hospitalier) ; 42069 (Employé collectivité)</t>
        </is>
      </c>
      <c r="N4464" s="50" t="inlineStr">
        <is>
          <t>NON</t>
        </is>
      </c>
      <c r="O4464" s="45" t="inlineStr"/>
    </row>
    <row r="4465" ht="28.8" customFormat="1" customHeight="1" s="3">
      <c r="A4465" s="51" t="n"/>
      <c r="B4465" s="52" t="inlineStr">
        <is>
          <t>43435</t>
        </is>
      </c>
      <c r="C4465" s="52">
        <f>LEFT(Tableau1[[#This Row],[Formacode]],3)</f>
        <v/>
      </c>
      <c r="D4465" s="53" t="n">
        <v>35513</v>
      </c>
      <c r="E4465" s="54">
        <f>"RNCP"&amp;D4465</f>
        <v/>
      </c>
      <c r="F4465" s="54" t="inlineStr">
        <is>
          <t>BUT - Carrières Sociales : Coordination et Gestion des Établissements et Services Sanitaires et Sociaux</t>
        </is>
      </c>
      <c r="G4465" s="55">
        <f>E4465&amp;" - "&amp;F4465</f>
        <v/>
      </c>
      <c r="H4465" s="37" t="inlineStr">
        <is>
          <t>À vérifier</t>
        </is>
      </c>
      <c r="I4465" s="51" t="inlineStr">
        <is>
          <t>Successeur déjà publié : RNCP41553 (Carrières sociales : Coordination et gestion des établissements et services sanitaires et sociaux) — préparer la bascule de l'offre CPF | Échéance le 31/08/2026 (dans 44 j)</t>
        </is>
      </c>
      <c r="J4465" s="51" t="inlineStr">
        <is>
          <t>RNCP41553</t>
        </is>
      </c>
      <c r="K4465" s="51" t="inlineStr">
        <is>
          <t>Carrières sociales : Coordination et gestion des établissements et services sanitaires et sociaux</t>
        </is>
      </c>
      <c r="L4465" s="51" t="inlineStr">
        <is>
          <t>31/08/2026</t>
        </is>
      </c>
      <c r="M4465" s="51" t="inlineStr">
        <is>
          <t>43435 (Encadrement santé) ; 42082 (Gestion structure service à la personne)</t>
        </is>
      </c>
      <c r="N4465" s="62" t="inlineStr">
        <is>
          <t>NON</t>
        </is>
      </c>
      <c r="O4465" s="51" t="inlineStr"/>
    </row>
    <row r="4466" customFormat="1" s="3">
      <c r="A4466" s="45" t="n"/>
      <c r="B4466" s="46" t="inlineStr">
        <is>
          <t>43435</t>
        </is>
      </c>
      <c r="C4466" s="46">
        <f>LEFT(Tableau1[[#This Row],[Formacode]],3)</f>
        <v/>
      </c>
      <c r="D4466" s="47" t="n">
        <v>36939</v>
      </c>
      <c r="E4466" s="48">
        <f>"RNCP"&amp;D4466</f>
        <v/>
      </c>
      <c r="F4466" s="48" t="inlineStr">
        <is>
          <t>BTS - Services et prestations des secteurs sanitaire et social</t>
        </is>
      </c>
      <c r="G4466" s="49">
        <f>E4466&amp;" - "&amp;F4466</f>
        <v/>
      </c>
      <c r="H4466" s="36" t="inlineStr">
        <is>
          <t>RAS</t>
        </is>
      </c>
      <c r="I4466" s="45" t="inlineStr"/>
      <c r="J4466" s="45" t="inlineStr">
        <is>
          <t>RNCP36939</t>
        </is>
      </c>
      <c r="K4466" s="45" t="inlineStr">
        <is>
          <t>Services et prestations des secteurs sanitaire et social</t>
        </is>
      </c>
      <c r="L4466" s="45" t="inlineStr">
        <is>
          <t>31/08/2027</t>
        </is>
      </c>
      <c r="M4466" s="45" t="inlineStr">
        <is>
          <t>44022 (Aide médico-sociale) ; 43454 (Santé)</t>
        </is>
      </c>
      <c r="N4466" s="50" t="inlineStr">
        <is>
          <t>NON</t>
        </is>
      </c>
      <c r="O4466" s="45" t="inlineStr"/>
    </row>
    <row r="4467" customFormat="1" s="3">
      <c r="A4467" s="45" t="n"/>
      <c r="B4467" s="46" t="inlineStr">
        <is>
          <t>43435</t>
        </is>
      </c>
      <c r="C4467" s="46">
        <f>LEFT(Tableau1[[#This Row],[Formacode]],3)</f>
        <v/>
      </c>
      <c r="D4467" s="47" t="n">
        <v>39982</v>
      </c>
      <c r="E4467" s="48">
        <f>"RNCP"&amp;D4467</f>
        <v/>
      </c>
      <c r="F4467" s="48" t="inlineStr">
        <is>
          <t>Manager en services et industries de santé (MS)</t>
        </is>
      </c>
      <c r="G4467" s="49">
        <f>E4467&amp;" - "&amp;F4467</f>
        <v/>
      </c>
      <c r="H4467" s="36" t="inlineStr">
        <is>
          <t>RAS</t>
        </is>
      </c>
      <c r="I4467" s="45" t="inlineStr"/>
      <c r="J4467" s="45" t="inlineStr">
        <is>
          <t>RNCP39982</t>
        </is>
      </c>
      <c r="K4467" s="45" t="inlineStr">
        <is>
          <t>Manager en services et industries de santé (MS)</t>
        </is>
      </c>
      <c r="L4467" s="45" t="inlineStr">
        <is>
          <t>18/12/2029</t>
        </is>
      </c>
      <c r="M4467" s="45" t="inlineStr">
        <is>
          <t>43026 (Pharmacie) ; 43454 (Santé)</t>
        </is>
      </c>
      <c r="N4467" s="50" t="inlineStr">
        <is>
          <t>NON</t>
        </is>
      </c>
      <c r="O4467" s="45" t="inlineStr"/>
    </row>
    <row r="4468" customFormat="1" s="3">
      <c r="A4468" s="45" t="n"/>
      <c r="B4468" s="46" t="inlineStr">
        <is>
          <t>43437</t>
        </is>
      </c>
      <c r="C4468" s="46">
        <f>LEFT(Tableau1[[#This Row],[Formacode]],3)</f>
        <v/>
      </c>
      <c r="D4468" s="47" t="n">
        <v>36939</v>
      </c>
      <c r="E4468" s="48">
        <f>"RNCP"&amp;D4468</f>
        <v/>
      </c>
      <c r="F4468" s="48" t="inlineStr">
        <is>
          <t>BTS - Services et prestations des secteurs sanitaire et social</t>
        </is>
      </c>
      <c r="G4468" s="49">
        <f>E4468&amp;" - "&amp;F4468</f>
        <v/>
      </c>
      <c r="H4468" s="36" t="inlineStr">
        <is>
          <t>RAS</t>
        </is>
      </c>
      <c r="I4468" s="45" t="inlineStr"/>
      <c r="J4468" s="45" t="inlineStr">
        <is>
          <t>RNCP36939</t>
        </is>
      </c>
      <c r="K4468" s="45" t="inlineStr">
        <is>
          <t>Services et prestations des secteurs sanitaire et social</t>
        </is>
      </c>
      <c r="L4468" s="45" t="inlineStr">
        <is>
          <t>31/08/2027</t>
        </is>
      </c>
      <c r="M4468" s="45" t="inlineStr">
        <is>
          <t>44022 (Aide médico-sociale) ; 43454 (Santé)</t>
        </is>
      </c>
      <c r="N4468" s="50" t="inlineStr">
        <is>
          <t>NON</t>
        </is>
      </c>
      <c r="O4468" s="45" t="inlineStr"/>
    </row>
    <row r="4469" customFormat="1" s="3">
      <c r="A4469" s="45" t="n"/>
      <c r="B4469" s="46" t="inlineStr">
        <is>
          <t>43437</t>
        </is>
      </c>
      <c r="C4469" s="46">
        <f>LEFT(Tableau1[[#This Row],[Formacode]],3)</f>
        <v/>
      </c>
      <c r="D4469" s="47" t="n">
        <v>37818</v>
      </c>
      <c r="E4469" s="48">
        <f>"RNCP"&amp;D4469</f>
        <v/>
      </c>
      <c r="F4469" s="48" t="inlineStr">
        <is>
          <t>Socio-esthéticien</t>
        </is>
      </c>
      <c r="G4469" s="49">
        <f>E4469&amp;" - "&amp;F4469</f>
        <v/>
      </c>
      <c r="H4469" s="36" t="inlineStr">
        <is>
          <t>RAS</t>
        </is>
      </c>
      <c r="I4469" s="45" t="inlineStr"/>
      <c r="J4469" s="45" t="inlineStr">
        <is>
          <t>RNCP37818</t>
        </is>
      </c>
      <c r="K4469" s="45" t="inlineStr">
        <is>
          <t>Socio-esthéticien</t>
        </is>
      </c>
      <c r="L4469" s="45" t="inlineStr">
        <is>
          <t>19/07/2028</t>
        </is>
      </c>
      <c r="M4469" s="45" t="inlineStr">
        <is>
          <t>42032 (Esthétique soin corporel) ; 43445 (Massage bien-être) ; 43437 (Personnel paramédical)</t>
        </is>
      </c>
      <c r="N4469" s="50" t="inlineStr">
        <is>
          <t>NON</t>
        </is>
      </c>
      <c r="O4469" s="45" t="inlineStr"/>
    </row>
    <row r="4470" customFormat="1" s="3">
      <c r="A4470" s="45" t="n"/>
      <c r="B4470" s="46" t="inlineStr">
        <is>
          <t>43437</t>
        </is>
      </c>
      <c r="C4470" s="46">
        <f>LEFT(Tableau1[[#This Row],[Formacode]],3)</f>
        <v/>
      </c>
      <c r="D4470" s="47" t="n">
        <v>39982</v>
      </c>
      <c r="E4470" s="48">
        <f>"RNCP"&amp;D4470</f>
        <v/>
      </c>
      <c r="F4470" s="48" t="inlineStr">
        <is>
          <t>Manager en services et industries de santé (MS)</t>
        </is>
      </c>
      <c r="G4470" s="49">
        <f>E4470&amp;" - "&amp;F4470</f>
        <v/>
      </c>
      <c r="H4470" s="36" t="inlineStr">
        <is>
          <t>RAS</t>
        </is>
      </c>
      <c r="I4470" s="45" t="inlineStr"/>
      <c r="J4470" s="45" t="inlineStr">
        <is>
          <t>RNCP39982</t>
        </is>
      </c>
      <c r="K4470" s="45" t="inlineStr">
        <is>
          <t>Manager en services et industries de santé (MS)</t>
        </is>
      </c>
      <c r="L4470" s="45" t="inlineStr">
        <is>
          <t>18/12/2029</t>
        </is>
      </c>
      <c r="M4470" s="45" t="inlineStr">
        <is>
          <t>43026 (Pharmacie) ; 43454 (Santé)</t>
        </is>
      </c>
      <c r="N4470" s="50" t="inlineStr">
        <is>
          <t>NON</t>
        </is>
      </c>
      <c r="O4470" s="45" t="inlineStr"/>
    </row>
    <row r="4471" customFormat="1" s="3">
      <c r="A4471" s="51" t="n"/>
      <c r="B4471" s="52" t="inlineStr">
        <is>
          <t>43437</t>
        </is>
      </c>
      <c r="C4471" s="52">
        <f>LEFT(Tableau1[[#This Row],[Formacode]],3)</f>
        <v/>
      </c>
      <c r="D4471" s="53" t="n">
        <v>40692</v>
      </c>
      <c r="E4471" s="54">
        <f>"RNCP"&amp;D4471</f>
        <v/>
      </c>
      <c r="F4471" s="54" t="inlineStr">
        <is>
          <t>DE - Aide-Soignant (DEAS)</t>
        </is>
      </c>
      <c r="G4471" s="55">
        <f>E4471&amp;" - "&amp;F4471</f>
        <v/>
      </c>
      <c r="H4471" s="37" t="inlineStr">
        <is>
          <t>À vérifier</t>
        </is>
      </c>
      <c r="I4471" s="51" t="inlineStr">
        <is>
          <t>Intitulé officiel différent : « Aide-Soignant »</t>
        </is>
      </c>
      <c r="J4471" s="51" t="inlineStr">
        <is>
          <t>RNCP40692</t>
        </is>
      </c>
      <c r="K4471" s="51" t="inlineStr">
        <is>
          <t>Aide-Soignant</t>
        </is>
      </c>
      <c r="L4471" s="51" t="inlineStr">
        <is>
          <t>01/09/2029</t>
        </is>
      </c>
      <c r="M4471" s="51" t="inlineStr">
        <is>
          <t>43436 (Aide-soignant)</t>
        </is>
      </c>
      <c r="N4471" s="62" t="inlineStr">
        <is>
          <t>NON</t>
        </is>
      </c>
      <c r="O4471" s="51" t="inlineStr"/>
    </row>
    <row r="4472" customFormat="1" s="3">
      <c r="A4472" s="51" t="n"/>
      <c r="B4472" s="52" t="inlineStr">
        <is>
          <t>43437</t>
        </is>
      </c>
      <c r="C4472" s="52">
        <f>LEFT(Tableau1[[#This Row],[Formacode]],3)</f>
        <v/>
      </c>
      <c r="D4472" s="53" t="n">
        <v>40743</v>
      </c>
      <c r="E4472" s="54">
        <f>"RNCP"&amp;D4472</f>
        <v/>
      </c>
      <c r="F4472" s="54" t="inlineStr">
        <is>
          <t>DE - Auxiliaire de puériculture (DEAP)</t>
        </is>
      </c>
      <c r="G4472" s="55">
        <f>E4472&amp;" - "&amp;F4472</f>
        <v/>
      </c>
      <c r="H4472" s="37" t="inlineStr">
        <is>
          <t>À vérifier</t>
        </is>
      </c>
      <c r="I4472" s="51" t="inlineStr">
        <is>
          <t>Intitulé officiel différent : « Auxiliaire de puériculture »</t>
        </is>
      </c>
      <c r="J4472" s="51" t="inlineStr">
        <is>
          <t>RNCP40743</t>
        </is>
      </c>
      <c r="K4472" s="51" t="inlineStr">
        <is>
          <t>Auxiliaire de puériculture</t>
        </is>
      </c>
      <c r="L4472" s="51" t="inlineStr">
        <is>
          <t>01/09/2029</t>
        </is>
      </c>
      <c r="M4472" s="51" t="inlineStr">
        <is>
          <t>43441 (Auxiliaire puériculture)</t>
        </is>
      </c>
      <c r="N4472" s="62" t="inlineStr">
        <is>
          <t>NON</t>
        </is>
      </c>
      <c r="O4472" s="51" t="inlineStr"/>
    </row>
    <row r="4473" customFormat="1" s="3">
      <c r="A4473" s="45" t="n"/>
      <c r="B4473" s="46" t="inlineStr">
        <is>
          <t>43437</t>
        </is>
      </c>
      <c r="C4473" s="46">
        <f>LEFT(Tableau1[[#This Row],[Formacode]],3)</f>
        <v/>
      </c>
      <c r="D4473" s="47" t="n">
        <v>41365</v>
      </c>
      <c r="E4473" s="48">
        <f>"RNCP"&amp;D4473</f>
        <v/>
      </c>
      <c r="F4473" s="48" t="inlineStr">
        <is>
          <t>TP - Agent de service médico-social</t>
        </is>
      </c>
      <c r="G4473" s="49">
        <f>E4473&amp;" - "&amp;F4473</f>
        <v/>
      </c>
      <c r="H4473" s="36" t="inlineStr">
        <is>
          <t>RAS</t>
        </is>
      </c>
      <c r="I4473" s="45" t="inlineStr"/>
      <c r="J4473" s="45" t="inlineStr">
        <is>
          <t>RNCP41365</t>
        </is>
      </c>
      <c r="K4473" s="45" t="inlineStr">
        <is>
          <t>Agent de service médico-social</t>
        </is>
      </c>
      <c r="L4473" s="45" t="inlineStr">
        <is>
          <t>04/10/2030</t>
        </is>
      </c>
      <c r="M4473" s="45" t="inlineStr">
        <is>
          <t>43403 (Hygiène hospitalière) ; 42086 (Bio-nettoyage) ; 43429 (Agent service hospitalier) ; 42069 (Employé collectivité)</t>
        </is>
      </c>
      <c r="N4473" s="50" t="inlineStr">
        <is>
          <t>NON</t>
        </is>
      </c>
      <c r="O4473" s="45" t="inlineStr"/>
    </row>
    <row r="4474" customFormat="1" s="3">
      <c r="A4474" s="45" t="n"/>
      <c r="B4474" s="46" t="inlineStr">
        <is>
          <t>43440</t>
        </is>
      </c>
      <c r="C4474" s="46">
        <f>LEFT(Tableau1[[#This Row],[Formacode]],3)</f>
        <v/>
      </c>
      <c r="D4474" s="47" t="n">
        <v>36939</v>
      </c>
      <c r="E4474" s="48">
        <f>"RNCP"&amp;D4474</f>
        <v/>
      </c>
      <c r="F4474" s="48" t="inlineStr">
        <is>
          <t>BTS - Services et prestations des secteurs sanitaire et social</t>
        </is>
      </c>
      <c r="G4474" s="49">
        <f>E4474&amp;" - "&amp;F4474</f>
        <v/>
      </c>
      <c r="H4474" s="36" t="inlineStr">
        <is>
          <t>RAS</t>
        </is>
      </c>
      <c r="I4474" s="45" t="inlineStr"/>
      <c r="J4474" s="45" t="inlineStr">
        <is>
          <t>RNCP36939</t>
        </is>
      </c>
      <c r="K4474" s="45" t="inlineStr">
        <is>
          <t>Services et prestations des secteurs sanitaire et social</t>
        </is>
      </c>
      <c r="L4474" s="45" t="inlineStr">
        <is>
          <t>31/08/2027</t>
        </is>
      </c>
      <c r="M4474" s="45" t="inlineStr">
        <is>
          <t>44022 (Aide médico-sociale) ; 43454 (Santé)</t>
        </is>
      </c>
      <c r="N4474" s="50" t="inlineStr">
        <is>
          <t>NON</t>
        </is>
      </c>
      <c r="O4474" s="45" t="inlineStr"/>
    </row>
    <row r="4475" customFormat="1" s="3">
      <c r="A4475" s="45" t="n"/>
      <c r="B4475" s="46" t="inlineStr">
        <is>
          <t>43440</t>
        </is>
      </c>
      <c r="C4475" s="46">
        <f>LEFT(Tableau1[[#This Row],[Formacode]],3)</f>
        <v/>
      </c>
      <c r="D4475" s="47" t="n">
        <v>39982</v>
      </c>
      <c r="E4475" s="48">
        <f>"RNCP"&amp;D4475</f>
        <v/>
      </c>
      <c r="F4475" s="48" t="inlineStr">
        <is>
          <t>Manager en services et industries de santé (MS)</t>
        </is>
      </c>
      <c r="G4475" s="49">
        <f>E4475&amp;" - "&amp;F4475</f>
        <v/>
      </c>
      <c r="H4475" s="36" t="inlineStr">
        <is>
          <t>RAS</t>
        </is>
      </c>
      <c r="I4475" s="45" t="inlineStr"/>
      <c r="J4475" s="45" t="inlineStr">
        <is>
          <t>RNCP39982</t>
        </is>
      </c>
      <c r="K4475" s="45" t="inlineStr">
        <is>
          <t>Manager en services et industries de santé (MS)</t>
        </is>
      </c>
      <c r="L4475" s="45" t="inlineStr">
        <is>
          <t>18/12/2029</t>
        </is>
      </c>
      <c r="M4475" s="45" t="inlineStr">
        <is>
          <t>43026 (Pharmacie) ; 43454 (Santé)</t>
        </is>
      </c>
      <c r="N4475" s="50" t="inlineStr">
        <is>
          <t>NON</t>
        </is>
      </c>
      <c r="O4475" s="45" t="inlineStr"/>
    </row>
    <row r="4476" customFormat="1" s="3">
      <c r="A4476" s="45" t="n"/>
      <c r="B4476" s="46" t="inlineStr">
        <is>
          <t>43440</t>
        </is>
      </c>
      <c r="C4476" s="46">
        <f>LEFT(Tableau1[[#This Row],[Formacode]],3)</f>
        <v/>
      </c>
      <c r="D4476" s="47" t="n">
        <v>40028</v>
      </c>
      <c r="E4476" s="48">
        <f>"RNCP"&amp;D4476</f>
        <v/>
      </c>
      <c r="F4476" s="48" t="inlineStr">
        <is>
          <t>Brevet de technicien supérieur - Diététique et nutrition</t>
        </is>
      </c>
      <c r="G4476" s="49">
        <f>E4476&amp;" - "&amp;F4476</f>
        <v/>
      </c>
      <c r="H4476" s="36" t="inlineStr">
        <is>
          <t>RAS</t>
        </is>
      </c>
      <c r="I4476" s="45" t="inlineStr"/>
      <c r="J4476" s="45" t="inlineStr">
        <is>
          <t>RNCP40028</t>
        </is>
      </c>
      <c r="K4476" s="45" t="inlineStr">
        <is>
          <t>Diététique et nutrition</t>
        </is>
      </c>
      <c r="L4476" s="45" t="inlineStr">
        <is>
          <t>31/12/2029</t>
        </is>
      </c>
      <c r="M4476" s="45" t="inlineStr">
        <is>
          <t>43440 (Diététique) ; 43070 (Nutrition)</t>
        </is>
      </c>
      <c r="N4476" s="50" t="inlineStr">
        <is>
          <t>NON</t>
        </is>
      </c>
      <c r="O4476" s="45" t="inlineStr"/>
    </row>
    <row r="4477" customFormat="1" s="3">
      <c r="A4477" s="63" t="n"/>
      <c r="B4477" s="64" t="inlineStr">
        <is>
          <t>43460</t>
        </is>
      </c>
      <c r="C4477" s="64">
        <f>LEFT(Tableau1[[#This Row],[Formacode]],3)</f>
        <v/>
      </c>
      <c r="D4477" s="65" t="n">
        <v>35303</v>
      </c>
      <c r="E4477" s="66">
        <f>"RNCP"&amp;D4477</f>
        <v/>
      </c>
      <c r="F4477" s="66" t="inlineStr">
        <is>
          <t>TP - Agent technique prothésiste orthésiste</t>
        </is>
      </c>
      <c r="G4477" s="67">
        <f>E4477&amp;" - "&amp;F4477</f>
        <v/>
      </c>
      <c r="H4477" s="38" t="inlineStr">
        <is>
          <t>Expiré / remplacé</t>
        </is>
      </c>
      <c r="I4477" s="63" t="inlineStr">
        <is>
          <t>Fiche inactive — remplacée par RNCP42104 (Agent technique en prothèses et orthèses)</t>
        </is>
      </c>
      <c r="J4477" s="63" t="inlineStr">
        <is>
          <t>RNCP42104</t>
        </is>
      </c>
      <c r="K4477" s="63" t="inlineStr">
        <is>
          <t>Agent technique en prothèses et orthèses</t>
        </is>
      </c>
      <c r="L4477" s="63" t="inlineStr">
        <is>
          <t>09/06/2026</t>
        </is>
      </c>
      <c r="M4477" s="63" t="inlineStr">
        <is>
          <t>43460 (Orthopédie)</t>
        </is>
      </c>
      <c r="N4477" s="68" t="inlineStr">
        <is>
          <t>NON</t>
        </is>
      </c>
      <c r="O4477" s="63" t="inlineStr"/>
    </row>
    <row r="4478" customFormat="1" s="3">
      <c r="A4478" s="45" t="n"/>
      <c r="B4478" s="46" t="inlineStr">
        <is>
          <t>43460</t>
        </is>
      </c>
      <c r="C4478" s="46">
        <f>LEFT(Tableau1[[#This Row],[Formacode]],3)</f>
        <v/>
      </c>
      <c r="D4478" s="47" t="n">
        <v>36939</v>
      </c>
      <c r="E4478" s="48">
        <f>"RNCP"&amp;D4478</f>
        <v/>
      </c>
      <c r="F4478" s="48" t="inlineStr">
        <is>
          <t>BTS - Services et prestations des secteurs sanitaire et social</t>
        </is>
      </c>
      <c r="G4478" s="49">
        <f>E4478&amp;" - "&amp;F4478</f>
        <v/>
      </c>
      <c r="H4478" s="36" t="inlineStr">
        <is>
          <t>RAS</t>
        </is>
      </c>
      <c r="I4478" s="45" t="inlineStr"/>
      <c r="J4478" s="45" t="inlineStr">
        <is>
          <t>RNCP36939</t>
        </is>
      </c>
      <c r="K4478" s="45" t="inlineStr">
        <is>
          <t>Services et prestations des secteurs sanitaire et social</t>
        </is>
      </c>
      <c r="L4478" s="45" t="inlineStr">
        <is>
          <t>31/08/2027</t>
        </is>
      </c>
      <c r="M4478" s="45" t="inlineStr">
        <is>
          <t>44022 (Aide médico-sociale) ; 43454 (Santé)</t>
        </is>
      </c>
      <c r="N4478" s="50" t="inlineStr">
        <is>
          <t>NON</t>
        </is>
      </c>
      <c r="O4478" s="45" t="inlineStr"/>
    </row>
    <row r="4479" customFormat="1" s="3">
      <c r="A4479" s="45" t="n"/>
      <c r="B4479" s="46" t="inlineStr">
        <is>
          <t>43460</t>
        </is>
      </c>
      <c r="C4479" s="46">
        <f>LEFT(Tableau1[[#This Row],[Formacode]],3)</f>
        <v/>
      </c>
      <c r="D4479" s="47" t="n">
        <v>37947</v>
      </c>
      <c r="E4479" s="48">
        <f>"RNCP"&amp;D4479</f>
        <v/>
      </c>
      <c r="F4479" s="48" t="inlineStr">
        <is>
          <t>Baccalauréat professionnel - Technicien en appareillage orthopédique</t>
        </is>
      </c>
      <c r="G4479" s="49">
        <f>E4479&amp;" - "&amp;F4479</f>
        <v/>
      </c>
      <c r="H4479" s="36" t="inlineStr">
        <is>
          <t>RAS</t>
        </is>
      </c>
      <c r="I4479" s="45" t="inlineStr"/>
      <c r="J4479" s="45" t="inlineStr">
        <is>
          <t>RNCP37947</t>
        </is>
      </c>
      <c r="K4479" s="45" t="inlineStr">
        <is>
          <t>Technicien en appareillage orthopédique</t>
        </is>
      </c>
      <c r="L4479" s="45" t="inlineStr">
        <is>
          <t>31/08/2028</t>
        </is>
      </c>
      <c r="M4479" s="45" t="inlineStr">
        <is>
          <t>43460 (Orthopédie)</t>
        </is>
      </c>
      <c r="N4479" s="50" t="inlineStr">
        <is>
          <t>NON</t>
        </is>
      </c>
      <c r="O4479" s="45" t="inlineStr"/>
    </row>
    <row r="4480" customFormat="1" s="3">
      <c r="A4480" s="45" t="n"/>
      <c r="B4480" s="46" t="inlineStr">
        <is>
          <t>43460</t>
        </is>
      </c>
      <c r="C4480" s="46">
        <f>LEFT(Tableau1[[#This Row],[Formacode]],3)</f>
        <v/>
      </c>
      <c r="D4480" s="47" t="n">
        <v>39982</v>
      </c>
      <c r="E4480" s="48">
        <f>"RNCP"&amp;D4480</f>
        <v/>
      </c>
      <c r="F4480" s="48" t="inlineStr">
        <is>
          <t>Manager en services et industries de santé (MS)</t>
        </is>
      </c>
      <c r="G4480" s="49">
        <f>E4480&amp;" - "&amp;F4480</f>
        <v/>
      </c>
      <c r="H4480" s="36" t="inlineStr">
        <is>
          <t>RAS</t>
        </is>
      </c>
      <c r="I4480" s="45" t="inlineStr"/>
      <c r="J4480" s="45" t="inlineStr">
        <is>
          <t>RNCP39982</t>
        </is>
      </c>
      <c r="K4480" s="45" t="inlineStr">
        <is>
          <t>Manager en services et industries de santé (MS)</t>
        </is>
      </c>
      <c r="L4480" s="45" t="inlineStr">
        <is>
          <t>18/12/2029</t>
        </is>
      </c>
      <c r="M4480" s="45" t="inlineStr">
        <is>
          <t>43026 (Pharmacie) ; 43454 (Santé)</t>
        </is>
      </c>
      <c r="N4480" s="50" t="inlineStr">
        <is>
          <t>NON</t>
        </is>
      </c>
      <c r="O4480" s="45" t="inlineStr"/>
    </row>
    <row r="4481" customFormat="1" s="3">
      <c r="A4481" s="45" t="n"/>
      <c r="B4481" s="46" t="inlineStr">
        <is>
          <t>43469</t>
        </is>
      </c>
      <c r="C4481" s="46">
        <f>LEFT(Tableau1[[#This Row],[Formacode]],3)</f>
        <v/>
      </c>
      <c r="D4481" s="47" t="n">
        <v>36939</v>
      </c>
      <c r="E4481" s="48">
        <f>"RNCP"&amp;D4481</f>
        <v/>
      </c>
      <c r="F4481" s="48" t="inlineStr">
        <is>
          <t>BTS - Services et prestations des secteurs sanitaire et social</t>
        </is>
      </c>
      <c r="G4481" s="49">
        <f>E4481&amp;" - "&amp;F4481</f>
        <v/>
      </c>
      <c r="H4481" s="36" t="inlineStr">
        <is>
          <t>RAS</t>
        </is>
      </c>
      <c r="I4481" s="45" t="inlineStr"/>
      <c r="J4481" s="45" t="inlineStr">
        <is>
          <t>RNCP36939</t>
        </is>
      </c>
      <c r="K4481" s="45" t="inlineStr">
        <is>
          <t>Services et prestations des secteurs sanitaire et social</t>
        </is>
      </c>
      <c r="L4481" s="45" t="inlineStr">
        <is>
          <t>31/08/2027</t>
        </is>
      </c>
      <c r="M4481" s="45" t="inlineStr">
        <is>
          <t>44022 (Aide médico-sociale) ; 43454 (Santé)</t>
        </is>
      </c>
      <c r="N4481" s="50" t="inlineStr">
        <is>
          <t>NON</t>
        </is>
      </c>
      <c r="O4481" s="45" t="inlineStr"/>
    </row>
    <row r="4482" customFormat="1" s="3">
      <c r="A4482" s="45" t="n"/>
      <c r="B4482" s="46" t="inlineStr">
        <is>
          <t>43469</t>
        </is>
      </c>
      <c r="C4482" s="46">
        <f>LEFT(Tableau1[[#This Row],[Formacode]],3)</f>
        <v/>
      </c>
      <c r="D4482" s="47" t="n">
        <v>39982</v>
      </c>
      <c r="E4482" s="48">
        <f>"RNCP"&amp;D4482</f>
        <v/>
      </c>
      <c r="F4482" s="48" t="inlineStr">
        <is>
          <t>Manager en services et industries de santé (MS)</t>
        </is>
      </c>
      <c r="G4482" s="49">
        <f>E4482&amp;" - "&amp;F4482</f>
        <v/>
      </c>
      <c r="H4482" s="36" t="inlineStr">
        <is>
          <t>RAS</t>
        </is>
      </c>
      <c r="I4482" s="45" t="inlineStr"/>
      <c r="J4482" s="45" t="inlineStr">
        <is>
          <t>RNCP39982</t>
        </is>
      </c>
      <c r="K4482" s="45" t="inlineStr">
        <is>
          <t>Manager en services et industries de santé (MS)</t>
        </is>
      </c>
      <c r="L4482" s="45" t="inlineStr">
        <is>
          <t>18/12/2029</t>
        </is>
      </c>
      <c r="M4482" s="45" t="inlineStr">
        <is>
          <t>43026 (Pharmacie) ; 43454 (Santé)</t>
        </is>
      </c>
      <c r="N4482" s="50" t="inlineStr">
        <is>
          <t>NON</t>
        </is>
      </c>
      <c r="O4482" s="45" t="inlineStr"/>
    </row>
    <row r="4483" customFormat="1" s="3">
      <c r="A4483" s="45" t="n"/>
      <c r="B4483" s="46" t="inlineStr">
        <is>
          <t>43472</t>
        </is>
      </c>
      <c r="C4483" s="46">
        <f>LEFT(Tableau1[[#This Row],[Formacode]],3)</f>
        <v/>
      </c>
      <c r="D4483" s="47" t="n">
        <v>36939</v>
      </c>
      <c r="E4483" s="48">
        <f>"RNCP"&amp;D4483</f>
        <v/>
      </c>
      <c r="F4483" s="48" t="inlineStr">
        <is>
          <t>BTS - Services et prestations des secteurs sanitaire et social</t>
        </is>
      </c>
      <c r="G4483" s="49">
        <f>E4483&amp;" - "&amp;F4483</f>
        <v/>
      </c>
      <c r="H4483" s="36" t="inlineStr">
        <is>
          <t>RAS</t>
        </is>
      </c>
      <c r="I4483" s="45" t="inlineStr"/>
      <c r="J4483" s="45" t="inlineStr">
        <is>
          <t>RNCP36939</t>
        </is>
      </c>
      <c r="K4483" s="45" t="inlineStr">
        <is>
          <t>Services et prestations des secteurs sanitaire et social</t>
        </is>
      </c>
      <c r="L4483" s="45" t="inlineStr">
        <is>
          <t>31/08/2027</t>
        </is>
      </c>
      <c r="M4483" s="45" t="inlineStr">
        <is>
          <t>44022 (Aide médico-sociale) ; 43454 (Santé)</t>
        </is>
      </c>
      <c r="N4483" s="50" t="inlineStr">
        <is>
          <t>NON</t>
        </is>
      </c>
      <c r="O4483" s="45" t="inlineStr"/>
    </row>
    <row r="4484" customFormat="1" s="3">
      <c r="A4484" s="45" t="n"/>
      <c r="B4484" s="46" t="inlineStr">
        <is>
          <t>43472</t>
        </is>
      </c>
      <c r="C4484" s="46">
        <f>LEFT(Tableau1[[#This Row],[Formacode]],3)</f>
        <v/>
      </c>
      <c r="D4484" s="47" t="n">
        <v>39982</v>
      </c>
      <c r="E4484" s="48">
        <f>"RNCP"&amp;D4484</f>
        <v/>
      </c>
      <c r="F4484" s="48" t="inlineStr">
        <is>
          <t>Manager en services et industries de santé (MS)</t>
        </is>
      </c>
      <c r="G4484" s="49">
        <f>E4484&amp;" - "&amp;F4484</f>
        <v/>
      </c>
      <c r="H4484" s="36" t="inlineStr">
        <is>
          <t>RAS</t>
        </is>
      </c>
      <c r="I4484" s="45" t="inlineStr"/>
      <c r="J4484" s="45" t="inlineStr">
        <is>
          <t>RNCP39982</t>
        </is>
      </c>
      <c r="K4484" s="45" t="inlineStr">
        <is>
          <t>Manager en services et industries de santé (MS)</t>
        </is>
      </c>
      <c r="L4484" s="45" t="inlineStr">
        <is>
          <t>18/12/2029</t>
        </is>
      </c>
      <c r="M4484" s="45" t="inlineStr">
        <is>
          <t>43026 (Pharmacie) ; 43454 (Santé)</t>
        </is>
      </c>
      <c r="N4484" s="50" t="inlineStr">
        <is>
          <t>NON</t>
        </is>
      </c>
      <c r="O4484" s="45" t="inlineStr"/>
    </row>
    <row r="4485" customFormat="1" s="3">
      <c r="A4485" s="45" t="n"/>
      <c r="B4485" s="46" t="inlineStr">
        <is>
          <t>43476</t>
        </is>
      </c>
      <c r="C4485" s="46">
        <f>LEFT(Tableau1[[#This Row],[Formacode]],3)</f>
        <v/>
      </c>
      <c r="D4485" s="47" t="n">
        <v>36939</v>
      </c>
      <c r="E4485" s="48">
        <f>"RNCP"&amp;D4485</f>
        <v/>
      </c>
      <c r="F4485" s="48" t="inlineStr">
        <is>
          <t>BTS - Services et prestations des secteurs sanitaire et social</t>
        </is>
      </c>
      <c r="G4485" s="49">
        <f>E4485&amp;" - "&amp;F4485</f>
        <v/>
      </c>
      <c r="H4485" s="36" t="inlineStr">
        <is>
          <t>RAS</t>
        </is>
      </c>
      <c r="I4485" s="45" t="inlineStr"/>
      <c r="J4485" s="45" t="inlineStr">
        <is>
          <t>RNCP36939</t>
        </is>
      </c>
      <c r="K4485" s="45" t="inlineStr">
        <is>
          <t>Services et prestations des secteurs sanitaire et social</t>
        </is>
      </c>
      <c r="L4485" s="45" t="inlineStr">
        <is>
          <t>31/08/2027</t>
        </is>
      </c>
      <c r="M4485" s="45" t="inlineStr">
        <is>
          <t>44022 (Aide médico-sociale) ; 43454 (Santé)</t>
        </is>
      </c>
      <c r="N4485" s="50" t="inlineStr">
        <is>
          <t>NON</t>
        </is>
      </c>
      <c r="O4485" s="45" t="inlineStr"/>
    </row>
    <row r="4486" customFormat="1" s="3">
      <c r="A4486" s="45" t="n"/>
      <c r="B4486" s="46" t="inlineStr">
        <is>
          <t>43476</t>
        </is>
      </c>
      <c r="C4486" s="46">
        <f>LEFT(Tableau1[[#This Row],[Formacode]],3)</f>
        <v/>
      </c>
      <c r="D4486" s="47" t="n">
        <v>39982</v>
      </c>
      <c r="E4486" s="48">
        <f>"RNCP"&amp;D4486</f>
        <v/>
      </c>
      <c r="F4486" s="48" t="inlineStr">
        <is>
          <t>Manager en services et industries de santé (MS)</t>
        </is>
      </c>
      <c r="G4486" s="49">
        <f>E4486&amp;" - "&amp;F4486</f>
        <v/>
      </c>
      <c r="H4486" s="36" t="inlineStr">
        <is>
          <t>RAS</t>
        </is>
      </c>
      <c r="I4486" s="45" t="inlineStr"/>
      <c r="J4486" s="45" t="inlineStr">
        <is>
          <t>RNCP39982</t>
        </is>
      </c>
      <c r="K4486" s="45" t="inlineStr">
        <is>
          <t>Manager en services et industries de santé (MS)</t>
        </is>
      </c>
      <c r="L4486" s="45" t="inlineStr">
        <is>
          <t>18/12/2029</t>
        </is>
      </c>
      <c r="M4486" s="45" t="inlineStr">
        <is>
          <t>43026 (Pharmacie) ; 43454 (Santé)</t>
        </is>
      </c>
      <c r="N4486" s="50" t="inlineStr">
        <is>
          <t>NON</t>
        </is>
      </c>
      <c r="O4486" s="45" t="inlineStr"/>
    </row>
    <row r="4487" customFormat="1" s="3">
      <c r="A4487" s="45" t="n"/>
      <c r="B4487" s="46" t="inlineStr">
        <is>
          <t>43476</t>
        </is>
      </c>
      <c r="C4487" s="46">
        <f>LEFT(Tableau1[[#This Row],[Formacode]],3)</f>
        <v/>
      </c>
      <c r="D4487" s="47" t="n">
        <v>40027</v>
      </c>
      <c r="E4487" s="48">
        <f>"RNCP"&amp;D4487</f>
        <v/>
      </c>
      <c r="F4487" s="48" t="inlineStr">
        <is>
          <t>Brevet de technicien supérieur - Biologie médicale</t>
        </is>
      </c>
      <c r="G4487" s="49">
        <f>E4487&amp;" - "&amp;F4487</f>
        <v/>
      </c>
      <c r="H4487" s="36" t="inlineStr">
        <is>
          <t>RAS</t>
        </is>
      </c>
      <c r="I4487" s="45" t="inlineStr"/>
      <c r="J4487" s="45" t="inlineStr">
        <is>
          <t>RNCP40027</t>
        </is>
      </c>
      <c r="K4487" s="45" t="inlineStr">
        <is>
          <t>Biologie médicale</t>
        </is>
      </c>
      <c r="L4487" s="45" t="inlineStr">
        <is>
          <t>31/12/2029</t>
        </is>
      </c>
      <c r="M4487" s="45" t="inlineStr">
        <is>
          <t>43476 (Analyse médicale)</t>
        </is>
      </c>
      <c r="N4487" s="50" t="inlineStr">
        <is>
          <t>NON</t>
        </is>
      </c>
      <c r="O4487" s="45" t="inlineStr"/>
    </row>
    <row r="4488" customFormat="1" s="3">
      <c r="A4488" s="45" t="n"/>
      <c r="B4488" s="46" t="inlineStr">
        <is>
          <t>43479</t>
        </is>
      </c>
      <c r="C4488" s="46">
        <f>LEFT(Tableau1[[#This Row],[Formacode]],3)</f>
        <v/>
      </c>
      <c r="D4488" s="47" t="n">
        <v>36939</v>
      </c>
      <c r="E4488" s="48">
        <f>"RNCP"&amp;D4488</f>
        <v/>
      </c>
      <c r="F4488" s="48" t="inlineStr">
        <is>
          <t>BTS - Services et prestations des secteurs sanitaire et social</t>
        </is>
      </c>
      <c r="G4488" s="49">
        <f>E4488&amp;" - "&amp;F4488</f>
        <v/>
      </c>
      <c r="H4488" s="36" t="inlineStr">
        <is>
          <t>RAS</t>
        </is>
      </c>
      <c r="I4488" s="45" t="inlineStr"/>
      <c r="J4488" s="45" t="inlineStr">
        <is>
          <t>RNCP36939</t>
        </is>
      </c>
      <c r="K4488" s="45" t="inlineStr">
        <is>
          <t>Services et prestations des secteurs sanitaire et social</t>
        </is>
      </c>
      <c r="L4488" s="45" t="inlineStr">
        <is>
          <t>31/08/2027</t>
        </is>
      </c>
      <c r="M4488" s="45" t="inlineStr">
        <is>
          <t>44022 (Aide médico-sociale) ; 43454 (Santé)</t>
        </is>
      </c>
      <c r="N4488" s="50" t="inlineStr">
        <is>
          <t>NON</t>
        </is>
      </c>
      <c r="O4488" s="45" t="inlineStr"/>
    </row>
    <row r="4489" customFormat="1" s="3">
      <c r="A4489" s="45" t="n"/>
      <c r="B4489" s="46" t="inlineStr">
        <is>
          <t>43479</t>
        </is>
      </c>
      <c r="C4489" s="46">
        <f>LEFT(Tableau1[[#This Row],[Formacode]],3)</f>
        <v/>
      </c>
      <c r="D4489" s="47" t="n">
        <v>38562</v>
      </c>
      <c r="E4489" s="48">
        <f>"RNCP"&amp;D4489</f>
        <v/>
      </c>
      <c r="F4489" s="48" t="inlineStr">
        <is>
          <t>TP - Technicien d'équipement d'aide à la personne</t>
        </is>
      </c>
      <c r="G4489" s="49">
        <f>E4489&amp;" - "&amp;F4489</f>
        <v/>
      </c>
      <c r="H4489" s="36" t="inlineStr">
        <is>
          <t>RAS</t>
        </is>
      </c>
      <c r="I4489" s="45" t="inlineStr"/>
      <c r="J4489" s="45" t="inlineStr">
        <is>
          <t>RNCP38562</t>
        </is>
      </c>
      <c r="K4489" s="45" t="inlineStr">
        <is>
          <t>Technicien d'équipement d'aide à la personne</t>
        </is>
      </c>
      <c r="L4489" s="45" t="inlineStr">
        <is>
          <t>31/01/2029</t>
        </is>
      </c>
      <c r="M4489" s="45" t="inlineStr">
        <is>
          <t>43479 (Maintenance biomédicale)</t>
        </is>
      </c>
      <c r="N4489" s="50" t="inlineStr">
        <is>
          <t>NON</t>
        </is>
      </c>
      <c r="O4489" s="45" t="inlineStr"/>
    </row>
    <row r="4490" customFormat="1" s="3">
      <c r="A4490" s="45" t="n"/>
      <c r="B4490" s="46" t="inlineStr">
        <is>
          <t>43479</t>
        </is>
      </c>
      <c r="C4490" s="46">
        <f>LEFT(Tableau1[[#This Row],[Formacode]],3)</f>
        <v/>
      </c>
      <c r="D4490" s="47" t="n">
        <v>39982</v>
      </c>
      <c r="E4490" s="48">
        <f>"RNCP"&amp;D4490</f>
        <v/>
      </c>
      <c r="F4490" s="48" t="inlineStr">
        <is>
          <t>Manager en services et industries de santé (MS)</t>
        </is>
      </c>
      <c r="G4490" s="49">
        <f>E4490&amp;" - "&amp;F4490</f>
        <v/>
      </c>
      <c r="H4490" s="36" t="inlineStr">
        <is>
          <t>RAS</t>
        </is>
      </c>
      <c r="I4490" s="45" t="inlineStr"/>
      <c r="J4490" s="45" t="inlineStr">
        <is>
          <t>RNCP39982</t>
        </is>
      </c>
      <c r="K4490" s="45" t="inlineStr">
        <is>
          <t>Manager en services et industries de santé (MS)</t>
        </is>
      </c>
      <c r="L4490" s="45" t="inlineStr">
        <is>
          <t>18/12/2029</t>
        </is>
      </c>
      <c r="M4490" s="45" t="inlineStr">
        <is>
          <t>43026 (Pharmacie) ; 43454 (Santé)</t>
        </is>
      </c>
      <c r="N4490" s="50" t="inlineStr">
        <is>
          <t>NON</t>
        </is>
      </c>
      <c r="O4490" s="45" t="inlineStr"/>
    </row>
    <row r="4491" customFormat="1" s="3">
      <c r="A4491" s="63" t="n"/>
      <c r="B4491" s="64" t="inlineStr">
        <is>
          <t>43484</t>
        </is>
      </c>
      <c r="C4491" s="64">
        <f>LEFT(Tableau1[[#This Row],[Formacode]],3)</f>
        <v/>
      </c>
      <c r="D4491" s="65" t="n">
        <v>35301</v>
      </c>
      <c r="E4491" s="66">
        <f>"RNCP"&amp;D4491</f>
        <v/>
      </c>
      <c r="F4491" s="66" t="inlineStr">
        <is>
          <t>TP - Auxiliaire en prothèse dentaire</t>
        </is>
      </c>
      <c r="G4491" s="67">
        <f>E4491&amp;" - "&amp;F4491</f>
        <v/>
      </c>
      <c r="H4491" s="38" t="inlineStr">
        <is>
          <t>Expiré / remplacé</t>
        </is>
      </c>
      <c r="I4491" s="63" t="inlineStr">
        <is>
          <t>Fiche inactive — remplacée par RNCP42085 (Auxiliaire en prothèse dentaire)</t>
        </is>
      </c>
      <c r="J4491" s="63" t="inlineStr">
        <is>
          <t>RNCP42085</t>
        </is>
      </c>
      <c r="K4491" s="63" t="inlineStr">
        <is>
          <t>Auxiliaire en prothèse dentaire</t>
        </is>
      </c>
      <c r="L4491" s="63" t="inlineStr">
        <is>
          <t>07/03/2026</t>
        </is>
      </c>
      <c r="M4491" s="63" t="inlineStr">
        <is>
          <t>43494 (Prothèse dentaire)</t>
        </is>
      </c>
      <c r="N4491" s="68" t="inlineStr">
        <is>
          <t>NON</t>
        </is>
      </c>
      <c r="O4491" s="63" t="inlineStr"/>
    </row>
    <row r="4492" customFormat="1" s="3">
      <c r="A4492" s="45" t="n"/>
      <c r="B4492" s="46" t="inlineStr">
        <is>
          <t>43484</t>
        </is>
      </c>
      <c r="C4492" s="46">
        <f>LEFT(Tableau1[[#This Row],[Formacode]],3)</f>
        <v/>
      </c>
      <c r="D4492" s="47" t="n">
        <v>36939</v>
      </c>
      <c r="E4492" s="48">
        <f>"RNCP"&amp;D4492</f>
        <v/>
      </c>
      <c r="F4492" s="48" t="inlineStr">
        <is>
          <t>BTS - Services et prestations des secteurs sanitaire et social</t>
        </is>
      </c>
      <c r="G4492" s="49">
        <f>E4492&amp;" - "&amp;F4492</f>
        <v/>
      </c>
      <c r="H4492" s="36" t="inlineStr">
        <is>
          <t>RAS</t>
        </is>
      </c>
      <c r="I4492" s="45" t="inlineStr"/>
      <c r="J4492" s="45" t="inlineStr">
        <is>
          <t>RNCP36939</t>
        </is>
      </c>
      <c r="K4492" s="45" t="inlineStr">
        <is>
          <t>Services et prestations des secteurs sanitaire et social</t>
        </is>
      </c>
      <c r="L4492" s="45" t="inlineStr">
        <is>
          <t>31/08/2027</t>
        </is>
      </c>
      <c r="M4492" s="45" t="inlineStr">
        <is>
          <t>44022 (Aide médico-sociale) ; 43454 (Santé)</t>
        </is>
      </c>
      <c r="N4492" s="50" t="inlineStr">
        <is>
          <t>NON</t>
        </is>
      </c>
      <c r="O4492" s="45" t="inlineStr"/>
    </row>
    <row r="4493" customFormat="1" s="3">
      <c r="A4493" s="45" t="n"/>
      <c r="B4493" s="46" t="inlineStr">
        <is>
          <t>43484</t>
        </is>
      </c>
      <c r="C4493" s="46">
        <f>LEFT(Tableau1[[#This Row],[Formacode]],3)</f>
        <v/>
      </c>
      <c r="D4493" s="47" t="n">
        <v>37376</v>
      </c>
      <c r="E4493" s="48">
        <f>"RNCP"&amp;D4493</f>
        <v/>
      </c>
      <c r="F4493" s="48" t="inlineStr">
        <is>
          <t>Brevet de technicien supérieur - Prothésiste dentaire</t>
        </is>
      </c>
      <c r="G4493" s="49">
        <f>E4493&amp;" - "&amp;F4493</f>
        <v/>
      </c>
      <c r="H4493" s="36" t="inlineStr">
        <is>
          <t>RAS</t>
        </is>
      </c>
      <c r="I4493" s="45" t="inlineStr"/>
      <c r="J4493" s="45" t="inlineStr">
        <is>
          <t>RNCP37376</t>
        </is>
      </c>
      <c r="K4493" s="45" t="inlineStr">
        <is>
          <t>Prothésiste dentaire</t>
        </is>
      </c>
      <c r="L4493" s="45" t="inlineStr">
        <is>
          <t>31/08/2028</t>
        </is>
      </c>
      <c r="M4493" s="45" t="inlineStr">
        <is>
          <t>43494 (Prothèse dentaire)</t>
        </is>
      </c>
      <c r="N4493" s="50" t="inlineStr">
        <is>
          <t>NON</t>
        </is>
      </c>
      <c r="O4493" s="45" t="inlineStr"/>
    </row>
    <row r="4494" ht="28.8" customFormat="1" customHeight="1" s="3">
      <c r="A4494" s="45" t="n"/>
      <c r="B4494" s="46" t="inlineStr">
        <is>
          <t>43484</t>
        </is>
      </c>
      <c r="C4494" s="46">
        <f>LEFT(Tableau1[[#This Row],[Formacode]],3)</f>
        <v/>
      </c>
      <c r="D4494" s="47" t="n">
        <v>37486</v>
      </c>
      <c r="E4494" s="48">
        <f>"RNCP"&amp;D4494</f>
        <v/>
      </c>
      <c r="F4494" s="48" t="inlineStr">
        <is>
          <t>Certificat d'aptitude professionnelle - Opérateur en appareillage orthopédique - Spécialité orthoprothèse</t>
        </is>
      </c>
      <c r="G4494" s="49">
        <f>E4494&amp;" - "&amp;F4494</f>
        <v/>
      </c>
      <c r="H4494" s="36" t="inlineStr">
        <is>
          <t>RAS</t>
        </is>
      </c>
      <c r="I4494" s="45" t="inlineStr"/>
      <c r="J4494" s="45" t="inlineStr">
        <is>
          <t>RNCP37486</t>
        </is>
      </c>
      <c r="K4494" s="45" t="inlineStr">
        <is>
          <t>Opérateur en appareillage orthopédique - Spécialité orthoprothèse</t>
        </is>
      </c>
      <c r="L4494" s="45" t="inlineStr">
        <is>
          <t>31/08/2028</t>
        </is>
      </c>
      <c r="M4494" s="45" t="inlineStr">
        <is>
          <t>43484 (Prothèse) ; 21859 (Podo-orthèse)</t>
        </is>
      </c>
      <c r="N4494" s="50" t="inlineStr">
        <is>
          <t>NON</t>
        </is>
      </c>
      <c r="O4494" s="45" t="inlineStr"/>
    </row>
    <row r="4495" customFormat="1" s="3">
      <c r="A4495" s="45" t="n"/>
      <c r="B4495" s="46" t="inlineStr">
        <is>
          <t>43484</t>
        </is>
      </c>
      <c r="C4495" s="46">
        <f>LEFT(Tableau1[[#This Row],[Formacode]],3)</f>
        <v/>
      </c>
      <c r="D4495" s="47" t="n">
        <v>39350</v>
      </c>
      <c r="E4495" s="48">
        <f>"RNCP"&amp;D4495</f>
        <v/>
      </c>
      <c r="F4495" s="48" t="inlineStr">
        <is>
          <t>CQP Opérateur en orthoprothèse</t>
        </is>
      </c>
      <c r="G4495" s="49">
        <f>E4495&amp;" - "&amp;F4495</f>
        <v/>
      </c>
      <c r="H4495" s="36" t="inlineStr">
        <is>
          <t>RAS</t>
        </is>
      </c>
      <c r="I4495" s="45" t="inlineStr"/>
      <c r="J4495" s="45" t="inlineStr">
        <is>
          <t>RNCP39350</t>
        </is>
      </c>
      <c r="K4495" s="45" t="inlineStr">
        <is>
          <t>CQP Opérateur en orthoprothèse</t>
        </is>
      </c>
      <c r="L4495" s="45" t="inlineStr">
        <is>
          <t>19/07/2029</t>
        </is>
      </c>
      <c r="M4495" s="45" t="inlineStr">
        <is>
          <t>43484 (Prothèse) ; 23001 (Thermoformage)</t>
        </is>
      </c>
      <c r="N4495" s="50" t="inlineStr">
        <is>
          <t>NON</t>
        </is>
      </c>
      <c r="O4495" s="45" t="inlineStr"/>
    </row>
    <row r="4496" customFormat="1" s="3">
      <c r="A4496" s="45" t="n"/>
      <c r="B4496" s="46" t="inlineStr">
        <is>
          <t>43484</t>
        </is>
      </c>
      <c r="C4496" s="46">
        <f>LEFT(Tableau1[[#This Row],[Formacode]],3)</f>
        <v/>
      </c>
      <c r="D4496" s="47" t="n">
        <v>39982</v>
      </c>
      <c r="E4496" s="48">
        <f>"RNCP"&amp;D4496</f>
        <v/>
      </c>
      <c r="F4496" s="48" t="inlineStr">
        <is>
          <t>Manager en services et industries de santé (MS)</t>
        </is>
      </c>
      <c r="G4496" s="49">
        <f>E4496&amp;" - "&amp;F4496</f>
        <v/>
      </c>
      <c r="H4496" s="36" t="inlineStr">
        <is>
          <t>RAS</t>
        </is>
      </c>
      <c r="I4496" s="45" t="inlineStr"/>
      <c r="J4496" s="45" t="inlineStr">
        <is>
          <t>RNCP39982</t>
        </is>
      </c>
      <c r="K4496" s="45" t="inlineStr">
        <is>
          <t>Manager en services et industries de santé (MS)</t>
        </is>
      </c>
      <c r="L4496" s="45" t="inlineStr">
        <is>
          <t>18/12/2029</t>
        </is>
      </c>
      <c r="M4496" s="45" t="inlineStr">
        <is>
          <t>43026 (Pharmacie) ; 43454 (Santé)</t>
        </is>
      </c>
      <c r="N4496" s="50" t="inlineStr">
        <is>
          <t>NON</t>
        </is>
      </c>
      <c r="O4496" s="45" t="inlineStr"/>
    </row>
    <row r="4497" customFormat="1" s="3">
      <c r="A4497" s="45" t="n"/>
      <c r="B4497" s="46" t="inlineStr">
        <is>
          <t>43484</t>
        </is>
      </c>
      <c r="C4497" s="46">
        <f>LEFT(Tableau1[[#This Row],[Formacode]],3)</f>
        <v/>
      </c>
      <c r="D4497" s="47" t="n">
        <v>41063</v>
      </c>
      <c r="E4497" s="48">
        <f>"RNCP"&amp;D4497</f>
        <v/>
      </c>
      <c r="F4497" s="48" t="inlineStr">
        <is>
          <t>BAC PRO - Technicien en prothèse dentaire</t>
        </is>
      </c>
      <c r="G4497" s="49">
        <f>E4497&amp;" - "&amp;F4497</f>
        <v/>
      </c>
      <c r="H4497" s="36" t="inlineStr">
        <is>
          <t>RAS</t>
        </is>
      </c>
      <c r="I4497" s="45" t="inlineStr"/>
      <c r="J4497" s="45" t="inlineStr">
        <is>
          <t>RNCP41063</t>
        </is>
      </c>
      <c r="K4497" s="45" t="inlineStr">
        <is>
          <t>Technicien en prothèse dentaire</t>
        </is>
      </c>
      <c r="L4497" s="45" t="inlineStr">
        <is>
          <t>31/08/2030</t>
        </is>
      </c>
      <c r="M4497" s="45" t="inlineStr">
        <is>
          <t>43494 (Prothèse dentaire)</t>
        </is>
      </c>
      <c r="N4497" s="50" t="inlineStr">
        <is>
          <t>NON</t>
        </is>
      </c>
      <c r="O4497" s="45" t="inlineStr"/>
    </row>
    <row r="4498" customFormat="1" s="3">
      <c r="A4498" s="45" t="n"/>
      <c r="B4498" s="46" t="inlineStr">
        <is>
          <t>43485</t>
        </is>
      </c>
      <c r="C4498" s="46">
        <f>LEFT(Tableau1[[#This Row],[Formacode]],3)</f>
        <v/>
      </c>
      <c r="D4498" s="47" t="n">
        <v>36939</v>
      </c>
      <c r="E4498" s="48">
        <f>"RNCP"&amp;D4498</f>
        <v/>
      </c>
      <c r="F4498" s="48" t="inlineStr">
        <is>
          <t>BTS - Services et prestations des secteurs sanitaire et social</t>
        </is>
      </c>
      <c r="G4498" s="49">
        <f>E4498&amp;" - "&amp;F4498</f>
        <v/>
      </c>
      <c r="H4498" s="36" t="inlineStr">
        <is>
          <t>RAS</t>
        </is>
      </c>
      <c r="I4498" s="45" t="inlineStr"/>
      <c r="J4498" s="45" t="inlineStr">
        <is>
          <t>RNCP36939</t>
        </is>
      </c>
      <c r="K4498" s="45" t="inlineStr">
        <is>
          <t>Services et prestations des secteurs sanitaire et social</t>
        </is>
      </c>
      <c r="L4498" s="45" t="inlineStr">
        <is>
          <t>31/08/2027</t>
        </is>
      </c>
      <c r="M4498" s="45" t="inlineStr">
        <is>
          <t>44022 (Aide médico-sociale) ; 43454 (Santé)</t>
        </is>
      </c>
      <c r="N4498" s="50" t="inlineStr">
        <is>
          <t>NON</t>
        </is>
      </c>
      <c r="O4498" s="45" t="inlineStr"/>
    </row>
    <row r="4499" customFormat="1" s="3">
      <c r="A4499" s="45" t="n"/>
      <c r="B4499" s="46" t="inlineStr">
        <is>
          <t>43485</t>
        </is>
      </c>
      <c r="C4499" s="46">
        <f>LEFT(Tableau1[[#This Row],[Formacode]],3)</f>
        <v/>
      </c>
      <c r="D4499" s="47" t="n">
        <v>39982</v>
      </c>
      <c r="E4499" s="48">
        <f>"RNCP"&amp;D4499</f>
        <v/>
      </c>
      <c r="F4499" s="48" t="inlineStr">
        <is>
          <t>Manager en services et industries de santé (MS)</t>
        </is>
      </c>
      <c r="G4499" s="49">
        <f>E4499&amp;" - "&amp;F4499</f>
        <v/>
      </c>
      <c r="H4499" s="36" t="inlineStr">
        <is>
          <t>RAS</t>
        </is>
      </c>
      <c r="I4499" s="45" t="inlineStr"/>
      <c r="J4499" s="45" t="inlineStr">
        <is>
          <t>RNCP39982</t>
        </is>
      </c>
      <c r="K4499" s="45" t="inlineStr">
        <is>
          <t>Manager en services et industries de santé (MS)</t>
        </is>
      </c>
      <c r="L4499" s="45" t="inlineStr">
        <is>
          <t>18/12/2029</t>
        </is>
      </c>
      <c r="M4499" s="45" t="inlineStr">
        <is>
          <t>43026 (Pharmacie) ; 43454 (Santé)</t>
        </is>
      </c>
      <c r="N4499" s="50" t="inlineStr">
        <is>
          <t>NON</t>
        </is>
      </c>
      <c r="O4499" s="45" t="inlineStr"/>
    </row>
    <row r="4500" customFormat="1" s="3">
      <c r="A4500" s="45" t="n"/>
      <c r="B4500" s="46" t="inlineStr">
        <is>
          <t>43486</t>
        </is>
      </c>
      <c r="C4500" s="46">
        <f>LEFT(Tableau1[[#This Row],[Formacode]],3)</f>
        <v/>
      </c>
      <c r="D4500" s="47" t="n">
        <v>36939</v>
      </c>
      <c r="E4500" s="48">
        <f>"RNCP"&amp;D4500</f>
        <v/>
      </c>
      <c r="F4500" s="48" t="inlineStr">
        <is>
          <t>BTS - Services et prestations des secteurs sanitaire et social</t>
        </is>
      </c>
      <c r="G4500" s="49">
        <f>E4500&amp;" - "&amp;F4500</f>
        <v/>
      </c>
      <c r="H4500" s="36" t="inlineStr">
        <is>
          <t>RAS</t>
        </is>
      </c>
      <c r="I4500" s="45" t="inlineStr"/>
      <c r="J4500" s="45" t="inlineStr">
        <is>
          <t>RNCP36939</t>
        </is>
      </c>
      <c r="K4500" s="45" t="inlineStr">
        <is>
          <t>Services et prestations des secteurs sanitaire et social</t>
        </is>
      </c>
      <c r="L4500" s="45" t="inlineStr">
        <is>
          <t>31/08/2027</t>
        </is>
      </c>
      <c r="M4500" s="45" t="inlineStr">
        <is>
          <t>44022 (Aide médico-sociale) ; 43454 (Santé)</t>
        </is>
      </c>
      <c r="N4500" s="50" t="inlineStr">
        <is>
          <t>NON</t>
        </is>
      </c>
      <c r="O4500" s="45" t="inlineStr"/>
    </row>
    <row r="4501" customFormat="1" s="3">
      <c r="A4501" s="45" t="n"/>
      <c r="B4501" s="46" t="inlineStr">
        <is>
          <t>43486</t>
        </is>
      </c>
      <c r="C4501" s="46">
        <f>LEFT(Tableau1[[#This Row],[Formacode]],3)</f>
        <v/>
      </c>
      <c r="D4501" s="47" t="n">
        <v>38360</v>
      </c>
      <c r="E4501" s="48">
        <f>"RNCP"&amp;D4501</f>
        <v/>
      </c>
      <c r="F4501" s="48" t="inlineStr">
        <is>
          <t>BTS - Opticien-lunetier</t>
        </is>
      </c>
      <c r="G4501" s="49">
        <f>E4501&amp;" - "&amp;F4501</f>
        <v/>
      </c>
      <c r="H4501" s="36" t="inlineStr">
        <is>
          <t>RAS</t>
        </is>
      </c>
      <c r="I4501" s="45" t="inlineStr"/>
      <c r="J4501" s="45" t="inlineStr">
        <is>
          <t>RNCP38360</t>
        </is>
      </c>
      <c r="K4501" s="45" t="inlineStr">
        <is>
          <t>Opticien-lunetier</t>
        </is>
      </c>
      <c r="L4501" s="45" t="inlineStr">
        <is>
          <t>31/12/2028</t>
        </is>
      </c>
      <c r="M4501" s="45" t="inlineStr">
        <is>
          <t>43486 (Optique lunetterie)</t>
        </is>
      </c>
      <c r="N4501" s="50" t="inlineStr">
        <is>
          <t>NON</t>
        </is>
      </c>
      <c r="O4501" s="45" t="inlineStr"/>
    </row>
    <row r="4502" customFormat="1" s="3">
      <c r="A4502" s="45" t="n"/>
      <c r="B4502" s="46" t="inlineStr">
        <is>
          <t>43486</t>
        </is>
      </c>
      <c r="C4502" s="46">
        <f>LEFT(Tableau1[[#This Row],[Formacode]],3)</f>
        <v/>
      </c>
      <c r="D4502" s="47" t="n">
        <v>38456</v>
      </c>
      <c r="E4502" s="48">
        <f>"RNCP"&amp;D4502</f>
        <v/>
      </c>
      <c r="F4502" s="48" t="inlineStr">
        <is>
          <t>Baccalauréat professionnel - Optique lunetterie</t>
        </is>
      </c>
      <c r="G4502" s="49">
        <f>E4502&amp;" - "&amp;F4502</f>
        <v/>
      </c>
      <c r="H4502" s="36" t="inlineStr">
        <is>
          <t>RAS</t>
        </is>
      </c>
      <c r="I4502" s="45" t="inlineStr"/>
      <c r="J4502" s="45" t="inlineStr">
        <is>
          <t>RNCP38456</t>
        </is>
      </c>
      <c r="K4502" s="45" t="inlineStr">
        <is>
          <t>Optique lunetterie</t>
        </is>
      </c>
      <c r="L4502" s="45" t="inlineStr">
        <is>
          <t>31/12/2028</t>
        </is>
      </c>
      <c r="M4502" s="45" t="inlineStr">
        <is>
          <t>43486 (Optique lunetterie)</t>
        </is>
      </c>
      <c r="N4502" s="50" t="inlineStr">
        <is>
          <t>NON</t>
        </is>
      </c>
      <c r="O4502" s="45" t="inlineStr"/>
    </row>
    <row r="4503" customFormat="1" s="3">
      <c r="A4503" s="45" t="n"/>
      <c r="B4503" s="46" t="inlineStr">
        <is>
          <t>43486</t>
        </is>
      </c>
      <c r="C4503" s="46">
        <f>LEFT(Tableau1[[#This Row],[Formacode]],3)</f>
        <v/>
      </c>
      <c r="D4503" s="47" t="n">
        <v>39005</v>
      </c>
      <c r="E4503" s="48">
        <f>"RNCP"&amp;D4503</f>
        <v/>
      </c>
      <c r="F4503" s="48" t="inlineStr">
        <is>
          <t>TP - Technicien en montage et vente d'optique-lunetterie</t>
        </is>
      </c>
      <c r="G4503" s="49">
        <f>E4503&amp;" - "&amp;F4503</f>
        <v/>
      </c>
      <c r="H4503" s="36" t="inlineStr">
        <is>
          <t>RAS</t>
        </is>
      </c>
      <c r="I4503" s="45" t="inlineStr"/>
      <c r="J4503" s="45" t="inlineStr">
        <is>
          <t>RNCP39005</t>
        </is>
      </c>
      <c r="K4503" s="45" t="inlineStr">
        <is>
          <t>Technicien en montage et vente d'optique-lunetterie</t>
        </is>
      </c>
      <c r="L4503" s="45" t="inlineStr">
        <is>
          <t>25/05/2029</t>
        </is>
      </c>
      <c r="M4503" s="45" t="inlineStr">
        <is>
          <t>43486 (Optique lunetterie)</t>
        </is>
      </c>
      <c r="N4503" s="50" t="inlineStr">
        <is>
          <t>NON</t>
        </is>
      </c>
      <c r="O4503" s="45" t="inlineStr"/>
    </row>
    <row r="4504" customFormat="1" s="3">
      <c r="A4504" s="45" t="n"/>
      <c r="B4504" s="46" t="inlineStr">
        <is>
          <t>43486</t>
        </is>
      </c>
      <c r="C4504" s="46">
        <f>LEFT(Tableau1[[#This Row],[Formacode]],3)</f>
        <v/>
      </c>
      <c r="D4504" s="47" t="n">
        <v>39982</v>
      </c>
      <c r="E4504" s="48">
        <f>"RNCP"&amp;D4504</f>
        <v/>
      </c>
      <c r="F4504" s="48" t="inlineStr">
        <is>
          <t>Manager en services et industries de santé (MS)</t>
        </is>
      </c>
      <c r="G4504" s="49">
        <f>E4504&amp;" - "&amp;F4504</f>
        <v/>
      </c>
      <c r="H4504" s="36" t="inlineStr">
        <is>
          <t>RAS</t>
        </is>
      </c>
      <c r="I4504" s="45" t="inlineStr"/>
      <c r="J4504" s="45" t="inlineStr">
        <is>
          <t>RNCP39982</t>
        </is>
      </c>
      <c r="K4504" s="45" t="inlineStr">
        <is>
          <t>Manager en services et industries de santé (MS)</t>
        </is>
      </c>
      <c r="L4504" s="45" t="inlineStr">
        <is>
          <t>18/12/2029</t>
        </is>
      </c>
      <c r="M4504" s="45" t="inlineStr">
        <is>
          <t>43026 (Pharmacie) ; 43454 (Santé)</t>
        </is>
      </c>
      <c r="N4504" s="50" t="inlineStr">
        <is>
          <t>NON</t>
        </is>
      </c>
      <c r="O4504" s="45" t="inlineStr"/>
    </row>
    <row r="4505" customFormat="1" s="3">
      <c r="A4505" s="45" t="n"/>
      <c r="B4505" s="46" t="inlineStr">
        <is>
          <t>43493</t>
        </is>
      </c>
      <c r="C4505" s="46">
        <f>LEFT(Tableau1[[#This Row],[Formacode]],3)</f>
        <v/>
      </c>
      <c r="D4505" s="47" t="n">
        <v>36939</v>
      </c>
      <c r="E4505" s="48">
        <f>"RNCP"&amp;D4505</f>
        <v/>
      </c>
      <c r="F4505" s="48" t="inlineStr">
        <is>
          <t>BTS - Services et prestations des secteurs sanitaire et social</t>
        </is>
      </c>
      <c r="G4505" s="49">
        <f>E4505&amp;" - "&amp;F4505</f>
        <v/>
      </c>
      <c r="H4505" s="36" t="inlineStr">
        <is>
          <t>RAS</t>
        </is>
      </c>
      <c r="I4505" s="45" t="inlineStr"/>
      <c r="J4505" s="45" t="inlineStr">
        <is>
          <t>RNCP36939</t>
        </is>
      </c>
      <c r="K4505" s="45" t="inlineStr">
        <is>
          <t>Services et prestations des secteurs sanitaire et social</t>
        </is>
      </c>
      <c r="L4505" s="45" t="inlineStr">
        <is>
          <t>31/08/2027</t>
        </is>
      </c>
      <c r="M4505" s="45" t="inlineStr">
        <is>
          <t>44022 (Aide médico-sociale) ; 43454 (Santé)</t>
        </is>
      </c>
      <c r="N4505" s="50" t="inlineStr">
        <is>
          <t>NON</t>
        </is>
      </c>
      <c r="O4505" s="45" t="inlineStr"/>
    </row>
    <row r="4506" customFormat="1" s="3">
      <c r="A4506" s="45" t="n"/>
      <c r="B4506" s="46" t="inlineStr">
        <is>
          <t>43493</t>
        </is>
      </c>
      <c r="C4506" s="46">
        <f>LEFT(Tableau1[[#This Row],[Formacode]],3)</f>
        <v/>
      </c>
      <c r="D4506" s="47" t="n">
        <v>39982</v>
      </c>
      <c r="E4506" s="48">
        <f>"RNCP"&amp;D4506</f>
        <v/>
      </c>
      <c r="F4506" s="48" t="inlineStr">
        <is>
          <t>Manager en services et industries de santé (MS)</t>
        </is>
      </c>
      <c r="G4506" s="49">
        <f>E4506&amp;" - "&amp;F4506</f>
        <v/>
      </c>
      <c r="H4506" s="36" t="inlineStr">
        <is>
          <t>RAS</t>
        </is>
      </c>
      <c r="I4506" s="45" t="inlineStr"/>
      <c r="J4506" s="45" t="inlineStr">
        <is>
          <t>RNCP39982</t>
        </is>
      </c>
      <c r="K4506" s="45" t="inlineStr">
        <is>
          <t>Manager en services et industries de santé (MS)</t>
        </is>
      </c>
      <c r="L4506" s="45" t="inlineStr">
        <is>
          <t>18/12/2029</t>
        </is>
      </c>
      <c r="M4506" s="45" t="inlineStr">
        <is>
          <t>43026 (Pharmacie) ; 43454 (Santé)</t>
        </is>
      </c>
      <c r="N4506" s="50" t="inlineStr">
        <is>
          <t>NON</t>
        </is>
      </c>
      <c r="O4506" s="45" t="inlineStr"/>
    </row>
    <row r="4507" customFormat="1" s="3">
      <c r="A4507" s="45" t="n"/>
      <c r="B4507" s="46" t="inlineStr">
        <is>
          <t>43497</t>
        </is>
      </c>
      <c r="C4507" s="46">
        <f>LEFT(Tableau1[[#This Row],[Formacode]],3)</f>
        <v/>
      </c>
      <c r="D4507" s="47" t="n">
        <v>36939</v>
      </c>
      <c r="E4507" s="48">
        <f>"RNCP"&amp;D4507</f>
        <v/>
      </c>
      <c r="F4507" s="48" t="inlineStr">
        <is>
          <t>BTS - Services et prestations des secteurs sanitaire et social</t>
        </is>
      </c>
      <c r="G4507" s="49">
        <f>E4507&amp;" - "&amp;F4507</f>
        <v/>
      </c>
      <c r="H4507" s="36" t="inlineStr">
        <is>
          <t>RAS</t>
        </is>
      </c>
      <c r="I4507" s="45" t="inlineStr"/>
      <c r="J4507" s="45" t="inlineStr">
        <is>
          <t>RNCP36939</t>
        </is>
      </c>
      <c r="K4507" s="45" t="inlineStr">
        <is>
          <t>Services et prestations des secteurs sanitaire et social</t>
        </is>
      </c>
      <c r="L4507" s="45" t="inlineStr">
        <is>
          <t>31/08/2027</t>
        </is>
      </c>
      <c r="M4507" s="45" t="inlineStr">
        <is>
          <t>44022 (Aide médico-sociale) ; 43454 (Santé)</t>
        </is>
      </c>
      <c r="N4507" s="50" t="inlineStr">
        <is>
          <t>NON</t>
        </is>
      </c>
      <c r="O4507" s="45" t="inlineStr"/>
    </row>
    <row r="4508" customFormat="1" s="3">
      <c r="A4508" s="45" t="n"/>
      <c r="B4508" s="46" t="inlineStr">
        <is>
          <t>43497</t>
        </is>
      </c>
      <c r="C4508" s="46">
        <f>LEFT(Tableau1[[#This Row],[Formacode]],3)</f>
        <v/>
      </c>
      <c r="D4508" s="47" t="n">
        <v>39982</v>
      </c>
      <c r="E4508" s="48">
        <f>"RNCP"&amp;D4508</f>
        <v/>
      </c>
      <c r="F4508" s="48" t="inlineStr">
        <is>
          <t>Manager en services et industries de santé (MS)</t>
        </is>
      </c>
      <c r="G4508" s="49">
        <f>E4508&amp;" - "&amp;F4508</f>
        <v/>
      </c>
      <c r="H4508" s="36" t="inlineStr">
        <is>
          <t>RAS</t>
        </is>
      </c>
      <c r="I4508" s="45" t="inlineStr"/>
      <c r="J4508" s="45" t="inlineStr">
        <is>
          <t>RNCP39982</t>
        </is>
      </c>
      <c r="K4508" s="45" t="inlineStr">
        <is>
          <t>Manager en services et industries de santé (MS)</t>
        </is>
      </c>
      <c r="L4508" s="45" t="inlineStr">
        <is>
          <t>18/12/2029</t>
        </is>
      </c>
      <c r="M4508" s="45" t="inlineStr">
        <is>
          <t>43026 (Pharmacie) ; 43454 (Santé)</t>
        </is>
      </c>
      <c r="N4508" s="50" t="inlineStr">
        <is>
          <t>NON</t>
        </is>
      </c>
      <c r="O4508" s="45" t="inlineStr"/>
    </row>
    <row r="4509">
      <c r="A4509" s="45" t="n"/>
      <c r="B4509" s="46" t="inlineStr">
        <is>
          <t>44002</t>
        </is>
      </c>
      <c r="C4509" s="46">
        <f>LEFT(Tableau1[[#This Row],[Formacode]],3)</f>
        <v/>
      </c>
      <c r="D4509" s="47" t="n">
        <v>36788</v>
      </c>
      <c r="E4509" s="48">
        <f>"RNCP"&amp;D4509</f>
        <v/>
      </c>
      <c r="F4509" s="48" t="inlineStr">
        <is>
          <t>BAC PRO - Services aux personnes et animation dans les territoires</t>
        </is>
      </c>
      <c r="G4509" s="49">
        <f>E4509&amp;" - "&amp;F4509</f>
        <v/>
      </c>
      <c r="H4509" s="36" t="inlineStr">
        <is>
          <t>RAS</t>
        </is>
      </c>
      <c r="I4509" s="45" t="inlineStr"/>
      <c r="J4509" s="45" t="inlineStr">
        <is>
          <t>RNCP36788</t>
        </is>
      </c>
      <c r="K4509" s="45" t="inlineStr">
        <is>
          <t>Services aux personnes et animation dans les territoires</t>
        </is>
      </c>
      <c r="L4509" s="45" t="inlineStr">
        <is>
          <t>31/08/2027</t>
        </is>
      </c>
      <c r="M4509" s="45" t="inlineStr">
        <is>
          <t>44054 (Action sociale)</t>
        </is>
      </c>
      <c r="N4509" s="50" t="inlineStr">
        <is>
          <t>NON</t>
        </is>
      </c>
      <c r="O4509" s="45" t="inlineStr"/>
    </row>
    <row r="4510">
      <c r="A4510" s="45" t="n"/>
      <c r="B4510" s="46" t="inlineStr">
        <is>
          <t>44003</t>
        </is>
      </c>
      <c r="C4510" s="46">
        <f>LEFT(Tableau1[[#This Row],[Formacode]],3)</f>
        <v/>
      </c>
      <c r="D4510" s="47" t="n">
        <v>36788</v>
      </c>
      <c r="E4510" s="48">
        <f>"RNCP"&amp;D4510</f>
        <v/>
      </c>
      <c r="F4510" s="48" t="inlineStr">
        <is>
          <t>BAC PRO - Services aux personnes et animation dans les territoires</t>
        </is>
      </c>
      <c r="G4510" s="49">
        <f>E4510&amp;" - "&amp;F4510</f>
        <v/>
      </c>
      <c r="H4510" s="36" t="inlineStr">
        <is>
          <t>RAS</t>
        </is>
      </c>
      <c r="I4510" s="45" t="inlineStr"/>
      <c r="J4510" s="45" t="inlineStr">
        <is>
          <t>RNCP36788</t>
        </is>
      </c>
      <c r="K4510" s="45" t="inlineStr">
        <is>
          <t>Services aux personnes et animation dans les territoires</t>
        </is>
      </c>
      <c r="L4510" s="45" t="inlineStr">
        <is>
          <t>31/08/2027</t>
        </is>
      </c>
      <c r="M4510" s="45" t="inlineStr">
        <is>
          <t>44054 (Action sociale)</t>
        </is>
      </c>
      <c r="N4510" s="50" t="inlineStr">
        <is>
          <t>NON</t>
        </is>
      </c>
      <c r="O4510" s="45" t="inlineStr"/>
    </row>
    <row r="4511">
      <c r="A4511" s="45" t="n"/>
      <c r="B4511" s="46" t="inlineStr">
        <is>
          <t>44003</t>
        </is>
      </c>
      <c r="C4511" s="46">
        <f>LEFT(Tableau1[[#This Row],[Formacode]],3)</f>
        <v/>
      </c>
      <c r="D4511" s="47" t="n">
        <v>40604</v>
      </c>
      <c r="E4511" s="48">
        <f>"RNCP"&amp;D4511</f>
        <v/>
      </c>
      <c r="F4511" s="48" t="inlineStr">
        <is>
          <t>Surveillant-visiteur de nuit en secteur social et medico-social</t>
        </is>
      </c>
      <c r="G4511" s="49">
        <f>E4511&amp;" - "&amp;F4511</f>
        <v/>
      </c>
      <c r="H4511" s="36" t="inlineStr">
        <is>
          <t>RAS</t>
        </is>
      </c>
      <c r="I4511" s="45" t="inlineStr"/>
      <c r="J4511" s="45" t="inlineStr">
        <is>
          <t>RNCP40604</t>
        </is>
      </c>
      <c r="K4511" s="45" t="inlineStr">
        <is>
          <t>Surveillant-visiteur de nuit en secteur social et medico-social</t>
        </is>
      </c>
      <c r="L4511" s="45" t="inlineStr">
        <is>
          <t>30/04/2030</t>
        </is>
      </c>
      <c r="M4511" s="45" t="inlineStr">
        <is>
          <t>44005 (Surveillance nuit) ; 44003 (Qualité secteur social)</t>
        </is>
      </c>
      <c r="N4511" s="50" t="inlineStr">
        <is>
          <t>NON</t>
        </is>
      </c>
      <c r="O4511" s="45" t="inlineStr"/>
    </row>
    <row r="4512">
      <c r="A4512" s="45" t="n"/>
      <c r="B4512" s="46" t="inlineStr">
        <is>
          <t>44005</t>
        </is>
      </c>
      <c r="C4512" s="46">
        <f>LEFT(Tableau1[[#This Row],[Formacode]],3)</f>
        <v/>
      </c>
      <c r="D4512" s="47" t="n">
        <v>36360</v>
      </c>
      <c r="E4512" s="48">
        <f>"RNCP"&amp;D4512</f>
        <v/>
      </c>
      <c r="F4512" s="48" t="inlineStr">
        <is>
          <t>CQP Surveillant de nuit en secteur social, médico-social et sanitaire</t>
        </is>
      </c>
      <c r="G4512" s="49">
        <f>E4512&amp;" - "&amp;F4512</f>
        <v/>
      </c>
      <c r="H4512" s="36" t="inlineStr">
        <is>
          <t>RAS</t>
        </is>
      </c>
      <c r="I4512" s="45" t="inlineStr"/>
      <c r="J4512" s="45" t="inlineStr">
        <is>
          <t>RNCP36360</t>
        </is>
      </c>
      <c r="K4512" s="45" t="inlineStr">
        <is>
          <t>CQP Surveillant de nuit en secteur social, médico-social et sanitaire</t>
        </is>
      </c>
      <c r="L4512" s="45" t="inlineStr">
        <is>
          <t>25/04/2027</t>
        </is>
      </c>
      <c r="M4512" s="45" t="inlineStr">
        <is>
          <t>44005 (Surveillance nuit)</t>
        </is>
      </c>
      <c r="N4512" s="50" t="inlineStr">
        <is>
          <t>NON</t>
        </is>
      </c>
      <c r="O4512" s="45" t="inlineStr"/>
    </row>
    <row r="4513">
      <c r="A4513" s="45" t="n"/>
      <c r="B4513" s="46" t="inlineStr">
        <is>
          <t>44005</t>
        </is>
      </c>
      <c r="C4513" s="46">
        <f>LEFT(Tableau1[[#This Row],[Formacode]],3)</f>
        <v/>
      </c>
      <c r="D4513" s="47" t="n">
        <v>36788</v>
      </c>
      <c r="E4513" s="48">
        <f>"RNCP"&amp;D4513</f>
        <v/>
      </c>
      <c r="F4513" s="48" t="inlineStr">
        <is>
          <t>BAC PRO - Services aux personnes et animation dans les territoires</t>
        </is>
      </c>
      <c r="G4513" s="49">
        <f>E4513&amp;" - "&amp;F4513</f>
        <v/>
      </c>
      <c r="H4513" s="36" t="inlineStr">
        <is>
          <t>RAS</t>
        </is>
      </c>
      <c r="I4513" s="45" t="inlineStr"/>
      <c r="J4513" s="45" t="inlineStr">
        <is>
          <t>RNCP36788</t>
        </is>
      </c>
      <c r="K4513" s="45" t="inlineStr">
        <is>
          <t>Services aux personnes et animation dans les territoires</t>
        </is>
      </c>
      <c r="L4513" s="45" t="inlineStr">
        <is>
          <t>31/08/2027</t>
        </is>
      </c>
      <c r="M4513" s="45" t="inlineStr">
        <is>
          <t>44054 (Action sociale)</t>
        </is>
      </c>
      <c r="N4513" s="50" t="inlineStr">
        <is>
          <t>NON</t>
        </is>
      </c>
      <c r="O4513" s="45" t="inlineStr"/>
    </row>
    <row r="4514">
      <c r="A4514" s="45" t="n"/>
      <c r="B4514" s="46" t="inlineStr">
        <is>
          <t>44005</t>
        </is>
      </c>
      <c r="C4514" s="46">
        <f>LEFT(Tableau1[[#This Row],[Formacode]],3)</f>
        <v/>
      </c>
      <c r="D4514" s="47" t="n">
        <v>40604</v>
      </c>
      <c r="E4514" s="48">
        <f>"RNCP"&amp;D4514</f>
        <v/>
      </c>
      <c r="F4514" s="48" t="inlineStr">
        <is>
          <t>Surveillant-visiteur de nuit en secteur social et medico-social</t>
        </is>
      </c>
      <c r="G4514" s="49">
        <f>E4514&amp;" - "&amp;F4514</f>
        <v/>
      </c>
      <c r="H4514" s="36" t="inlineStr">
        <is>
          <t>RAS</t>
        </is>
      </c>
      <c r="I4514" s="45" t="inlineStr"/>
      <c r="J4514" s="45" t="inlineStr">
        <is>
          <t>RNCP40604</t>
        </is>
      </c>
      <c r="K4514" s="45" t="inlineStr">
        <is>
          <t>Surveillant-visiteur de nuit en secteur social et medico-social</t>
        </is>
      </c>
      <c r="L4514" s="45" t="inlineStr">
        <is>
          <t>30/04/2030</t>
        </is>
      </c>
      <c r="M4514" s="45" t="inlineStr">
        <is>
          <t>44005 (Surveillance nuit) ; 44003 (Qualité secteur social)</t>
        </is>
      </c>
      <c r="N4514" s="50" t="inlineStr">
        <is>
          <t>NON</t>
        </is>
      </c>
      <c r="O4514" s="45" t="inlineStr"/>
    </row>
    <row r="4515">
      <c r="A4515" s="45" t="n"/>
      <c r="B4515" s="46" t="inlineStr">
        <is>
          <t>44009</t>
        </is>
      </c>
      <c r="C4515" s="46">
        <f>LEFT(Tableau1[[#This Row],[Formacode]],3)</f>
        <v/>
      </c>
      <c r="D4515" s="47" t="n">
        <v>36788</v>
      </c>
      <c r="E4515" s="48">
        <f>"RNCP"&amp;D4515</f>
        <v/>
      </c>
      <c r="F4515" s="48" t="inlineStr">
        <is>
          <t>BAC PRO - Services aux personnes et animation dans les territoires</t>
        </is>
      </c>
      <c r="G4515" s="49">
        <f>E4515&amp;" - "&amp;F4515</f>
        <v/>
      </c>
      <c r="H4515" s="36" t="inlineStr">
        <is>
          <t>RAS</t>
        </is>
      </c>
      <c r="I4515" s="45" t="inlineStr"/>
      <c r="J4515" s="45" t="inlineStr">
        <is>
          <t>RNCP36788</t>
        </is>
      </c>
      <c r="K4515" s="45" t="inlineStr">
        <is>
          <t>Services aux personnes et animation dans les territoires</t>
        </is>
      </c>
      <c r="L4515" s="45" t="inlineStr">
        <is>
          <t>31/08/2027</t>
        </is>
      </c>
      <c r="M4515" s="45" t="inlineStr">
        <is>
          <t>44054 (Action sociale)</t>
        </is>
      </c>
      <c r="N4515" s="50" t="inlineStr">
        <is>
          <t>NON</t>
        </is>
      </c>
      <c r="O4515" s="45" t="inlineStr"/>
    </row>
    <row r="4516">
      <c r="A4516" s="45" t="n"/>
      <c r="B4516" s="46" t="inlineStr">
        <is>
          <t>44009</t>
        </is>
      </c>
      <c r="C4516" s="46">
        <f>LEFT(Tableau1[[#This Row],[Formacode]],3)</f>
        <v/>
      </c>
      <c r="D4516" s="47" t="n">
        <v>41758</v>
      </c>
      <c r="E4516" s="48">
        <f>"RNCP"&amp;D4516</f>
        <v/>
      </c>
      <c r="F4516" s="48" t="inlineStr">
        <is>
          <t>DE - Assistant familial</t>
        </is>
      </c>
      <c r="G4516" s="49">
        <f>E4516&amp;" - "&amp;F4516</f>
        <v/>
      </c>
      <c r="H4516" s="36" t="inlineStr">
        <is>
          <t>RAS</t>
        </is>
      </c>
      <c r="I4516" s="45" t="inlineStr"/>
      <c r="J4516" s="45" t="inlineStr">
        <is>
          <t>RNCP41758</t>
        </is>
      </c>
      <c r="K4516" s="45" t="inlineStr">
        <is>
          <t>Assistant familial</t>
        </is>
      </c>
      <c r="L4516" s="45" t="inlineStr">
        <is>
          <t>31/12/2028</t>
        </is>
      </c>
      <c r="M4516" s="45" t="inlineStr">
        <is>
          <t>44009 (Placement familial) ; 44072 (Travail social)</t>
        </is>
      </c>
      <c r="N4516" s="50" t="inlineStr">
        <is>
          <t>NON</t>
        </is>
      </c>
      <c r="O4516" s="45" t="inlineStr"/>
    </row>
    <row r="4517">
      <c r="A4517" s="45" t="n"/>
      <c r="B4517" s="46" t="inlineStr">
        <is>
          <t>44022</t>
        </is>
      </c>
      <c r="C4517" s="46">
        <f>LEFT(Tableau1[[#This Row],[Formacode]],3)</f>
        <v/>
      </c>
      <c r="D4517" s="47" t="n">
        <v>36788</v>
      </c>
      <c r="E4517" s="48">
        <f>"RNCP"&amp;D4517</f>
        <v/>
      </c>
      <c r="F4517" s="48" t="inlineStr">
        <is>
          <t>BAC PRO - Services aux personnes et animation dans les territoires</t>
        </is>
      </c>
      <c r="G4517" s="49">
        <f>E4517&amp;" - "&amp;F4517</f>
        <v/>
      </c>
      <c r="H4517" s="36" t="inlineStr">
        <is>
          <t>RAS</t>
        </is>
      </c>
      <c r="I4517" s="45" t="inlineStr"/>
      <c r="J4517" s="45" t="inlineStr">
        <is>
          <t>RNCP36788</t>
        </is>
      </c>
      <c r="K4517" s="45" t="inlineStr">
        <is>
          <t>Services aux personnes et animation dans les territoires</t>
        </is>
      </c>
      <c r="L4517" s="45" t="inlineStr">
        <is>
          <t>31/08/2027</t>
        </is>
      </c>
      <c r="M4517" s="45" t="inlineStr">
        <is>
          <t>44054 (Action sociale)</t>
        </is>
      </c>
      <c r="N4517" s="50" t="inlineStr">
        <is>
          <t>NON</t>
        </is>
      </c>
      <c r="O4517" s="45" t="inlineStr"/>
    </row>
    <row r="4518">
      <c r="A4518" s="45" t="n"/>
      <c r="B4518" s="46" t="inlineStr">
        <is>
          <t>44022</t>
        </is>
      </c>
      <c r="C4518" s="46">
        <f>LEFT(Tableau1[[#This Row],[Formacode]],3)</f>
        <v/>
      </c>
      <c r="D4518" s="47" t="n">
        <v>36939</v>
      </c>
      <c r="E4518" s="48">
        <f>"RNCP"&amp;D4518</f>
        <v/>
      </c>
      <c r="F4518" s="48" t="inlineStr">
        <is>
          <t>BTS - Services et prestations des secteurs sanitaire et social</t>
        </is>
      </c>
      <c r="G4518" s="49">
        <f>E4518&amp;" - "&amp;F4518</f>
        <v/>
      </c>
      <c r="H4518" s="36" t="inlineStr">
        <is>
          <t>RAS</t>
        </is>
      </c>
      <c r="I4518" s="45" t="inlineStr"/>
      <c r="J4518" s="45" t="inlineStr">
        <is>
          <t>RNCP36939</t>
        </is>
      </c>
      <c r="K4518" s="45" t="inlineStr">
        <is>
          <t>Services et prestations des secteurs sanitaire et social</t>
        </is>
      </c>
      <c r="L4518" s="45" t="inlineStr">
        <is>
          <t>31/08/2027</t>
        </is>
      </c>
      <c r="M4518" s="45" t="inlineStr">
        <is>
          <t>44022 (Aide médico-sociale) ; 43454 (Santé)</t>
        </is>
      </c>
      <c r="N4518" s="50" t="inlineStr">
        <is>
          <t>NON</t>
        </is>
      </c>
      <c r="O4518" s="45" t="inlineStr"/>
    </row>
    <row r="4519">
      <c r="A4519" s="45" t="n"/>
      <c r="B4519" s="46" t="inlineStr">
        <is>
          <t>44022</t>
        </is>
      </c>
      <c r="C4519" s="46">
        <f>LEFT(Tableau1[[#This Row],[Formacode]],3)</f>
        <v/>
      </c>
      <c r="D4519" s="47" t="n">
        <v>37424</v>
      </c>
      <c r="E4519" s="48">
        <f>"RNCP"&amp;D4519</f>
        <v/>
      </c>
      <c r="F4519" s="48" t="inlineStr">
        <is>
          <t>Maître de maison en secteur social et médico-social</t>
        </is>
      </c>
      <c r="G4519" s="49">
        <f>E4519&amp;" - "&amp;F4519</f>
        <v/>
      </c>
      <c r="H4519" s="36" t="inlineStr">
        <is>
          <t>RAS</t>
        </is>
      </c>
      <c r="I4519" s="45" t="inlineStr"/>
      <c r="J4519" s="45" t="inlineStr">
        <is>
          <t>RNCP37424</t>
        </is>
      </c>
      <c r="K4519" s="45" t="inlineStr">
        <is>
          <t>Maître de maison en secteur social et médico-social</t>
        </is>
      </c>
      <c r="L4519" s="45" t="inlineStr">
        <is>
          <t>27/03/2028</t>
        </is>
      </c>
      <c r="M4519" s="45" t="inlineStr">
        <is>
          <t>44022 (Aide médico-sociale) ; 44028 (Accompagnement éducatif et social)</t>
        </is>
      </c>
      <c r="N4519" s="50" t="inlineStr">
        <is>
          <t>NON</t>
        </is>
      </c>
      <c r="O4519" s="45" t="inlineStr"/>
    </row>
    <row r="4520">
      <c r="A4520" s="45" t="n"/>
      <c r="B4520" s="46" t="inlineStr">
        <is>
          <t>44024</t>
        </is>
      </c>
      <c r="C4520" s="46">
        <f>LEFT(Tableau1[[#This Row],[Formacode]],3)</f>
        <v/>
      </c>
      <c r="D4520" s="47" t="n">
        <v>36788</v>
      </c>
      <c r="E4520" s="48">
        <f>"RNCP"&amp;D4520</f>
        <v/>
      </c>
      <c r="F4520" s="48" t="inlineStr">
        <is>
          <t>BAC PRO - Services aux personnes et animation dans les territoires</t>
        </is>
      </c>
      <c r="G4520" s="49">
        <f>E4520&amp;" - "&amp;F4520</f>
        <v/>
      </c>
      <c r="H4520" s="36" t="inlineStr">
        <is>
          <t>RAS</t>
        </is>
      </c>
      <c r="I4520" s="45" t="inlineStr"/>
      <c r="J4520" s="45" t="inlineStr">
        <is>
          <t>RNCP36788</t>
        </is>
      </c>
      <c r="K4520" s="45" t="inlineStr">
        <is>
          <t>Services aux personnes et animation dans les territoires</t>
        </is>
      </c>
      <c r="L4520" s="45" t="inlineStr">
        <is>
          <t>31/08/2027</t>
        </is>
      </c>
      <c r="M4520" s="45" t="inlineStr">
        <is>
          <t>44054 (Action sociale)</t>
        </is>
      </c>
      <c r="N4520" s="50" t="inlineStr">
        <is>
          <t>NON</t>
        </is>
      </c>
      <c r="O4520" s="45" t="inlineStr"/>
    </row>
    <row r="4521">
      <c r="A4521" s="45" t="n"/>
      <c r="B4521" s="46" t="inlineStr">
        <is>
          <t>44024</t>
        </is>
      </c>
      <c r="C4521" s="46">
        <f>LEFT(Tableau1[[#This Row],[Formacode]],3)</f>
        <v/>
      </c>
      <c r="D4521" s="47" t="n">
        <v>39099</v>
      </c>
      <c r="E4521" s="48">
        <f>"RNCP"&amp;D4521</f>
        <v/>
      </c>
      <c r="F4521" s="48" t="inlineStr">
        <is>
          <t>Moniteur d'atelier en milieu de travail protégé</t>
        </is>
      </c>
      <c r="G4521" s="49">
        <f>E4521&amp;" - "&amp;F4521</f>
        <v/>
      </c>
      <c r="H4521" s="36" t="inlineStr">
        <is>
          <t>RAS</t>
        </is>
      </c>
      <c r="I4521" s="45" t="inlineStr"/>
      <c r="J4521" s="45" t="inlineStr">
        <is>
          <t>RNCP39099</t>
        </is>
      </c>
      <c r="K4521" s="45" t="inlineStr">
        <is>
          <t>Moniteur d'atelier en milieu de travail protégé</t>
        </is>
      </c>
      <c r="L4521" s="45" t="inlineStr">
        <is>
          <t>31/05/2028</t>
        </is>
      </c>
      <c r="M4521" s="45" t="inlineStr">
        <is>
          <t>44057 (Atelier éducatif) ; 44024 (Handicap)</t>
        </is>
      </c>
      <c r="N4521" s="50" t="inlineStr">
        <is>
          <t>NON</t>
        </is>
      </c>
      <c r="O4521" s="45" t="inlineStr"/>
    </row>
    <row r="4522">
      <c r="A4522" s="45" t="n"/>
      <c r="B4522" s="46" t="inlineStr">
        <is>
          <t>44025</t>
        </is>
      </c>
      <c r="C4522" s="46">
        <f>LEFT(Tableau1[[#This Row],[Formacode]],3)</f>
        <v/>
      </c>
      <c r="D4522" s="47" t="n">
        <v>36788</v>
      </c>
      <c r="E4522" s="48">
        <f>"RNCP"&amp;D4522</f>
        <v/>
      </c>
      <c r="F4522" s="48" t="inlineStr">
        <is>
          <t>BAC PRO - Services aux personnes et animation dans les territoires</t>
        </is>
      </c>
      <c r="G4522" s="49">
        <f>E4522&amp;" - "&amp;F4522</f>
        <v/>
      </c>
      <c r="H4522" s="36" t="inlineStr">
        <is>
          <t>RAS</t>
        </is>
      </c>
      <c r="I4522" s="45" t="inlineStr"/>
      <c r="J4522" s="45" t="inlineStr">
        <is>
          <t>RNCP36788</t>
        </is>
      </c>
      <c r="K4522" s="45" t="inlineStr">
        <is>
          <t>Services aux personnes et animation dans les territoires</t>
        </is>
      </c>
      <c r="L4522" s="45" t="inlineStr">
        <is>
          <t>31/08/2027</t>
        </is>
      </c>
      <c r="M4522" s="45" t="inlineStr">
        <is>
          <t>44054 (Action sociale)</t>
        </is>
      </c>
      <c r="N4522" s="50" t="inlineStr">
        <is>
          <t>NON</t>
        </is>
      </c>
      <c r="O4522" s="45" t="inlineStr"/>
    </row>
    <row r="4523">
      <c r="A4523" s="51" t="n"/>
      <c r="B4523" s="52" t="inlineStr">
        <is>
          <t>44026</t>
        </is>
      </c>
      <c r="C4523" s="52">
        <f>LEFT(Tableau1[[#This Row],[Formacode]],3)</f>
        <v/>
      </c>
      <c r="D4523" s="53" t="n">
        <v>36004</v>
      </c>
      <c r="E4523" s="54">
        <f>"RNCP"&amp;D4523</f>
        <v/>
      </c>
      <c r="F4523" s="54" t="inlineStr">
        <is>
          <t>DE - Accompagnant éducatif et social</t>
        </is>
      </c>
      <c r="G4523" s="55">
        <f>E4523&amp;" - "&amp;F4523</f>
        <v/>
      </c>
      <c r="H4523" s="37" t="inlineStr">
        <is>
          <t>À vérifier</t>
        </is>
      </c>
      <c r="I4523" s="51" t="inlineStr">
        <is>
          <t>Successeur déjà publié : RNCP42423 (Accompagnant éducatif et social) — préparer la bascule de l'offre CPF | Échéance le 01/09/2026 (dans 45 j)</t>
        </is>
      </c>
      <c r="J4523" s="51" t="inlineStr">
        <is>
          <t>RNCP42423</t>
        </is>
      </c>
      <c r="K4523" s="51" t="inlineStr">
        <is>
          <t>Accompagnant éducatif et social</t>
        </is>
      </c>
      <c r="L4523" s="51" t="inlineStr">
        <is>
          <t>01/09/2026</t>
        </is>
      </c>
      <c r="M4523" s="51" t="inlineStr">
        <is>
          <t>44028 (Accompagnement éducatif et social) ; 44079 (Animation personne handicapée) ; 44089 (Animation personne âgée)</t>
        </is>
      </c>
      <c r="N4523" s="62" t="inlineStr">
        <is>
          <t>NON</t>
        </is>
      </c>
      <c r="O4523" s="51" t="inlineStr"/>
    </row>
    <row r="4524">
      <c r="A4524" s="45" t="n"/>
      <c r="B4524" s="46" t="inlineStr">
        <is>
          <t>44026</t>
        </is>
      </c>
      <c r="C4524" s="46">
        <f>LEFT(Tableau1[[#This Row],[Formacode]],3)</f>
        <v/>
      </c>
      <c r="D4524" s="47" t="n">
        <v>36788</v>
      </c>
      <c r="E4524" s="48">
        <f>"RNCP"&amp;D4524</f>
        <v/>
      </c>
      <c r="F4524" s="48" t="inlineStr">
        <is>
          <t>BAC PRO - Services aux personnes et animation dans les territoires</t>
        </is>
      </c>
      <c r="G4524" s="49">
        <f>E4524&amp;" - "&amp;F4524</f>
        <v/>
      </c>
      <c r="H4524" s="36" t="inlineStr">
        <is>
          <t>RAS</t>
        </is>
      </c>
      <c r="I4524" s="45" t="inlineStr"/>
      <c r="J4524" s="45" t="inlineStr">
        <is>
          <t>RNCP36788</t>
        </is>
      </c>
      <c r="K4524" s="45" t="inlineStr">
        <is>
          <t>Services aux personnes et animation dans les territoires</t>
        </is>
      </c>
      <c r="L4524" s="45" t="inlineStr">
        <is>
          <t>31/08/2027</t>
        </is>
      </c>
      <c r="M4524" s="45" t="inlineStr">
        <is>
          <t>44054 (Action sociale)</t>
        </is>
      </c>
      <c r="N4524" s="50" t="inlineStr">
        <is>
          <t>NON</t>
        </is>
      </c>
      <c r="O4524" s="45" t="inlineStr"/>
    </row>
    <row r="4525">
      <c r="A4525" s="45" t="n"/>
      <c r="B4525" s="46" t="inlineStr">
        <is>
          <t>44026</t>
        </is>
      </c>
      <c r="C4525" s="46">
        <f>LEFT(Tableau1[[#This Row],[Formacode]],3)</f>
        <v/>
      </c>
      <c r="D4525" s="47" t="n">
        <v>37231</v>
      </c>
      <c r="E4525" s="48">
        <f>"RNCP"&amp;D4525</f>
        <v/>
      </c>
      <c r="F4525" s="48" t="inlineStr">
        <is>
          <t>BAC PRO - Accompagnement, soins et services à la personne</t>
        </is>
      </c>
      <c r="G4525" s="49">
        <f>E4525&amp;" - "&amp;F4525</f>
        <v/>
      </c>
      <c r="H4525" s="36" t="inlineStr">
        <is>
          <t>RAS</t>
        </is>
      </c>
      <c r="I4525" s="45" t="inlineStr"/>
      <c r="J4525" s="45" t="inlineStr">
        <is>
          <t>RNCP37231</t>
        </is>
      </c>
      <c r="K4525" s="45" t="inlineStr">
        <is>
          <t>Accompagnement, soins et services à la personne</t>
        </is>
      </c>
      <c r="L4525" s="45" t="inlineStr">
        <is>
          <t>31/08/2027</t>
        </is>
      </c>
      <c r="M4525" s="45" t="inlineStr">
        <is>
          <t>44028 (Accompagnement éducatif et social)</t>
        </is>
      </c>
      <c r="N4525" s="50" t="inlineStr">
        <is>
          <t>NON</t>
        </is>
      </c>
      <c r="O4525" s="45" t="inlineStr"/>
    </row>
    <row r="4526">
      <c r="A4526" s="45" t="n"/>
      <c r="B4526" s="46" t="inlineStr">
        <is>
          <t>44026</t>
        </is>
      </c>
      <c r="C4526" s="46">
        <f>LEFT(Tableau1[[#This Row],[Formacode]],3)</f>
        <v/>
      </c>
      <c r="D4526" s="47" t="n">
        <v>37424</v>
      </c>
      <c r="E4526" s="48">
        <f>"RNCP"&amp;D4526</f>
        <v/>
      </c>
      <c r="F4526" s="48" t="inlineStr">
        <is>
          <t>Maître de maison en secteur social et médico-social</t>
        </is>
      </c>
      <c r="G4526" s="49">
        <f>E4526&amp;" - "&amp;F4526</f>
        <v/>
      </c>
      <c r="H4526" s="36" t="inlineStr">
        <is>
          <t>RAS</t>
        </is>
      </c>
      <c r="I4526" s="45" t="inlineStr"/>
      <c r="J4526" s="45" t="inlineStr">
        <is>
          <t>RNCP37424</t>
        </is>
      </c>
      <c r="K4526" s="45" t="inlineStr">
        <is>
          <t>Maître de maison en secteur social et médico-social</t>
        </is>
      </c>
      <c r="L4526" s="45" t="inlineStr">
        <is>
          <t>27/03/2028</t>
        </is>
      </c>
      <c r="M4526" s="45" t="inlineStr">
        <is>
          <t>44022 (Aide médico-sociale) ; 44028 (Accompagnement éducatif et social)</t>
        </is>
      </c>
      <c r="N4526" s="50" t="inlineStr">
        <is>
          <t>NON</t>
        </is>
      </c>
      <c r="O4526" s="45" t="inlineStr"/>
    </row>
    <row r="4527">
      <c r="A4527" s="45" t="n"/>
      <c r="B4527" s="46" t="inlineStr">
        <is>
          <t>44026</t>
        </is>
      </c>
      <c r="C4527" s="46">
        <f>LEFT(Tableau1[[#This Row],[Formacode]],3)</f>
        <v/>
      </c>
      <c r="D4527" s="47" t="n">
        <v>37568</v>
      </c>
      <c r="E4527" s="48">
        <f>"RNCP"&amp;D4527</f>
        <v/>
      </c>
      <c r="F4527" s="48" t="inlineStr">
        <is>
          <t>CS - Aide à domicile</t>
        </is>
      </c>
      <c r="G4527" s="49">
        <f>E4527&amp;" - "&amp;F4527</f>
        <v/>
      </c>
      <c r="H4527" s="36" t="inlineStr">
        <is>
          <t>RAS</t>
        </is>
      </c>
      <c r="I4527" s="45" t="inlineStr"/>
      <c r="J4527" s="45" t="inlineStr">
        <is>
          <t>RNCP37568</t>
        </is>
      </c>
      <c r="K4527" s="45" t="inlineStr">
        <is>
          <t>Aide à domicile</t>
        </is>
      </c>
      <c r="L4527" s="45" t="inlineStr">
        <is>
          <t>31/08/2028</t>
        </is>
      </c>
      <c r="M4527" s="45" t="inlineStr">
        <is>
          <t>44028 (Accompagnement éducatif et social)</t>
        </is>
      </c>
      <c r="N4527" s="50" t="inlineStr">
        <is>
          <t>NON</t>
        </is>
      </c>
      <c r="O4527" s="45" t="inlineStr"/>
    </row>
    <row r="4528">
      <c r="A4528" s="45" t="n"/>
      <c r="B4528" s="46" t="inlineStr">
        <is>
          <t>44026</t>
        </is>
      </c>
      <c r="C4528" s="46">
        <f>LEFT(Tableau1[[#This Row],[Formacode]],3)</f>
        <v/>
      </c>
      <c r="D4528" s="47" t="n">
        <v>37669</v>
      </c>
      <c r="E4528" s="48">
        <f>"RNCP"&amp;D4528</f>
        <v/>
      </c>
      <c r="F4528" s="48" t="inlineStr">
        <is>
          <t>Certificat d'aptitude professionnelle - Agent accompagnant au grand âge</t>
        </is>
      </c>
      <c r="G4528" s="49">
        <f>E4528&amp;" - "&amp;F4528</f>
        <v/>
      </c>
      <c r="H4528" s="36" t="inlineStr">
        <is>
          <t>RAS</t>
        </is>
      </c>
      <c r="I4528" s="45" t="inlineStr"/>
      <c r="J4528" s="45" t="inlineStr">
        <is>
          <t>RNCP37669</t>
        </is>
      </c>
      <c r="K4528" s="45" t="inlineStr">
        <is>
          <t>Agent accompagnant au grand âge</t>
        </is>
      </c>
      <c r="L4528" s="45" t="inlineStr">
        <is>
          <t>31/08/2028</t>
        </is>
      </c>
      <c r="M4528" s="45" t="inlineStr">
        <is>
          <t>44028 (Accompagnement éducatif et social) ; 42069 (Employé collectivité)</t>
        </is>
      </c>
      <c r="N4528" s="50" t="inlineStr">
        <is>
          <t>NON</t>
        </is>
      </c>
      <c r="O4528" s="45" t="inlineStr"/>
    </row>
    <row r="4529">
      <c r="A4529" s="45" t="n"/>
      <c r="B4529" s="46" t="inlineStr">
        <is>
          <t>44026</t>
        </is>
      </c>
      <c r="C4529" s="46">
        <f>LEFT(Tableau1[[#This Row],[Formacode]],3)</f>
        <v/>
      </c>
      <c r="D4529" s="47" t="n">
        <v>37715</v>
      </c>
      <c r="E4529" s="48">
        <f>"RNCP"&amp;D4529</f>
        <v/>
      </c>
      <c r="F4529" s="48" t="inlineStr">
        <is>
          <t>TP - Assistant de vie aux familles</t>
        </is>
      </c>
      <c r="G4529" s="49">
        <f>E4529&amp;" - "&amp;F4529</f>
        <v/>
      </c>
      <c r="H4529" s="36" t="inlineStr">
        <is>
          <t>RAS</t>
        </is>
      </c>
      <c r="I4529" s="45" t="inlineStr"/>
      <c r="J4529" s="45" t="inlineStr">
        <is>
          <t>RNCP37715</t>
        </is>
      </c>
      <c r="K4529" s="45" t="inlineStr">
        <is>
          <t>Assistant de vie aux familles</t>
        </is>
      </c>
      <c r="L4529" s="45" t="inlineStr">
        <is>
          <t>05/07/2028</t>
        </is>
      </c>
      <c r="M4529" s="45" t="inlineStr">
        <is>
          <t>44028 (Accompagnement éducatif et social) ; 42056 (Service à la personne) ; 44030 (Assistance maternelle)</t>
        </is>
      </c>
      <c r="N4529" s="50" t="inlineStr">
        <is>
          <t>NON</t>
        </is>
      </c>
      <c r="O4529" s="45" t="inlineStr"/>
    </row>
    <row r="4530">
      <c r="A4530" s="51" t="n"/>
      <c r="B4530" s="52" t="inlineStr">
        <is>
          <t>44026</t>
        </is>
      </c>
      <c r="C4530" s="52">
        <f>LEFT(Tableau1[[#This Row],[Formacode]],3)</f>
        <v/>
      </c>
      <c r="D4530" s="53" t="n">
        <v>37780</v>
      </c>
      <c r="E4530" s="54">
        <f>"RNCP"&amp;D4530</f>
        <v/>
      </c>
      <c r="F4530" s="54" t="inlineStr">
        <is>
          <t>Assistant de vie dépendance</t>
        </is>
      </c>
      <c r="G4530" s="55">
        <f>E4530&amp;" - "&amp;F4530</f>
        <v/>
      </c>
      <c r="H4530" s="37" t="inlineStr">
        <is>
          <t>À vérifier</t>
        </is>
      </c>
      <c r="I4530" s="51" t="inlineStr">
        <is>
          <t>Successeur déjà publié : RNCP42318 (Assistant de vie) — préparer la bascule de l'offre CPF | Échéance le 19/07/2026 (dans 1 j)</t>
        </is>
      </c>
      <c r="J4530" s="51" t="inlineStr">
        <is>
          <t>RNCP42318</t>
        </is>
      </c>
      <c r="K4530" s="51" t="inlineStr">
        <is>
          <t>Assistant de vie</t>
        </is>
      </c>
      <c r="L4530" s="51" t="inlineStr">
        <is>
          <t>19/07/2026</t>
        </is>
      </c>
      <c r="M4530" s="51" t="inlineStr">
        <is>
          <t>42056 (Service à la personne) ; 44028 (Accompagnement éducatif et social)</t>
        </is>
      </c>
      <c r="N4530" s="62" t="inlineStr">
        <is>
          <t>NON</t>
        </is>
      </c>
      <c r="O4530" s="51" t="inlineStr"/>
    </row>
    <row r="4531">
      <c r="A4531" s="51" t="n"/>
      <c r="B4531" s="52" t="inlineStr">
        <is>
          <t>44026</t>
        </is>
      </c>
      <c r="C4531" s="52">
        <f>LEFT(Tableau1[[#This Row],[Formacode]],3)</f>
        <v/>
      </c>
      <c r="D4531" s="53" t="n">
        <v>37792</v>
      </c>
      <c r="E4531" s="54">
        <f>"RNCP"&amp;D4531</f>
        <v/>
      </c>
      <c r="F4531" s="54" t="inlineStr">
        <is>
          <t>Employé familial</t>
        </is>
      </c>
      <c r="G4531" s="55">
        <f>E4531&amp;" - "&amp;F4531</f>
        <v/>
      </c>
      <c r="H4531" s="37" t="inlineStr">
        <is>
          <t>À vérifier</t>
        </is>
      </c>
      <c r="I4531" s="51" t="inlineStr">
        <is>
          <t>Successeur déjà publié : RNCP42320 (Employé familial) — préparer la bascule de l'offre CPF | Échéance le 19/07/2026 (dans 1 j)</t>
        </is>
      </c>
      <c r="J4531" s="51" t="inlineStr">
        <is>
          <t>RNCP42320</t>
        </is>
      </c>
      <c r="K4531" s="51" t="inlineStr">
        <is>
          <t>Employé familial</t>
        </is>
      </c>
      <c r="L4531" s="51" t="inlineStr">
        <is>
          <t>19/07/2026</t>
        </is>
      </c>
      <c r="M4531" s="51" t="inlineStr">
        <is>
          <t>44026 (Aide famille)</t>
        </is>
      </c>
      <c r="N4531" s="62" t="inlineStr">
        <is>
          <t>NON</t>
        </is>
      </c>
      <c r="O4531" s="51" t="inlineStr"/>
    </row>
    <row r="4532">
      <c r="A4532" s="45" t="n"/>
      <c r="B4532" s="46" t="inlineStr">
        <is>
          <t>44026</t>
        </is>
      </c>
      <c r="C4532" s="46">
        <f>LEFT(Tableau1[[#This Row],[Formacode]],3)</f>
        <v/>
      </c>
      <c r="D4532" s="47" t="n">
        <v>39387</v>
      </c>
      <c r="E4532" s="48">
        <f>"RNCP"&amp;D4532</f>
        <v/>
      </c>
      <c r="F4532" s="48" t="inlineStr">
        <is>
          <t>Auxiliaire de vie</t>
        </is>
      </c>
      <c r="G4532" s="49">
        <f>E4532&amp;" - "&amp;F4532</f>
        <v/>
      </c>
      <c r="H4532" s="36" t="inlineStr">
        <is>
          <t>RAS</t>
        </is>
      </c>
      <c r="I4532" s="45" t="inlineStr"/>
      <c r="J4532" s="45" t="inlineStr">
        <is>
          <t>RNCP39387</t>
        </is>
      </c>
      <c r="K4532" s="45" t="inlineStr">
        <is>
          <t>Auxiliaire de vie</t>
        </is>
      </c>
      <c r="L4532" s="45" t="inlineStr">
        <is>
          <t>19/07/2027</t>
        </is>
      </c>
      <c r="M4532" s="45" t="inlineStr">
        <is>
          <t>44028 (Accompagnement éducatif et social)</t>
        </is>
      </c>
      <c r="N4532" s="50" t="inlineStr">
        <is>
          <t>NON</t>
        </is>
      </c>
      <c r="O4532" s="45" t="inlineStr"/>
    </row>
    <row r="4533">
      <c r="A4533" s="45" t="n"/>
      <c r="B4533" s="46" t="inlineStr">
        <is>
          <t>44026</t>
        </is>
      </c>
      <c r="C4533" s="46">
        <f>LEFT(Tableau1[[#This Row],[Formacode]],3)</f>
        <v/>
      </c>
      <c r="D4533" s="47" t="n">
        <v>39680</v>
      </c>
      <c r="E4533" s="48">
        <f>"RNCP"&amp;D4533</f>
        <v/>
      </c>
      <c r="F4533" s="48" t="inlineStr">
        <is>
          <t>DE - Technicien de l'intervention sociale et familiale</t>
        </is>
      </c>
      <c r="G4533" s="49">
        <f>E4533&amp;" - "&amp;F4533</f>
        <v/>
      </c>
      <c r="H4533" s="36" t="inlineStr">
        <is>
          <t>RAS</t>
        </is>
      </c>
      <c r="I4533" s="45" t="inlineStr"/>
      <c r="J4533" s="45" t="inlineStr">
        <is>
          <t>RNCP39680</t>
        </is>
      </c>
      <c r="K4533" s="45" t="inlineStr">
        <is>
          <t>Technicien de l'intervention sociale et familiale</t>
        </is>
      </c>
      <c r="L4533" s="45" t="inlineStr">
        <is>
          <t>31/12/2028</t>
        </is>
      </c>
      <c r="M4533" s="45" t="inlineStr">
        <is>
          <t>44008 (Intervention sociale familiale) ; 44072 (Travail social)</t>
        </is>
      </c>
      <c r="N4533" s="50" t="inlineStr">
        <is>
          <t>NON</t>
        </is>
      </c>
      <c r="O4533" s="45" t="inlineStr"/>
    </row>
    <row r="4534" customFormat="1" s="3">
      <c r="A4534" s="45" t="n"/>
      <c r="B4534" s="46" t="inlineStr">
        <is>
          <t>44035</t>
        </is>
      </c>
      <c r="C4534" s="46">
        <f>LEFT(Tableau1[[#This Row],[Formacode]],3)</f>
        <v/>
      </c>
      <c r="D4534" s="47" t="n">
        <v>36241</v>
      </c>
      <c r="E4534" s="48">
        <f>"RNCP"&amp;D4534</f>
        <v/>
      </c>
      <c r="F4534" s="48" t="inlineStr">
        <is>
          <t>TP - Médiateur social accès aux droits et services</t>
        </is>
      </c>
      <c r="G4534" s="49">
        <f>E4534&amp;" - "&amp;F4534</f>
        <v/>
      </c>
      <c r="H4534" s="36" t="inlineStr">
        <is>
          <t>RAS</t>
        </is>
      </c>
      <c r="I4534" s="45" t="inlineStr"/>
      <c r="J4534" s="45" t="inlineStr">
        <is>
          <t>RNCP36241</t>
        </is>
      </c>
      <c r="K4534" s="45" t="inlineStr">
        <is>
          <t>Médiateur social accès aux droits et services</t>
        </is>
      </c>
      <c r="L4534" s="45" t="inlineStr">
        <is>
          <t>16/05/2027</t>
        </is>
      </c>
      <c r="M4534" s="45" t="inlineStr">
        <is>
          <t>44035 (Médiation socioculturelle) ; 15099 (Résolution problème) ; 15006 (Relation interculturelle) ; 44056 (Travail social en réseau)</t>
        </is>
      </c>
      <c r="N4534" s="50" t="inlineStr">
        <is>
          <t>NON</t>
        </is>
      </c>
      <c r="O4534" s="45" t="inlineStr"/>
    </row>
    <row r="4535">
      <c r="A4535" s="45" t="n"/>
      <c r="B4535" s="46" t="inlineStr">
        <is>
          <t>44035</t>
        </is>
      </c>
      <c r="C4535" s="46">
        <f>LEFT(Tableau1[[#This Row],[Formacode]],3)</f>
        <v/>
      </c>
      <c r="D4535" s="47" t="n">
        <v>36788</v>
      </c>
      <c r="E4535" s="48">
        <f>"RNCP"&amp;D4535</f>
        <v/>
      </c>
      <c r="F4535" s="48" t="inlineStr">
        <is>
          <t>BAC PRO - Services aux personnes et animation dans les territoires</t>
        </is>
      </c>
      <c r="G4535" s="49">
        <f>E4535&amp;" - "&amp;F4535</f>
        <v/>
      </c>
      <c r="H4535" s="36" t="inlineStr">
        <is>
          <t>RAS</t>
        </is>
      </c>
      <c r="I4535" s="45" t="inlineStr"/>
      <c r="J4535" s="45" t="inlineStr">
        <is>
          <t>RNCP36788</t>
        </is>
      </c>
      <c r="K4535" s="45" t="inlineStr">
        <is>
          <t>Services aux personnes et animation dans les territoires</t>
        </is>
      </c>
      <c r="L4535" s="45" t="inlineStr">
        <is>
          <t>31/08/2027</t>
        </is>
      </c>
      <c r="M4535" s="45" t="inlineStr">
        <is>
          <t>44054 (Action sociale)</t>
        </is>
      </c>
      <c r="N4535" s="50" t="inlineStr">
        <is>
          <t>NON</t>
        </is>
      </c>
      <c r="O4535" s="45" t="inlineStr"/>
    </row>
    <row r="4536">
      <c r="A4536" s="45" t="n"/>
      <c r="B4536" s="46" t="inlineStr">
        <is>
          <t>44035</t>
        </is>
      </c>
      <c r="C4536" s="46">
        <f>LEFT(Tableau1[[#This Row],[Formacode]],3)</f>
        <v/>
      </c>
      <c r="D4536" s="47" t="n">
        <v>37240</v>
      </c>
      <c r="E4536" s="48">
        <f>"RNCP"&amp;D4536</f>
        <v/>
      </c>
      <c r="F4536" s="48" t="inlineStr">
        <is>
          <t>Certificat d'aptitude professionnelle - Agent de prévention et de médiation</t>
        </is>
      </c>
      <c r="G4536" s="49">
        <f>E4536&amp;" - "&amp;F4536</f>
        <v/>
      </c>
      <c r="H4536" s="36" t="inlineStr">
        <is>
          <t>RAS</t>
        </is>
      </c>
      <c r="I4536" s="45" t="inlineStr"/>
      <c r="J4536" s="45" t="inlineStr">
        <is>
          <t>RNCP37240</t>
        </is>
      </c>
      <c r="K4536" s="45" t="inlineStr">
        <is>
          <t>Agent de prévention et de médiation</t>
        </is>
      </c>
      <c r="L4536" s="45" t="inlineStr">
        <is>
          <t>31/08/2027</t>
        </is>
      </c>
      <c r="M4536" s="45" t="inlineStr">
        <is>
          <t>44091 (Prévention sociale) ; 44035 (Médiation socioculturelle)</t>
        </is>
      </c>
      <c r="N4536" s="50" t="inlineStr">
        <is>
          <t>NON</t>
        </is>
      </c>
      <c r="O4536" s="45" t="inlineStr"/>
    </row>
    <row r="4537">
      <c r="A4537" s="45" t="n"/>
      <c r="B4537" s="46" t="inlineStr">
        <is>
          <t>44035</t>
        </is>
      </c>
      <c r="C4537" s="46">
        <f>LEFT(Tableau1[[#This Row],[Formacode]],3)</f>
        <v/>
      </c>
      <c r="D4537" s="47" t="n">
        <v>40661</v>
      </c>
      <c r="E4537" s="48">
        <f>"RNCP"&amp;D4537</f>
        <v/>
      </c>
      <c r="F4537" s="48" t="inlineStr">
        <is>
          <t>Chargé de projets artistiques et culturels</t>
        </is>
      </c>
      <c r="G4537" s="49">
        <f>E4537&amp;" - "&amp;F4537</f>
        <v/>
      </c>
      <c r="H4537" s="36" t="inlineStr">
        <is>
          <t>RAS</t>
        </is>
      </c>
      <c r="I4537" s="45" t="inlineStr"/>
      <c r="J4537" s="45" t="inlineStr">
        <is>
          <t>RNCP40661</t>
        </is>
      </c>
      <c r="K4537" s="45" t="inlineStr">
        <is>
          <t>Chargé de projets artistiques et culturels</t>
        </is>
      </c>
      <c r="L4537" s="45" t="inlineStr">
        <is>
          <t>23/05/2030</t>
        </is>
      </c>
      <c r="M4537" s="45" t="inlineStr">
        <is>
          <t>45052 (Production spectacle) ; 44035 (Médiation socioculturelle) ; 45075 (Commerce art) ; 46340 (Communication événementielle)</t>
        </is>
      </c>
      <c r="N4537" s="50" t="inlineStr">
        <is>
          <t>NON</t>
        </is>
      </c>
      <c r="O4537" s="45" t="inlineStr"/>
    </row>
    <row r="4538">
      <c r="A4538" s="45" t="n"/>
      <c r="B4538" s="46" t="inlineStr">
        <is>
          <t>44035</t>
        </is>
      </c>
      <c r="C4538" s="46">
        <f>LEFT(Tableau1[[#This Row],[Formacode]],3)</f>
        <v/>
      </c>
      <c r="D4538" s="47" t="n">
        <v>40674</v>
      </c>
      <c r="E4538" s="48">
        <f>"RNCP"&amp;D4538</f>
        <v/>
      </c>
      <c r="F4538" s="48" t="inlineStr">
        <is>
          <t>Manager de l'ingénierie culturelle</t>
        </is>
      </c>
      <c r="G4538" s="49">
        <f>E4538&amp;" - "&amp;F4538</f>
        <v/>
      </c>
      <c r="H4538" s="36" t="inlineStr">
        <is>
          <t>RAS</t>
        </is>
      </c>
      <c r="I4538" s="45" t="inlineStr"/>
      <c r="J4538" s="45" t="inlineStr">
        <is>
          <t>RNCP40674</t>
        </is>
      </c>
      <c r="K4538" s="45" t="inlineStr">
        <is>
          <t>Manager de l'ingénierie culturelle</t>
        </is>
      </c>
      <c r="L4538" s="45" t="inlineStr">
        <is>
          <t>23/05/2030</t>
        </is>
      </c>
      <c r="M4538" s="45" t="inlineStr">
        <is>
          <t>45052 (Production spectacle) ; 13096 (Politique culturelle) ; 44035 (Médiation socioculturelle) ; 46340 (Communication événementielle)</t>
        </is>
      </c>
      <c r="N4538" s="50" t="inlineStr">
        <is>
          <t>NON</t>
        </is>
      </c>
      <c r="O4538" s="45" t="inlineStr"/>
    </row>
    <row r="4539">
      <c r="A4539" s="45" t="n"/>
      <c r="B4539" s="46" t="inlineStr">
        <is>
          <t>44037</t>
        </is>
      </c>
      <c r="C4539" s="46">
        <f>LEFT(Tableau1[[#This Row],[Formacode]],3)</f>
        <v/>
      </c>
      <c r="D4539" s="47" t="n">
        <v>36788</v>
      </c>
      <c r="E4539" s="48">
        <f>"RNCP"&amp;D4539</f>
        <v/>
      </c>
      <c r="F4539" s="48" t="inlineStr">
        <is>
          <t>BAC PRO - Services aux personnes et animation dans les territoires</t>
        </is>
      </c>
      <c r="G4539" s="49">
        <f>E4539&amp;" - "&amp;F4539</f>
        <v/>
      </c>
      <c r="H4539" s="36" t="inlineStr">
        <is>
          <t>RAS</t>
        </is>
      </c>
      <c r="I4539" s="45" t="inlineStr"/>
      <c r="J4539" s="45" t="inlineStr">
        <is>
          <t>RNCP36788</t>
        </is>
      </c>
      <c r="K4539" s="45" t="inlineStr">
        <is>
          <t>Services aux personnes et animation dans les territoires</t>
        </is>
      </c>
      <c r="L4539" s="45" t="inlineStr">
        <is>
          <t>31/08/2027</t>
        </is>
      </c>
      <c r="M4539" s="45" t="inlineStr">
        <is>
          <t>44054 (Action sociale)</t>
        </is>
      </c>
      <c r="N4539" s="50" t="inlineStr">
        <is>
          <t>NON</t>
        </is>
      </c>
      <c r="O4539" s="45" t="inlineStr"/>
    </row>
    <row r="4540">
      <c r="A4540" s="45" t="n"/>
      <c r="B4540" s="46" t="inlineStr">
        <is>
          <t>44042</t>
        </is>
      </c>
      <c r="C4540" s="46">
        <f>LEFT(Tableau1[[#This Row],[Formacode]],3)</f>
        <v/>
      </c>
      <c r="D4540" s="47" t="n">
        <v>36788</v>
      </c>
      <c r="E4540" s="48">
        <f>"RNCP"&amp;D4540</f>
        <v/>
      </c>
      <c r="F4540" s="48" t="inlineStr">
        <is>
          <t>BAC PRO - Services aux personnes et animation dans les territoires</t>
        </is>
      </c>
      <c r="G4540" s="49">
        <f>E4540&amp;" - "&amp;F4540</f>
        <v/>
      </c>
      <c r="H4540" s="36" t="inlineStr">
        <is>
          <t>RAS</t>
        </is>
      </c>
      <c r="I4540" s="45" t="inlineStr"/>
      <c r="J4540" s="45" t="inlineStr">
        <is>
          <t>RNCP36788</t>
        </is>
      </c>
      <c r="K4540" s="45" t="inlineStr">
        <is>
          <t>Services aux personnes et animation dans les territoires</t>
        </is>
      </c>
      <c r="L4540" s="45" t="inlineStr">
        <is>
          <t>31/08/2027</t>
        </is>
      </c>
      <c r="M4540" s="45" t="inlineStr">
        <is>
          <t>44054 (Action sociale)</t>
        </is>
      </c>
      <c r="N4540" s="50" t="inlineStr">
        <is>
          <t>NON</t>
        </is>
      </c>
      <c r="O4540" s="45" t="inlineStr"/>
    </row>
    <row r="4541">
      <c r="A4541" s="51" t="n"/>
      <c r="B4541" s="52" t="inlineStr">
        <is>
          <t>44042</t>
        </is>
      </c>
      <c r="C4541" s="52">
        <f>LEFT(Tableau1[[#This Row],[Formacode]],3)</f>
        <v/>
      </c>
      <c r="D4541" s="53" t="n">
        <v>37679</v>
      </c>
      <c r="E4541" s="54">
        <f>"RNCP"&amp;D4541</f>
        <v/>
      </c>
      <c r="F4541" s="54" t="inlineStr">
        <is>
          <t>DE - Educateur de jeunes enfants</t>
        </is>
      </c>
      <c r="G4541" s="55">
        <f>E4541&amp;" - "&amp;F4541</f>
        <v/>
      </c>
      <c r="H4541" s="37" t="inlineStr">
        <is>
          <t>À vérifier</t>
        </is>
      </c>
      <c r="I4541" s="51" t="inlineStr">
        <is>
          <t>Successeur déjà publié : RNCP41745 (Educateur de jeunes enfants) — préparer la bascule de l'offre CPF | Échéance le 31/08/2026 (dans 44 j)</t>
        </is>
      </c>
      <c r="J4541" s="51" t="inlineStr">
        <is>
          <t>RNCP41745</t>
        </is>
      </c>
      <c r="K4541" s="51" t="inlineStr">
        <is>
          <t>Educateur de jeunes enfants</t>
        </is>
      </c>
      <c r="L4541" s="51" t="inlineStr">
        <is>
          <t>31/08/2026</t>
        </is>
      </c>
      <c r="M4541" s="51" t="inlineStr">
        <is>
          <t>44050 (Éducateur jeune enfant)</t>
        </is>
      </c>
      <c r="N4541" s="62" t="inlineStr">
        <is>
          <t>NON</t>
        </is>
      </c>
      <c r="O4541" s="51" t="inlineStr"/>
    </row>
    <row r="4542">
      <c r="A4542" s="45" t="n"/>
      <c r="B4542" s="46" t="inlineStr">
        <is>
          <t>44042</t>
        </is>
      </c>
      <c r="C4542" s="46">
        <f>LEFT(Tableau1[[#This Row],[Formacode]],3)</f>
        <v/>
      </c>
      <c r="D4542" s="47" t="n">
        <v>37715</v>
      </c>
      <c r="E4542" s="48">
        <f>"RNCP"&amp;D4542</f>
        <v/>
      </c>
      <c r="F4542" s="48" t="inlineStr">
        <is>
          <t>TP - Assistant de vie aux familles</t>
        </is>
      </c>
      <c r="G4542" s="49">
        <f>E4542&amp;" - "&amp;F4542</f>
        <v/>
      </c>
      <c r="H4542" s="36" t="inlineStr">
        <is>
          <t>RAS</t>
        </is>
      </c>
      <c r="I4542" s="45" t="inlineStr"/>
      <c r="J4542" s="45" t="inlineStr">
        <is>
          <t>RNCP37715</t>
        </is>
      </c>
      <c r="K4542" s="45" t="inlineStr">
        <is>
          <t>Assistant de vie aux familles</t>
        </is>
      </c>
      <c r="L4542" s="45" t="inlineStr">
        <is>
          <t>05/07/2028</t>
        </is>
      </c>
      <c r="M4542" s="45" t="inlineStr">
        <is>
          <t>44028 (Accompagnement éducatif et social) ; 42056 (Service à la personne) ; 44030 (Assistance maternelle)</t>
        </is>
      </c>
      <c r="N4542" s="50" t="inlineStr">
        <is>
          <t>NON</t>
        </is>
      </c>
      <c r="O4542" s="45" t="inlineStr"/>
    </row>
    <row r="4543">
      <c r="A4543" s="51" t="n"/>
      <c r="B4543" s="52" t="inlineStr">
        <is>
          <t>44042</t>
        </is>
      </c>
      <c r="C4543" s="52">
        <f>LEFT(Tableau1[[#This Row],[Formacode]],3)</f>
        <v/>
      </c>
      <c r="D4543" s="53" t="n">
        <v>37795</v>
      </c>
      <c r="E4543" s="54">
        <f>"RNCP"&amp;D4543</f>
        <v/>
      </c>
      <c r="F4543" s="54" t="inlineStr">
        <is>
          <t>Assistant maternel / Garde d'enfants</t>
        </is>
      </c>
      <c r="G4543" s="55">
        <f>E4543&amp;" - "&amp;F4543</f>
        <v/>
      </c>
      <c r="H4543" s="37" t="inlineStr">
        <is>
          <t>À vérifier</t>
        </is>
      </c>
      <c r="I4543" s="51" t="inlineStr">
        <is>
          <t>Successeur déjà publié : RNCP42319 (Assistant maternel - Assistant parental) — préparer la bascule de l'offre CPF | Échéance le 19/07/2026 (dans 1 j)</t>
        </is>
      </c>
      <c r="J4543" s="51" t="inlineStr">
        <is>
          <t>RNCP42319</t>
        </is>
      </c>
      <c r="K4543" s="51" t="inlineStr">
        <is>
          <t>Assistant maternel - Assistant parental</t>
        </is>
      </c>
      <c r="L4543" s="51" t="inlineStr">
        <is>
          <t>19/07/2026</t>
        </is>
      </c>
      <c r="M4543" s="51" t="inlineStr">
        <is>
          <t>44030 (Assistance maternelle) ; 42056 (Service à la personne)</t>
        </is>
      </c>
      <c r="N4543" s="62" t="inlineStr">
        <is>
          <t>NON</t>
        </is>
      </c>
      <c r="O4543" s="51" t="inlineStr"/>
    </row>
    <row r="4544">
      <c r="A4544" s="45" t="n"/>
      <c r="B4544" s="46" t="inlineStr">
        <is>
          <t>44042</t>
        </is>
      </c>
      <c r="C4544" s="46">
        <f>LEFT(Tableau1[[#This Row],[Formacode]],3)</f>
        <v/>
      </c>
      <c r="D4544" s="47" t="n">
        <v>38565</v>
      </c>
      <c r="E4544" s="48">
        <f>"RNCP"&amp;D4544</f>
        <v/>
      </c>
      <c r="F4544" s="48" t="inlineStr">
        <is>
          <t>CAP - Accompagnant éducatif petite enfance</t>
        </is>
      </c>
      <c r="G4544" s="49">
        <f>E4544&amp;" - "&amp;F4544</f>
        <v/>
      </c>
      <c r="H4544" s="36" t="inlineStr">
        <is>
          <t>RAS</t>
        </is>
      </c>
      <c r="I4544" s="45" t="inlineStr"/>
      <c r="J4544" s="45" t="inlineStr">
        <is>
          <t>RNCP38565</t>
        </is>
      </c>
      <c r="K4544" s="45" t="inlineStr">
        <is>
          <t>Accompagnant éducatif petite enfance</t>
        </is>
      </c>
      <c r="L4544" s="45" t="inlineStr">
        <is>
          <t>31/12/2028</t>
        </is>
      </c>
      <c r="M4544" s="45" t="inlineStr">
        <is>
          <t>44041 (Petite enfance)</t>
        </is>
      </c>
      <c r="N4544" s="50" t="inlineStr">
        <is>
          <t>NON</t>
        </is>
      </c>
      <c r="O4544" s="45" t="inlineStr"/>
    </row>
    <row r="4545">
      <c r="A4545" s="45" t="n"/>
      <c r="B4545" s="46" t="inlineStr">
        <is>
          <t>44042</t>
        </is>
      </c>
      <c r="C4545" s="46">
        <f>LEFT(Tableau1[[#This Row],[Formacode]],3)</f>
        <v/>
      </c>
      <c r="D4545" s="47" t="n">
        <v>41849</v>
      </c>
      <c r="E4545" s="48">
        <f>"RNCP"&amp;D4545</f>
        <v/>
      </c>
      <c r="F4545" s="48" t="inlineStr">
        <is>
          <t>TP - Intervenant éducatif petite enfance</t>
        </is>
      </c>
      <c r="G4545" s="49">
        <f>E4545&amp;" - "&amp;F4545</f>
        <v/>
      </c>
      <c r="H4545" s="36" t="inlineStr">
        <is>
          <t>RAS</t>
        </is>
      </c>
      <c r="I4545" s="45" t="inlineStr"/>
      <c r="J4545" s="45" t="inlineStr">
        <is>
          <t>RNCP41849</t>
        </is>
      </c>
      <c r="K4545" s="45" t="inlineStr">
        <is>
          <t>Intervenant éducatif petite enfance</t>
        </is>
      </c>
      <c r="L4545" s="45" t="inlineStr">
        <is>
          <t>15/12/2028</t>
        </is>
      </c>
      <c r="M4545" s="45" t="inlineStr">
        <is>
          <t>44041 (Petite enfance)</t>
        </is>
      </c>
      <c r="N4545" s="50" t="inlineStr">
        <is>
          <t>NON</t>
        </is>
      </c>
      <c r="O4545" s="45" t="inlineStr"/>
    </row>
    <row r="4546">
      <c r="A4546" s="45" t="n"/>
      <c r="B4546" s="46" t="inlineStr">
        <is>
          <t>44047</t>
        </is>
      </c>
      <c r="C4546" s="46">
        <f>LEFT(Tableau1[[#This Row],[Formacode]],3)</f>
        <v/>
      </c>
      <c r="D4546" s="47" t="n">
        <v>36788</v>
      </c>
      <c r="E4546" s="48">
        <f>"RNCP"&amp;D4546</f>
        <v/>
      </c>
      <c r="F4546" s="48" t="inlineStr">
        <is>
          <t>BAC PRO - Services aux personnes et animation dans les territoires</t>
        </is>
      </c>
      <c r="G4546" s="49">
        <f>E4546&amp;" - "&amp;F4546</f>
        <v/>
      </c>
      <c r="H4546" s="36" t="inlineStr">
        <is>
          <t>RAS</t>
        </is>
      </c>
      <c r="I4546" s="45" t="inlineStr"/>
      <c r="J4546" s="45" t="inlineStr">
        <is>
          <t>RNCP36788</t>
        </is>
      </c>
      <c r="K4546" s="45" t="inlineStr">
        <is>
          <t>Services aux personnes et animation dans les territoires</t>
        </is>
      </c>
      <c r="L4546" s="45" t="inlineStr">
        <is>
          <t>31/08/2027</t>
        </is>
      </c>
      <c r="M4546" s="45" t="inlineStr">
        <is>
          <t>44054 (Action sociale)</t>
        </is>
      </c>
      <c r="N4546" s="50" t="inlineStr">
        <is>
          <t>NON</t>
        </is>
      </c>
      <c r="O4546" s="45" t="inlineStr"/>
    </row>
    <row r="4547" ht="28.8" customHeight="1" s="21">
      <c r="A4547" s="45" t="n"/>
      <c r="B4547" s="46" t="inlineStr">
        <is>
          <t>44047</t>
        </is>
      </c>
      <c r="C4547" s="46">
        <f>LEFT(Tableau1[[#This Row],[Formacode]],3)</f>
        <v/>
      </c>
      <c r="D4547" s="47" t="n">
        <v>36836</v>
      </c>
      <c r="E4547" s="48">
        <f>"RNCP"&amp;D4547</f>
        <v/>
      </c>
      <c r="F4547" s="48" t="inlineStr">
        <is>
          <t>CA - Certificat d'aptitude aux fonctions d'encadrement et de responsable d'unité d'intervention sociale  (CAFERUIS)</t>
        </is>
      </c>
      <c r="G4547" s="49">
        <f>E4547&amp;" - "&amp;F4547</f>
        <v/>
      </c>
      <c r="H4547" s="36" t="inlineStr">
        <is>
          <t>RAS</t>
        </is>
      </c>
      <c r="I4547" s="45" t="inlineStr"/>
      <c r="J4547" s="45" t="inlineStr">
        <is>
          <t>RNCP36836</t>
        </is>
      </c>
      <c r="K4547" s="45" t="inlineStr">
        <is>
          <t>Certificat d'aptitude aux fonctions d'encadrement et de responsable d'unité d'intervention sociale (CAFERUIS)</t>
        </is>
      </c>
      <c r="L4547" s="45" t="inlineStr">
        <is>
          <t>31/08/2027</t>
        </is>
      </c>
      <c r="M4547" s="45" t="inlineStr">
        <is>
          <t>44047 (Direction établissement médico-social) ; 44056 (Travail social en réseau) ; 44072 (Travail social)</t>
        </is>
      </c>
      <c r="N4547" s="50" t="inlineStr">
        <is>
          <t>NON</t>
        </is>
      </c>
      <c r="O4547" s="45" t="inlineStr"/>
    </row>
    <row r="4548" ht="28.8" customHeight="1" s="21">
      <c r="A4548" s="45" t="n"/>
      <c r="B4548" s="46" t="inlineStr">
        <is>
          <t>44047</t>
        </is>
      </c>
      <c r="C4548" s="46">
        <f>LEFT(Tableau1[[#This Row],[Formacode]],3)</f>
        <v/>
      </c>
      <c r="D4548" s="47" t="n">
        <v>36838</v>
      </c>
      <c r="E4548" s="48">
        <f>"RNCP"&amp;D4548</f>
        <v/>
      </c>
      <c r="F4548" s="48" t="inlineStr">
        <is>
          <t>CA - Certificat d'aptitude aux fonctions de directeur d'établissement ou de service d'intervention sociale  (CAFDES)</t>
        </is>
      </c>
      <c r="G4548" s="49">
        <f>E4548&amp;" - "&amp;F4548</f>
        <v/>
      </c>
      <c r="H4548" s="36" t="inlineStr">
        <is>
          <t>RAS</t>
        </is>
      </c>
      <c r="I4548" s="45" t="inlineStr"/>
      <c r="J4548" s="45" t="inlineStr">
        <is>
          <t>RNCP36838</t>
        </is>
      </c>
      <c r="K4548" s="45" t="inlineStr">
        <is>
          <t>Certificat d'aptitude aux fonctions de directeur d'établissement ou de service d'intervention sociale (CAFDES)</t>
        </is>
      </c>
      <c r="L4548" s="45" t="inlineStr">
        <is>
          <t>31/08/2027</t>
        </is>
      </c>
      <c r="M4548" s="45" t="inlineStr">
        <is>
          <t>44047 (Direction établissement médico-social) ; 44056 (Travail social en réseau)</t>
        </is>
      </c>
      <c r="N4548" s="50" t="inlineStr">
        <is>
          <t>NON</t>
        </is>
      </c>
      <c r="O4548" s="45" t="inlineStr"/>
    </row>
    <row r="4549">
      <c r="A4549" s="45" t="n"/>
      <c r="B4549" s="46" t="inlineStr">
        <is>
          <t>44047</t>
        </is>
      </c>
      <c r="C4549" s="46">
        <f>LEFT(Tableau1[[#This Row],[Formacode]],3)</f>
        <v/>
      </c>
      <c r="D4549" s="47" t="n">
        <v>37151</v>
      </c>
      <c r="E4549" s="48">
        <f>"RNCP"&amp;D4549</f>
        <v/>
      </c>
      <c r="F4549" s="48" t="inlineStr">
        <is>
          <t>Directeur des établissements de santé</t>
        </is>
      </c>
      <c r="G4549" s="49">
        <f>E4549&amp;" - "&amp;F4549</f>
        <v/>
      </c>
      <c r="H4549" s="36" t="inlineStr">
        <is>
          <t>RAS</t>
        </is>
      </c>
      <c r="I4549" s="45" t="inlineStr"/>
      <c r="J4549" s="45" t="inlineStr">
        <is>
          <t>RNCP37151</t>
        </is>
      </c>
      <c r="K4549" s="45" t="inlineStr">
        <is>
          <t>Directeur des établissements de santé</t>
        </is>
      </c>
      <c r="L4549" s="45" t="inlineStr">
        <is>
          <t>14/12/2027</t>
        </is>
      </c>
      <c r="M4549" s="45" t="inlineStr">
        <is>
          <t>44047 (Direction établissement médico-social)</t>
        </is>
      </c>
      <c r="N4549" s="50" t="inlineStr">
        <is>
          <t>NON</t>
        </is>
      </c>
      <c r="O4549" s="45" t="inlineStr"/>
    </row>
    <row r="4550">
      <c r="A4550" s="63" t="n"/>
      <c r="B4550" s="64" t="inlineStr">
        <is>
          <t>44047</t>
        </is>
      </c>
      <c r="C4550" s="64">
        <f>LEFT(Tableau1[[#This Row],[Formacode]],3)</f>
        <v/>
      </c>
      <c r="D4550" s="65" t="n">
        <v>37519</v>
      </c>
      <c r="E4550" s="66">
        <f>"RNCP"&amp;D4550</f>
        <v/>
      </c>
      <c r="F4550" s="66" t="inlineStr">
        <is>
          <t>Directeur d''organisation ou d'entreprise d'innovation sociale</t>
        </is>
      </c>
      <c r="G4550" s="67">
        <f>E4550&amp;" - "&amp;F4550</f>
        <v/>
      </c>
      <c r="H4550" s="38" t="inlineStr">
        <is>
          <t>Expiré / remplacé</t>
        </is>
      </c>
      <c r="I4550" s="63" t="inlineStr">
        <is>
          <t>Fiche inactive — remplacée par RNCP41739 (Directeur d'organisation ou d'entreprise d'innovation sociale)</t>
        </is>
      </c>
      <c r="J4550" s="63" t="inlineStr">
        <is>
          <t>RNCP41739</t>
        </is>
      </c>
      <c r="K4550" s="63" t="inlineStr">
        <is>
          <t>Directeur d'organisation ou d'entreprise d'innovation sociale</t>
        </is>
      </c>
      <c r="L4550" s="63" t="inlineStr">
        <is>
          <t>24/04/2026</t>
        </is>
      </c>
      <c r="M4550" s="63" t="inlineStr">
        <is>
          <t>44039 (Établissement hébergement personnes âgées) ; 13175 (Économie sociale) ; 44072 (Travail social) ; 44056 (Travail social en réseau)</t>
        </is>
      </c>
      <c r="N4550" s="68" t="inlineStr">
        <is>
          <t>NON</t>
        </is>
      </c>
      <c r="O4550" s="63" t="inlineStr"/>
    </row>
    <row r="4551">
      <c r="A4551" s="45" t="n"/>
      <c r="B4551" s="46" t="inlineStr">
        <is>
          <t>44047</t>
        </is>
      </c>
      <c r="C4551" s="46">
        <f>LEFT(Tableau1[[#This Row],[Formacode]],3)</f>
        <v/>
      </c>
      <c r="D4551" s="47" t="n">
        <v>37614</v>
      </c>
      <c r="E4551" s="48">
        <f>"RNCP"&amp;D4551</f>
        <v/>
      </c>
      <c r="F4551" s="48" t="inlineStr">
        <is>
          <t>Directeur d'établissement sanitaire, social ou médico-social (MS)</t>
        </is>
      </c>
      <c r="G4551" s="49">
        <f>E4551&amp;" - "&amp;F4551</f>
        <v/>
      </c>
      <c r="H4551" s="36" t="inlineStr">
        <is>
          <t>RAS</t>
        </is>
      </c>
      <c r="I4551" s="45" t="inlineStr"/>
      <c r="J4551" s="45" t="inlineStr">
        <is>
          <t>RNCP37614</t>
        </is>
      </c>
      <c r="K4551" s="45" t="inlineStr">
        <is>
          <t>Directeur d'établissement sanitaire, social ou médico-social (MS)</t>
        </is>
      </c>
      <c r="L4551" s="45" t="inlineStr">
        <is>
          <t>31/05/2028</t>
        </is>
      </c>
      <c r="M4551" s="45" t="inlineStr">
        <is>
          <t>44047 (Direction établissement médico-social) ; 43426 (Gestion hospitalière) ; 42082 (Gestion structure service à la personne) ; 44072 (Travail social)</t>
        </is>
      </c>
      <c r="N4551" s="50" t="inlineStr">
        <is>
          <t>NON</t>
        </is>
      </c>
      <c r="O4551" s="45" t="inlineStr"/>
    </row>
    <row r="4552">
      <c r="A4552" s="45" t="n"/>
      <c r="B4552" s="46" t="inlineStr">
        <is>
          <t>44052</t>
        </is>
      </c>
      <c r="C4552" s="46">
        <f>LEFT(Tableau1[[#This Row],[Formacode]],3)</f>
        <v/>
      </c>
      <c r="D4552" s="47" t="n">
        <v>36788</v>
      </c>
      <c r="E4552" s="48">
        <f>"RNCP"&amp;D4552</f>
        <v/>
      </c>
      <c r="F4552" s="48" t="inlineStr">
        <is>
          <t>BAC PRO - Services aux personnes et animation dans les territoires</t>
        </is>
      </c>
      <c r="G4552" s="49">
        <f>E4552&amp;" - "&amp;F4552</f>
        <v/>
      </c>
      <c r="H4552" s="36" t="inlineStr">
        <is>
          <t>RAS</t>
        </is>
      </c>
      <c r="I4552" s="45" t="inlineStr"/>
      <c r="J4552" s="45" t="inlineStr">
        <is>
          <t>RNCP36788</t>
        </is>
      </c>
      <c r="K4552" s="45" t="inlineStr">
        <is>
          <t>Services aux personnes et animation dans les territoires</t>
        </is>
      </c>
      <c r="L4552" s="45" t="inlineStr">
        <is>
          <t>31/08/2027</t>
        </is>
      </c>
      <c r="M4552" s="45" t="inlineStr">
        <is>
          <t>44054 (Action sociale)</t>
        </is>
      </c>
      <c r="N4552" s="50" t="inlineStr">
        <is>
          <t>NON</t>
        </is>
      </c>
      <c r="O4552" s="45" t="inlineStr"/>
    </row>
    <row r="4553" customFormat="1" s="3">
      <c r="A4553" s="45" t="n"/>
      <c r="B4553" s="46" t="inlineStr">
        <is>
          <t>44056</t>
        </is>
      </c>
      <c r="C4553" s="46">
        <f>LEFT(Tableau1[[#This Row],[Formacode]],3)</f>
        <v/>
      </c>
      <c r="D4553" s="47" t="n">
        <v>36241</v>
      </c>
      <c r="E4553" s="48">
        <f>"RNCP"&amp;D4553</f>
        <v/>
      </c>
      <c r="F4553" s="48" t="inlineStr">
        <is>
          <t>TP - Médiateur social accès aux droits et services</t>
        </is>
      </c>
      <c r="G4553" s="49">
        <f>E4553&amp;" - "&amp;F4553</f>
        <v/>
      </c>
      <c r="H4553" s="36" t="inlineStr">
        <is>
          <t>RAS</t>
        </is>
      </c>
      <c r="I4553" s="45" t="inlineStr"/>
      <c r="J4553" s="45" t="inlineStr">
        <is>
          <t>RNCP36241</t>
        </is>
      </c>
      <c r="K4553" s="45" t="inlineStr">
        <is>
          <t>Médiateur social accès aux droits et services</t>
        </is>
      </c>
      <c r="L4553" s="45" t="inlineStr">
        <is>
          <t>16/05/2027</t>
        </is>
      </c>
      <c r="M4553" s="45" t="inlineStr">
        <is>
          <t>44035 (Médiation socioculturelle) ; 15099 (Résolution problème) ; 15006 (Relation interculturelle) ; 44056 (Travail social en réseau)</t>
        </is>
      </c>
      <c r="N4553" s="50" t="inlineStr">
        <is>
          <t>NON</t>
        </is>
      </c>
      <c r="O4553" s="45" t="inlineStr"/>
    </row>
    <row r="4554">
      <c r="A4554" s="45" t="n"/>
      <c r="B4554" s="46" t="inlineStr">
        <is>
          <t>44056</t>
        </is>
      </c>
      <c r="C4554" s="46">
        <f>LEFT(Tableau1[[#This Row],[Formacode]],3)</f>
        <v/>
      </c>
      <c r="D4554" s="47" t="n">
        <v>36788</v>
      </c>
      <c r="E4554" s="48">
        <f>"RNCP"&amp;D4554</f>
        <v/>
      </c>
      <c r="F4554" s="48" t="inlineStr">
        <is>
          <t>BAC PRO - Services aux personnes et animation dans les territoires</t>
        </is>
      </c>
      <c r="G4554" s="49">
        <f>E4554&amp;" - "&amp;F4554</f>
        <v/>
      </c>
      <c r="H4554" s="36" t="inlineStr">
        <is>
          <t>RAS</t>
        </is>
      </c>
      <c r="I4554" s="45" t="inlineStr"/>
      <c r="J4554" s="45" t="inlineStr">
        <is>
          <t>RNCP36788</t>
        </is>
      </c>
      <c r="K4554" s="45" t="inlineStr">
        <is>
          <t>Services aux personnes et animation dans les territoires</t>
        </is>
      </c>
      <c r="L4554" s="45" t="inlineStr">
        <is>
          <t>31/08/2027</t>
        </is>
      </c>
      <c r="M4554" s="45" t="inlineStr">
        <is>
          <t>44054 (Action sociale)</t>
        </is>
      </c>
      <c r="N4554" s="50" t="inlineStr">
        <is>
          <t>NON</t>
        </is>
      </c>
      <c r="O4554" s="45" t="inlineStr"/>
    </row>
    <row r="4555" ht="28.8" customHeight="1" s="21">
      <c r="A4555" s="45" t="n"/>
      <c r="B4555" s="46" t="inlineStr">
        <is>
          <t>44056</t>
        </is>
      </c>
      <c r="C4555" s="46">
        <f>LEFT(Tableau1[[#This Row],[Formacode]],3)</f>
        <v/>
      </c>
      <c r="D4555" s="47" t="n">
        <v>36836</v>
      </c>
      <c r="E4555" s="48">
        <f>"RNCP"&amp;D4555</f>
        <v/>
      </c>
      <c r="F4555" s="48" t="inlineStr">
        <is>
          <t>CA - Certificat d'aptitude aux fonctions d'encadrement et de responsable d'unité d'intervention sociale  (CAFERUIS)</t>
        </is>
      </c>
      <c r="G4555" s="49">
        <f>E4555&amp;" - "&amp;F4555</f>
        <v/>
      </c>
      <c r="H4555" s="36" t="inlineStr">
        <is>
          <t>RAS</t>
        </is>
      </c>
      <c r="I4555" s="45" t="inlineStr"/>
      <c r="J4555" s="45" t="inlineStr">
        <is>
          <t>RNCP36836</t>
        </is>
      </c>
      <c r="K4555" s="45" t="inlineStr">
        <is>
          <t>Certificat d'aptitude aux fonctions d'encadrement et de responsable d'unité d'intervention sociale (CAFERUIS)</t>
        </is>
      </c>
      <c r="L4555" s="45" t="inlineStr">
        <is>
          <t>31/08/2027</t>
        </is>
      </c>
      <c r="M4555" s="45" t="inlineStr">
        <is>
          <t>44047 (Direction établissement médico-social) ; 44056 (Travail social en réseau) ; 44072 (Travail social)</t>
        </is>
      </c>
      <c r="N4555" s="50" t="inlineStr">
        <is>
          <t>NON</t>
        </is>
      </c>
      <c r="O4555" s="45" t="inlineStr"/>
    </row>
    <row r="4556" ht="28.8" customHeight="1" s="21">
      <c r="A4556" s="45" t="n"/>
      <c r="B4556" s="46" t="inlineStr">
        <is>
          <t>44056</t>
        </is>
      </c>
      <c r="C4556" s="46">
        <f>LEFT(Tableau1[[#This Row],[Formacode]],3)</f>
        <v/>
      </c>
      <c r="D4556" s="47" t="n">
        <v>36838</v>
      </c>
      <c r="E4556" s="48">
        <f>"RNCP"&amp;D4556</f>
        <v/>
      </c>
      <c r="F4556" s="48" t="inlineStr">
        <is>
          <t>CA - Certificat d'aptitude aux fonctions de directeur d'établissement ou de service d'intervention sociale  (CAFDES)</t>
        </is>
      </c>
      <c r="G4556" s="49">
        <f>E4556&amp;" - "&amp;F4556</f>
        <v/>
      </c>
      <c r="H4556" s="36" t="inlineStr">
        <is>
          <t>RAS</t>
        </is>
      </c>
      <c r="I4556" s="45" t="inlineStr"/>
      <c r="J4556" s="45" t="inlineStr">
        <is>
          <t>RNCP36838</t>
        </is>
      </c>
      <c r="K4556" s="45" t="inlineStr">
        <is>
          <t>Certificat d'aptitude aux fonctions de directeur d'établissement ou de service d'intervention sociale (CAFDES)</t>
        </is>
      </c>
      <c r="L4556" s="45" t="inlineStr">
        <is>
          <t>31/08/2027</t>
        </is>
      </c>
      <c r="M4556" s="45" t="inlineStr">
        <is>
          <t>44047 (Direction établissement médico-social) ; 44056 (Travail social en réseau)</t>
        </is>
      </c>
      <c r="N4556" s="50" t="inlineStr">
        <is>
          <t>NON</t>
        </is>
      </c>
      <c r="O4556" s="45" t="inlineStr"/>
    </row>
    <row r="4557">
      <c r="A4557" s="63" t="n"/>
      <c r="B4557" s="64" t="inlineStr">
        <is>
          <t>44056</t>
        </is>
      </c>
      <c r="C4557" s="64">
        <f>LEFT(Tableau1[[#This Row],[Formacode]],3)</f>
        <v/>
      </c>
      <c r="D4557" s="65" t="n">
        <v>37519</v>
      </c>
      <c r="E4557" s="66">
        <f>"RNCP"&amp;D4557</f>
        <v/>
      </c>
      <c r="F4557" s="66" t="inlineStr">
        <is>
          <t>Directeur d''organisation ou d'entreprise d'innovation sociale</t>
        </is>
      </c>
      <c r="G4557" s="67">
        <f>E4557&amp;" - "&amp;F4557</f>
        <v/>
      </c>
      <c r="H4557" s="38" t="inlineStr">
        <is>
          <t>Expiré / remplacé</t>
        </is>
      </c>
      <c r="I4557" s="63" t="inlineStr">
        <is>
          <t>Fiche inactive — remplacée par RNCP41739 (Directeur d'organisation ou d'entreprise d'innovation sociale)</t>
        </is>
      </c>
      <c r="J4557" s="63" t="inlineStr">
        <is>
          <t>RNCP41739</t>
        </is>
      </c>
      <c r="K4557" s="63" t="inlineStr">
        <is>
          <t>Directeur d'organisation ou d'entreprise d'innovation sociale</t>
        </is>
      </c>
      <c r="L4557" s="63" t="inlineStr">
        <is>
          <t>24/04/2026</t>
        </is>
      </c>
      <c r="M4557" s="63" t="inlineStr">
        <is>
          <t>44039 (Établissement hébergement personnes âgées) ; 13175 (Économie sociale) ; 44072 (Travail social) ; 44056 (Travail social en réseau)</t>
        </is>
      </c>
      <c r="N4557" s="68" t="inlineStr">
        <is>
          <t>NON</t>
        </is>
      </c>
      <c r="O4557" s="63" t="inlineStr"/>
    </row>
    <row r="4558">
      <c r="A4558" s="51" t="n"/>
      <c r="B4558" s="52" t="inlineStr">
        <is>
          <t>44056</t>
        </is>
      </c>
      <c r="C4558" s="52">
        <f>LEFT(Tableau1[[#This Row],[Formacode]],3)</f>
        <v/>
      </c>
      <c r="D4558" s="53" t="n">
        <v>37675</v>
      </c>
      <c r="E4558" s="54">
        <f>"RNCP"&amp;D4558</f>
        <v/>
      </c>
      <c r="F4558" s="54" t="inlineStr">
        <is>
          <t>DE - Assistant de service social</t>
        </is>
      </c>
      <c r="G4558" s="55">
        <f>E4558&amp;" - "&amp;F4558</f>
        <v/>
      </c>
      <c r="H4558" s="37" t="inlineStr">
        <is>
          <t>À vérifier</t>
        </is>
      </c>
      <c r="I4558" s="51" t="inlineStr">
        <is>
          <t>Successeur déjà publié : RNCP41748 (Assistant de service social) — préparer la bascule de l'offre CPF | Échéance le 31/08/2026 (dans 44 j)</t>
        </is>
      </c>
      <c r="J4558" s="51" t="inlineStr">
        <is>
          <t>RNCP41748</t>
        </is>
      </c>
      <c r="K4558" s="51" t="inlineStr">
        <is>
          <t>Assistant de service social</t>
        </is>
      </c>
      <c r="L4558" s="51" t="inlineStr">
        <is>
          <t>31/08/2026</t>
        </is>
      </c>
      <c r="M4558" s="51" t="inlineStr">
        <is>
          <t>44083 (Assistance service social) ; 44056 (Travail social en réseau)</t>
        </is>
      </c>
      <c r="N4558" s="62" t="inlineStr">
        <is>
          <t>NON</t>
        </is>
      </c>
      <c r="O4558" s="51" t="inlineStr"/>
    </row>
    <row r="4559">
      <c r="A4559" s="51" t="n"/>
      <c r="B4559" s="52" t="inlineStr">
        <is>
          <t>44056</t>
        </is>
      </c>
      <c r="C4559" s="52">
        <f>LEFT(Tableau1[[#This Row],[Formacode]],3)</f>
        <v/>
      </c>
      <c r="D4559" s="53" t="n">
        <v>39644</v>
      </c>
      <c r="E4559" s="54">
        <f>"RNCP"&amp;D4559</f>
        <v/>
      </c>
      <c r="F4559" s="54" t="inlineStr">
        <is>
          <t>DE - Ingénierie sociale</t>
        </is>
      </c>
      <c r="G4559" s="55">
        <f>E4559&amp;" - "&amp;F4559</f>
        <v/>
      </c>
      <c r="H4559" s="37" t="inlineStr">
        <is>
          <t>À vérifier</t>
        </is>
      </c>
      <c r="I4559" s="51" t="inlineStr">
        <is>
          <t>Échéance le 31/12/2026 (dans 166 j)</t>
        </is>
      </c>
      <c r="J4559" s="51" t="inlineStr">
        <is>
          <t>RNCP39644</t>
        </is>
      </c>
      <c r="K4559" s="51" t="inlineStr">
        <is>
          <t>Ingénierie sociale</t>
        </is>
      </c>
      <c r="L4559" s="51" t="inlineStr">
        <is>
          <t>31/12/2026</t>
        </is>
      </c>
      <c r="M4559" s="51" t="inlineStr">
        <is>
          <t>44072 (Travail social) ; 44056 (Travail social en réseau)</t>
        </is>
      </c>
      <c r="N4559" s="62" t="inlineStr">
        <is>
          <t>NON</t>
        </is>
      </c>
      <c r="O4559" s="51" t="inlineStr"/>
    </row>
    <row r="4560">
      <c r="A4560" s="45" t="n"/>
      <c r="B4560" s="46" t="inlineStr">
        <is>
          <t>44056</t>
        </is>
      </c>
      <c r="C4560" s="46">
        <f>LEFT(Tableau1[[#This Row],[Formacode]],3)</f>
        <v/>
      </c>
      <c r="D4560" s="47" t="n">
        <v>41296</v>
      </c>
      <c r="E4560" s="48">
        <f>"RNCP"&amp;D4560</f>
        <v/>
      </c>
      <c r="F4560" s="48" t="inlineStr">
        <is>
          <t>Manager en organisation de solidarité</t>
        </is>
      </c>
      <c r="G4560" s="49">
        <f>E4560&amp;" - "&amp;F4560</f>
        <v/>
      </c>
      <c r="H4560" s="36" t="inlineStr">
        <is>
          <t>RAS</t>
        </is>
      </c>
      <c r="I4560" s="45" t="inlineStr"/>
      <c r="J4560" s="45" t="inlineStr">
        <is>
          <t>RNCP41296</t>
        </is>
      </c>
      <c r="K4560" s="45" t="inlineStr">
        <is>
          <t>Manager en organisation de solidarité</t>
        </is>
      </c>
      <c r="L4560" s="45" t="inlineStr">
        <is>
          <t>24/09/2028</t>
        </is>
      </c>
      <c r="M4560" s="45" t="inlineStr">
        <is>
          <t>32135 (Conduite projet) ; 44056 (Travail social en réseau)</t>
        </is>
      </c>
      <c r="N4560" s="50" t="inlineStr">
        <is>
          <t>NON</t>
        </is>
      </c>
      <c r="O4560" s="45" t="inlineStr"/>
    </row>
    <row r="4561">
      <c r="A4561" s="45" t="n"/>
      <c r="B4561" s="46" t="inlineStr">
        <is>
          <t>44061</t>
        </is>
      </c>
      <c r="C4561" s="46">
        <f>LEFT(Tableau1[[#This Row],[Formacode]],3)</f>
        <v/>
      </c>
      <c r="D4561" s="47" t="n">
        <v>36788</v>
      </c>
      <c r="E4561" s="48">
        <f>"RNCP"&amp;D4561</f>
        <v/>
      </c>
      <c r="F4561" s="48" t="inlineStr">
        <is>
          <t>BAC PRO - Services aux personnes et animation dans les territoires</t>
        </is>
      </c>
      <c r="G4561" s="49">
        <f>E4561&amp;" - "&amp;F4561</f>
        <v/>
      </c>
      <c r="H4561" s="36" t="inlineStr">
        <is>
          <t>RAS</t>
        </is>
      </c>
      <c r="I4561" s="45" t="inlineStr"/>
      <c r="J4561" s="45" t="inlineStr">
        <is>
          <t>RNCP36788</t>
        </is>
      </c>
      <c r="K4561" s="45" t="inlineStr">
        <is>
          <t>Services aux personnes et animation dans les territoires</t>
        </is>
      </c>
      <c r="L4561" s="45" t="inlineStr">
        <is>
          <t>31/08/2027</t>
        </is>
      </c>
      <c r="M4561" s="45" t="inlineStr">
        <is>
          <t>44054 (Action sociale)</t>
        </is>
      </c>
      <c r="N4561" s="50" t="inlineStr">
        <is>
          <t>NON</t>
        </is>
      </c>
      <c r="O4561" s="45" t="inlineStr"/>
    </row>
    <row r="4562">
      <c r="A4562" s="45" t="n"/>
      <c r="B4562" s="46" t="inlineStr">
        <is>
          <t>44061</t>
        </is>
      </c>
      <c r="C4562" s="46">
        <f>LEFT(Tableau1[[#This Row],[Formacode]],3)</f>
        <v/>
      </c>
      <c r="D4562" s="47" t="n">
        <v>39794</v>
      </c>
      <c r="E4562" s="48">
        <f>"RNCP"&amp;D4562</f>
        <v/>
      </c>
      <c r="F4562" s="48" t="inlineStr">
        <is>
          <t>TP - Encadrant technique d'insertion</t>
        </is>
      </c>
      <c r="G4562" s="49">
        <f>E4562&amp;" - "&amp;F4562</f>
        <v/>
      </c>
      <c r="H4562" s="36" t="inlineStr">
        <is>
          <t>RAS</t>
        </is>
      </c>
      <c r="I4562" s="45" t="inlineStr"/>
      <c r="J4562" s="45" t="inlineStr">
        <is>
          <t>RNCP39794</t>
        </is>
      </c>
      <c r="K4562" s="45" t="inlineStr">
        <is>
          <t>Encadrant technique d'insertion</t>
        </is>
      </c>
      <c r="L4562" s="45" t="inlineStr">
        <is>
          <t>08/11/2029</t>
        </is>
      </c>
      <c r="M4562" s="45" t="inlineStr">
        <is>
          <t>44569 (Conseil insertion professionnelle) ; 44061 (Éducation surveillée) ; 44092 (Éducateur spécialisé)</t>
        </is>
      </c>
      <c r="N4562" s="50" t="inlineStr">
        <is>
          <t>NON</t>
        </is>
      </c>
      <c r="O4562" s="45" t="inlineStr"/>
    </row>
    <row r="4563">
      <c r="A4563" s="51" t="n"/>
      <c r="B4563" s="52" t="inlineStr">
        <is>
          <t>44067</t>
        </is>
      </c>
      <c r="C4563" s="52">
        <f>LEFT(Tableau1[[#This Row],[Formacode]],3)</f>
        <v/>
      </c>
      <c r="D4563" s="53" t="n">
        <v>36004</v>
      </c>
      <c r="E4563" s="54">
        <f>"RNCP"&amp;D4563</f>
        <v/>
      </c>
      <c r="F4563" s="54" t="inlineStr">
        <is>
          <t>DE - Accompagnant éducatif et social</t>
        </is>
      </c>
      <c r="G4563" s="55">
        <f>E4563&amp;" - "&amp;F4563</f>
        <v/>
      </c>
      <c r="H4563" s="37" t="inlineStr">
        <is>
          <t>À vérifier</t>
        </is>
      </c>
      <c r="I4563" s="51" t="inlineStr">
        <is>
          <t>Successeur déjà publié : RNCP42423 (Accompagnant éducatif et social) — préparer la bascule de l'offre CPF | Échéance le 01/09/2026 (dans 45 j)</t>
        </is>
      </c>
      <c r="J4563" s="51" t="inlineStr">
        <is>
          <t>RNCP42423</t>
        </is>
      </c>
      <c r="K4563" s="51" t="inlineStr">
        <is>
          <t>Accompagnant éducatif et social</t>
        </is>
      </c>
      <c r="L4563" s="51" t="inlineStr">
        <is>
          <t>01/09/2026</t>
        </is>
      </c>
      <c r="M4563" s="51" t="inlineStr">
        <is>
          <t>44028 (Accompagnement éducatif et social) ; 44079 (Animation personne handicapée) ; 44089 (Animation personne âgée)</t>
        </is>
      </c>
      <c r="N4563" s="62" t="inlineStr">
        <is>
          <t>NON</t>
        </is>
      </c>
      <c r="O4563" s="51" t="inlineStr"/>
    </row>
    <row r="4564">
      <c r="A4564" s="45" t="n"/>
      <c r="B4564" s="46" t="inlineStr">
        <is>
          <t>44067</t>
        </is>
      </c>
      <c r="C4564" s="46">
        <f>LEFT(Tableau1[[#This Row],[Formacode]],3)</f>
        <v/>
      </c>
      <c r="D4564" s="47" t="n">
        <v>36788</v>
      </c>
      <c r="E4564" s="48">
        <f>"RNCP"&amp;D4564</f>
        <v/>
      </c>
      <c r="F4564" s="48" t="inlineStr">
        <is>
          <t>BAC PRO - Services aux personnes et animation dans les territoires</t>
        </is>
      </c>
      <c r="G4564" s="49">
        <f>E4564&amp;" - "&amp;F4564</f>
        <v/>
      </c>
      <c r="H4564" s="36" t="inlineStr">
        <is>
          <t>RAS</t>
        </is>
      </c>
      <c r="I4564" s="45" t="inlineStr"/>
      <c r="J4564" s="45" t="inlineStr">
        <is>
          <t>RNCP36788</t>
        </is>
      </c>
      <c r="K4564" s="45" t="inlineStr">
        <is>
          <t>Services aux personnes et animation dans les territoires</t>
        </is>
      </c>
      <c r="L4564" s="45" t="inlineStr">
        <is>
          <t>31/08/2027</t>
        </is>
      </c>
      <c r="M4564" s="45" t="inlineStr">
        <is>
          <t>44054 (Action sociale)</t>
        </is>
      </c>
      <c r="N4564" s="50" t="inlineStr">
        <is>
          <t>NON</t>
        </is>
      </c>
      <c r="O4564" s="45" t="inlineStr"/>
    </row>
    <row r="4565">
      <c r="A4565" s="63" t="n"/>
      <c r="B4565" s="64" t="inlineStr">
        <is>
          <t>44067</t>
        </is>
      </c>
      <c r="C4565" s="64">
        <f>LEFT(Tableau1[[#This Row],[Formacode]],3)</f>
        <v/>
      </c>
      <c r="D4565" s="65" t="n">
        <v>37511</v>
      </c>
      <c r="E4565" s="66">
        <f>"RNCP"&amp;D4565</f>
        <v/>
      </c>
      <c r="F4565" s="66" t="inlineStr">
        <is>
          <t>Animateur en gérontologie</t>
        </is>
      </c>
      <c r="G4565" s="67">
        <f>E4565&amp;" - "&amp;F4565</f>
        <v/>
      </c>
      <c r="H4565" s="38" t="inlineStr">
        <is>
          <t>Expiré / remplacé</t>
        </is>
      </c>
      <c r="I4565" s="63" t="inlineStr">
        <is>
          <t>Fiche inactive — remplacée par RNCP41681 (Animateur en gérontologie)</t>
        </is>
      </c>
      <c r="J4565" s="63" t="inlineStr">
        <is>
          <t>RNCP41681</t>
        </is>
      </c>
      <c r="K4565" s="63" t="inlineStr">
        <is>
          <t>Animateur en gérontologie</t>
        </is>
      </c>
      <c r="L4565" s="63" t="inlineStr">
        <is>
          <t>24/04/2026</t>
        </is>
      </c>
      <c r="M4565" s="63" t="inlineStr">
        <is>
          <t>44089 (Animation personne âgée)</t>
        </is>
      </c>
      <c r="N4565" s="68" t="inlineStr">
        <is>
          <t>NON</t>
        </is>
      </c>
      <c r="O4565" s="63" t="inlineStr"/>
    </row>
    <row r="4566">
      <c r="A4566" s="51" t="n"/>
      <c r="B4566" s="52" t="inlineStr">
        <is>
          <t>44067</t>
        </is>
      </c>
      <c r="C4566" s="52">
        <f>LEFT(Tableau1[[#This Row],[Formacode]],3)</f>
        <v/>
      </c>
      <c r="D4566" s="53" t="n">
        <v>38142</v>
      </c>
      <c r="E4566" s="54">
        <f>"RNCP"&amp;D4566</f>
        <v/>
      </c>
      <c r="F4566" s="54" t="inlineStr">
        <is>
          <t>Chargé de développement d’une structure sportive associative</t>
        </is>
      </c>
      <c r="G4566" s="55">
        <f>E4566&amp;" - "&amp;F4566</f>
        <v/>
      </c>
      <c r="H4566" s="37" t="inlineStr">
        <is>
          <t>À vérifier</t>
        </is>
      </c>
      <c r="I4566" s="51" t="inlineStr">
        <is>
          <t>Échéance le 18/10/2026 (dans 92 j)</t>
        </is>
      </c>
      <c r="J4566" s="51" t="inlineStr">
        <is>
          <t>RNCP38142</t>
        </is>
      </c>
      <c r="K4566" s="51" t="inlineStr">
        <is>
          <t>Chargé de développement d’une structure sportive associative</t>
        </is>
      </c>
      <c r="L4566" s="51" t="inlineStr">
        <is>
          <t>18/10/2026</t>
        </is>
      </c>
      <c r="M4566" s="51" t="inlineStr">
        <is>
          <t>15457 (Gestion sport) ; 44058 (Vie associative)</t>
        </is>
      </c>
      <c r="N4566" s="62" t="inlineStr">
        <is>
          <t>NON</t>
        </is>
      </c>
      <c r="O4566" s="51" t="inlineStr"/>
    </row>
    <row r="4567">
      <c r="A4567" s="45" t="n"/>
      <c r="B4567" s="46" t="inlineStr">
        <is>
          <t>44067</t>
        </is>
      </c>
      <c r="C4567" s="46">
        <f>LEFT(Tableau1[[#This Row],[Formacode]],3)</f>
        <v/>
      </c>
      <c r="D4567" s="47" t="n">
        <v>38797</v>
      </c>
      <c r="E4567" s="48">
        <f>"RNCP"&amp;D4567</f>
        <v/>
      </c>
      <c r="F4567" s="48" t="inlineStr">
        <is>
          <t>CQP Coordinateur de vie scolaire</t>
        </is>
      </c>
      <c r="G4567" s="49">
        <f>E4567&amp;" - "&amp;F4567</f>
        <v/>
      </c>
      <c r="H4567" s="36" t="inlineStr">
        <is>
          <t>RAS</t>
        </is>
      </c>
      <c r="I4567" s="45" t="inlineStr"/>
      <c r="J4567" s="45" t="inlineStr">
        <is>
          <t>RNCP38797</t>
        </is>
      </c>
      <c r="K4567" s="45" t="inlineStr">
        <is>
          <t>CQP Coordinateur de vie scolaire</t>
        </is>
      </c>
      <c r="L4567" s="45" t="inlineStr">
        <is>
          <t>27/03/2029</t>
        </is>
      </c>
      <c r="M4567" s="45" t="inlineStr">
        <is>
          <t>14420 (Psychologie enfant adolescent) ; 44540 (Relation pédagogique) ; 44057 (Atelier éducatif) ; 32068 (Coordination travail)</t>
        </is>
      </c>
      <c r="N4567" s="50" t="inlineStr">
        <is>
          <t>NON</t>
        </is>
      </c>
      <c r="O4567" s="45" t="inlineStr"/>
    </row>
    <row r="4568">
      <c r="A4568" s="45" t="n"/>
      <c r="B4568" s="46" t="inlineStr">
        <is>
          <t>44067</t>
        </is>
      </c>
      <c r="C4568" s="46">
        <f>LEFT(Tableau1[[#This Row],[Formacode]],3)</f>
        <v/>
      </c>
      <c r="D4568" s="47" t="n">
        <v>39099</v>
      </c>
      <c r="E4568" s="48">
        <f>"RNCP"&amp;D4568</f>
        <v/>
      </c>
      <c r="F4568" s="48" t="inlineStr">
        <is>
          <t>Moniteur d'atelier en milieu de travail protégé</t>
        </is>
      </c>
      <c r="G4568" s="49">
        <f>E4568&amp;" - "&amp;F4568</f>
        <v/>
      </c>
      <c r="H4568" s="36" t="inlineStr">
        <is>
          <t>RAS</t>
        </is>
      </c>
      <c r="I4568" s="45" t="inlineStr"/>
      <c r="J4568" s="45" t="inlineStr">
        <is>
          <t>RNCP39099</t>
        </is>
      </c>
      <c r="K4568" s="45" t="inlineStr">
        <is>
          <t>Moniteur d'atelier en milieu de travail protégé</t>
        </is>
      </c>
      <c r="L4568" s="45" t="inlineStr">
        <is>
          <t>31/05/2028</t>
        </is>
      </c>
      <c r="M4568" s="45" t="inlineStr">
        <is>
          <t>44057 (Atelier éducatif) ; 44024 (Handicap)</t>
        </is>
      </c>
      <c r="N4568" s="50" t="inlineStr">
        <is>
          <t>NON</t>
        </is>
      </c>
      <c r="O4568" s="45" t="inlineStr"/>
    </row>
    <row r="4569">
      <c r="A4569" s="45" t="n"/>
      <c r="B4569" s="46" t="inlineStr">
        <is>
          <t>44067</t>
        </is>
      </c>
      <c r="C4569" s="46">
        <f>LEFT(Tableau1[[#This Row],[Formacode]],3)</f>
        <v/>
      </c>
      <c r="D4569" s="47" t="n">
        <v>39985</v>
      </c>
      <c r="E4569" s="48">
        <f>"RNCP"&amp;D4569</f>
        <v/>
      </c>
      <c r="F4569" s="48" t="inlineStr">
        <is>
          <t>Ludothécaire</t>
        </is>
      </c>
      <c r="G4569" s="49">
        <f>E4569&amp;" - "&amp;F4569</f>
        <v/>
      </c>
      <c r="H4569" s="36" t="inlineStr">
        <is>
          <t>RAS</t>
        </is>
      </c>
      <c r="I4569" s="45" t="inlineStr"/>
      <c r="J4569" s="45" t="inlineStr">
        <is>
          <t>RNCP39985</t>
        </is>
      </c>
      <c r="K4569" s="45" t="inlineStr">
        <is>
          <t>Ludothécaire</t>
        </is>
      </c>
      <c r="L4569" s="45" t="inlineStr">
        <is>
          <t>18/12/2029</t>
        </is>
      </c>
      <c r="M4569" s="45" t="inlineStr">
        <is>
          <t>46395 (Ludothèque) ; 44067 (Animation socioculturelle)</t>
        </is>
      </c>
      <c r="N4569" s="50" t="inlineStr">
        <is>
          <t>NON</t>
        </is>
      </c>
      <c r="O4569" s="45" t="inlineStr"/>
    </row>
    <row r="4570">
      <c r="A4570" s="45" t="n"/>
      <c r="B4570" s="46" t="inlineStr">
        <is>
          <t>44067</t>
        </is>
      </c>
      <c r="C4570" s="46">
        <f>LEFT(Tableau1[[#This Row],[Formacode]],3)</f>
        <v/>
      </c>
      <c r="D4570" s="47" t="n">
        <v>40695</v>
      </c>
      <c r="E4570" s="48">
        <f>"RNCP"&amp;D4570</f>
        <v/>
      </c>
      <c r="F4570" s="48" t="inlineStr">
        <is>
          <t>TP - Médiateur numérique</t>
        </is>
      </c>
      <c r="G4570" s="49">
        <f>E4570&amp;" - "&amp;F4570</f>
        <v/>
      </c>
      <c r="H4570" s="36" t="inlineStr">
        <is>
          <t>RAS</t>
        </is>
      </c>
      <c r="I4570" s="45" t="inlineStr"/>
      <c r="J4570" s="45" t="inlineStr">
        <is>
          <t>RNCP40695</t>
        </is>
      </c>
      <c r="K4570" s="45" t="inlineStr">
        <is>
          <t>Médiateur numérique</t>
        </is>
      </c>
      <c r="L4570" s="45" t="inlineStr">
        <is>
          <t>12/07/2030</t>
        </is>
      </c>
      <c r="M4570" s="45" t="inlineStr">
        <is>
          <t>44527 (Médiation numérique) ; 15050 (Mise à niveau numérique) ; 44067 (Animation socioculturelle) ; 44521 (Pédagogie public spécifique) ; 46305 (Sensibilisation médias)</t>
        </is>
      </c>
      <c r="N4570" s="50" t="inlineStr">
        <is>
          <t>NON</t>
        </is>
      </c>
      <c r="O4570" s="45" t="inlineStr"/>
    </row>
    <row r="4571">
      <c r="A4571" s="45" t="n"/>
      <c r="B4571" s="46" t="inlineStr">
        <is>
          <t>44067</t>
        </is>
      </c>
      <c r="C4571" s="46">
        <f>LEFT(Tableau1[[#This Row],[Formacode]],3)</f>
        <v/>
      </c>
      <c r="D4571" s="47" t="n">
        <v>40871</v>
      </c>
      <c r="E4571" s="48">
        <f>"RNCP"&amp;D4571</f>
        <v/>
      </c>
      <c r="F4571" s="48" t="inlineStr">
        <is>
          <t>CQP Animateur périscolaire</t>
        </is>
      </c>
      <c r="G4571" s="49">
        <f>E4571&amp;" - "&amp;F4571</f>
        <v/>
      </c>
      <c r="H4571" s="36" t="inlineStr">
        <is>
          <t>RAS</t>
        </is>
      </c>
      <c r="I4571" s="45" t="inlineStr"/>
      <c r="J4571" s="45" t="inlineStr">
        <is>
          <t>RNCP40871</t>
        </is>
      </c>
      <c r="K4571" s="45" t="inlineStr">
        <is>
          <t>CQP Animateur périscolaire</t>
        </is>
      </c>
      <c r="L4571" s="45" t="inlineStr">
        <is>
          <t>25/06/2030</t>
        </is>
      </c>
      <c r="M4571" s="45" t="inlineStr">
        <is>
          <t>44067 (Animation socioculturelle)</t>
        </is>
      </c>
      <c r="N4571" s="50" t="inlineStr">
        <is>
          <t>NON</t>
        </is>
      </c>
      <c r="O4571" s="45" t="inlineStr"/>
    </row>
    <row r="4572">
      <c r="A4572" s="45" t="n"/>
      <c r="B4572" s="46" t="inlineStr">
        <is>
          <t>44067</t>
        </is>
      </c>
      <c r="C4572" s="46">
        <f>LEFT(Tableau1[[#This Row],[Formacode]],3)</f>
        <v/>
      </c>
      <c r="D4572" s="47" t="n">
        <v>41187</v>
      </c>
      <c r="E4572" s="48">
        <f>"RNCP"&amp;D4572</f>
        <v/>
      </c>
      <c r="F4572" s="48" t="inlineStr">
        <is>
          <t>BAC PRO - Animation - enfance et personnes âgées</t>
        </is>
      </c>
      <c r="G4572" s="49">
        <f>E4572&amp;" - "&amp;F4572</f>
        <v/>
      </c>
      <c r="H4572" s="36" t="inlineStr">
        <is>
          <t>RAS</t>
        </is>
      </c>
      <c r="I4572" s="45" t="inlineStr"/>
      <c r="J4572" s="45" t="inlineStr">
        <is>
          <t>RNCP41187</t>
        </is>
      </c>
      <c r="K4572" s="45" t="inlineStr">
        <is>
          <t>Animation - enfance et personnes âgées</t>
        </is>
      </c>
      <c r="L4572" s="45" t="inlineStr">
        <is>
          <t>31/08/2030</t>
        </is>
      </c>
      <c r="M4572" s="45" t="inlineStr">
        <is>
          <t>44067 (Animation socioculturelle)</t>
        </is>
      </c>
      <c r="N4572" s="50" t="inlineStr">
        <is>
          <t>NON</t>
        </is>
      </c>
      <c r="O4572" s="45" t="inlineStr"/>
    </row>
    <row r="4573">
      <c r="A4573" s="45" t="n"/>
      <c r="B4573" s="46" t="inlineStr">
        <is>
          <t>44067</t>
        </is>
      </c>
      <c r="C4573" s="46">
        <f>LEFT(Tableau1[[#This Row],[Formacode]],3)</f>
        <v/>
      </c>
      <c r="D4573" s="47" t="n">
        <v>41313</v>
      </c>
      <c r="E4573" s="48">
        <f>"RNCP"&amp;D4573</f>
        <v/>
      </c>
      <c r="F4573" s="48" t="inlineStr">
        <is>
          <t>Animateur esport</t>
        </is>
      </c>
      <c r="G4573" s="49">
        <f>E4573&amp;" - "&amp;F4573</f>
        <v/>
      </c>
      <c r="H4573" s="36" t="inlineStr">
        <is>
          <t>RAS</t>
        </is>
      </c>
      <c r="I4573" s="45" t="inlineStr"/>
      <c r="J4573" s="45" t="inlineStr">
        <is>
          <t>RNCP41313</t>
        </is>
      </c>
      <c r="K4573" s="45" t="inlineStr">
        <is>
          <t>Animateur esport</t>
        </is>
      </c>
      <c r="L4573" s="45" t="inlineStr">
        <is>
          <t>24/09/2028</t>
        </is>
      </c>
      <c r="M4573" s="45" t="inlineStr">
        <is>
          <t>44067 (Animation socioculturelle) ; 15496 (E-sport)</t>
        </is>
      </c>
      <c r="N4573" s="50" t="inlineStr">
        <is>
          <t>NON</t>
        </is>
      </c>
      <c r="O4573" s="45" t="inlineStr"/>
    </row>
    <row r="4574">
      <c r="A4574" s="45" t="n"/>
      <c r="B4574" s="46" t="inlineStr">
        <is>
          <t>44067</t>
        </is>
      </c>
      <c r="C4574" s="46">
        <f>LEFT(Tableau1[[#This Row],[Formacode]],3)</f>
        <v/>
      </c>
      <c r="D4574" s="47" t="n">
        <v>41681</v>
      </c>
      <c r="E4574" s="48">
        <f>"RNCP"&amp;D4574</f>
        <v/>
      </c>
      <c r="F4574" s="48" t="inlineStr">
        <is>
          <t>Animateur en gérontologie</t>
        </is>
      </c>
      <c r="G4574" s="49">
        <f>E4574&amp;" - "&amp;F4574</f>
        <v/>
      </c>
      <c r="H4574" s="36" t="inlineStr">
        <is>
          <t>RAS</t>
        </is>
      </c>
      <c r="I4574" s="45" t="inlineStr"/>
      <c r="J4574" s="45" t="inlineStr">
        <is>
          <t>RNCP41681</t>
        </is>
      </c>
      <c r="K4574" s="45" t="inlineStr">
        <is>
          <t>Animateur en gérontologie</t>
        </is>
      </c>
      <c r="L4574" s="45" t="inlineStr">
        <is>
          <t>27/11/2030</t>
        </is>
      </c>
      <c r="M4574" s="45" t="inlineStr">
        <is>
          <t>44089 (Animation personne âgée)</t>
        </is>
      </c>
      <c r="N4574" s="50" t="inlineStr">
        <is>
          <t>NON</t>
        </is>
      </c>
      <c r="O4574" s="45" t="inlineStr"/>
    </row>
    <row r="4575">
      <c r="A4575" s="45" t="n"/>
      <c r="B4575" s="46" t="inlineStr">
        <is>
          <t>44072</t>
        </is>
      </c>
      <c r="C4575" s="46">
        <f>LEFT(Tableau1[[#This Row],[Formacode]],3)</f>
        <v/>
      </c>
      <c r="D4575" s="47" t="n">
        <v>36788</v>
      </c>
      <c r="E4575" s="48">
        <f>"RNCP"&amp;D4575</f>
        <v/>
      </c>
      <c r="F4575" s="48" t="inlineStr">
        <is>
          <t>BAC PRO - Services aux personnes et animation dans les territoires</t>
        </is>
      </c>
      <c r="G4575" s="49">
        <f>E4575&amp;" - "&amp;F4575</f>
        <v/>
      </c>
      <c r="H4575" s="36" t="inlineStr">
        <is>
          <t>RAS</t>
        </is>
      </c>
      <c r="I4575" s="45" t="inlineStr"/>
      <c r="J4575" s="45" t="inlineStr">
        <is>
          <t>RNCP36788</t>
        </is>
      </c>
      <c r="K4575" s="45" t="inlineStr">
        <is>
          <t>Services aux personnes et animation dans les territoires</t>
        </is>
      </c>
      <c r="L4575" s="45" t="inlineStr">
        <is>
          <t>31/08/2027</t>
        </is>
      </c>
      <c r="M4575" s="45" t="inlineStr">
        <is>
          <t>44054 (Action sociale)</t>
        </is>
      </c>
      <c r="N4575" s="50" t="inlineStr">
        <is>
          <t>NON</t>
        </is>
      </c>
      <c r="O4575" s="45" t="inlineStr"/>
    </row>
    <row r="4576" ht="28.8" customHeight="1" s="21">
      <c r="A4576" s="45" t="n"/>
      <c r="B4576" s="46" t="inlineStr">
        <is>
          <t>44072</t>
        </is>
      </c>
      <c r="C4576" s="46">
        <f>LEFT(Tableau1[[#This Row],[Formacode]],3)</f>
        <v/>
      </c>
      <c r="D4576" s="47" t="n">
        <v>36836</v>
      </c>
      <c r="E4576" s="48">
        <f>"RNCP"&amp;D4576</f>
        <v/>
      </c>
      <c r="F4576" s="48" t="inlineStr">
        <is>
          <t>CA - Certificat d'aptitude aux fonctions d'encadrement et de responsable d'unité d'intervention sociale  (CAFERUIS)</t>
        </is>
      </c>
      <c r="G4576" s="49">
        <f>E4576&amp;" - "&amp;F4576</f>
        <v/>
      </c>
      <c r="H4576" s="36" t="inlineStr">
        <is>
          <t>RAS</t>
        </is>
      </c>
      <c r="I4576" s="45" t="inlineStr"/>
      <c r="J4576" s="45" t="inlineStr">
        <is>
          <t>RNCP36836</t>
        </is>
      </c>
      <c r="K4576" s="45" t="inlineStr">
        <is>
          <t>Certificat d'aptitude aux fonctions d'encadrement et de responsable d'unité d'intervention sociale (CAFERUIS)</t>
        </is>
      </c>
      <c r="L4576" s="45" t="inlineStr">
        <is>
          <t>31/08/2027</t>
        </is>
      </c>
      <c r="M4576" s="45" t="inlineStr">
        <is>
          <t>44047 (Direction établissement médico-social) ; 44056 (Travail social en réseau) ; 44072 (Travail social)</t>
        </is>
      </c>
      <c r="N4576" s="50" t="inlineStr">
        <is>
          <t>NON</t>
        </is>
      </c>
      <c r="O4576" s="45" t="inlineStr"/>
    </row>
    <row r="4577">
      <c r="A4577" s="45" t="n"/>
      <c r="B4577" s="46" t="inlineStr">
        <is>
          <t>44072</t>
        </is>
      </c>
      <c r="C4577" s="46">
        <f>LEFT(Tableau1[[#This Row],[Formacode]],3)</f>
        <v/>
      </c>
      <c r="D4577" s="47" t="n">
        <v>36938</v>
      </c>
      <c r="E4577" s="48">
        <f>"RNCP"&amp;D4577</f>
        <v/>
      </c>
      <c r="F4577" s="48" t="inlineStr">
        <is>
          <t>BTS - Economie sociale familiale</t>
        </is>
      </c>
      <c r="G4577" s="49">
        <f>E4577&amp;" - "&amp;F4577</f>
        <v/>
      </c>
      <c r="H4577" s="36" t="inlineStr">
        <is>
          <t>RAS</t>
        </is>
      </c>
      <c r="I4577" s="45" t="inlineStr"/>
      <c r="J4577" s="45" t="inlineStr">
        <is>
          <t>RNCP36938</t>
        </is>
      </c>
      <c r="K4577" s="45" t="inlineStr">
        <is>
          <t>Economie sociale familiale</t>
        </is>
      </c>
      <c r="L4577" s="45" t="inlineStr">
        <is>
          <t>31/07/2027</t>
        </is>
      </c>
      <c r="M4577" s="45" t="inlineStr">
        <is>
          <t>44084 (Économie sociale familiale)</t>
        </is>
      </c>
      <c r="N4577" s="50" t="inlineStr">
        <is>
          <t>NON</t>
        </is>
      </c>
      <c r="O4577" s="45" t="inlineStr"/>
    </row>
    <row r="4578">
      <c r="A4578" s="45" t="n"/>
      <c r="B4578" s="46" t="inlineStr">
        <is>
          <t>44072</t>
        </is>
      </c>
      <c r="C4578" s="46">
        <f>LEFT(Tableau1[[#This Row],[Formacode]],3)</f>
        <v/>
      </c>
      <c r="D4578" s="47" t="n">
        <v>37240</v>
      </c>
      <c r="E4578" s="48">
        <f>"RNCP"&amp;D4578</f>
        <v/>
      </c>
      <c r="F4578" s="48" t="inlineStr">
        <is>
          <t>Certificat d'aptitude professionnelle - Agent de prévention et de médiation</t>
        </is>
      </c>
      <c r="G4578" s="49">
        <f>E4578&amp;" - "&amp;F4578</f>
        <v/>
      </c>
      <c r="H4578" s="36" t="inlineStr">
        <is>
          <t>RAS</t>
        </is>
      </c>
      <c r="I4578" s="45" t="inlineStr"/>
      <c r="J4578" s="45" t="inlineStr">
        <is>
          <t>RNCP37240</t>
        </is>
      </c>
      <c r="K4578" s="45" t="inlineStr">
        <is>
          <t>Agent de prévention et de médiation</t>
        </is>
      </c>
      <c r="L4578" s="45" t="inlineStr">
        <is>
          <t>31/08/2027</t>
        </is>
      </c>
      <c r="M4578" s="45" t="inlineStr">
        <is>
          <t>44091 (Prévention sociale) ; 44035 (Médiation socioculturelle)</t>
        </is>
      </c>
      <c r="N4578" s="50" t="inlineStr">
        <is>
          <t>NON</t>
        </is>
      </c>
      <c r="O4578" s="45" t="inlineStr"/>
    </row>
    <row r="4579">
      <c r="A4579" s="63" t="n"/>
      <c r="B4579" s="64" t="inlineStr">
        <is>
          <t>44072</t>
        </is>
      </c>
      <c r="C4579" s="64">
        <f>LEFT(Tableau1[[#This Row],[Formacode]],3)</f>
        <v/>
      </c>
      <c r="D4579" s="65" t="n">
        <v>37519</v>
      </c>
      <c r="E4579" s="66">
        <f>"RNCP"&amp;D4579</f>
        <v/>
      </c>
      <c r="F4579" s="66" t="inlineStr">
        <is>
          <t>Directeur d''organisation ou d'entreprise d'innovation sociale</t>
        </is>
      </c>
      <c r="G4579" s="67">
        <f>E4579&amp;" - "&amp;F4579</f>
        <v/>
      </c>
      <c r="H4579" s="38" t="inlineStr">
        <is>
          <t>Expiré / remplacé</t>
        </is>
      </c>
      <c r="I4579" s="63" t="inlineStr">
        <is>
          <t>Fiche inactive — remplacée par RNCP41739 (Directeur d'organisation ou d'entreprise d'innovation sociale)</t>
        </is>
      </c>
      <c r="J4579" s="63" t="inlineStr">
        <is>
          <t>RNCP41739</t>
        </is>
      </c>
      <c r="K4579" s="63" t="inlineStr">
        <is>
          <t>Directeur d'organisation ou d'entreprise d'innovation sociale</t>
        </is>
      </c>
      <c r="L4579" s="63" t="inlineStr">
        <is>
          <t>24/04/2026</t>
        </is>
      </c>
      <c r="M4579" s="63" t="inlineStr">
        <is>
          <t>44039 (Établissement hébergement personnes âgées) ; 13175 (Économie sociale) ; 44072 (Travail social) ; 44056 (Travail social en réseau)</t>
        </is>
      </c>
      <c r="N4579" s="68" t="inlineStr">
        <is>
          <t>NON</t>
        </is>
      </c>
      <c r="O4579" s="63" t="inlineStr"/>
    </row>
    <row r="4580">
      <c r="A4580" s="45" t="n"/>
      <c r="B4580" s="46" t="inlineStr">
        <is>
          <t>44072</t>
        </is>
      </c>
      <c r="C4580" s="46">
        <f>LEFT(Tableau1[[#This Row],[Formacode]],3)</f>
        <v/>
      </c>
      <c r="D4580" s="47" t="n">
        <v>37614</v>
      </c>
      <c r="E4580" s="48">
        <f>"RNCP"&amp;D4580</f>
        <v/>
      </c>
      <c r="F4580" s="48" t="inlineStr">
        <is>
          <t>Directeur d'établissement sanitaire, social ou médico-social (MS)</t>
        </is>
      </c>
      <c r="G4580" s="49">
        <f>E4580&amp;" - "&amp;F4580</f>
        <v/>
      </c>
      <c r="H4580" s="36" t="inlineStr">
        <is>
          <t>RAS</t>
        </is>
      </c>
      <c r="I4580" s="45" t="inlineStr"/>
      <c r="J4580" s="45" t="inlineStr">
        <is>
          <t>RNCP37614</t>
        </is>
      </c>
      <c r="K4580" s="45" t="inlineStr">
        <is>
          <t>Directeur d'établissement sanitaire, social ou médico-social (MS)</t>
        </is>
      </c>
      <c r="L4580" s="45" t="inlineStr">
        <is>
          <t>31/05/2028</t>
        </is>
      </c>
      <c r="M4580" s="45" t="inlineStr">
        <is>
          <t>44047 (Direction établissement médico-social) ; 43426 (Gestion hospitalière) ; 42082 (Gestion structure service à la personne) ; 44072 (Travail social)</t>
        </is>
      </c>
      <c r="N4580" s="50" t="inlineStr">
        <is>
          <t>NON</t>
        </is>
      </c>
      <c r="O4580" s="45" t="inlineStr"/>
    </row>
    <row r="4581">
      <c r="A4581" s="51" t="n"/>
      <c r="B4581" s="52" t="inlineStr">
        <is>
          <t>44072</t>
        </is>
      </c>
      <c r="C4581" s="52">
        <f>LEFT(Tableau1[[#This Row],[Formacode]],3)</f>
        <v/>
      </c>
      <c r="D4581" s="53" t="n">
        <v>37675</v>
      </c>
      <c r="E4581" s="54">
        <f>"RNCP"&amp;D4581</f>
        <v/>
      </c>
      <c r="F4581" s="54" t="inlineStr">
        <is>
          <t>DE - Assistant de service social</t>
        </is>
      </c>
      <c r="G4581" s="55">
        <f>E4581&amp;" - "&amp;F4581</f>
        <v/>
      </c>
      <c r="H4581" s="37" t="inlineStr">
        <is>
          <t>À vérifier</t>
        </is>
      </c>
      <c r="I4581" s="51" t="inlineStr">
        <is>
          <t>Successeur déjà publié : RNCP41748 (Assistant de service social) — préparer la bascule de l'offre CPF | Échéance le 31/08/2026 (dans 44 j)</t>
        </is>
      </c>
      <c r="J4581" s="51" t="inlineStr">
        <is>
          <t>RNCP41748</t>
        </is>
      </c>
      <c r="K4581" s="51" t="inlineStr">
        <is>
          <t>Assistant de service social</t>
        </is>
      </c>
      <c r="L4581" s="51" t="inlineStr">
        <is>
          <t>31/08/2026</t>
        </is>
      </c>
      <c r="M4581" s="51" t="inlineStr">
        <is>
          <t>44083 (Assistance service social) ; 44056 (Travail social en réseau)</t>
        </is>
      </c>
      <c r="N4581" s="62" t="inlineStr">
        <is>
          <t>NON</t>
        </is>
      </c>
      <c r="O4581" s="51" t="inlineStr"/>
    </row>
    <row r="4582">
      <c r="A4582" s="51" t="n"/>
      <c r="B4582" s="52" t="inlineStr">
        <is>
          <t>44072</t>
        </is>
      </c>
      <c r="C4582" s="52">
        <f>LEFT(Tableau1[[#This Row],[Formacode]],3)</f>
        <v/>
      </c>
      <c r="D4582" s="53" t="n">
        <v>37676</v>
      </c>
      <c r="E4582" s="54">
        <f>"RNCP"&amp;D4582</f>
        <v/>
      </c>
      <c r="F4582" s="54" t="inlineStr">
        <is>
          <t>DE - Educateur spécialisé</t>
        </is>
      </c>
      <c r="G4582" s="55">
        <f>E4582&amp;" - "&amp;F4582</f>
        <v/>
      </c>
      <c r="H4582" s="37" t="inlineStr">
        <is>
          <t>À vérifier</t>
        </is>
      </c>
      <c r="I4582" s="51" t="inlineStr">
        <is>
          <t>Successeur déjà publié : RNCP41747 (Educateur spécialisé) — préparer la bascule de l'offre CPF | Échéance le 31/08/2026 (dans 44 j)</t>
        </is>
      </c>
      <c r="J4582" s="51" t="inlineStr">
        <is>
          <t>RNCP41747</t>
        </is>
      </c>
      <c r="K4582" s="51" t="inlineStr">
        <is>
          <t>Educateur spécialisé</t>
        </is>
      </c>
      <c r="L4582" s="51" t="inlineStr">
        <is>
          <t>31/08/2026</t>
        </is>
      </c>
      <c r="M4582" s="51" t="inlineStr">
        <is>
          <t>44092 (Éducateur spécialisé)</t>
        </is>
      </c>
      <c r="N4582" s="62" t="inlineStr">
        <is>
          <t>NON</t>
        </is>
      </c>
      <c r="O4582" s="51" t="inlineStr"/>
    </row>
    <row r="4583">
      <c r="A4583" s="51" t="n"/>
      <c r="B4583" s="52" t="inlineStr">
        <is>
          <t>44072</t>
        </is>
      </c>
      <c r="C4583" s="52">
        <f>LEFT(Tableau1[[#This Row],[Formacode]],3)</f>
        <v/>
      </c>
      <c r="D4583" s="53" t="n">
        <v>37677</v>
      </c>
      <c r="E4583" s="54">
        <f>"RNCP"&amp;D4583</f>
        <v/>
      </c>
      <c r="F4583" s="54" t="inlineStr">
        <is>
          <t>DE - Educateur technique spécialisé</t>
        </is>
      </c>
      <c r="G4583" s="55">
        <f>E4583&amp;" - "&amp;F4583</f>
        <v/>
      </c>
      <c r="H4583" s="37" t="inlineStr">
        <is>
          <t>À vérifier</t>
        </is>
      </c>
      <c r="I4583" s="51" t="inlineStr">
        <is>
          <t>Successeur déjà publié : RNCP41746 (Educateur technique spécialisé) — préparer la bascule de l'offre CPF | Échéance le 31/08/2026 (dans 44 j)</t>
        </is>
      </c>
      <c r="J4583" s="51" t="inlineStr">
        <is>
          <t>RNCP41746</t>
        </is>
      </c>
      <c r="K4583" s="51" t="inlineStr">
        <is>
          <t>Educateur technique spécialisé</t>
        </is>
      </c>
      <c r="L4583" s="51" t="inlineStr">
        <is>
          <t>31/08/2026</t>
        </is>
      </c>
      <c r="M4583" s="51" t="inlineStr">
        <is>
          <t>44072 (Travail social)</t>
        </is>
      </c>
      <c r="N4583" s="62" t="inlineStr">
        <is>
          <t>NON</t>
        </is>
      </c>
      <c r="O4583" s="51" t="inlineStr"/>
    </row>
    <row r="4584">
      <c r="A4584" s="51" t="n"/>
      <c r="B4584" s="52" t="inlineStr">
        <is>
          <t>44072</t>
        </is>
      </c>
      <c r="C4584" s="52">
        <f>LEFT(Tableau1[[#This Row],[Formacode]],3)</f>
        <v/>
      </c>
      <c r="D4584" s="53" t="n">
        <v>37678</v>
      </c>
      <c r="E4584" s="54">
        <f>"RNCP"&amp;D4584</f>
        <v/>
      </c>
      <c r="F4584" s="54" t="inlineStr">
        <is>
          <t>DE - Conseiller en économie sociale familiale</t>
        </is>
      </c>
      <c r="G4584" s="55">
        <f>E4584&amp;" - "&amp;F4584</f>
        <v/>
      </c>
      <c r="H4584" s="37" t="inlineStr">
        <is>
          <t>À vérifier</t>
        </is>
      </c>
      <c r="I4584" s="51" t="inlineStr">
        <is>
          <t>Successeur déjà publié : RNCP41744 (Conseiller en économie sociale familiale) ; RNCP42424 (Conseiller en économie sociale familiale) — préparer la bascule de l'offre CPF | Échéance le 31/08/2026 (dans 44 j)</t>
        </is>
      </c>
      <c r="J4584" s="51" t="inlineStr">
        <is>
          <t>RNCP41744, RNCP42424</t>
        </is>
      </c>
      <c r="K4584" s="51" t="inlineStr">
        <is>
          <t>Conseiller en économie sociale familiale</t>
        </is>
      </c>
      <c r="L4584" s="51" t="inlineStr">
        <is>
          <t>31/08/2026</t>
        </is>
      </c>
      <c r="M4584" s="51" t="inlineStr">
        <is>
          <t>44084 (Économie sociale familiale)</t>
        </is>
      </c>
      <c r="N4584" s="62" t="inlineStr">
        <is>
          <t>NON</t>
        </is>
      </c>
      <c r="O4584" s="51" t="inlineStr"/>
    </row>
    <row r="4585">
      <c r="A4585" s="45" t="n"/>
      <c r="B4585" s="46" t="inlineStr">
        <is>
          <t>44072</t>
        </is>
      </c>
      <c r="C4585" s="46">
        <f>LEFT(Tableau1[[#This Row],[Formacode]],3)</f>
        <v/>
      </c>
      <c r="D4585" s="47" t="n">
        <v>37722</v>
      </c>
      <c r="E4585" s="48">
        <f>"RNCP"&amp;D4585</f>
        <v/>
      </c>
      <c r="F4585" s="48" t="inlineStr">
        <is>
          <t>TP - Agent de médiation, information, services</t>
        </is>
      </c>
      <c r="G4585" s="49">
        <f>E4585&amp;" - "&amp;F4585</f>
        <v/>
      </c>
      <c r="H4585" s="36" t="inlineStr">
        <is>
          <t>RAS</t>
        </is>
      </c>
      <c r="I4585" s="45" t="inlineStr"/>
      <c r="J4585" s="45" t="inlineStr">
        <is>
          <t>RNCP37722</t>
        </is>
      </c>
      <c r="K4585" s="45" t="inlineStr">
        <is>
          <t>Agent de médiation, information, services</t>
        </is>
      </c>
      <c r="L4585" s="45" t="inlineStr">
        <is>
          <t>02/07/2028</t>
        </is>
      </c>
      <c r="M4585" s="45" t="inlineStr">
        <is>
          <t>44091 (Prévention sociale) ; 15016 (Gestion conflit)</t>
        </is>
      </c>
      <c r="N4585" s="50" t="inlineStr">
        <is>
          <t>NON</t>
        </is>
      </c>
      <c r="O4585" s="45" t="inlineStr"/>
    </row>
    <row r="4586">
      <c r="A4586" s="51" t="n"/>
      <c r="B4586" s="52" t="inlineStr">
        <is>
          <t>44072</t>
        </is>
      </c>
      <c r="C4586" s="52">
        <f>LEFT(Tableau1[[#This Row],[Formacode]],3)</f>
        <v/>
      </c>
      <c r="D4586" s="53" t="n">
        <v>39643</v>
      </c>
      <c r="E4586" s="54">
        <f>"RNCP"&amp;D4586</f>
        <v/>
      </c>
      <c r="F4586" s="54" t="inlineStr">
        <is>
          <t>Diplôme d'Etat Moniteur éducateur - DEME</t>
        </is>
      </c>
      <c r="G4586" s="55">
        <f>E4586&amp;" - "&amp;F4586</f>
        <v/>
      </c>
      <c r="H4586" s="37" t="inlineStr">
        <is>
          <t>À vérifier</t>
        </is>
      </c>
      <c r="I4586" s="51" t="inlineStr">
        <is>
          <t>Intitulé officiel différent : « Moniteur éducateur »</t>
        </is>
      </c>
      <c r="J4586" s="51" t="inlineStr">
        <is>
          <t>RNCP39643</t>
        </is>
      </c>
      <c r="K4586" s="51" t="inlineStr">
        <is>
          <t>Moniteur éducateur</t>
        </is>
      </c>
      <c r="L4586" s="51" t="inlineStr">
        <is>
          <t>31/12/2028</t>
        </is>
      </c>
      <c r="M4586" s="51" t="inlineStr">
        <is>
          <t>44072 (Travail social)</t>
        </is>
      </c>
      <c r="N4586" s="62" t="inlineStr">
        <is>
          <t>NON</t>
        </is>
      </c>
      <c r="O4586" s="51" t="inlineStr"/>
    </row>
    <row r="4587">
      <c r="A4587" s="51" t="n"/>
      <c r="B4587" s="52" t="inlineStr">
        <is>
          <t>44072</t>
        </is>
      </c>
      <c r="C4587" s="52">
        <f>LEFT(Tableau1[[#This Row],[Formacode]],3)</f>
        <v/>
      </c>
      <c r="D4587" s="53" t="n">
        <v>39644</v>
      </c>
      <c r="E4587" s="54">
        <f>"RNCP"&amp;D4587</f>
        <v/>
      </c>
      <c r="F4587" s="54" t="inlineStr">
        <is>
          <t>DE - Ingénierie sociale</t>
        </is>
      </c>
      <c r="G4587" s="55">
        <f>E4587&amp;" - "&amp;F4587</f>
        <v/>
      </c>
      <c r="H4587" s="37" t="inlineStr">
        <is>
          <t>À vérifier</t>
        </is>
      </c>
      <c r="I4587" s="51" t="inlineStr">
        <is>
          <t>Échéance le 31/12/2026 (dans 166 j)</t>
        </is>
      </c>
      <c r="J4587" s="51" t="inlineStr">
        <is>
          <t>RNCP39644</t>
        </is>
      </c>
      <c r="K4587" s="51" t="inlineStr">
        <is>
          <t>Ingénierie sociale</t>
        </is>
      </c>
      <c r="L4587" s="51" t="inlineStr">
        <is>
          <t>31/12/2026</t>
        </is>
      </c>
      <c r="M4587" s="51" t="inlineStr">
        <is>
          <t>44072 (Travail social) ; 44056 (Travail social en réseau)</t>
        </is>
      </c>
      <c r="N4587" s="62" t="inlineStr">
        <is>
          <t>NON</t>
        </is>
      </c>
      <c r="O4587" s="51" t="inlineStr"/>
    </row>
    <row r="4588">
      <c r="A4588" s="51" t="n"/>
      <c r="B4588" s="52" t="inlineStr">
        <is>
          <t>44072</t>
        </is>
      </c>
      <c r="C4588" s="52">
        <f>LEFT(Tableau1[[#This Row],[Formacode]],3)</f>
        <v/>
      </c>
      <c r="D4588" s="53" t="n">
        <v>39645</v>
      </c>
      <c r="E4588" s="54">
        <f>"RNCP"&amp;D4588</f>
        <v/>
      </c>
      <c r="F4588" s="54" t="inlineStr">
        <is>
          <t>DE - Médiateur familial</t>
        </is>
      </c>
      <c r="G4588" s="55">
        <f>E4588&amp;" - "&amp;F4588</f>
        <v/>
      </c>
      <c r="H4588" s="37" t="inlineStr">
        <is>
          <t>À vérifier</t>
        </is>
      </c>
      <c r="I4588" s="51" t="inlineStr">
        <is>
          <t>Échéance le 31/12/2026 (dans 166 j)</t>
        </is>
      </c>
      <c r="J4588" s="51" t="inlineStr">
        <is>
          <t>RNCP39645</t>
        </is>
      </c>
      <c r="K4588" s="51" t="inlineStr">
        <is>
          <t>Médiateur familial</t>
        </is>
      </c>
      <c r="L4588" s="51" t="inlineStr">
        <is>
          <t>31/12/2026</t>
        </is>
      </c>
      <c r="M4588" s="51" t="inlineStr">
        <is>
          <t>44072 (Travail social)</t>
        </is>
      </c>
      <c r="N4588" s="62" t="inlineStr">
        <is>
          <t>NON</t>
        </is>
      </c>
      <c r="O4588" s="51" t="inlineStr"/>
    </row>
    <row r="4589">
      <c r="A4589" s="45" t="n"/>
      <c r="B4589" s="46" t="inlineStr">
        <is>
          <t>44072</t>
        </is>
      </c>
      <c r="C4589" s="46">
        <f>LEFT(Tableau1[[#This Row],[Formacode]],3)</f>
        <v/>
      </c>
      <c r="D4589" s="47" t="n">
        <v>39680</v>
      </c>
      <c r="E4589" s="48">
        <f>"RNCP"&amp;D4589</f>
        <v/>
      </c>
      <c r="F4589" s="48" t="inlineStr">
        <is>
          <t>DE - Technicien de l'intervention sociale et familiale</t>
        </is>
      </c>
      <c r="G4589" s="49">
        <f>E4589&amp;" - "&amp;F4589</f>
        <v/>
      </c>
      <c r="H4589" s="36" t="inlineStr">
        <is>
          <t>RAS</t>
        </is>
      </c>
      <c r="I4589" s="45" t="inlineStr"/>
      <c r="J4589" s="45" t="inlineStr">
        <is>
          <t>RNCP39680</t>
        </is>
      </c>
      <c r="K4589" s="45" t="inlineStr">
        <is>
          <t>Technicien de l'intervention sociale et familiale</t>
        </is>
      </c>
      <c r="L4589" s="45" t="inlineStr">
        <is>
          <t>31/12/2028</t>
        </is>
      </c>
      <c r="M4589" s="45" t="inlineStr">
        <is>
          <t>44008 (Intervention sociale familiale) ; 44072 (Travail social)</t>
        </is>
      </c>
      <c r="N4589" s="50" t="inlineStr">
        <is>
          <t>NON</t>
        </is>
      </c>
      <c r="O4589" s="45" t="inlineStr"/>
    </row>
    <row r="4590">
      <c r="A4590" s="45" t="n"/>
      <c r="B4590" s="46" t="inlineStr">
        <is>
          <t>44072</t>
        </is>
      </c>
      <c r="C4590" s="46">
        <f>LEFT(Tableau1[[#This Row],[Formacode]],3)</f>
        <v/>
      </c>
      <c r="D4590" s="47" t="n">
        <v>39794</v>
      </c>
      <c r="E4590" s="48">
        <f>"RNCP"&amp;D4590</f>
        <v/>
      </c>
      <c r="F4590" s="48" t="inlineStr">
        <is>
          <t>TP - Encadrant technique d'insertion</t>
        </is>
      </c>
      <c r="G4590" s="49">
        <f>E4590&amp;" - "&amp;F4590</f>
        <v/>
      </c>
      <c r="H4590" s="36" t="inlineStr">
        <is>
          <t>RAS</t>
        </is>
      </c>
      <c r="I4590" s="45" t="inlineStr"/>
      <c r="J4590" s="45" t="inlineStr">
        <is>
          <t>RNCP39794</t>
        </is>
      </c>
      <c r="K4590" s="45" t="inlineStr">
        <is>
          <t>Encadrant technique d'insertion</t>
        </is>
      </c>
      <c r="L4590" s="45" t="inlineStr">
        <is>
          <t>08/11/2029</t>
        </is>
      </c>
      <c r="M4590" s="45" t="inlineStr">
        <is>
          <t>44569 (Conseil insertion professionnelle) ; 44061 (Éducation surveillée) ; 44092 (Éducateur spécialisé)</t>
        </is>
      </c>
      <c r="N4590" s="50" t="inlineStr">
        <is>
          <t>NON</t>
        </is>
      </c>
      <c r="O4590" s="45" t="inlineStr"/>
    </row>
    <row r="4591">
      <c r="A4591" s="45" t="n"/>
      <c r="B4591" s="46" t="inlineStr">
        <is>
          <t>44072</t>
        </is>
      </c>
      <c r="C4591" s="46">
        <f>LEFT(Tableau1[[#This Row],[Formacode]],3)</f>
        <v/>
      </c>
      <c r="D4591" s="47" t="n">
        <v>41758</v>
      </c>
      <c r="E4591" s="48">
        <f>"RNCP"&amp;D4591</f>
        <v/>
      </c>
      <c r="F4591" s="48" t="inlineStr">
        <is>
          <t>DE - Assistant familial</t>
        </is>
      </c>
      <c r="G4591" s="49">
        <f>E4591&amp;" - "&amp;F4591</f>
        <v/>
      </c>
      <c r="H4591" s="36" t="inlineStr">
        <is>
          <t>RAS</t>
        </is>
      </c>
      <c r="I4591" s="45" t="inlineStr"/>
      <c r="J4591" s="45" t="inlineStr">
        <is>
          <t>RNCP41758</t>
        </is>
      </c>
      <c r="K4591" s="45" t="inlineStr">
        <is>
          <t>Assistant familial</t>
        </is>
      </c>
      <c r="L4591" s="45" t="inlineStr">
        <is>
          <t>31/12/2028</t>
        </is>
      </c>
      <c r="M4591" s="45" t="inlineStr">
        <is>
          <t>44009 (Placement familial) ; 44072 (Travail social)</t>
        </is>
      </c>
      <c r="N4591" s="50" t="inlineStr">
        <is>
          <t>NON</t>
        </is>
      </c>
      <c r="O4591" s="45" t="inlineStr"/>
    </row>
    <row r="4592">
      <c r="A4592" s="45" t="n"/>
      <c r="B4592" s="46" t="inlineStr">
        <is>
          <t>44074</t>
        </is>
      </c>
      <c r="C4592" s="46">
        <f>LEFT(Tableau1[[#This Row],[Formacode]],3)</f>
        <v/>
      </c>
      <c r="D4592" s="47" t="n">
        <v>36788</v>
      </c>
      <c r="E4592" s="48">
        <f>"RNCP"&amp;D4592</f>
        <v/>
      </c>
      <c r="F4592" s="48" t="inlineStr">
        <is>
          <t>BAC PRO - Services aux personnes et animation dans les territoires</t>
        </is>
      </c>
      <c r="G4592" s="49">
        <f>E4592&amp;" - "&amp;F4592</f>
        <v/>
      </c>
      <c r="H4592" s="36" t="inlineStr">
        <is>
          <t>RAS</t>
        </is>
      </c>
      <c r="I4592" s="45" t="inlineStr"/>
      <c r="J4592" s="45" t="inlineStr">
        <is>
          <t>RNCP36788</t>
        </is>
      </c>
      <c r="K4592" s="45" t="inlineStr">
        <is>
          <t>Services aux personnes et animation dans les territoires</t>
        </is>
      </c>
      <c r="L4592" s="45" t="inlineStr">
        <is>
          <t>31/08/2027</t>
        </is>
      </c>
      <c r="M4592" s="45" t="inlineStr">
        <is>
          <t>44054 (Action sociale)</t>
        </is>
      </c>
      <c r="N4592" s="50" t="inlineStr">
        <is>
          <t>NON</t>
        </is>
      </c>
      <c r="O4592" s="45" t="inlineStr"/>
    </row>
    <row r="4593">
      <c r="A4593" s="45" t="n"/>
      <c r="B4593" s="46" t="inlineStr">
        <is>
          <t>44077</t>
        </is>
      </c>
      <c r="C4593" s="46">
        <f>LEFT(Tableau1[[#This Row],[Formacode]],3)</f>
        <v/>
      </c>
      <c r="D4593" s="47" t="n">
        <v>36788</v>
      </c>
      <c r="E4593" s="48">
        <f>"RNCP"&amp;D4593</f>
        <v/>
      </c>
      <c r="F4593" s="48" t="inlineStr">
        <is>
          <t>BAC PRO - Services aux personnes et animation dans les territoires</t>
        </is>
      </c>
      <c r="G4593" s="49">
        <f>E4593&amp;" - "&amp;F4593</f>
        <v/>
      </c>
      <c r="H4593" s="36" t="inlineStr">
        <is>
          <t>RAS</t>
        </is>
      </c>
      <c r="I4593" s="45" t="inlineStr"/>
      <c r="J4593" s="45" t="inlineStr">
        <is>
          <t>RNCP36788</t>
        </is>
      </c>
      <c r="K4593" s="45" t="inlineStr">
        <is>
          <t>Services aux personnes et animation dans les territoires</t>
        </is>
      </c>
      <c r="L4593" s="45" t="inlineStr">
        <is>
          <t>31/08/2027</t>
        </is>
      </c>
      <c r="M4593" s="45" t="inlineStr">
        <is>
          <t>44054 (Action sociale)</t>
        </is>
      </c>
      <c r="N4593" s="50" t="inlineStr">
        <is>
          <t>NON</t>
        </is>
      </c>
      <c r="O4593" s="45" t="inlineStr"/>
    </row>
    <row r="4594">
      <c r="A4594" s="45" t="n"/>
      <c r="B4594" s="46" t="inlineStr">
        <is>
          <t>44086</t>
        </is>
      </c>
      <c r="C4594" s="46">
        <f>LEFT(Tableau1[[#This Row],[Formacode]],3)</f>
        <v/>
      </c>
      <c r="D4594" s="47" t="n">
        <v>36788</v>
      </c>
      <c r="E4594" s="48">
        <f>"RNCP"&amp;D4594</f>
        <v/>
      </c>
      <c r="F4594" s="48" t="inlineStr">
        <is>
          <t>BAC PRO - Services aux personnes et animation dans les territoires</t>
        </is>
      </c>
      <c r="G4594" s="49">
        <f>E4594&amp;" - "&amp;F4594</f>
        <v/>
      </c>
      <c r="H4594" s="36" t="inlineStr">
        <is>
          <t>RAS</t>
        </is>
      </c>
      <c r="I4594" s="45" t="inlineStr"/>
      <c r="J4594" s="45" t="inlineStr">
        <is>
          <t>RNCP36788</t>
        </is>
      </c>
      <c r="K4594" s="45" t="inlineStr">
        <is>
          <t>Services aux personnes et animation dans les territoires</t>
        </is>
      </c>
      <c r="L4594" s="45" t="inlineStr">
        <is>
          <t>31/08/2027</t>
        </is>
      </c>
      <c r="M4594" s="45" t="inlineStr">
        <is>
          <t>44054 (Action sociale)</t>
        </is>
      </c>
      <c r="N4594" s="50" t="inlineStr">
        <is>
          <t>NON</t>
        </is>
      </c>
      <c r="O4594" s="45" t="inlineStr"/>
    </row>
    <row r="4595">
      <c r="A4595" s="45" t="n"/>
      <c r="B4595" s="46" t="inlineStr">
        <is>
          <t>44096</t>
        </is>
      </c>
      <c r="C4595" s="46">
        <f>LEFT(Tableau1[[#This Row],[Formacode]],3)</f>
        <v/>
      </c>
      <c r="D4595" s="47" t="n">
        <v>36788</v>
      </c>
      <c r="E4595" s="48">
        <f>"RNCP"&amp;D4595</f>
        <v/>
      </c>
      <c r="F4595" s="48" t="inlineStr">
        <is>
          <t>BAC PRO - Services aux personnes et animation dans les territoires</t>
        </is>
      </c>
      <c r="G4595" s="49">
        <f>E4595&amp;" - "&amp;F4595</f>
        <v/>
      </c>
      <c r="H4595" s="36" t="inlineStr">
        <is>
          <t>RAS</t>
        </is>
      </c>
      <c r="I4595" s="45" t="inlineStr"/>
      <c r="J4595" s="45" t="inlineStr">
        <is>
          <t>RNCP36788</t>
        </is>
      </c>
      <c r="K4595" s="45" t="inlineStr">
        <is>
          <t>Services aux personnes et animation dans les territoires</t>
        </is>
      </c>
      <c r="L4595" s="45" t="inlineStr">
        <is>
          <t>31/08/2027</t>
        </is>
      </c>
      <c r="M4595" s="45" t="inlineStr">
        <is>
          <t>44054 (Action sociale)</t>
        </is>
      </c>
      <c r="N4595" s="50" t="inlineStr">
        <is>
          <t>NON</t>
        </is>
      </c>
      <c r="O4595" s="45" t="inlineStr"/>
    </row>
    <row r="4596">
      <c r="A4596" s="51" t="n"/>
      <c r="B4596" s="52" t="inlineStr">
        <is>
          <t>44542</t>
        </is>
      </c>
      <c r="C4596" s="52">
        <f>LEFT(Tableau1[[#This Row],[Formacode]],3)</f>
        <v/>
      </c>
      <c r="D4596" s="53" t="n">
        <v>35517</v>
      </c>
      <c r="E4596" s="54">
        <f>"RNCP"&amp;D4596</f>
        <v/>
      </c>
      <c r="F4596" s="54" t="inlineStr">
        <is>
          <t>CS - Services numériques aux organisations</t>
        </is>
      </c>
      <c r="G4596" s="55">
        <f>E4596&amp;" - "&amp;F4596</f>
        <v/>
      </c>
      <c r="H4596" s="37" t="inlineStr">
        <is>
          <t>À vérifier</t>
        </is>
      </c>
      <c r="I4596" s="51" t="inlineStr">
        <is>
          <t>Successeur déjà publié : RNCP41844 (Services numériques aux organisations) — préparer la bascule de l'offre CPF | Échéance le 31/08/2026 (dans 44 j)</t>
        </is>
      </c>
      <c r="J4596" s="51" t="inlineStr">
        <is>
          <t>RNCP41844</t>
        </is>
      </c>
      <c r="K4596" s="51" t="inlineStr">
        <is>
          <t>Services numériques aux organisations</t>
        </is>
      </c>
      <c r="L4596" s="51" t="inlineStr">
        <is>
          <t>31/08/2026</t>
        </is>
      </c>
      <c r="M4596" s="51" t="inlineStr">
        <is>
          <t>44527 (Médiation numérique) ; 31006 (Sécurité informatique) ; 15052 (Bureautique)</t>
        </is>
      </c>
      <c r="N4596" s="62" t="inlineStr">
        <is>
          <t>NON</t>
        </is>
      </c>
      <c r="O4596" s="51" t="inlineStr"/>
    </row>
    <row r="4597" s="21">
      <c r="A4597" s="45" t="n"/>
      <c r="B4597" s="46" t="inlineStr">
        <is>
          <t>44542</t>
        </is>
      </c>
      <c r="C4597" s="46">
        <f>LEFT(Tableau1[[#This Row],[Formacode]],3)</f>
        <v/>
      </c>
      <c r="D4597" s="47" t="n">
        <v>37275</v>
      </c>
      <c r="E4597" s="48">
        <f>"RNCP"&amp;D4597</f>
        <v/>
      </c>
      <c r="F4597" s="48" t="inlineStr">
        <is>
          <t>TP - Formateur professionnel d'adultes</t>
        </is>
      </c>
      <c r="G4597" s="49">
        <f>E4597&amp;" - "&amp;F4597</f>
        <v/>
      </c>
      <c r="H4597" s="36" t="inlineStr">
        <is>
          <t>RAS</t>
        </is>
      </c>
      <c r="I4597" s="45" t="inlineStr"/>
      <c r="J4597" s="45" t="inlineStr">
        <is>
          <t>RNCP37275</t>
        </is>
      </c>
      <c r="K4597" s="45" t="inlineStr">
        <is>
          <t>Formateur professionnel d'adultes</t>
        </is>
      </c>
      <c r="L4597" s="45" t="inlineStr">
        <is>
          <t>29/04/2028</t>
        </is>
      </c>
      <c r="M4597" s="45" t="inlineStr">
        <is>
          <t>44586 (Formation formateur) ; 44542 (Pédagogie) ; 44517 (Conception action formation) ; 15084 (Préparation entrée formation) ; 15041 (Mise à niveau)</t>
        </is>
      </c>
      <c r="N4597" s="50" t="inlineStr">
        <is>
          <t>NON</t>
        </is>
      </c>
      <c r="O4597" s="45" t="inlineStr"/>
    </row>
    <row r="4598" s="21">
      <c r="A4598" s="45" t="n"/>
      <c r="B4598" s="46" t="inlineStr">
        <is>
          <t>44542</t>
        </is>
      </c>
      <c r="C4598" s="46">
        <f>LEFT(Tableau1[[#This Row],[Formacode]],3)</f>
        <v/>
      </c>
      <c r="D4598" s="47" t="n">
        <v>38797</v>
      </c>
      <c r="E4598" s="48">
        <f>"RNCP"&amp;D4598</f>
        <v/>
      </c>
      <c r="F4598" s="48" t="inlineStr">
        <is>
          <t>CQP Coordinateur de vie scolaire</t>
        </is>
      </c>
      <c r="G4598" s="49">
        <f>E4598&amp;" - "&amp;F4598</f>
        <v/>
      </c>
      <c r="H4598" s="36" t="inlineStr">
        <is>
          <t>RAS</t>
        </is>
      </c>
      <c r="I4598" s="45" t="inlineStr"/>
      <c r="J4598" s="45" t="inlineStr">
        <is>
          <t>RNCP38797</t>
        </is>
      </c>
      <c r="K4598" s="45" t="inlineStr">
        <is>
          <t>CQP Coordinateur de vie scolaire</t>
        </is>
      </c>
      <c r="L4598" s="45" t="inlineStr">
        <is>
          <t>27/03/2029</t>
        </is>
      </c>
      <c r="M4598" s="45" t="inlineStr">
        <is>
          <t>14420 (Psychologie enfant adolescent) ; 44540 (Relation pédagogique) ; 44057 (Atelier éducatif) ; 32068 (Coordination travail)</t>
        </is>
      </c>
      <c r="N4598" s="50" t="inlineStr">
        <is>
          <t>NON</t>
        </is>
      </c>
      <c r="O4598" s="45" t="inlineStr"/>
    </row>
    <row r="4599" s="21">
      <c r="A4599" s="45" t="n"/>
      <c r="B4599" s="46" t="inlineStr">
        <is>
          <t>44542</t>
        </is>
      </c>
      <c r="C4599" s="46">
        <f>LEFT(Tableau1[[#This Row],[Formacode]],3)</f>
        <v/>
      </c>
      <c r="D4599" s="47" t="n">
        <v>39981</v>
      </c>
      <c r="E4599" s="48">
        <f>"RNCP"&amp;D4599</f>
        <v/>
      </c>
      <c r="F4599" s="48" t="inlineStr">
        <is>
          <t>Consultant formateur</t>
        </is>
      </c>
      <c r="G4599" s="49">
        <f>E4599&amp;" - "&amp;F4599</f>
        <v/>
      </c>
      <c r="H4599" s="36" t="inlineStr">
        <is>
          <t>RAS</t>
        </is>
      </c>
      <c r="I4599" s="45" t="inlineStr"/>
      <c r="J4599" s="45" t="inlineStr">
        <is>
          <t>RNCP39981</t>
        </is>
      </c>
      <c r="K4599" s="45" t="inlineStr">
        <is>
          <t>Consultant formateur</t>
        </is>
      </c>
      <c r="L4599" s="45" t="inlineStr">
        <is>
          <t>18/12/2027</t>
        </is>
      </c>
      <c r="M4599" s="45" t="inlineStr">
        <is>
          <t>44586 (Formation formateur) ; 44517 (Conception action formation) ; 44542 (Pédagogie) ; 44589 (Conseil formation)</t>
        </is>
      </c>
      <c r="N4599" s="50" t="inlineStr">
        <is>
          <t>NON</t>
        </is>
      </c>
      <c r="O4599" s="45" t="inlineStr"/>
    </row>
    <row r="4600" s="21">
      <c r="A4600" s="45" t="n"/>
      <c r="B4600" s="46" t="inlineStr">
        <is>
          <t>44542</t>
        </is>
      </c>
      <c r="C4600" s="46">
        <f>LEFT(Tableau1[[#This Row],[Formacode]],3)</f>
        <v/>
      </c>
      <c r="D4600" s="47" t="n">
        <v>40695</v>
      </c>
      <c r="E4600" s="48">
        <f>"RNCP"&amp;D4600</f>
        <v/>
      </c>
      <c r="F4600" s="48" t="inlineStr">
        <is>
          <t>TP - Médiateur numérique</t>
        </is>
      </c>
      <c r="G4600" s="49">
        <f>E4600&amp;" - "&amp;F4600</f>
        <v/>
      </c>
      <c r="H4600" s="36" t="inlineStr">
        <is>
          <t>RAS</t>
        </is>
      </c>
      <c r="I4600" s="45" t="inlineStr"/>
      <c r="J4600" s="45" t="inlineStr">
        <is>
          <t>RNCP40695</t>
        </is>
      </c>
      <c r="K4600" s="45" t="inlineStr">
        <is>
          <t>Médiateur numérique</t>
        </is>
      </c>
      <c r="L4600" s="45" t="inlineStr">
        <is>
          <t>12/07/2030</t>
        </is>
      </c>
      <c r="M4600" s="45" t="inlineStr">
        <is>
          <t>44527 (Médiation numérique) ; 15050 (Mise à niveau numérique) ; 44067 (Animation socioculturelle) ; 44521 (Pédagogie public spécifique) ; 46305 (Sensibilisation médias)</t>
        </is>
      </c>
      <c r="N4600" s="50" t="inlineStr">
        <is>
          <t>NON</t>
        </is>
      </c>
      <c r="O4600" s="45" t="inlineStr"/>
    </row>
    <row r="4601" s="21">
      <c r="A4601" s="45" t="n"/>
      <c r="B4601" s="46" t="inlineStr">
        <is>
          <t>44542</t>
        </is>
      </c>
      <c r="C4601" s="46">
        <f>LEFT(Tableau1[[#This Row],[Formacode]],3)</f>
        <v/>
      </c>
      <c r="D4601" s="47" t="n">
        <v>41456</v>
      </c>
      <c r="E4601" s="48">
        <f>"RNCP"&amp;D4601</f>
        <v/>
      </c>
      <c r="F4601" s="48" t="inlineStr">
        <is>
          <t>CQP Educateur de vie scolaire</t>
        </is>
      </c>
      <c r="G4601" s="49">
        <f>E4601&amp;" - "&amp;F4601</f>
        <v/>
      </c>
      <c r="H4601" s="36" t="inlineStr">
        <is>
          <t>RAS</t>
        </is>
      </c>
      <c r="I4601" s="45" t="inlineStr"/>
      <c r="J4601" s="45" t="inlineStr">
        <is>
          <t>RNCP41456</t>
        </is>
      </c>
      <c r="K4601" s="45" t="inlineStr">
        <is>
          <t>CQP Educateur de vie scolaire</t>
        </is>
      </c>
      <c r="L4601" s="45" t="inlineStr">
        <is>
          <t>27/10/2030</t>
        </is>
      </c>
      <c r="M4601" s="45" t="inlineStr">
        <is>
          <t>15004 (Communication professionnelle) ; 14420 (Psychologie enfant adolescent) ; 35071 (Technique administrative) ; 44540 (Relation pédagogique)</t>
        </is>
      </c>
      <c r="N4601" s="50" t="inlineStr">
        <is>
          <t>NON</t>
        </is>
      </c>
      <c r="O4601" s="45" t="inlineStr"/>
    </row>
    <row r="4602" s="21">
      <c r="A4602" s="45" t="n"/>
      <c r="B4602" s="46" t="inlineStr">
        <is>
          <t>44557</t>
        </is>
      </c>
      <c r="C4602" s="46">
        <f>LEFT(Tableau1[[#This Row],[Formacode]],3)</f>
        <v/>
      </c>
      <c r="D4602" s="47" t="n">
        <v>36652</v>
      </c>
      <c r="E4602" s="48">
        <f>"RNCP"&amp;D4602</f>
        <v/>
      </c>
      <c r="F4602" s="48" t="inlineStr">
        <is>
          <t>Responsable d'ingénierie pédagogique</t>
        </is>
      </c>
      <c r="G4602" s="49">
        <f>E4602&amp;" - "&amp;F4602</f>
        <v/>
      </c>
      <c r="H4602" s="36" t="inlineStr">
        <is>
          <t>RAS</t>
        </is>
      </c>
      <c r="I4602" s="45" t="inlineStr"/>
      <c r="J4602" s="45" t="inlineStr">
        <is>
          <t>RNCP36652</t>
        </is>
      </c>
      <c r="K4602" s="45" t="inlineStr">
        <is>
          <t>Responsable d'ingénierie pédagogique</t>
        </is>
      </c>
      <c r="L4602" s="45" t="inlineStr">
        <is>
          <t>01/07/2027</t>
        </is>
      </c>
      <c r="M4602" s="45" t="inlineStr">
        <is>
          <t>44557 (Ingénierie formation)</t>
        </is>
      </c>
      <c r="N4602" s="50" t="inlineStr">
        <is>
          <t>NON</t>
        </is>
      </c>
      <c r="O4602" s="45" t="inlineStr"/>
    </row>
    <row r="4603" s="21">
      <c r="A4603" s="45" t="n"/>
      <c r="B4603" s="46" t="inlineStr">
        <is>
          <t>44557</t>
        </is>
      </c>
      <c r="C4603" s="46">
        <f>LEFT(Tableau1[[#This Row],[Formacode]],3)</f>
        <v/>
      </c>
      <c r="D4603" s="47" t="n">
        <v>37275</v>
      </c>
      <c r="E4603" s="48">
        <f>"RNCP"&amp;D4603</f>
        <v/>
      </c>
      <c r="F4603" s="48" t="inlineStr">
        <is>
          <t>TP - Formateur professionnel d'adultes</t>
        </is>
      </c>
      <c r="G4603" s="49">
        <f>E4603&amp;" - "&amp;F4603</f>
        <v/>
      </c>
      <c r="H4603" s="36" t="inlineStr">
        <is>
          <t>RAS</t>
        </is>
      </c>
      <c r="I4603" s="45" t="inlineStr"/>
      <c r="J4603" s="45" t="inlineStr">
        <is>
          <t>RNCP37275</t>
        </is>
      </c>
      <c r="K4603" s="45" t="inlineStr">
        <is>
          <t>Formateur professionnel d'adultes</t>
        </is>
      </c>
      <c r="L4603" s="45" t="inlineStr">
        <is>
          <t>29/04/2028</t>
        </is>
      </c>
      <c r="M4603" s="45" t="inlineStr">
        <is>
          <t>44586 (Formation formateur) ; 44542 (Pédagogie) ; 44517 (Conception action formation) ; 15084 (Préparation entrée formation) ; 15041 (Mise à niveau)</t>
        </is>
      </c>
      <c r="N4603" s="50" t="inlineStr">
        <is>
          <t>NON</t>
        </is>
      </c>
      <c r="O4603" s="45" t="inlineStr"/>
    </row>
    <row r="4604" ht="28.8" customHeight="1" s="21">
      <c r="A4604" s="45" t="n"/>
      <c r="B4604" s="46" t="inlineStr">
        <is>
          <t>44557</t>
        </is>
      </c>
      <c r="C4604" s="46">
        <f>LEFT(Tableau1[[#This Row],[Formacode]],3)</f>
        <v/>
      </c>
      <c r="D4604" s="47" t="n">
        <v>37375</v>
      </c>
      <c r="E4604" s="48">
        <f>"RNCP"&amp;D4604</f>
        <v/>
      </c>
      <c r="F4604" s="48" t="inlineStr">
        <is>
          <t>Brevet de technicien supérieur - Métiers de l’esthétique, de la cosmétique et de la parfumerie</t>
        </is>
      </c>
      <c r="G4604" s="49">
        <f>E4604&amp;" - "&amp;F4604</f>
        <v/>
      </c>
      <c r="H4604" s="36" t="inlineStr">
        <is>
          <t>RAS</t>
        </is>
      </c>
      <c r="I4604" s="45" t="inlineStr"/>
      <c r="J4604" s="45" t="inlineStr">
        <is>
          <t>RNCP37375</t>
        </is>
      </c>
      <c r="K4604" s="45" t="inlineStr">
        <is>
          <t>Métiers de l’esthétique, de la cosmétique et de la parfumerie</t>
        </is>
      </c>
      <c r="L4604" s="45" t="inlineStr">
        <is>
          <t>31/08/2028</t>
        </is>
      </c>
      <c r="M4604" s="45" t="inlineStr">
        <is>
          <t>42032 (Esthétique soin corporel) ; 32154 (Encadrement management) ; 22885 (Cosmétique) ; 34059 (Gestion marque) ; 44517 (Conception action formation)</t>
        </is>
      </c>
      <c r="N4604" s="50" t="inlineStr">
        <is>
          <t>NON</t>
        </is>
      </c>
      <c r="O4604" s="45" t="inlineStr"/>
    </row>
    <row r="4605">
      <c r="A4605" s="63" t="n"/>
      <c r="B4605" s="64" t="inlineStr">
        <is>
          <t>44557</t>
        </is>
      </c>
      <c r="C4605" s="64">
        <f>LEFT(Tableau1[[#This Row],[Formacode]],3)</f>
        <v/>
      </c>
      <c r="D4605" s="65" t="n">
        <v>37525</v>
      </c>
      <c r="E4605" s="66">
        <f>"RNCP"&amp;D4605</f>
        <v/>
      </c>
      <c r="F4605" s="66" t="inlineStr">
        <is>
          <t>Enseignant du premier degré</t>
        </is>
      </c>
      <c r="G4605" s="67">
        <f>E4605&amp;" - "&amp;F4605</f>
        <v/>
      </c>
      <c r="H4605" s="38" t="inlineStr">
        <is>
          <t>Expiré / remplacé</t>
        </is>
      </c>
      <c r="I4605" s="63" t="inlineStr">
        <is>
          <t>Fiche inactive — remplacée par RNCP42311 (Enseignant du premier degré)</t>
        </is>
      </c>
      <c r="J4605" s="63" t="inlineStr">
        <is>
          <t>RNCP42311</t>
        </is>
      </c>
      <c r="K4605" s="63" t="inlineStr">
        <is>
          <t>Enseignant du premier degré</t>
        </is>
      </c>
      <c r="L4605" s="63" t="inlineStr">
        <is>
          <t>24/04/2026</t>
        </is>
      </c>
      <c r="M4605" s="63" t="inlineStr">
        <is>
          <t>44583 (Formation enseignant)</t>
        </is>
      </c>
      <c r="N4605" s="68" t="inlineStr">
        <is>
          <t>NON</t>
        </is>
      </c>
      <c r="O4605" s="63" t="inlineStr"/>
    </row>
    <row r="4606">
      <c r="A4606" s="45" t="n"/>
      <c r="B4606" s="46" t="inlineStr">
        <is>
          <t>44557</t>
        </is>
      </c>
      <c r="C4606" s="46">
        <f>LEFT(Tableau1[[#This Row],[Formacode]],3)</f>
        <v/>
      </c>
      <c r="D4606" s="47" t="n">
        <v>38824</v>
      </c>
      <c r="E4606" s="48">
        <f>"RNCP"&amp;D4606</f>
        <v/>
      </c>
      <c r="F4606" s="48" t="inlineStr">
        <is>
          <t>Manager en ressources humaines</t>
        </is>
      </c>
      <c r="G4606" s="49">
        <f>E4606&amp;" - "&amp;F4606</f>
        <v/>
      </c>
      <c r="H4606" s="36" t="inlineStr">
        <is>
          <t>RAS</t>
        </is>
      </c>
      <c r="I4606" s="45" t="inlineStr"/>
      <c r="J4606" s="45" t="inlineStr">
        <is>
          <t>RNCP38824</t>
        </is>
      </c>
      <c r="K4606" s="45" t="inlineStr">
        <is>
          <t>Manager en ressources humaines</t>
        </is>
      </c>
      <c r="L4606" s="45" t="inlineStr">
        <is>
          <t>27/03/2028</t>
        </is>
      </c>
      <c r="M4606" s="45" t="inlineStr">
        <is>
          <t>44508 (Plan développement compétences) ; 33060 (Recrutement) ; 33047 (Relations sociales) ; 32015 (Conduite changement) ; 33091 (GEPP)</t>
        </is>
      </c>
      <c r="N4606" s="50" t="inlineStr">
        <is>
          <t>NON</t>
        </is>
      </c>
      <c r="O4606" s="45" t="inlineStr"/>
    </row>
    <row r="4607">
      <c r="A4607" s="45" t="n"/>
      <c r="B4607" s="46" t="inlineStr">
        <is>
          <t>44557</t>
        </is>
      </c>
      <c r="C4607" s="46">
        <f>LEFT(Tableau1[[#This Row],[Formacode]],3)</f>
        <v/>
      </c>
      <c r="D4607" s="47" t="n">
        <v>38953</v>
      </c>
      <c r="E4607" s="48">
        <f>"RNCP"&amp;D4607</f>
        <v/>
      </c>
      <c r="F4607" s="48" t="inlineStr">
        <is>
          <t>Responsable projets et ingénierie en formation</t>
        </is>
      </c>
      <c r="G4607" s="49">
        <f>E4607&amp;" - "&amp;F4607</f>
        <v/>
      </c>
      <c r="H4607" s="36" t="inlineStr">
        <is>
          <t>RAS</t>
        </is>
      </c>
      <c r="I4607" s="45" t="inlineStr"/>
      <c r="J4607" s="45" t="inlineStr">
        <is>
          <t>RNCP38953</t>
        </is>
      </c>
      <c r="K4607" s="45" t="inlineStr">
        <is>
          <t>Responsable projets et ingénierie en formation</t>
        </is>
      </c>
      <c r="L4607" s="45" t="inlineStr">
        <is>
          <t>26/04/2029</t>
        </is>
      </c>
      <c r="M4607" s="45" t="inlineStr">
        <is>
          <t>44557 (Ingénierie formation)</t>
        </is>
      </c>
      <c r="N4607" s="50" t="inlineStr">
        <is>
          <t>NON</t>
        </is>
      </c>
      <c r="O4607" s="45" t="inlineStr"/>
    </row>
    <row r="4608">
      <c r="A4608" s="45" t="n"/>
      <c r="B4608" s="46" t="inlineStr">
        <is>
          <t>44557</t>
        </is>
      </c>
      <c r="C4608" s="46">
        <f>LEFT(Tableau1[[#This Row],[Formacode]],3)</f>
        <v/>
      </c>
      <c r="D4608" s="47" t="n">
        <v>39981</v>
      </c>
      <c r="E4608" s="48">
        <f>"RNCP"&amp;D4608</f>
        <v/>
      </c>
      <c r="F4608" s="48" t="inlineStr">
        <is>
          <t>Consultant formateur</t>
        </is>
      </c>
      <c r="G4608" s="49">
        <f>E4608&amp;" - "&amp;F4608</f>
        <v/>
      </c>
      <c r="H4608" s="36" t="inlineStr">
        <is>
          <t>RAS</t>
        </is>
      </c>
      <c r="I4608" s="45" t="inlineStr"/>
      <c r="J4608" s="45" t="inlineStr">
        <is>
          <t>RNCP39981</t>
        </is>
      </c>
      <c r="K4608" s="45" t="inlineStr">
        <is>
          <t>Consultant formateur</t>
        </is>
      </c>
      <c r="L4608" s="45" t="inlineStr">
        <is>
          <t>18/12/2027</t>
        </is>
      </c>
      <c r="M4608" s="45" t="inlineStr">
        <is>
          <t>44586 (Formation formateur) ; 44517 (Conception action formation) ; 44542 (Pédagogie) ; 44589 (Conseil formation)</t>
        </is>
      </c>
      <c r="N4608" s="50" t="inlineStr">
        <is>
          <t>NON</t>
        </is>
      </c>
      <c r="O4608" s="45" t="inlineStr"/>
    </row>
    <row r="4609">
      <c r="A4609" s="45" t="n"/>
      <c r="B4609" s="46" t="inlineStr">
        <is>
          <t>44557</t>
        </is>
      </c>
      <c r="C4609" s="46">
        <f>LEFT(Tableau1[[#This Row],[Formacode]],3)</f>
        <v/>
      </c>
      <c r="D4609" s="47" t="n">
        <v>40908</v>
      </c>
      <c r="E4609" s="48">
        <f>"RNCP"&amp;D4609</f>
        <v/>
      </c>
      <c r="F4609" s="48" t="inlineStr">
        <is>
          <t>Chargé de développement ressources humaines</t>
        </is>
      </c>
      <c r="G4609" s="49">
        <f>E4609&amp;" - "&amp;F4609</f>
        <v/>
      </c>
      <c r="H4609" s="36" t="inlineStr">
        <is>
          <t>RAS</t>
        </is>
      </c>
      <c r="I4609" s="45" t="inlineStr"/>
      <c r="J4609" s="45" t="inlineStr">
        <is>
          <t>RNCP40908</t>
        </is>
      </c>
      <c r="K4609" s="45" t="inlineStr">
        <is>
          <t>Chargé de développement ressources humaines</t>
        </is>
      </c>
      <c r="L4609" s="45" t="inlineStr">
        <is>
          <t>25/06/2028</t>
        </is>
      </c>
      <c r="M4609" s="45" t="inlineStr">
        <is>
          <t>33091 (GEPP) ; 13303 (Contrôle urssaf) ; 44528 (Responsable formation) ; 15091 (Gestion carrière personnelle)</t>
        </is>
      </c>
      <c r="N4609" s="50" t="inlineStr">
        <is>
          <t>NON</t>
        </is>
      </c>
      <c r="O4609" s="45" t="inlineStr"/>
    </row>
    <row r="4610">
      <c r="A4610" s="45" t="n"/>
      <c r="B4610" s="46" t="inlineStr">
        <is>
          <t>44557</t>
        </is>
      </c>
      <c r="C4610" s="46">
        <f>LEFT(Tableau1[[#This Row],[Formacode]],3)</f>
        <v/>
      </c>
      <c r="D4610" s="47" t="n">
        <v>41366</v>
      </c>
      <c r="E4610" s="48">
        <f>"RNCP"&amp;D4610</f>
        <v/>
      </c>
      <c r="F4610" s="48" t="inlineStr">
        <is>
          <t>TP - Assistant ressources humaines</t>
        </is>
      </c>
      <c r="G4610" s="49">
        <f>E4610&amp;" - "&amp;F4610</f>
        <v/>
      </c>
      <c r="H4610" s="36" t="inlineStr">
        <is>
          <t>RAS</t>
        </is>
      </c>
      <c r="I4610" s="45" t="inlineStr"/>
      <c r="J4610" s="45" t="inlineStr">
        <is>
          <t>RNCP41366</t>
        </is>
      </c>
      <c r="K4610" s="45" t="inlineStr">
        <is>
          <t>Assistant ressources humaines</t>
        </is>
      </c>
      <c r="L4610" s="45" t="inlineStr">
        <is>
          <t>04/11/2027</t>
        </is>
      </c>
      <c r="M4610" s="45" t="inlineStr">
        <is>
          <t>35014 (Secrétariat assistanat ressources humaines) ; 33071 (Contrat travail) ; 33072 (Intégration salarié) ; 33060 (Recrutement) ; 44508 (Plan développement compétences)</t>
        </is>
      </c>
      <c r="N4610" s="50" t="inlineStr">
        <is>
          <t>NON</t>
        </is>
      </c>
      <c r="O4610" s="45" t="inlineStr"/>
    </row>
    <row r="4611">
      <c r="A4611" s="45" t="n"/>
      <c r="B4611" s="46" t="inlineStr">
        <is>
          <t>44557</t>
        </is>
      </c>
      <c r="C4611" s="46">
        <f>LEFT(Tableau1[[#This Row],[Formacode]],3)</f>
        <v/>
      </c>
      <c r="D4611" s="47" t="n">
        <v>41416</v>
      </c>
      <c r="E4611" s="48">
        <f>"RNCP"&amp;D4611</f>
        <v/>
      </c>
      <c r="F4611" s="48" t="inlineStr">
        <is>
          <t>Animateur formateur en technologies agricoles</t>
        </is>
      </c>
      <c r="G4611" s="49">
        <f>E4611&amp;" - "&amp;F4611</f>
        <v/>
      </c>
      <c r="H4611" s="36" t="inlineStr">
        <is>
          <t>RAS</t>
        </is>
      </c>
      <c r="I4611" s="45" t="inlineStr"/>
      <c r="J4611" s="45" t="inlineStr">
        <is>
          <t>RNCP41416</t>
        </is>
      </c>
      <c r="K4611" s="45" t="inlineStr">
        <is>
          <t>Animateur formateur en technologies agricoles</t>
        </is>
      </c>
      <c r="L4611" s="45" t="inlineStr">
        <is>
          <t>27/10/2028</t>
        </is>
      </c>
      <c r="M4611" s="45" t="inlineStr">
        <is>
          <t>12514 (Développement rural) ; 21052 (Gestion exploitation agricole) ; 44517 (Conception action formation)</t>
        </is>
      </c>
      <c r="N4611" s="50" t="inlineStr">
        <is>
          <t>NON</t>
        </is>
      </c>
      <c r="O4611" s="45" t="inlineStr"/>
    </row>
    <row r="4612">
      <c r="A4612" s="45" t="n"/>
      <c r="B4612" s="46" t="inlineStr">
        <is>
          <t>44590</t>
        </is>
      </c>
      <c r="C4612" s="46">
        <f>LEFT(Tableau1[[#This Row],[Formacode]],3)</f>
        <v/>
      </c>
      <c r="D4612" s="47" t="n">
        <v>37274</v>
      </c>
      <c r="E4612" s="48">
        <f>"RNCP"&amp;D4612</f>
        <v/>
      </c>
      <c r="F4612" s="48" t="inlineStr">
        <is>
          <t>TP - Conseiller en insertion professionnelle</t>
        </is>
      </c>
      <c r="G4612" s="49">
        <f>E4612&amp;" - "&amp;F4612</f>
        <v/>
      </c>
      <c r="H4612" s="36" t="inlineStr">
        <is>
          <t>RAS</t>
        </is>
      </c>
      <c r="I4612" s="45" t="inlineStr"/>
      <c r="J4612" s="45" t="inlineStr">
        <is>
          <t>RNCP37274</t>
        </is>
      </c>
      <c r="K4612" s="45" t="inlineStr">
        <is>
          <t>Conseiller en insertion professionnelle</t>
        </is>
      </c>
      <c r="L4612" s="45" t="inlineStr">
        <is>
          <t>23/03/2028</t>
        </is>
      </c>
      <c r="M4612" s="45" t="inlineStr">
        <is>
          <t>44569 (Conseil insertion professionnelle) ; 33091 (GEPP)</t>
        </is>
      </c>
      <c r="N4612" s="50" t="inlineStr">
        <is>
          <t>NON</t>
        </is>
      </c>
      <c r="O4612" s="45" t="inlineStr"/>
    </row>
    <row r="4613">
      <c r="A4613" s="45" t="n"/>
      <c r="B4613" s="46" t="inlineStr">
        <is>
          <t>44590</t>
        </is>
      </c>
      <c r="C4613" s="46">
        <f>LEFT(Tableau1[[#This Row],[Formacode]],3)</f>
        <v/>
      </c>
      <c r="D4613" s="47" t="n">
        <v>37620</v>
      </c>
      <c r="E4613" s="48">
        <f>"RNCP"&amp;D4613</f>
        <v/>
      </c>
      <c r="F4613" s="48" t="inlineStr">
        <is>
          <t>Chargé d'accompagnement collectif et individuel en insertion socioprofessionnelle</t>
        </is>
      </c>
      <c r="G4613" s="49">
        <f>E4613&amp;" - "&amp;F4613</f>
        <v/>
      </c>
      <c r="H4613" s="36" t="inlineStr">
        <is>
          <t>RAS</t>
        </is>
      </c>
      <c r="I4613" s="45" t="inlineStr"/>
      <c r="J4613" s="45" t="inlineStr">
        <is>
          <t>RNCP37620</t>
        </is>
      </c>
      <c r="K4613" s="45" t="inlineStr">
        <is>
          <t>Chargé d'accompagnement collectif et individuel en insertion socioprofessionnelle</t>
        </is>
      </c>
      <c r="L4613" s="45" t="inlineStr">
        <is>
          <t>31/05/2028</t>
        </is>
      </c>
      <c r="M4613" s="45" t="inlineStr">
        <is>
          <t>44569 (Conseil insertion professionnelle)</t>
        </is>
      </c>
      <c r="N4613" s="50" t="inlineStr">
        <is>
          <t>NON</t>
        </is>
      </c>
      <c r="O4613" s="45" t="inlineStr"/>
    </row>
    <row r="4614">
      <c r="A4614" s="45" t="n"/>
      <c r="B4614" s="46" t="inlineStr">
        <is>
          <t>44590</t>
        </is>
      </c>
      <c r="C4614" s="46">
        <f>LEFT(Tableau1[[#This Row],[Formacode]],3)</f>
        <v/>
      </c>
      <c r="D4614" s="47" t="n">
        <v>39391</v>
      </c>
      <c r="E4614" s="48">
        <f>"RNCP"&amp;D4614</f>
        <v/>
      </c>
      <c r="F4614" s="48" t="inlineStr">
        <is>
          <t>Conseiller emploi et accompagnement professionnel</t>
        </is>
      </c>
      <c r="G4614" s="49">
        <f>E4614&amp;" - "&amp;F4614</f>
        <v/>
      </c>
      <c r="H4614" s="36" t="inlineStr">
        <is>
          <t>RAS</t>
        </is>
      </c>
      <c r="I4614" s="45" t="inlineStr"/>
      <c r="J4614" s="45" t="inlineStr">
        <is>
          <t>RNCP39391</t>
        </is>
      </c>
      <c r="K4614" s="45" t="inlineStr">
        <is>
          <t>Conseiller emploi et accompagnement professionnel</t>
        </is>
      </c>
      <c r="L4614" s="45" t="inlineStr">
        <is>
          <t>19/07/2027</t>
        </is>
      </c>
      <c r="M4614" s="45" t="inlineStr">
        <is>
          <t>44569 (Conseil insertion professionnelle) ; 15061 (Accompagnement vers emploi) ; 15081 (Bilan professionnel)</t>
        </is>
      </c>
      <c r="N4614" s="50" t="inlineStr">
        <is>
          <t>NON</t>
        </is>
      </c>
      <c r="O4614" s="45" t="inlineStr"/>
    </row>
    <row r="4615">
      <c r="A4615" s="45" t="n"/>
      <c r="B4615" s="46" t="inlineStr">
        <is>
          <t>44590</t>
        </is>
      </c>
      <c r="C4615" s="46">
        <f>LEFT(Tableau1[[#This Row],[Formacode]],3)</f>
        <v/>
      </c>
      <c r="D4615" s="47" t="n">
        <v>39794</v>
      </c>
      <c r="E4615" s="48">
        <f>"RNCP"&amp;D4615</f>
        <v/>
      </c>
      <c r="F4615" s="48" t="inlineStr">
        <is>
          <t>TP - Encadrant technique d'insertion</t>
        </is>
      </c>
      <c r="G4615" s="49">
        <f>E4615&amp;" - "&amp;F4615</f>
        <v/>
      </c>
      <c r="H4615" s="36" t="inlineStr">
        <is>
          <t>RAS</t>
        </is>
      </c>
      <c r="I4615" s="45" t="inlineStr"/>
      <c r="J4615" s="45" t="inlineStr">
        <is>
          <t>RNCP39794</t>
        </is>
      </c>
      <c r="K4615" s="45" t="inlineStr">
        <is>
          <t>Encadrant technique d'insertion</t>
        </is>
      </c>
      <c r="L4615" s="45" t="inlineStr">
        <is>
          <t>08/11/2029</t>
        </is>
      </c>
      <c r="M4615" s="45" t="inlineStr">
        <is>
          <t>44569 (Conseil insertion professionnelle) ; 44061 (Éducation surveillée) ; 44092 (Éducateur spécialisé)</t>
        </is>
      </c>
      <c r="N4615" s="50" t="inlineStr">
        <is>
          <t>NON</t>
        </is>
      </c>
      <c r="O4615" s="45" t="inlineStr"/>
    </row>
    <row r="4616" customFormat="1" s="3">
      <c r="A4616" s="51" t="n"/>
      <c r="B4616" s="52" t="inlineStr">
        <is>
          <t>45020</t>
        </is>
      </c>
      <c r="C4616" s="52">
        <f>LEFT(Tableau1[[#This Row],[Formacode]],3)</f>
        <v/>
      </c>
      <c r="D4616" s="53" t="n">
        <v>37742</v>
      </c>
      <c r="E4616" s="54">
        <f>"RNCP"&amp;D4616</f>
        <v/>
      </c>
      <c r="F4616" s="54" t="inlineStr">
        <is>
          <t>Initiateur aux arts du cirque</t>
        </is>
      </c>
      <c r="G4616" s="55">
        <f>E4616&amp;" - "&amp;F4616</f>
        <v/>
      </c>
      <c r="H4616" s="37" t="inlineStr">
        <is>
          <t>À vérifier</t>
        </is>
      </c>
      <c r="I4616" s="51" t="inlineStr">
        <is>
          <t>Successeur déjà publié : RNCP42506 (Initiateur aux arts du cirque) — préparer la bascule de l'offre CPF | Échéance le 19/07/2026 (dans 1 j)</t>
        </is>
      </c>
      <c r="J4616" s="51" t="inlineStr">
        <is>
          <t>RNCP42506</t>
        </is>
      </c>
      <c r="K4616" s="51" t="inlineStr">
        <is>
          <t>Initiateur aux arts du cirque</t>
        </is>
      </c>
      <c r="L4616" s="51" t="inlineStr">
        <is>
          <t>19/07/2026</t>
        </is>
      </c>
      <c r="M4616" s="51" t="inlineStr">
        <is>
          <t>44067 (Animation socioculturelle) ; 45020 (Cirque arts rue)</t>
        </is>
      </c>
      <c r="N4616" s="62" t="inlineStr">
        <is>
          <t>NON</t>
        </is>
      </c>
      <c r="O4616" s="51" t="inlineStr"/>
    </row>
    <row r="4617" customFormat="1" s="3">
      <c r="A4617" s="51" t="n"/>
      <c r="B4617" s="52" t="inlineStr">
        <is>
          <t>45027</t>
        </is>
      </c>
      <c r="C4617" s="52">
        <f>LEFT(Tableau1[[#This Row],[Formacode]],3)</f>
        <v/>
      </c>
      <c r="D4617" s="53" t="n">
        <v>36112</v>
      </c>
      <c r="E4617" s="54">
        <f>"RNCP"&amp;D4617</f>
        <v/>
      </c>
      <c r="F4617" s="54" t="inlineStr">
        <is>
          <t>CAP - Menuisier fabricant</t>
        </is>
      </c>
      <c r="G4617" s="55">
        <f>E4617&amp;" - "&amp;F4617</f>
        <v/>
      </c>
      <c r="H4617" s="37" t="inlineStr">
        <is>
          <t>À vérifier</t>
        </is>
      </c>
      <c r="I4617" s="51" t="inlineStr">
        <is>
          <t>Successeur déjà publié : RNCP41835 (Menuisier fabricant) — préparer la bascule de l'offre CPF | Échéance le 31/08/2026 (dans 44 j)</t>
        </is>
      </c>
      <c r="J4617" s="51" t="inlineStr">
        <is>
          <t>RNCP41835</t>
        </is>
      </c>
      <c r="K4617" s="51" t="inlineStr">
        <is>
          <t>Menuisier fabricant</t>
        </is>
      </c>
      <c r="L4617" s="51" t="inlineStr">
        <is>
          <t>31/08/2026</t>
        </is>
      </c>
      <c r="M4617" s="51" t="inlineStr">
        <is>
          <t>22404 (Menuiserie agencement) ; 22416 (Menuiserie bois) ; 45019 (Ameublement)</t>
        </is>
      </c>
      <c r="N4617" s="62" t="inlineStr">
        <is>
          <t>NON</t>
        </is>
      </c>
      <c r="O4617" s="51" t="inlineStr"/>
    </row>
    <row r="4618" customFormat="1" s="3">
      <c r="A4618" s="45" t="n"/>
      <c r="B4618" s="46" t="inlineStr">
        <is>
          <t>45027</t>
        </is>
      </c>
      <c r="C4618" s="46">
        <f>LEFT(Tableau1[[#This Row],[Formacode]],3)</f>
        <v/>
      </c>
      <c r="D4618" s="47" t="n">
        <v>36244</v>
      </c>
      <c r="E4618" s="48">
        <f>"RNCP"&amp;D4618</f>
        <v/>
      </c>
      <c r="F4618" s="48" t="inlineStr">
        <is>
          <t>TP - Restaurateur de meubles d'art, anciens et contemporains</t>
        </is>
      </c>
      <c r="G4618" s="49">
        <f>E4618&amp;" - "&amp;F4618</f>
        <v/>
      </c>
      <c r="H4618" s="36" t="inlineStr">
        <is>
          <t>RAS</t>
        </is>
      </c>
      <c r="I4618" s="45" t="inlineStr"/>
      <c r="J4618" s="45" t="inlineStr">
        <is>
          <t>RNCP36244</t>
        </is>
      </c>
      <c r="K4618" s="45" t="inlineStr">
        <is>
          <t>Restaurateur de meubles d'art, anciens et contemporains</t>
        </is>
      </c>
      <c r="L4618" s="45" t="inlineStr">
        <is>
          <t>05/03/2027</t>
        </is>
      </c>
      <c r="M4618" s="45" t="inlineStr">
        <is>
          <t>45019 (Ameublement) ; 45038 (Restauration objet art) ; 45582 (Ébénisterie)</t>
        </is>
      </c>
      <c r="N4618" s="50" t="inlineStr">
        <is>
          <t>NON</t>
        </is>
      </c>
      <c r="O4618" s="45" t="inlineStr"/>
    </row>
    <row r="4619" customFormat="1" s="3">
      <c r="A4619" s="45" t="n"/>
      <c r="B4619" s="46" t="inlineStr">
        <is>
          <t>45027</t>
        </is>
      </c>
      <c r="C4619" s="46">
        <f>LEFT(Tableau1[[#This Row],[Formacode]],3)</f>
        <v/>
      </c>
      <c r="D4619" s="47" t="n">
        <v>36245</v>
      </c>
      <c r="E4619" s="48">
        <f>"RNCP"&amp;D4619</f>
        <v/>
      </c>
      <c r="F4619" s="48" t="inlineStr">
        <is>
          <t>TP - Tapissier-couturier d'ameublement</t>
        </is>
      </c>
      <c r="G4619" s="49">
        <f>E4619&amp;" - "&amp;F4619</f>
        <v/>
      </c>
      <c r="H4619" s="36" t="inlineStr">
        <is>
          <t>RAS</t>
        </is>
      </c>
      <c r="I4619" s="45" t="inlineStr"/>
      <c r="J4619" s="45" t="inlineStr">
        <is>
          <t>RNCP36245</t>
        </is>
      </c>
      <c r="K4619" s="45" t="inlineStr">
        <is>
          <t>Tapissier-couturier d'ameublement</t>
        </is>
      </c>
      <c r="L4619" s="45" t="inlineStr">
        <is>
          <t>17/04/2027</t>
        </is>
      </c>
      <c r="M4619" s="45" t="inlineStr">
        <is>
          <t>45019 (Ameublement) ; 45523 (Tapisserie ameublement)</t>
        </is>
      </c>
      <c r="N4619" s="50" t="inlineStr">
        <is>
          <t>NON</t>
        </is>
      </c>
      <c r="O4619" s="45" t="inlineStr"/>
    </row>
    <row r="4620" customFormat="1" s="3">
      <c r="A4620" s="45" t="n"/>
      <c r="B4620" s="46" t="inlineStr">
        <is>
          <t>45027</t>
        </is>
      </c>
      <c r="C4620" s="46">
        <f>LEFT(Tableau1[[#This Row],[Formacode]],3)</f>
        <v/>
      </c>
      <c r="D4620" s="47" t="n">
        <v>36258</v>
      </c>
      <c r="E4620" s="48">
        <f>"RNCP"&amp;D4620</f>
        <v/>
      </c>
      <c r="F4620" s="48" t="inlineStr">
        <is>
          <t>TP - Tapissier garnisseur</t>
        </is>
      </c>
      <c r="G4620" s="49">
        <f>E4620&amp;" - "&amp;F4620</f>
        <v/>
      </c>
      <c r="H4620" s="36" t="inlineStr">
        <is>
          <t>RAS</t>
        </is>
      </c>
      <c r="I4620" s="45" t="inlineStr"/>
      <c r="J4620" s="45" t="inlineStr">
        <is>
          <t>RNCP36258</t>
        </is>
      </c>
      <c r="K4620" s="45" t="inlineStr">
        <is>
          <t>Tapissier garnisseur</t>
        </is>
      </c>
      <c r="L4620" s="45" t="inlineStr">
        <is>
          <t>11/07/2027</t>
        </is>
      </c>
      <c r="M4620" s="45" t="inlineStr">
        <is>
          <t>45523 (Tapisserie ameublement) ; 45019 (Ameublement)</t>
        </is>
      </c>
      <c r="N4620" s="50" t="inlineStr">
        <is>
          <t>NON</t>
        </is>
      </c>
      <c r="O4620" s="45" t="inlineStr"/>
    </row>
    <row r="4621" customFormat="1" s="3">
      <c r="A4621" s="45" t="n"/>
      <c r="B4621" s="46" t="inlineStr">
        <is>
          <t>45027</t>
        </is>
      </c>
      <c r="C4621" s="46">
        <f>LEFT(Tableau1[[#This Row],[Formacode]],3)</f>
        <v/>
      </c>
      <c r="D4621" s="47" t="n">
        <v>37308</v>
      </c>
      <c r="E4621" s="48">
        <f>"RNCP"&amp;D4621</f>
        <v/>
      </c>
      <c r="F4621" s="48" t="inlineStr">
        <is>
          <t>BAC PRO - Technicien fabrication bois et matériaux associés</t>
        </is>
      </c>
      <c r="G4621" s="49">
        <f>E4621&amp;" - "&amp;F4621</f>
        <v/>
      </c>
      <c r="H4621" s="36" t="inlineStr">
        <is>
          <t>RAS</t>
        </is>
      </c>
      <c r="I4621" s="45" t="inlineStr"/>
      <c r="J4621" s="45" t="inlineStr">
        <is>
          <t>RNCP37308</t>
        </is>
      </c>
      <c r="K4621" s="45" t="inlineStr">
        <is>
          <t>Technicien fabrication bois et matériaux associés</t>
        </is>
      </c>
      <c r="L4621" s="45" t="inlineStr">
        <is>
          <t>31/08/2028</t>
        </is>
      </c>
      <c r="M4621" s="45" t="inlineStr">
        <is>
          <t>45019 (Ameublement) ; 22313 (Charpente bois) ; 22416 (Menuiserie bois)</t>
        </is>
      </c>
      <c r="N4621" s="50" t="inlineStr">
        <is>
          <t>NON</t>
        </is>
      </c>
      <c r="O4621" s="45" t="inlineStr"/>
    </row>
    <row r="4622" customFormat="1" s="3">
      <c r="A4622" s="51" t="n"/>
      <c r="B4622" s="52" t="inlineStr">
        <is>
          <t>45027</t>
        </is>
      </c>
      <c r="C4622" s="52">
        <f>LEFT(Tableau1[[#This Row],[Formacode]],3)</f>
        <v/>
      </c>
      <c r="D4622" s="53" t="n">
        <v>37828</v>
      </c>
      <c r="E4622" s="54">
        <f>"RNCP"&amp;D4622</f>
        <v/>
      </c>
      <c r="F4622" s="54" t="inlineStr">
        <is>
          <t>Designer créateur de produit de mode et textile</t>
        </is>
      </c>
      <c r="G4622" s="55">
        <f>E4622&amp;" - "&amp;F4622</f>
        <v/>
      </c>
      <c r="H4622" s="37" t="inlineStr">
        <is>
          <t>À vérifier</t>
        </is>
      </c>
      <c r="I4622" s="51" t="inlineStr">
        <is>
          <t>Échéance le 19/07/2026 (dans 1 j)</t>
        </is>
      </c>
      <c r="J4622" s="51" t="inlineStr">
        <is>
          <t>RNCP37828</t>
        </is>
      </c>
      <c r="K4622" s="51" t="inlineStr">
        <is>
          <t>Designer créateur de produit de mode et textile</t>
        </is>
      </c>
      <c r="L4622" s="51" t="inlineStr">
        <is>
          <t>19/07/2026</t>
        </is>
      </c>
      <c r="M4622" s="51" t="inlineStr">
        <is>
          <t>21775 (Stylisme habillement) ; 21627 (Création textile) ; 21752 (Accessoire mode) ; 45027 (Art appliqué) ; 46081 (Création graphique)</t>
        </is>
      </c>
      <c r="N4622" s="62" t="inlineStr">
        <is>
          <t>NON</t>
        </is>
      </c>
      <c r="O4622" s="51" t="inlineStr"/>
    </row>
    <row r="4623" customFormat="1" s="3">
      <c r="A4623" s="51" t="n"/>
      <c r="B4623" s="52" t="inlineStr">
        <is>
          <t>45027</t>
        </is>
      </c>
      <c r="C4623" s="52">
        <f>LEFT(Tableau1[[#This Row],[Formacode]],3)</f>
        <v/>
      </c>
      <c r="D4623" s="53" t="n">
        <v>37842</v>
      </c>
      <c r="E4623" s="54">
        <f>"RNCP"&amp;D4623</f>
        <v/>
      </c>
      <c r="F4623" s="54" t="inlineStr">
        <is>
          <t>Chef de projet design d'espace et produit</t>
        </is>
      </c>
      <c r="G4623" s="55">
        <f>E4623&amp;" - "&amp;F4623</f>
        <v/>
      </c>
      <c r="H4623" s="37" t="inlineStr">
        <is>
          <t>À vérifier</t>
        </is>
      </c>
      <c r="I4623" s="51" t="inlineStr">
        <is>
          <t>Successeur déjà publié : RNCP42478 (Designer en aménagement intérieur et scénographie) — préparer la bascule de l'offre CPF | Échéance le 19/07/2026 (dans 1 j)</t>
        </is>
      </c>
      <c r="J4623" s="51" t="inlineStr">
        <is>
          <t>RNCP42478</t>
        </is>
      </c>
      <c r="K4623" s="51" t="inlineStr">
        <is>
          <t>Designer en aménagement intérieur et scénographie</t>
        </is>
      </c>
      <c r="L4623" s="51" t="inlineStr">
        <is>
          <t>19/07/2026</t>
        </is>
      </c>
      <c r="M4623" s="51" t="inlineStr">
        <is>
          <t>45015 (Architecture intérieure) ; 34597 (Marchandisage)</t>
        </is>
      </c>
      <c r="N4623" s="62" t="inlineStr">
        <is>
          <t>NON</t>
        </is>
      </c>
      <c r="O4623" s="51" t="inlineStr"/>
    </row>
    <row r="4624" customFormat="1" s="3">
      <c r="A4624" s="51" t="n"/>
      <c r="B4624" s="52" t="inlineStr">
        <is>
          <t>45027</t>
        </is>
      </c>
      <c r="C4624" s="52">
        <f>LEFT(Tableau1[[#This Row],[Formacode]],3)</f>
        <v/>
      </c>
      <c r="D4624" s="53" t="n">
        <v>37911</v>
      </c>
      <c r="E4624" s="54">
        <f>"RNCP"&amp;D4624</f>
        <v/>
      </c>
      <c r="F4624" s="54" t="inlineStr">
        <is>
          <t>BAC PRO - Etude et réalisation d'agencement</t>
        </is>
      </c>
      <c r="G4624" s="55">
        <f>E4624&amp;" - "&amp;F4624</f>
        <v/>
      </c>
      <c r="H4624" s="37" t="inlineStr">
        <is>
          <t>À vérifier</t>
        </is>
      </c>
      <c r="I4624" s="51" t="inlineStr">
        <is>
          <t>Successeur déjà publié : RNCP41837 (Etude et réalisation d'agencement) — préparer la bascule de l'offre CPF | Échéance le 31/08/2026 (dans 44 j)</t>
        </is>
      </c>
      <c r="J4624" s="51" t="inlineStr">
        <is>
          <t>RNCP41837</t>
        </is>
      </c>
      <c r="K4624" s="51" t="inlineStr">
        <is>
          <t>Etude et réalisation d'agencement</t>
        </is>
      </c>
      <c r="L4624" s="51" t="inlineStr">
        <is>
          <t>31/08/2026</t>
        </is>
      </c>
      <c r="M4624" s="51" t="inlineStr">
        <is>
          <t>45015 (Architecture intérieure) ; 22404 (Menuiserie agencement)</t>
        </is>
      </c>
      <c r="N4624" s="62" t="inlineStr">
        <is>
          <t>NON</t>
        </is>
      </c>
      <c r="O4624" s="51" t="inlineStr"/>
    </row>
    <row r="4625" customFormat="1" s="3">
      <c r="A4625" s="51" t="n"/>
      <c r="B4625" s="52" t="inlineStr">
        <is>
          <t>45027</t>
        </is>
      </c>
      <c r="C4625" s="52">
        <f>LEFT(Tableau1[[#This Row],[Formacode]],3)</f>
        <v/>
      </c>
      <c r="D4625" s="53" t="n">
        <v>38012</v>
      </c>
      <c r="E4625" s="54">
        <f>"RNCP"&amp;D4625</f>
        <v/>
      </c>
      <c r="F4625" s="54" t="inlineStr">
        <is>
          <t>Designer en architecture d'intérieur</t>
        </is>
      </c>
      <c r="G4625" s="55">
        <f>E4625&amp;" - "&amp;F4625</f>
        <v/>
      </c>
      <c r="H4625" s="37" t="inlineStr">
        <is>
          <t>À vérifier</t>
        </is>
      </c>
      <c r="I4625" s="51" t="inlineStr">
        <is>
          <t>Échéance le 20/09/2026 (dans 64 j)</t>
        </is>
      </c>
      <c r="J4625" s="51" t="inlineStr">
        <is>
          <t>RNCP38012</t>
        </is>
      </c>
      <c r="K4625" s="51" t="inlineStr">
        <is>
          <t>Designer en architecture d'intérieur</t>
        </is>
      </c>
      <c r="L4625" s="51" t="inlineStr">
        <is>
          <t>20/09/2026</t>
        </is>
      </c>
      <c r="M4625" s="51" t="inlineStr">
        <is>
          <t>45015 (Architecture intérieure)</t>
        </is>
      </c>
      <c r="N4625" s="62" t="inlineStr">
        <is>
          <t>NON</t>
        </is>
      </c>
      <c r="O4625" s="51" t="inlineStr"/>
    </row>
    <row r="4626" customFormat="1" s="3">
      <c r="A4626" s="51" t="n"/>
      <c r="B4626" s="52" t="inlineStr">
        <is>
          <t>45027</t>
        </is>
      </c>
      <c r="C4626" s="52">
        <f>LEFT(Tableau1[[#This Row],[Formacode]],3)</f>
        <v/>
      </c>
      <c r="D4626" s="53" t="n">
        <v>38022</v>
      </c>
      <c r="E4626" s="54">
        <f>"RNCP"&amp;D4626</f>
        <v/>
      </c>
      <c r="F4626" s="54" t="inlineStr">
        <is>
          <t>Designer en architecture d'intérieur</t>
        </is>
      </c>
      <c r="G4626" s="55">
        <f>E4626&amp;" - "&amp;F4626</f>
        <v/>
      </c>
      <c r="H4626" s="37" t="inlineStr">
        <is>
          <t>À vérifier</t>
        </is>
      </c>
      <c r="I4626" s="51" t="inlineStr">
        <is>
          <t>Échéance le 20/09/2026 (dans 64 j)</t>
        </is>
      </c>
      <c r="J4626" s="51" t="inlineStr">
        <is>
          <t>RNCP38022</t>
        </is>
      </c>
      <c r="K4626" s="51" t="inlineStr">
        <is>
          <t>Designer en architecture d'intérieur</t>
        </is>
      </c>
      <c r="L4626" s="51" t="inlineStr">
        <is>
          <t>20/09/2026</t>
        </is>
      </c>
      <c r="M4626" s="51" t="inlineStr">
        <is>
          <t>45015 (Architecture intérieure) ; 22212 (Architecture bioclimatique)</t>
        </is>
      </c>
      <c r="N4626" s="62" t="inlineStr">
        <is>
          <t>NON</t>
        </is>
      </c>
      <c r="O4626" s="51" t="inlineStr"/>
    </row>
    <row r="4627" customFormat="1" s="3">
      <c r="A4627" s="45" t="n"/>
      <c r="B4627" s="46" t="inlineStr">
        <is>
          <t>45027</t>
        </is>
      </c>
      <c r="C4627" s="46">
        <f>LEFT(Tableau1[[#This Row],[Formacode]],3)</f>
        <v/>
      </c>
      <c r="D4627" s="47" t="n">
        <v>38349</v>
      </c>
      <c r="E4627" s="48">
        <f>"RNCP"&amp;D4627</f>
        <v/>
      </c>
      <c r="F4627" s="48" t="inlineStr">
        <is>
          <t>BTSA - Aménagements paysagers</t>
        </is>
      </c>
      <c r="G4627" s="49">
        <f>E4627&amp;" - "&amp;F4627</f>
        <v/>
      </c>
      <c r="H4627" s="36" t="inlineStr">
        <is>
          <t>RAS</t>
        </is>
      </c>
      <c r="I4627" s="45" t="inlineStr"/>
      <c r="J4627" s="45" t="inlineStr">
        <is>
          <t>RNCP38349</t>
        </is>
      </c>
      <c r="K4627" s="45" t="inlineStr">
        <is>
          <t>Aménagements paysagers</t>
        </is>
      </c>
      <c r="L4627" s="45" t="inlineStr">
        <is>
          <t>31/08/2029</t>
        </is>
      </c>
      <c r="M4627" s="45" t="inlineStr">
        <is>
          <t>21046 (Travaux paysagers) ; 45009 (Architecture paysagère)</t>
        </is>
      </c>
      <c r="N4627" s="50" t="inlineStr">
        <is>
          <t>NON</t>
        </is>
      </c>
      <c r="O4627" s="45" t="inlineStr"/>
    </row>
    <row r="4628" customFormat="1" s="3">
      <c r="A4628" s="45" t="n"/>
      <c r="B4628" s="46" t="inlineStr">
        <is>
          <t>45027</t>
        </is>
      </c>
      <c r="C4628" s="46">
        <f>LEFT(Tableau1[[#This Row],[Formacode]],3)</f>
        <v/>
      </c>
      <c r="D4628" s="47" t="n">
        <v>38383</v>
      </c>
      <c r="E4628" s="48">
        <f>"RNCP"&amp;D4628</f>
        <v/>
      </c>
      <c r="F4628" s="48" t="inlineStr">
        <is>
          <t>BTS - Etude et réalisation d'agencement</t>
        </is>
      </c>
      <c r="G4628" s="49">
        <f>E4628&amp;" - "&amp;F4628</f>
        <v/>
      </c>
      <c r="H4628" s="36" t="inlineStr">
        <is>
          <t>RAS</t>
        </is>
      </c>
      <c r="I4628" s="45" t="inlineStr"/>
      <c r="J4628" s="45" t="inlineStr">
        <is>
          <t>RNCP38383</t>
        </is>
      </c>
      <c r="K4628" s="45" t="inlineStr">
        <is>
          <t>Etude et réalisation d'agencement</t>
        </is>
      </c>
      <c r="L4628" s="45" t="inlineStr">
        <is>
          <t>31/12/2028</t>
        </is>
      </c>
      <c r="M4628" s="45" t="inlineStr">
        <is>
          <t>45015 (Architecture intérieure) ; 22454 (Bâtiment second oeuvre)</t>
        </is>
      </c>
      <c r="N4628" s="50" t="inlineStr">
        <is>
          <t>NON</t>
        </is>
      </c>
      <c r="O4628" s="45" t="inlineStr"/>
    </row>
    <row r="4629" customFormat="1" s="3">
      <c r="A4629" s="45" t="n"/>
      <c r="B4629" s="46" t="inlineStr">
        <is>
          <t>45027</t>
        </is>
      </c>
      <c r="C4629" s="46">
        <f>LEFT(Tableau1[[#This Row],[Formacode]],3)</f>
        <v/>
      </c>
      <c r="D4629" s="47" t="n">
        <v>38522</v>
      </c>
      <c r="E4629" s="48">
        <f>"RNCP"&amp;D4629</f>
        <v/>
      </c>
      <c r="F4629" s="48" t="inlineStr">
        <is>
          <t>Architecte d'intérieur</t>
        </is>
      </c>
      <c r="G4629" s="49">
        <f>E4629&amp;" - "&amp;F4629</f>
        <v/>
      </c>
      <c r="H4629" s="36" t="inlineStr">
        <is>
          <t>RAS</t>
        </is>
      </c>
      <c r="I4629" s="45" t="inlineStr"/>
      <c r="J4629" s="45" t="inlineStr">
        <is>
          <t>RNCP38522</t>
        </is>
      </c>
      <c r="K4629" s="45" t="inlineStr">
        <is>
          <t>Architecte d'intérieur</t>
        </is>
      </c>
      <c r="L4629" s="45" t="inlineStr">
        <is>
          <t>21/12/2028</t>
        </is>
      </c>
      <c r="M4629" s="45" t="inlineStr">
        <is>
          <t>45015 (Architecture intérieure)</t>
        </is>
      </c>
      <c r="N4629" s="50" t="inlineStr">
        <is>
          <t>NON</t>
        </is>
      </c>
      <c r="O4629" s="45" t="inlineStr"/>
    </row>
    <row r="4630" customFormat="1" s="3">
      <c r="A4630" s="45" t="n"/>
      <c r="B4630" s="46" t="inlineStr">
        <is>
          <t>45027</t>
        </is>
      </c>
      <c r="C4630" s="46">
        <f>LEFT(Tableau1[[#This Row],[Formacode]],3)</f>
        <v/>
      </c>
      <c r="D4630" s="47" t="n">
        <v>39589</v>
      </c>
      <c r="E4630" s="48">
        <f>"RNCP"&amp;D4630</f>
        <v/>
      </c>
      <c r="F4630" s="48" t="inlineStr">
        <is>
          <t>Architecte d'intérieur</t>
        </is>
      </c>
      <c r="G4630" s="49">
        <f>E4630&amp;" - "&amp;F4630</f>
        <v/>
      </c>
      <c r="H4630" s="36" t="inlineStr">
        <is>
          <t>RAS</t>
        </is>
      </c>
      <c r="I4630" s="45" t="inlineStr"/>
      <c r="J4630" s="45" t="inlineStr">
        <is>
          <t>RNCP39589</t>
        </is>
      </c>
      <c r="K4630" s="45" t="inlineStr">
        <is>
          <t>Architecte d'intérieur</t>
        </is>
      </c>
      <c r="L4630" s="45" t="inlineStr">
        <is>
          <t>01/10/2027</t>
        </is>
      </c>
      <c r="M4630" s="45" t="inlineStr">
        <is>
          <t>45015 (Architecture intérieure)</t>
        </is>
      </c>
      <c r="N4630" s="50" t="inlineStr">
        <is>
          <t>NON</t>
        </is>
      </c>
      <c r="O4630" s="45" t="inlineStr"/>
    </row>
    <row r="4631" customFormat="1" s="3">
      <c r="A4631" s="45" t="n"/>
      <c r="B4631" s="46" t="inlineStr">
        <is>
          <t>45027</t>
        </is>
      </c>
      <c r="C4631" s="46">
        <f>LEFT(Tableau1[[#This Row],[Formacode]],3)</f>
        <v/>
      </c>
      <c r="D4631" s="47" t="n">
        <v>39648</v>
      </c>
      <c r="E4631" s="48">
        <f>"RNCP"&amp;D4631</f>
        <v/>
      </c>
      <c r="F4631" s="48" t="inlineStr">
        <is>
          <t>CAP - Menuisier en sièges</t>
        </is>
      </c>
      <c r="G4631" s="49">
        <f>E4631&amp;" - "&amp;F4631</f>
        <v/>
      </c>
      <c r="H4631" s="36" t="inlineStr">
        <is>
          <t>RAS</t>
        </is>
      </c>
      <c r="I4631" s="45" t="inlineStr"/>
      <c r="J4631" s="45" t="inlineStr">
        <is>
          <t>RNCP39648</t>
        </is>
      </c>
      <c r="K4631" s="45" t="inlineStr">
        <is>
          <t>Menuisier en sièges</t>
        </is>
      </c>
      <c r="L4631" s="45" t="inlineStr">
        <is>
          <t>31/08/2027</t>
        </is>
      </c>
      <c r="M4631" s="45" t="inlineStr">
        <is>
          <t>45554 (Artisanat art) ; 45019 (Ameublement) ; 22881 (Bois) ; 22416 (Menuiserie bois)</t>
        </is>
      </c>
      <c r="N4631" s="50" t="inlineStr">
        <is>
          <t>NON</t>
        </is>
      </c>
      <c r="O4631" s="45" t="inlineStr"/>
    </row>
    <row r="4632" customFormat="1" s="3">
      <c r="A4632" s="45" t="n"/>
      <c r="B4632" s="46" t="inlineStr">
        <is>
          <t>45027</t>
        </is>
      </c>
      <c r="C4632" s="46">
        <f>LEFT(Tableau1[[#This Row],[Formacode]],3)</f>
        <v/>
      </c>
      <c r="D4632" s="47" t="n">
        <v>39747</v>
      </c>
      <c r="E4632" s="48">
        <f>"RNCP"&amp;D4632</f>
        <v/>
      </c>
      <c r="F4632" s="48" t="inlineStr">
        <is>
          <t>Architecte d'intérieur</t>
        </is>
      </c>
      <c r="G4632" s="49">
        <f>E4632&amp;" - "&amp;F4632</f>
        <v/>
      </c>
      <c r="H4632" s="36" t="inlineStr">
        <is>
          <t>RAS</t>
        </is>
      </c>
      <c r="I4632" s="45" t="inlineStr"/>
      <c r="J4632" s="45" t="inlineStr">
        <is>
          <t>RNCP39747</t>
        </is>
      </c>
      <c r="K4632" s="45" t="inlineStr">
        <is>
          <t>Architecte d'intérieur</t>
        </is>
      </c>
      <c r="L4632" s="45" t="inlineStr">
        <is>
          <t>31/10/2029</t>
        </is>
      </c>
      <c r="M4632" s="45" t="inlineStr">
        <is>
          <t>45015 (Architecture intérieure)</t>
        </is>
      </c>
      <c r="N4632" s="50" t="inlineStr">
        <is>
          <t>NON</t>
        </is>
      </c>
      <c r="O4632" s="45" t="inlineStr"/>
    </row>
    <row r="4633" customFormat="1" s="3">
      <c r="A4633" s="51" t="n"/>
      <c r="B4633" s="52" t="inlineStr">
        <is>
          <t>45027</t>
        </is>
      </c>
      <c r="C4633" s="52">
        <f>LEFT(Tableau1[[#This Row],[Formacode]],3)</f>
        <v/>
      </c>
      <c r="D4633" s="53" t="n">
        <v>40003</v>
      </c>
      <c r="E4633" s="54">
        <f>"RNCP"&amp;D4633</f>
        <v/>
      </c>
      <c r="F4633" s="54" t="inlineStr">
        <is>
          <t>Décorateur</t>
        </is>
      </c>
      <c r="G4633" s="55">
        <f>E4633&amp;" - "&amp;F4633</f>
        <v/>
      </c>
      <c r="H4633" s="37" t="inlineStr">
        <is>
          <t>À vérifier</t>
        </is>
      </c>
      <c r="I4633" s="51" t="inlineStr">
        <is>
          <t>Échéance le 18/12/2026 (dans 153 j)</t>
        </is>
      </c>
      <c r="J4633" s="51" t="inlineStr">
        <is>
          <t>RNCP40003</t>
        </is>
      </c>
      <c r="K4633" s="51" t="inlineStr">
        <is>
          <t>Décorateur</t>
        </is>
      </c>
      <c r="L4633" s="51" t="inlineStr">
        <is>
          <t>18/12/2026</t>
        </is>
      </c>
      <c r="M4633" s="51" t="inlineStr">
        <is>
          <t>22404 (Menuiserie agencement) ; 45015 (Architecture intérieure)</t>
        </is>
      </c>
      <c r="N4633" s="62" t="inlineStr">
        <is>
          <t>NON</t>
        </is>
      </c>
      <c r="O4633" s="51" t="inlineStr"/>
    </row>
    <row r="4634" customFormat="1" s="3">
      <c r="A4634" s="45" t="n"/>
      <c r="B4634" s="46" t="inlineStr">
        <is>
          <t>45027</t>
        </is>
      </c>
      <c r="C4634" s="46">
        <f>LEFT(Tableau1[[#This Row],[Formacode]],3)</f>
        <v/>
      </c>
      <c r="D4634" s="47" t="n">
        <v>40348</v>
      </c>
      <c r="E4634" s="48">
        <f>"RNCP"&amp;D4634</f>
        <v/>
      </c>
      <c r="F4634" s="48" t="inlineStr">
        <is>
          <t>Expert en accompagnement à la transition par la bioinspiration et le design (MS)</t>
        </is>
      </c>
      <c r="G4634" s="49">
        <f>E4634&amp;" - "&amp;F4634</f>
        <v/>
      </c>
      <c r="H4634" s="36" t="inlineStr">
        <is>
          <t>RAS</t>
        </is>
      </c>
      <c r="I4634" s="45" t="inlineStr"/>
      <c r="J4634" s="45" t="inlineStr">
        <is>
          <t>RNCP40348</t>
        </is>
      </c>
      <c r="K4634" s="45" t="inlineStr">
        <is>
          <t>Expert en accompagnement à la transition par la bioinspiration et le design (MS)</t>
        </is>
      </c>
      <c r="L4634" s="45" t="inlineStr">
        <is>
          <t>28/03/2028</t>
        </is>
      </c>
      <c r="M4634" s="45" t="inlineStr">
        <is>
          <t>12046 (Biologie) ; 45027 (Art appliqué) ; 12587 (Management environnemental) ; 12585 (Conseil environnement)</t>
        </is>
      </c>
      <c r="N4634" s="50" t="inlineStr">
        <is>
          <t>NON</t>
        </is>
      </c>
      <c r="O4634" s="45" t="inlineStr"/>
    </row>
    <row r="4635" customFormat="1" s="3">
      <c r="A4635" s="45" t="n"/>
      <c r="B4635" s="46" t="inlineStr">
        <is>
          <t>45027</t>
        </is>
      </c>
      <c r="C4635" s="46">
        <f>LEFT(Tableau1[[#This Row],[Formacode]],3)</f>
        <v/>
      </c>
      <c r="D4635" s="47" t="n">
        <v>40590</v>
      </c>
      <c r="E4635" s="48">
        <f>"RNCP"&amp;D4635</f>
        <v/>
      </c>
      <c r="F4635" s="48" t="inlineStr">
        <is>
          <t>Dessinateur illustrateur</t>
        </is>
      </c>
      <c r="G4635" s="49">
        <f>E4635&amp;" - "&amp;F4635</f>
        <v/>
      </c>
      <c r="H4635" s="36" t="inlineStr">
        <is>
          <t>RAS</t>
        </is>
      </c>
      <c r="I4635" s="45" t="inlineStr"/>
      <c r="J4635" s="45" t="inlineStr">
        <is>
          <t>RNCP40590</t>
        </is>
      </c>
      <c r="K4635" s="45" t="inlineStr">
        <is>
          <t>Dessinateur illustrateur</t>
        </is>
      </c>
      <c r="L4635" s="45" t="inlineStr">
        <is>
          <t>30/04/2028</t>
        </is>
      </c>
      <c r="M4635" s="45" t="inlineStr">
        <is>
          <t>45027 (Art appliqué) ; 45048 (Bande dessinée)</t>
        </is>
      </c>
      <c r="N4635" s="50" t="inlineStr">
        <is>
          <t>NON</t>
        </is>
      </c>
      <c r="O4635" s="45" t="inlineStr"/>
    </row>
    <row r="4636" customFormat="1" s="3">
      <c r="A4636" s="45" t="n"/>
      <c r="B4636" s="46" t="inlineStr">
        <is>
          <t>45027</t>
        </is>
      </c>
      <c r="C4636" s="46">
        <f>LEFT(Tableau1[[#This Row],[Formacode]],3)</f>
        <v/>
      </c>
      <c r="D4636" s="47" t="n">
        <v>40869</v>
      </c>
      <c r="E4636" s="48">
        <f>"RNCP"&amp;D4636</f>
        <v/>
      </c>
      <c r="F4636" s="48" t="inlineStr">
        <is>
          <t>Décorateur d’intérieur et aménagement d’espace</t>
        </is>
      </c>
      <c r="G4636" s="49">
        <f>E4636&amp;" - "&amp;F4636</f>
        <v/>
      </c>
      <c r="H4636" s="36" t="inlineStr">
        <is>
          <t>RAS</t>
        </is>
      </c>
      <c r="I4636" s="45" t="inlineStr"/>
      <c r="J4636" s="45" t="inlineStr">
        <is>
          <t>RNCP40869</t>
        </is>
      </c>
      <c r="K4636" s="45" t="inlineStr">
        <is>
          <t>Décorateur d’intérieur et aménagement d’espace</t>
        </is>
      </c>
      <c r="L4636" s="45" t="inlineStr">
        <is>
          <t>25/06/2027</t>
        </is>
      </c>
      <c r="M4636" s="45" t="inlineStr">
        <is>
          <t>45015 (Architecture intérieure) ; 45501 (Peinture décorative) ; 22408 (Cuisine salle de bains) ; 42159 (Valorisation immobilière)</t>
        </is>
      </c>
      <c r="N4636" s="50" t="inlineStr">
        <is>
          <t>NON</t>
        </is>
      </c>
      <c r="O4636" s="45" t="inlineStr"/>
    </row>
    <row r="4637" customFormat="1" s="3">
      <c r="A4637" s="45" t="n"/>
      <c r="B4637" s="46" t="inlineStr">
        <is>
          <t>45027</t>
        </is>
      </c>
      <c r="C4637" s="46">
        <f>LEFT(Tableau1[[#This Row],[Formacode]],3)</f>
        <v/>
      </c>
      <c r="D4637" s="47" t="n">
        <v>41112</v>
      </c>
      <c r="E4637" s="48">
        <f>"RNCP"&amp;D4637</f>
        <v/>
      </c>
      <c r="F4637" s="48" t="inlineStr">
        <is>
          <t>Designer en architecture d'intérieur</t>
        </is>
      </c>
      <c r="G4637" s="49">
        <f>E4637&amp;" - "&amp;F4637</f>
        <v/>
      </c>
      <c r="H4637" s="36" t="inlineStr">
        <is>
          <t>RAS</t>
        </is>
      </c>
      <c r="I4637" s="45" t="inlineStr"/>
      <c r="J4637" s="45" t="inlineStr">
        <is>
          <t>RNCP41112</t>
        </is>
      </c>
      <c r="K4637" s="45" t="inlineStr">
        <is>
          <t>Designer en architecture d'intérieur</t>
        </is>
      </c>
      <c r="L4637" s="45" t="inlineStr">
        <is>
          <t>18/07/2027</t>
        </is>
      </c>
      <c r="M4637" s="45" t="inlineStr">
        <is>
          <t>45015 (Architecture intérieure)</t>
        </is>
      </c>
      <c r="N4637" s="50" t="inlineStr">
        <is>
          <t>NON</t>
        </is>
      </c>
      <c r="O4637" s="45" t="inlineStr"/>
    </row>
    <row r="4638" customFormat="1" s="3">
      <c r="A4638" s="45" t="n"/>
      <c r="B4638" s="46" t="inlineStr">
        <is>
          <t>45027</t>
        </is>
      </c>
      <c r="C4638" s="46">
        <f>LEFT(Tableau1[[#This Row],[Formacode]],3)</f>
        <v/>
      </c>
      <c r="D4638" s="47" t="n">
        <v>41300</v>
      </c>
      <c r="E4638" s="48">
        <f>"RNCP"&amp;D4638</f>
        <v/>
      </c>
      <c r="F4638" s="48" t="inlineStr">
        <is>
          <t>Créateur de produits technologiques et durables (MS)</t>
        </is>
      </c>
      <c r="G4638" s="49">
        <f>E4638&amp;" - "&amp;F4638</f>
        <v/>
      </c>
      <c r="H4638" s="36" t="inlineStr">
        <is>
          <t>RAS</t>
        </is>
      </c>
      <c r="I4638" s="45" t="inlineStr"/>
      <c r="J4638" s="45" t="inlineStr">
        <is>
          <t>RNCP41300</t>
        </is>
      </c>
      <c r="K4638" s="45" t="inlineStr">
        <is>
          <t>Créateur de produits technologiques et durables (MS)</t>
        </is>
      </c>
      <c r="L4638" s="45" t="inlineStr">
        <is>
          <t>24/09/2030</t>
        </is>
      </c>
      <c r="M4638" s="45" t="inlineStr">
        <is>
          <t>12522 (Développement durable) ; 45027 (Art appliqué) ; 31684 (CAO) ; 31028 (Intelligence artificielle) ; 31606 (Conduite projet industriel)</t>
        </is>
      </c>
      <c r="N4638" s="50" t="inlineStr">
        <is>
          <t>NON</t>
        </is>
      </c>
      <c r="O4638" s="45" t="inlineStr"/>
    </row>
    <row r="4639" customFormat="1" s="3">
      <c r="A4639" s="45" t="n"/>
      <c r="B4639" s="46" t="inlineStr">
        <is>
          <t>45027</t>
        </is>
      </c>
      <c r="C4639" s="46">
        <f>LEFT(Tableau1[[#This Row],[Formacode]],3)</f>
        <v/>
      </c>
      <c r="D4639" s="47" t="n">
        <v>41355</v>
      </c>
      <c r="E4639" s="48">
        <f>"RNCP"&amp;D4639</f>
        <v/>
      </c>
      <c r="F4639" s="48" t="inlineStr">
        <is>
          <t>Designer global</t>
        </is>
      </c>
      <c r="G4639" s="49">
        <f>E4639&amp;" - "&amp;F4639</f>
        <v/>
      </c>
      <c r="H4639" s="36" t="inlineStr">
        <is>
          <t>RAS</t>
        </is>
      </c>
      <c r="I4639" s="45" t="inlineStr"/>
      <c r="J4639" s="45" t="inlineStr">
        <is>
          <t>RNCP41355</t>
        </is>
      </c>
      <c r="K4639" s="45" t="inlineStr">
        <is>
          <t>Designer global</t>
        </is>
      </c>
      <c r="L4639" s="45" t="inlineStr">
        <is>
          <t>24/09/2028</t>
        </is>
      </c>
      <c r="M4639" s="45" t="inlineStr">
        <is>
          <t>45015 (Architecture intérieure)</t>
        </is>
      </c>
      <c r="N4639" s="50" t="inlineStr">
        <is>
          <t>NON</t>
        </is>
      </c>
      <c r="O4639" s="45" t="inlineStr"/>
    </row>
    <row r="4640" customFormat="1" s="3">
      <c r="A4640" s="45" t="n"/>
      <c r="B4640" s="46" t="inlineStr">
        <is>
          <t>45027</t>
        </is>
      </c>
      <c r="C4640" s="46">
        <f>LEFT(Tableau1[[#This Row],[Formacode]],3)</f>
        <v/>
      </c>
      <c r="D4640" s="47" t="n">
        <v>41357</v>
      </c>
      <c r="E4640" s="48">
        <f>"RNCP"&amp;D4640</f>
        <v/>
      </c>
      <c r="F4640" s="48" t="inlineStr">
        <is>
          <t>Designer en espaces intérieurs</t>
        </is>
      </c>
      <c r="G4640" s="49">
        <f>E4640&amp;" - "&amp;F4640</f>
        <v/>
      </c>
      <c r="H4640" s="36" t="inlineStr">
        <is>
          <t>RAS</t>
        </is>
      </c>
      <c r="I4640" s="45" t="inlineStr"/>
      <c r="J4640" s="45" t="inlineStr">
        <is>
          <t>RNCP41357</t>
        </is>
      </c>
      <c r="K4640" s="45" t="inlineStr">
        <is>
          <t>Designer en espaces intérieurs</t>
        </is>
      </c>
      <c r="L4640" s="45" t="inlineStr">
        <is>
          <t>24/09/2028</t>
        </is>
      </c>
      <c r="M4640" s="45" t="inlineStr">
        <is>
          <t>45015 (Architecture intérieure) ; 42159 (Valorisation immobilière) ; 45501 (Peinture décorative) ; 22408 (Cuisine salle de bains)</t>
        </is>
      </c>
      <c r="N4640" s="50" t="inlineStr">
        <is>
          <t>NON</t>
        </is>
      </c>
      <c r="O4640" s="45" t="inlineStr"/>
    </row>
    <row r="4641" customFormat="1" s="3">
      <c r="A4641" s="45" t="n"/>
      <c r="B4641" s="46" t="inlineStr">
        <is>
          <t>45027</t>
        </is>
      </c>
      <c r="C4641" s="46">
        <f>LEFT(Tableau1[[#This Row],[Formacode]],3)</f>
        <v/>
      </c>
      <c r="D4641" s="47" t="n">
        <v>41386</v>
      </c>
      <c r="E4641" s="48">
        <f>"RNCP"&amp;D4641</f>
        <v/>
      </c>
      <c r="F4641" s="48" t="inlineStr">
        <is>
          <t>Grade_Master - Créateur industriel</t>
        </is>
      </c>
      <c r="G4641" s="49">
        <f>E4641&amp;" - "&amp;F4641</f>
        <v/>
      </c>
      <c r="H4641" s="36" t="inlineStr">
        <is>
          <t>RAS</t>
        </is>
      </c>
      <c r="I4641" s="45" t="inlineStr"/>
      <c r="J4641" s="45" t="inlineStr">
        <is>
          <t>RNCP41386</t>
        </is>
      </c>
      <c r="K4641" s="45" t="inlineStr">
        <is>
          <t>Créateur industriel</t>
        </is>
      </c>
      <c r="L4641" s="45" t="inlineStr">
        <is>
          <t>28/08/2030</t>
        </is>
      </c>
      <c r="M4641" s="45" t="inlineStr">
        <is>
          <t>45006 (Esthétique industrielle) ; 32135 (Conduite projet) ; 32070 (Innovation entreprise) ; 13027 (Politique publique) ; 13175 (Économie sociale)</t>
        </is>
      </c>
      <c r="N4641" s="50" t="inlineStr">
        <is>
          <t>NON</t>
        </is>
      </c>
      <c r="O4641" s="45" t="inlineStr"/>
    </row>
    <row r="4642" customFormat="1" s="3">
      <c r="A4642" s="45" t="n"/>
      <c r="B4642" s="46" t="inlineStr">
        <is>
          <t>45027</t>
        </is>
      </c>
      <c r="C4642" s="46">
        <f>LEFT(Tableau1[[#This Row],[Formacode]],3)</f>
        <v/>
      </c>
      <c r="D4642" s="47" t="n">
        <v>41709</v>
      </c>
      <c r="E4642" s="48">
        <f>"RNCP"&amp;D4642</f>
        <v/>
      </c>
      <c r="F4642" s="48" t="inlineStr">
        <is>
          <t>Architecte d'intérieur - designer</t>
        </is>
      </c>
      <c r="G4642" s="49">
        <f>E4642&amp;" - "&amp;F4642</f>
        <v/>
      </c>
      <c r="H4642" s="36" t="inlineStr">
        <is>
          <t>RAS</t>
        </is>
      </c>
      <c r="I4642" s="45" t="inlineStr"/>
      <c r="J4642" s="45" t="inlineStr">
        <is>
          <t>RNCP41709</t>
        </is>
      </c>
      <c r="K4642" s="45" t="inlineStr">
        <is>
          <t>Architecte d'intérieur - designer</t>
        </is>
      </c>
      <c r="L4642" s="45" t="inlineStr">
        <is>
          <t>27/11/2028</t>
        </is>
      </c>
      <c r="M4642" s="45" t="inlineStr">
        <is>
          <t>45015 (Architecture intérieure)</t>
        </is>
      </c>
      <c r="N4642" s="50" t="inlineStr">
        <is>
          <t>NON</t>
        </is>
      </c>
      <c r="O4642" s="45" t="inlineStr"/>
    </row>
    <row r="4643" customFormat="1" s="3">
      <c r="A4643" s="45" t="n"/>
      <c r="B4643" s="46" t="inlineStr">
        <is>
          <t>45038</t>
        </is>
      </c>
      <c r="C4643" s="46">
        <f>LEFT(Tableau1[[#This Row],[Formacode]],3)</f>
        <v/>
      </c>
      <c r="D4643" s="47" t="n">
        <v>36244</v>
      </c>
      <c r="E4643" s="48">
        <f>"RNCP"&amp;D4643</f>
        <v/>
      </c>
      <c r="F4643" s="48" t="inlineStr">
        <is>
          <t>TP - Restaurateur de meubles d'art, anciens et contemporains</t>
        </is>
      </c>
      <c r="G4643" s="49">
        <f>E4643&amp;" - "&amp;F4643</f>
        <v/>
      </c>
      <c r="H4643" s="36" t="inlineStr">
        <is>
          <t>RAS</t>
        </is>
      </c>
      <c r="I4643" s="45" t="inlineStr"/>
      <c r="J4643" s="45" t="inlineStr">
        <is>
          <t>RNCP36244</t>
        </is>
      </c>
      <c r="K4643" s="45" t="inlineStr">
        <is>
          <t>Restaurateur de meubles d'art, anciens et contemporains</t>
        </is>
      </c>
      <c r="L4643" s="45" t="inlineStr">
        <is>
          <t>05/03/2027</t>
        </is>
      </c>
      <c r="M4643" s="45" t="inlineStr">
        <is>
          <t>45019 (Ameublement) ; 45038 (Restauration objet art) ; 45582 (Ébénisterie)</t>
        </is>
      </c>
      <c r="N4643" s="50" t="inlineStr">
        <is>
          <t>NON</t>
        </is>
      </c>
      <c r="O4643" s="45" t="inlineStr"/>
    </row>
    <row r="4644" customFormat="1" s="3">
      <c r="A4644" s="51" t="n"/>
      <c r="B4644" s="52" t="inlineStr">
        <is>
          <t>45038</t>
        </is>
      </c>
      <c r="C4644" s="52">
        <f>LEFT(Tableau1[[#This Row],[Formacode]],3)</f>
        <v/>
      </c>
      <c r="D4644" s="53" t="n">
        <v>39492</v>
      </c>
      <c r="E4644" s="54">
        <f>"RNCP"&amp;D4644</f>
        <v/>
      </c>
      <c r="F4644" s="54" t="inlineStr">
        <is>
          <t>CAP - Rentrayeur - option A tapis, option B tapisserie</t>
        </is>
      </c>
      <c r="G4644" s="55">
        <f>E4644&amp;" - "&amp;F4644</f>
        <v/>
      </c>
      <c r="H4644" s="37" t="inlineStr">
        <is>
          <t>À vérifier</t>
        </is>
      </c>
      <c r="I4644" s="51" t="inlineStr">
        <is>
          <t>Successeur déjà publié : RNCP42133 (Rentrayeur - option A tapis, option B tapisserie) — préparer la bascule de l'offre CPF | Échéance le 31/08/2026 (dans 44 j)</t>
        </is>
      </c>
      <c r="J4644" s="51" t="inlineStr">
        <is>
          <t>RNCP42133</t>
        </is>
      </c>
      <c r="K4644" s="51" t="inlineStr">
        <is>
          <t>Rentrayeur - option A tapis, option B tapisserie</t>
        </is>
      </c>
      <c r="L4644" s="51" t="inlineStr">
        <is>
          <t>31/08/2026</t>
        </is>
      </c>
      <c r="M4644" s="51" t="inlineStr">
        <is>
          <t>45504 (Tissage artisanal) ; 45038 (Restauration objet art) ; 45523 (Tapisserie ameublement)</t>
        </is>
      </c>
      <c r="N4644" s="62" t="inlineStr">
        <is>
          <t>NON</t>
        </is>
      </c>
      <c r="O4644" s="51" t="inlineStr"/>
    </row>
    <row r="4645" customFormat="1" s="3">
      <c r="A4645" s="45" t="n"/>
      <c r="B4645" s="46" t="inlineStr">
        <is>
          <t>45042</t>
        </is>
      </c>
      <c r="C4645" s="46">
        <f>LEFT(Tableau1[[#This Row],[Formacode]],3)</f>
        <v/>
      </c>
      <c r="D4645" s="47" t="n">
        <v>37299</v>
      </c>
      <c r="E4645" s="48">
        <f>"RNCP"&amp;D4645</f>
        <v/>
      </c>
      <c r="F4645" s="48" t="inlineStr">
        <is>
          <t>CAP - Accessoiriste réalisateur</t>
        </is>
      </c>
      <c r="G4645" s="49">
        <f>E4645&amp;" - "&amp;F4645</f>
        <v/>
      </c>
      <c r="H4645" s="36" t="inlineStr">
        <is>
          <t>RAS</t>
        </is>
      </c>
      <c r="I4645" s="45" t="inlineStr"/>
      <c r="J4645" s="45" t="inlineStr">
        <is>
          <t>RNCP37299</t>
        </is>
      </c>
      <c r="K4645" s="45" t="inlineStr">
        <is>
          <t>Accessoiriste réalisateur</t>
        </is>
      </c>
      <c r="L4645" s="45" t="inlineStr">
        <is>
          <t>31/08/2028</t>
        </is>
      </c>
      <c r="M4645" s="45" t="inlineStr">
        <is>
          <t>45040 (Décor accessoire spectacle) ; 46274 (Cinéma)</t>
        </is>
      </c>
      <c r="N4645" s="50" t="inlineStr">
        <is>
          <t>NON</t>
        </is>
      </c>
      <c r="O4645" s="45" t="inlineStr"/>
    </row>
    <row r="4646" customFormat="1" s="3">
      <c r="A4646" s="63" t="n"/>
      <c r="B4646" s="64" t="inlineStr">
        <is>
          <t>45042</t>
        </is>
      </c>
      <c r="C4646" s="64">
        <f>LEFT(Tableau1[[#This Row],[Formacode]],3)</f>
        <v/>
      </c>
      <c r="D4646" s="65" t="n">
        <v>37611</v>
      </c>
      <c r="E4646" s="66">
        <f>"RNCP"&amp;D4646</f>
        <v/>
      </c>
      <c r="F4646" s="66" t="inlineStr">
        <is>
          <t>Régisseur général du spectacle et de l'évènementiel</t>
        </is>
      </c>
      <c r="G4646" s="67">
        <f>E4646&amp;" - "&amp;F4646</f>
        <v/>
      </c>
      <c r="H4646" s="38" t="inlineStr">
        <is>
          <t>Expiré / remplacé</t>
        </is>
      </c>
      <c r="I4646" s="63" t="inlineStr">
        <is>
          <t>Fiche inactive — remplacée par RNCP42043 (Régisseur général du spectacle et de l'évènementiel)</t>
        </is>
      </c>
      <c r="J4646" s="63" t="inlineStr">
        <is>
          <t>RNCP42043</t>
        </is>
      </c>
      <c r="K4646" s="63" t="inlineStr">
        <is>
          <t>Régisseur général du spectacle et de l'évènementiel</t>
        </is>
      </c>
      <c r="L4646" s="63" t="inlineStr">
        <is>
          <t>31/05/2026</t>
        </is>
      </c>
      <c r="M4646" s="63" t="inlineStr">
        <is>
          <t>45052 (Production spectacle) ; 45060 (Régie spectacle) ; 45011 (Sécurité spectacle)</t>
        </is>
      </c>
      <c r="N4646" s="68" t="inlineStr">
        <is>
          <t>NON</t>
        </is>
      </c>
      <c r="O4646" s="63" t="inlineStr"/>
    </row>
    <row r="4647" customFormat="1" s="3">
      <c r="A4647" s="63" t="n"/>
      <c r="B4647" s="64" t="inlineStr">
        <is>
          <t>45042</t>
        </is>
      </c>
      <c r="C4647" s="64">
        <f>LEFT(Tableau1[[#This Row],[Formacode]],3)</f>
        <v/>
      </c>
      <c r="D4647" s="65" t="n">
        <v>37634</v>
      </c>
      <c r="E4647" s="66">
        <f>"RNCP"&amp;D4647</f>
        <v/>
      </c>
      <c r="F4647" s="66" t="inlineStr">
        <is>
          <t>Régisseur technique du spectacle et de l'évènementiel</t>
        </is>
      </c>
      <c r="G4647" s="67">
        <f>E4647&amp;" - "&amp;F4647</f>
        <v/>
      </c>
      <c r="H4647" s="38" t="inlineStr">
        <is>
          <t>Expiré / remplacé</t>
        </is>
      </c>
      <c r="I4647" s="63" t="inlineStr">
        <is>
          <t>Fiche inactive — remplacée par RNCP42042 (Régisseur technique du spectacle et de l'évènementiel - Options Son, Lumière ou Vidéo)</t>
        </is>
      </c>
      <c r="J4647" s="63" t="inlineStr">
        <is>
          <t>RNCP42042</t>
        </is>
      </c>
      <c r="K4647" s="63" t="inlineStr">
        <is>
          <t>Régisseur technique du spectacle et de l'évènementiel - Options Son, Lumière ou Vidéo</t>
        </is>
      </c>
      <c r="L4647" s="63" t="inlineStr">
        <is>
          <t>31/05/2026</t>
        </is>
      </c>
      <c r="M4647" s="63" t="inlineStr">
        <is>
          <t>45061 (Régie son) ; 45062 (Régie lumière) ; 45063 (Régie plateau) ; 45011 (Sécurité spectacle)</t>
        </is>
      </c>
      <c r="N4647" s="68" t="inlineStr">
        <is>
          <t>NON</t>
        </is>
      </c>
      <c r="O4647" s="63" t="inlineStr"/>
    </row>
    <row r="4648" customFormat="1" s="3">
      <c r="A4648" s="45" t="n"/>
      <c r="B4648" s="46" t="inlineStr">
        <is>
          <t>45042</t>
        </is>
      </c>
      <c r="C4648" s="46">
        <f>LEFT(Tableau1[[#This Row],[Formacode]],3)</f>
        <v/>
      </c>
      <c r="D4648" s="47" t="n">
        <v>37848</v>
      </c>
      <c r="E4648" s="48">
        <f>"RNCP"&amp;D4648</f>
        <v/>
      </c>
      <c r="F4648" s="48" t="inlineStr">
        <is>
          <t>CQP Electricien du spectacle</t>
        </is>
      </c>
      <c r="G4648" s="49">
        <f>E4648&amp;" - "&amp;F4648</f>
        <v/>
      </c>
      <c r="H4648" s="36" t="inlineStr">
        <is>
          <t>RAS</t>
        </is>
      </c>
      <c r="I4648" s="45" t="inlineStr"/>
      <c r="J4648" s="45" t="inlineStr">
        <is>
          <t>RNCP37848</t>
        </is>
      </c>
      <c r="K4648" s="45" t="inlineStr">
        <is>
          <t>CQP Electricien du spectacle</t>
        </is>
      </c>
      <c r="L4648" s="45" t="inlineStr">
        <is>
          <t>19/07/2028</t>
        </is>
      </c>
      <c r="M4648" s="45" t="inlineStr">
        <is>
          <t>45042 (Technique spectacle) ; 24066 (Installation électrique)</t>
        </is>
      </c>
      <c r="N4648" s="50" t="inlineStr">
        <is>
          <t>NON</t>
        </is>
      </c>
      <c r="O4648" s="45" t="inlineStr"/>
    </row>
    <row r="4649" customFormat="1" s="3">
      <c r="A4649" s="45" t="n"/>
      <c r="B4649" s="46" t="inlineStr">
        <is>
          <t>45042</t>
        </is>
      </c>
      <c r="C4649" s="46">
        <f>LEFT(Tableau1[[#This Row],[Formacode]],3)</f>
        <v/>
      </c>
      <c r="D4649" s="47" t="n">
        <v>38832</v>
      </c>
      <c r="E4649" s="48">
        <f>"RNCP"&amp;D4649</f>
        <v/>
      </c>
      <c r="F4649" s="48" t="inlineStr">
        <is>
          <t>Chargé de production dans les industries créatives et culturelles</t>
        </is>
      </c>
      <c r="G4649" s="49">
        <f>E4649&amp;" - "&amp;F4649</f>
        <v/>
      </c>
      <c r="H4649" s="36" t="inlineStr">
        <is>
          <t>RAS</t>
        </is>
      </c>
      <c r="I4649" s="45" t="inlineStr"/>
      <c r="J4649" s="45" t="inlineStr">
        <is>
          <t>RNCP38832</t>
        </is>
      </c>
      <c r="K4649" s="45" t="inlineStr">
        <is>
          <t>Chargé de production dans les industries créatives et culturelles</t>
        </is>
      </c>
      <c r="L4649" s="45" t="inlineStr">
        <is>
          <t>27/03/2027</t>
        </is>
      </c>
      <c r="M4649" s="45" t="inlineStr">
        <is>
          <t>46244 (Gestion production audiovisuelle) ; 45052 (Production spectacle) ; 46274 (Cinéma) ; 45060 (Régie spectacle) ; 46340 (Communication événementielle)</t>
        </is>
      </c>
      <c r="N4649" s="50" t="inlineStr">
        <is>
          <t>NON</t>
        </is>
      </c>
      <c r="O4649" s="45" t="inlineStr"/>
    </row>
    <row r="4650" customFormat="1" s="3">
      <c r="A4650" s="45" t="n"/>
      <c r="B4650" s="46" t="inlineStr">
        <is>
          <t>45042</t>
        </is>
      </c>
      <c r="C4650" s="46">
        <f>LEFT(Tableau1[[#This Row],[Formacode]],3)</f>
        <v/>
      </c>
      <c r="D4650" s="47" t="n">
        <v>38910</v>
      </c>
      <c r="E4650" s="48">
        <f>"RNCP"&amp;D4650</f>
        <v/>
      </c>
      <c r="F4650" s="48" t="inlineStr">
        <is>
          <t>Régisseur général de spectacle et d'évènement</t>
        </is>
      </c>
      <c r="G4650" s="49">
        <f>E4650&amp;" - "&amp;F4650</f>
        <v/>
      </c>
      <c r="H4650" s="36" t="inlineStr">
        <is>
          <t>RAS</t>
        </is>
      </c>
      <c r="I4650" s="45" t="inlineStr"/>
      <c r="J4650" s="45" t="inlineStr">
        <is>
          <t>RNCP38910</t>
        </is>
      </c>
      <c r="K4650" s="45" t="inlineStr">
        <is>
          <t>Régisseur général de spectacle et d'évènement</t>
        </is>
      </c>
      <c r="L4650" s="45" t="inlineStr">
        <is>
          <t>26/04/2029</t>
        </is>
      </c>
      <c r="M4650" s="45" t="inlineStr">
        <is>
          <t>45060 (Régie spectacle) ; 45011 (Sécurité spectacle)</t>
        </is>
      </c>
      <c r="N4650" s="50" t="inlineStr">
        <is>
          <t>NON</t>
        </is>
      </c>
      <c r="O4650" s="45" t="inlineStr"/>
    </row>
    <row r="4651" ht="28.8" customFormat="1" customHeight="1" s="3">
      <c r="A4651" s="45" t="n"/>
      <c r="B4651" s="46" t="inlineStr">
        <is>
          <t>45042</t>
        </is>
      </c>
      <c r="C4651" s="46">
        <f>LEFT(Tableau1[[#This Row],[Formacode]],3)</f>
        <v/>
      </c>
      <c r="D4651" s="47" t="n">
        <v>39397</v>
      </c>
      <c r="E4651" s="48">
        <f>"RNCP"&amp;D4651</f>
        <v/>
      </c>
      <c r="F4651" s="48" t="inlineStr">
        <is>
          <t>Régisseur de spectacle et d'évènement, spécialisation lumière, plateau/scène, son ou vidéo</t>
        </is>
      </c>
      <c r="G4651" s="49">
        <f>E4651&amp;" - "&amp;F4651</f>
        <v/>
      </c>
      <c r="H4651" s="36" t="inlineStr">
        <is>
          <t>RAS</t>
        </is>
      </c>
      <c r="I4651" s="45" t="inlineStr"/>
      <c r="J4651" s="45" t="inlineStr">
        <is>
          <t>RNCP39397</t>
        </is>
      </c>
      <c r="K4651" s="45" t="inlineStr">
        <is>
          <t>Régisseur de spectacle et d'évènement, spécialisation lumière, plateau/scène, son ou vidéo</t>
        </is>
      </c>
      <c r="L4651" s="45" t="inlineStr">
        <is>
          <t>19/07/2027</t>
        </is>
      </c>
      <c r="M4651" s="45" t="inlineStr">
        <is>
          <t>45060 (Régie spectacle) ; 45011 (Sécurité spectacle)</t>
        </is>
      </c>
      <c r="N4651" s="50" t="inlineStr">
        <is>
          <t>NON</t>
        </is>
      </c>
      <c r="O4651" s="45" t="inlineStr"/>
    </row>
    <row r="4652" customFormat="1" s="3">
      <c r="A4652" s="45" t="n"/>
      <c r="B4652" s="46" t="inlineStr">
        <is>
          <t>45042</t>
        </is>
      </c>
      <c r="C4652" s="46">
        <f>LEFT(Tableau1[[#This Row],[Formacode]],3)</f>
        <v/>
      </c>
      <c r="D4652" s="47" t="n">
        <v>40441</v>
      </c>
      <c r="E4652" s="48">
        <f>"RNCP"&amp;D4652</f>
        <v/>
      </c>
      <c r="F4652" s="48" t="inlineStr">
        <is>
          <t>Directeur technique des entreprises du spectacle vivant</t>
        </is>
      </c>
      <c r="G4652" s="49">
        <f>E4652&amp;" - "&amp;F4652</f>
        <v/>
      </c>
      <c r="H4652" s="36" t="inlineStr">
        <is>
          <t>RAS</t>
        </is>
      </c>
      <c r="I4652" s="45" t="inlineStr"/>
      <c r="J4652" s="45" t="inlineStr">
        <is>
          <t>RNCP40441</t>
        </is>
      </c>
      <c r="K4652" s="45" t="inlineStr">
        <is>
          <t>Directeur technique des entreprises du spectacle vivant</t>
        </is>
      </c>
      <c r="L4652" s="45" t="inlineStr">
        <is>
          <t>28/03/2030</t>
        </is>
      </c>
      <c r="M4652" s="45" t="inlineStr">
        <is>
          <t>45042 (Technique spectacle)</t>
        </is>
      </c>
      <c r="N4652" s="50" t="inlineStr">
        <is>
          <t>NON</t>
        </is>
      </c>
      <c r="O4652" s="45" t="inlineStr"/>
    </row>
    <row r="4653" customFormat="1" s="3">
      <c r="A4653" s="45" t="n"/>
      <c r="B4653" s="46" t="inlineStr">
        <is>
          <t>45042</t>
        </is>
      </c>
      <c r="C4653" s="46">
        <f>LEFT(Tableau1[[#This Row],[Formacode]],3)</f>
        <v/>
      </c>
      <c r="D4653" s="47" t="n">
        <v>40599</v>
      </c>
      <c r="E4653" s="48">
        <f>"RNCP"&amp;D4653</f>
        <v/>
      </c>
      <c r="F4653" s="48" t="inlineStr">
        <is>
          <t>Directeur technique de spectacle et d'évènement</t>
        </is>
      </c>
      <c r="G4653" s="49">
        <f>E4653&amp;" - "&amp;F4653</f>
        <v/>
      </c>
      <c r="H4653" s="36" t="inlineStr">
        <is>
          <t>RAS</t>
        </is>
      </c>
      <c r="I4653" s="45" t="inlineStr"/>
      <c r="J4653" s="45" t="inlineStr">
        <is>
          <t>RNCP40599</t>
        </is>
      </c>
      <c r="K4653" s="45" t="inlineStr">
        <is>
          <t>Directeur technique de spectacle et d'évènement</t>
        </is>
      </c>
      <c r="L4653" s="45" t="inlineStr">
        <is>
          <t>30/04/2030</t>
        </is>
      </c>
      <c r="M4653" s="45" t="inlineStr">
        <is>
          <t>45042 (Technique spectacle) ; 45052 (Production spectacle)</t>
        </is>
      </c>
      <c r="N4653" s="50" t="inlineStr">
        <is>
          <t>NON</t>
        </is>
      </c>
      <c r="O4653" s="45" t="inlineStr"/>
    </row>
    <row r="4654" customFormat="1" s="3">
      <c r="A4654" s="45" t="n"/>
      <c r="B4654" s="46" t="inlineStr">
        <is>
          <t>45042</t>
        </is>
      </c>
      <c r="C4654" s="46">
        <f>LEFT(Tableau1[[#This Row],[Formacode]],3)</f>
        <v/>
      </c>
      <c r="D4654" s="47" t="n">
        <v>40696</v>
      </c>
      <c r="E4654" s="48">
        <f>"RNCP"&amp;D4654</f>
        <v/>
      </c>
      <c r="F4654" s="48" t="inlineStr">
        <is>
          <t>TP - Peintre décorateur</t>
        </is>
      </c>
      <c r="G4654" s="49">
        <f>E4654&amp;" - "&amp;F4654</f>
        <v/>
      </c>
      <c r="H4654" s="36" t="inlineStr">
        <is>
          <t>RAS</t>
        </is>
      </c>
      <c r="I4654" s="45" t="inlineStr"/>
      <c r="J4654" s="45" t="inlineStr">
        <is>
          <t>RNCP40696</t>
        </is>
      </c>
      <c r="K4654" s="45" t="inlineStr">
        <is>
          <t>Peintre décorateur</t>
        </is>
      </c>
      <c r="L4654" s="45" t="inlineStr">
        <is>
          <t>31/07/2030</t>
        </is>
      </c>
      <c r="M4654" s="45" t="inlineStr">
        <is>
          <t>22480 (Peinture intérieure) ; 45040 (Décor accessoire spectacle) ; 45501 (Peinture décorative)</t>
        </is>
      </c>
      <c r="N4654" s="50" t="inlineStr">
        <is>
          <t>NON</t>
        </is>
      </c>
      <c r="O4654" s="45" t="inlineStr"/>
    </row>
    <row r="4655" customFormat="1" s="3">
      <c r="A4655" s="45" t="n"/>
      <c r="B4655" s="46" t="inlineStr">
        <is>
          <t>45042</t>
        </is>
      </c>
      <c r="C4655" s="46">
        <f>LEFT(Tableau1[[#This Row],[Formacode]],3)</f>
        <v/>
      </c>
      <c r="D4655" s="47" t="n">
        <v>40862</v>
      </c>
      <c r="E4655" s="48">
        <f>"RNCP"&amp;D4655</f>
        <v/>
      </c>
      <c r="F4655" s="48" t="inlineStr">
        <is>
          <t>Régisseur du spectacle vivant option son/vidéo ou lumière/vidéo ou plateau</t>
        </is>
      </c>
      <c r="G4655" s="49">
        <f>E4655&amp;" - "&amp;F4655</f>
        <v/>
      </c>
      <c r="H4655" s="36" t="inlineStr">
        <is>
          <t>RAS</t>
        </is>
      </c>
      <c r="I4655" s="45" t="inlineStr"/>
      <c r="J4655" s="45" t="inlineStr">
        <is>
          <t>RNCP40862</t>
        </is>
      </c>
      <c r="K4655" s="45" t="inlineStr">
        <is>
          <t>Régisseur du spectacle vivant option son/vidéo ou lumière/vidéo ou plateau</t>
        </is>
      </c>
      <c r="L4655" s="45" t="inlineStr">
        <is>
          <t>25/06/2028</t>
        </is>
      </c>
      <c r="M4655" s="45" t="inlineStr">
        <is>
          <t>46269 (Montage audiovisuel) ; 45061 (Régie son) ; 45062 (Régie lumière) ; 45063 (Régie plateau)</t>
        </is>
      </c>
      <c r="N4655" s="50" t="inlineStr">
        <is>
          <t>NON</t>
        </is>
      </c>
      <c r="O4655" s="45" t="inlineStr"/>
    </row>
    <row r="4656" customFormat="1" s="3">
      <c r="A4656" s="45" t="n"/>
      <c r="B4656" s="46" t="inlineStr">
        <is>
          <t>45042</t>
        </is>
      </c>
      <c r="C4656" s="46">
        <f>LEFT(Tableau1[[#This Row],[Formacode]],3)</f>
        <v/>
      </c>
      <c r="D4656" s="47" t="n">
        <v>40910</v>
      </c>
      <c r="E4656" s="48">
        <f>"RNCP"&amp;D4656</f>
        <v/>
      </c>
      <c r="F4656" s="48" t="inlineStr">
        <is>
          <t>Ingénieur du son</t>
        </is>
      </c>
      <c r="G4656" s="49">
        <f>E4656&amp;" - "&amp;F4656</f>
        <v/>
      </c>
      <c r="H4656" s="36" t="inlineStr">
        <is>
          <t>RAS</t>
        </is>
      </c>
      <c r="I4656" s="45" t="inlineStr"/>
      <c r="J4656" s="45" t="inlineStr">
        <is>
          <t>RNCP40910</t>
        </is>
      </c>
      <c r="K4656" s="45" t="inlineStr">
        <is>
          <t>Ingénieur du son</t>
        </is>
      </c>
      <c r="L4656" s="45" t="inlineStr">
        <is>
          <t>25/06/2030</t>
        </is>
      </c>
      <c r="M4656" s="45" t="inlineStr">
        <is>
          <t>45061 (Régie son) ; 46225 (Mixage) ; 72730 (Logiciel montage son) ; 46227 (Audionumérique)</t>
        </is>
      </c>
      <c r="N4656" s="50" t="inlineStr">
        <is>
          <t>NON</t>
        </is>
      </c>
      <c r="O4656" s="45" t="inlineStr"/>
    </row>
    <row r="4657" customFormat="1" s="3">
      <c r="A4657" s="45" t="n"/>
      <c r="B4657" s="46" t="inlineStr">
        <is>
          <t>45052</t>
        </is>
      </c>
      <c r="C4657" s="46">
        <f>LEFT(Tableau1[[#This Row],[Formacode]],3)</f>
        <v/>
      </c>
      <c r="D4657" s="47" t="n">
        <v>38832</v>
      </c>
      <c r="E4657" s="48">
        <f>"RNCP"&amp;D4657</f>
        <v/>
      </c>
      <c r="F4657" s="48" t="inlineStr">
        <is>
          <t>Chargé de production dans les industries créatives et culturelles</t>
        </is>
      </c>
      <c r="G4657" s="49">
        <f>E4657&amp;" - "&amp;F4657</f>
        <v/>
      </c>
      <c r="H4657" s="36" t="inlineStr">
        <is>
          <t>RAS</t>
        </is>
      </c>
      <c r="I4657" s="45" t="inlineStr"/>
      <c r="J4657" s="45" t="inlineStr">
        <is>
          <t>RNCP38832</t>
        </is>
      </c>
      <c r="K4657" s="45" t="inlineStr">
        <is>
          <t>Chargé de production dans les industries créatives et culturelles</t>
        </is>
      </c>
      <c r="L4657" s="45" t="inlineStr">
        <is>
          <t>27/03/2027</t>
        </is>
      </c>
      <c r="M4657" s="45" t="inlineStr">
        <is>
          <t>46244 (Gestion production audiovisuelle) ; 45052 (Production spectacle) ; 46274 (Cinéma) ; 45060 (Régie spectacle) ; 46340 (Communication événementielle)</t>
        </is>
      </c>
      <c r="N4657" s="50" t="inlineStr">
        <is>
          <t>NON</t>
        </is>
      </c>
      <c r="O4657" s="45" t="inlineStr"/>
    </row>
    <row r="4658" customFormat="1" s="3">
      <c r="A4658" s="45" t="n"/>
      <c r="B4658" s="46" t="inlineStr">
        <is>
          <t>45052</t>
        </is>
      </c>
      <c r="C4658" s="46">
        <f>LEFT(Tableau1[[#This Row],[Formacode]],3)</f>
        <v/>
      </c>
      <c r="D4658" s="47" t="n">
        <v>40599</v>
      </c>
      <c r="E4658" s="48">
        <f>"RNCP"&amp;D4658</f>
        <v/>
      </c>
      <c r="F4658" s="48" t="inlineStr">
        <is>
          <t>Directeur technique de spectacle et d'évènement</t>
        </is>
      </c>
      <c r="G4658" s="49">
        <f>E4658&amp;" - "&amp;F4658</f>
        <v/>
      </c>
      <c r="H4658" s="36" t="inlineStr">
        <is>
          <t>RAS</t>
        </is>
      </c>
      <c r="I4658" s="45" t="inlineStr"/>
      <c r="J4658" s="45" t="inlineStr">
        <is>
          <t>RNCP40599</t>
        </is>
      </c>
      <c r="K4658" s="45" t="inlineStr">
        <is>
          <t>Directeur technique de spectacle et d'évènement</t>
        </is>
      </c>
      <c r="L4658" s="45" t="inlineStr">
        <is>
          <t>30/04/2030</t>
        </is>
      </c>
      <c r="M4658" s="45" t="inlineStr">
        <is>
          <t>45042 (Technique spectacle) ; 45052 (Production spectacle)</t>
        </is>
      </c>
      <c r="N4658" s="50" t="inlineStr">
        <is>
          <t>NON</t>
        </is>
      </c>
      <c r="O4658" s="45" t="inlineStr"/>
    </row>
    <row r="4659" customFormat="1" s="3">
      <c r="A4659" s="45" t="n"/>
      <c r="B4659" s="46" t="inlineStr">
        <is>
          <t>45052</t>
        </is>
      </c>
      <c r="C4659" s="46">
        <f>LEFT(Tableau1[[#This Row],[Formacode]],3)</f>
        <v/>
      </c>
      <c r="D4659" s="47" t="n">
        <v>40661</v>
      </c>
      <c r="E4659" s="48">
        <f>"RNCP"&amp;D4659</f>
        <v/>
      </c>
      <c r="F4659" s="48" t="inlineStr">
        <is>
          <t>Chargé de projets artistiques et culturels</t>
        </is>
      </c>
      <c r="G4659" s="49">
        <f>E4659&amp;" - "&amp;F4659</f>
        <v/>
      </c>
      <c r="H4659" s="36" t="inlineStr">
        <is>
          <t>RAS</t>
        </is>
      </c>
      <c r="I4659" s="45" t="inlineStr"/>
      <c r="J4659" s="45" t="inlineStr">
        <is>
          <t>RNCP40661</t>
        </is>
      </c>
      <c r="K4659" s="45" t="inlineStr">
        <is>
          <t>Chargé de projets artistiques et culturels</t>
        </is>
      </c>
      <c r="L4659" s="45" t="inlineStr">
        <is>
          <t>23/05/2030</t>
        </is>
      </c>
      <c r="M4659" s="45" t="inlineStr">
        <is>
          <t>45052 (Production spectacle) ; 44035 (Médiation socioculturelle) ; 45075 (Commerce art) ; 46340 (Communication événementielle)</t>
        </is>
      </c>
      <c r="N4659" s="50" t="inlineStr">
        <is>
          <t>NON</t>
        </is>
      </c>
      <c r="O4659" s="45" t="inlineStr"/>
    </row>
    <row r="4660" customFormat="1" s="3">
      <c r="A4660" s="45" t="n"/>
      <c r="B4660" s="46" t="inlineStr">
        <is>
          <t>45052</t>
        </is>
      </c>
      <c r="C4660" s="46">
        <f>LEFT(Tableau1[[#This Row],[Formacode]],3)</f>
        <v/>
      </c>
      <c r="D4660" s="47" t="n">
        <v>40674</v>
      </c>
      <c r="E4660" s="48">
        <f>"RNCP"&amp;D4660</f>
        <v/>
      </c>
      <c r="F4660" s="48" t="inlineStr">
        <is>
          <t>Manager de l'ingénierie culturelle</t>
        </is>
      </c>
      <c r="G4660" s="49">
        <f>E4660&amp;" - "&amp;F4660</f>
        <v/>
      </c>
      <c r="H4660" s="36" t="inlineStr">
        <is>
          <t>RAS</t>
        </is>
      </c>
      <c r="I4660" s="45" t="inlineStr"/>
      <c r="J4660" s="45" t="inlineStr">
        <is>
          <t>RNCP40674</t>
        </is>
      </c>
      <c r="K4660" s="45" t="inlineStr">
        <is>
          <t>Manager de l'ingénierie culturelle</t>
        </is>
      </c>
      <c r="L4660" s="45" t="inlineStr">
        <is>
          <t>23/05/2030</t>
        </is>
      </c>
      <c r="M4660" s="45" t="inlineStr">
        <is>
          <t>45052 (Production spectacle) ; 13096 (Politique culturelle) ; 44035 (Médiation socioculturelle) ; 46340 (Communication événementielle)</t>
        </is>
      </c>
      <c r="N4660" s="50" t="inlineStr">
        <is>
          <t>NON</t>
        </is>
      </c>
      <c r="O4660" s="45" t="inlineStr"/>
    </row>
    <row r="4661" customFormat="1" s="3">
      <c r="A4661" s="45" t="n"/>
      <c r="B4661" s="46" t="inlineStr">
        <is>
          <t>45066</t>
        </is>
      </c>
      <c r="C4661" s="46">
        <f>LEFT(Tableau1[[#This Row],[Formacode]],3)</f>
        <v/>
      </c>
      <c r="D4661" s="47" t="n">
        <v>37301</v>
      </c>
      <c r="E4661" s="48">
        <f>"RNCP"&amp;D4661</f>
        <v/>
      </c>
      <c r="F4661" s="48" t="inlineStr">
        <is>
          <t>CAP - Arts du bois</t>
        </is>
      </c>
      <c r="G4661" s="49">
        <f>E4661&amp;" - "&amp;F4661</f>
        <v/>
      </c>
      <c r="H4661" s="36" t="inlineStr">
        <is>
          <t>RAS</t>
        </is>
      </c>
      <c r="I4661" s="45" t="inlineStr"/>
      <c r="J4661" s="45" t="inlineStr">
        <is>
          <t>RNCP37301</t>
        </is>
      </c>
      <c r="K4661" s="45" t="inlineStr">
        <is>
          <t>Arts du bois</t>
        </is>
      </c>
      <c r="L4661" s="45" t="inlineStr">
        <is>
          <t>31/08/2028</t>
        </is>
      </c>
      <c r="M4661" s="45" t="inlineStr">
        <is>
          <t>45096 (Sculpture bois) ; 45591 (Marqueterie) ; 45560 (Tournage bois)</t>
        </is>
      </c>
      <c r="N4661" s="50" t="inlineStr">
        <is>
          <t>NON</t>
        </is>
      </c>
      <c r="O4661" s="45" t="inlineStr"/>
    </row>
    <row r="4662" customFormat="1" s="3">
      <c r="A4662" s="45" t="n"/>
      <c r="B4662" s="46" t="inlineStr">
        <is>
          <t>45066</t>
        </is>
      </c>
      <c r="C4662" s="46">
        <f>LEFT(Tableau1[[#This Row],[Formacode]],3)</f>
        <v/>
      </c>
      <c r="D4662" s="47" t="n">
        <v>38223</v>
      </c>
      <c r="E4662" s="48">
        <f>"RNCP"&amp;D4662</f>
        <v/>
      </c>
      <c r="F4662" s="48" t="inlineStr">
        <is>
          <t>BAC PRO - Métiers et arts de la pierre</t>
        </is>
      </c>
      <c r="G4662" s="49">
        <f>E4662&amp;" - "&amp;F4662</f>
        <v/>
      </c>
      <c r="H4662" s="36" t="inlineStr">
        <is>
          <t>RAS</t>
        </is>
      </c>
      <c r="I4662" s="45" t="inlineStr"/>
      <c r="J4662" s="45" t="inlineStr">
        <is>
          <t>RNCP38223</t>
        </is>
      </c>
      <c r="K4662" s="45" t="inlineStr">
        <is>
          <t>Métiers et arts de la pierre</t>
        </is>
      </c>
      <c r="L4662" s="45" t="inlineStr">
        <is>
          <t>31/08/2028</t>
        </is>
      </c>
      <c r="M4662" s="45" t="inlineStr">
        <is>
          <t>45097 (Sculpture pierre) ; 45502 (Taille pierre)</t>
        </is>
      </c>
      <c r="N4662" s="50" t="inlineStr">
        <is>
          <t>NON</t>
        </is>
      </c>
      <c r="O4662" s="45" t="inlineStr"/>
    </row>
    <row r="4663" ht="28.8" customFormat="1" customHeight="1" s="3">
      <c r="A4663" s="45" t="n"/>
      <c r="B4663" s="46" t="inlineStr">
        <is>
          <t>45066</t>
        </is>
      </c>
      <c r="C4663" s="46">
        <f>LEFT(Tableau1[[#This Row],[Formacode]],3)</f>
        <v/>
      </c>
      <c r="D4663" s="47" t="n">
        <v>39808</v>
      </c>
      <c r="E4663" s="48">
        <f>"RNCP"&amp;D4663</f>
        <v/>
      </c>
      <c r="F4663" s="48" t="inlineStr">
        <is>
          <t>CAP - Métiers de la gravure options "gravure d'ornementation", "gravure d'impression", "gravure en modelé", "marquage poinçonnage"</t>
        </is>
      </c>
      <c r="G4663" s="49">
        <f>E4663&amp;" - "&amp;F4663</f>
        <v/>
      </c>
      <c r="H4663" s="36" t="inlineStr">
        <is>
          <t>RAS</t>
        </is>
      </c>
      <c r="I4663" s="45" t="inlineStr"/>
      <c r="J4663" s="45" t="inlineStr">
        <is>
          <t>RNCP39808</t>
        </is>
      </c>
      <c r="K4663" s="45" t="inlineStr">
        <is>
          <t>Métiers de la gravure options "gravure d'ornementation", "gravure d'impression", "gravure en modelé", "marquage poinçonnage"</t>
        </is>
      </c>
      <c r="L4663" s="45" t="inlineStr">
        <is>
          <t>31/08/2028</t>
        </is>
      </c>
      <c r="M4663" s="45" t="inlineStr">
        <is>
          <t>45079 (Gravure art)</t>
        </is>
      </c>
      <c r="N4663" s="50" t="inlineStr">
        <is>
          <t>NON</t>
        </is>
      </c>
      <c r="O4663" s="45" t="inlineStr"/>
    </row>
    <row r="4664" customFormat="1" s="3">
      <c r="A4664" s="45" t="n"/>
      <c r="B4664" s="46" t="inlineStr">
        <is>
          <t>45066</t>
        </is>
      </c>
      <c r="C4664" s="46">
        <f>LEFT(Tableau1[[#This Row],[Formacode]],3)</f>
        <v/>
      </c>
      <c r="D4664" s="47" t="n">
        <v>40590</v>
      </c>
      <c r="E4664" s="48">
        <f>"RNCP"&amp;D4664</f>
        <v/>
      </c>
      <c r="F4664" s="48" t="inlineStr">
        <is>
          <t>Dessinateur illustrateur</t>
        </is>
      </c>
      <c r="G4664" s="49">
        <f>E4664&amp;" - "&amp;F4664</f>
        <v/>
      </c>
      <c r="H4664" s="36" t="inlineStr">
        <is>
          <t>RAS</t>
        </is>
      </c>
      <c r="I4664" s="45" t="inlineStr"/>
      <c r="J4664" s="45" t="inlineStr">
        <is>
          <t>RNCP40590</t>
        </is>
      </c>
      <c r="K4664" s="45" t="inlineStr">
        <is>
          <t>Dessinateur illustrateur</t>
        </is>
      </c>
      <c r="L4664" s="45" t="inlineStr">
        <is>
          <t>30/04/2028</t>
        </is>
      </c>
      <c r="M4664" s="45" t="inlineStr">
        <is>
          <t>45027 (Art appliqué) ; 45048 (Bande dessinée)</t>
        </is>
      </c>
      <c r="N4664" s="50" t="inlineStr">
        <is>
          <t>NON</t>
        </is>
      </c>
      <c r="O4664" s="45" t="inlineStr"/>
    </row>
    <row r="4665" customFormat="1" s="3">
      <c r="A4665" s="63" t="n"/>
      <c r="B4665" s="64" t="inlineStr">
        <is>
          <t>45075</t>
        </is>
      </c>
      <c r="C4665" s="64">
        <f>LEFT(Tableau1[[#This Row],[Formacode]],3)</f>
        <v/>
      </c>
      <c r="D4665" s="65" t="n">
        <v>38947</v>
      </c>
      <c r="E4665" s="66">
        <f>"RNCP"&amp;D4665</f>
        <v/>
      </c>
      <c r="F4665" s="66" t="inlineStr">
        <is>
          <t>Manager du commerce de l'art</t>
        </is>
      </c>
      <c r="G4665" s="67">
        <f>E4665&amp;" - "&amp;F4665</f>
        <v/>
      </c>
      <c r="H4665" s="38" t="inlineStr">
        <is>
          <t>Expiré / remplacé</t>
        </is>
      </c>
      <c r="I4665" s="63" t="inlineStr">
        <is>
          <t>Fiche inactive — remplacée par RNCP42080 (Manager du commerce de l'art)</t>
        </is>
      </c>
      <c r="J4665" s="63" t="inlineStr">
        <is>
          <t>RNCP42080</t>
        </is>
      </c>
      <c r="K4665" s="63" t="inlineStr">
        <is>
          <t>Manager du commerce de l'art</t>
        </is>
      </c>
      <c r="L4665" s="63" t="inlineStr">
        <is>
          <t>26/04/2026</t>
        </is>
      </c>
      <c r="M4665" s="63" t="inlineStr">
        <is>
          <t>13096 (Politique culturelle) ; 45075 (Commerce art)</t>
        </is>
      </c>
      <c r="N4665" s="68" t="inlineStr">
        <is>
          <t>NON</t>
        </is>
      </c>
      <c r="O4665" s="63" t="inlineStr"/>
    </row>
    <row r="4666" customFormat="1" s="3">
      <c r="A4666" s="45" t="n"/>
      <c r="B4666" s="46" t="inlineStr">
        <is>
          <t>45075</t>
        </is>
      </c>
      <c r="C4666" s="46">
        <f>LEFT(Tableau1[[#This Row],[Formacode]],3)</f>
        <v/>
      </c>
      <c r="D4666" s="47" t="n">
        <v>40351</v>
      </c>
      <c r="E4666" s="48">
        <f>"RNCP"&amp;D4666</f>
        <v/>
      </c>
      <c r="F4666" s="48" t="inlineStr">
        <is>
          <t>Manager du marketing et du développement de produits de mode</t>
        </is>
      </c>
      <c r="G4666" s="49">
        <f>E4666&amp;" - "&amp;F4666</f>
        <v/>
      </c>
      <c r="H4666" s="36" t="inlineStr">
        <is>
          <t>RAS</t>
        </is>
      </c>
      <c r="I4666" s="45" t="inlineStr"/>
      <c r="J4666" s="45" t="inlineStr">
        <is>
          <t>RNCP40351</t>
        </is>
      </c>
      <c r="K4666" s="45" t="inlineStr">
        <is>
          <t>Manager du marketing et du développement de produits de mode</t>
        </is>
      </c>
      <c r="L4666" s="45" t="inlineStr">
        <is>
          <t>28/03/2030</t>
        </is>
      </c>
      <c r="M4666" s="45" t="inlineStr">
        <is>
          <t>45075 (Commerce art) ; 34030 (Chef produit) ; 34085 (Stratégie commerciale) ; 34060 (Étude marché)</t>
        </is>
      </c>
      <c r="N4666" s="50" t="inlineStr">
        <is>
          <t>NON</t>
        </is>
      </c>
      <c r="O4666" s="45" t="inlineStr"/>
    </row>
    <row r="4667" customFormat="1" s="3">
      <c r="A4667" s="45" t="n"/>
      <c r="B4667" s="46" t="inlineStr">
        <is>
          <t>45075</t>
        </is>
      </c>
      <c r="C4667" s="46">
        <f>LEFT(Tableau1[[#This Row],[Formacode]],3)</f>
        <v/>
      </c>
      <c r="D4667" s="47" t="n">
        <v>40661</v>
      </c>
      <c r="E4667" s="48">
        <f>"RNCP"&amp;D4667</f>
        <v/>
      </c>
      <c r="F4667" s="48" t="inlineStr">
        <is>
          <t>Chargé de projets artistiques et culturels</t>
        </is>
      </c>
      <c r="G4667" s="49">
        <f>E4667&amp;" - "&amp;F4667</f>
        <v/>
      </c>
      <c r="H4667" s="36" t="inlineStr">
        <is>
          <t>RAS</t>
        </is>
      </c>
      <c r="I4667" s="45" t="inlineStr"/>
      <c r="J4667" s="45" t="inlineStr">
        <is>
          <t>RNCP40661</t>
        </is>
      </c>
      <c r="K4667" s="45" t="inlineStr">
        <is>
          <t>Chargé de projets artistiques et culturels</t>
        </is>
      </c>
      <c r="L4667" s="45" t="inlineStr">
        <is>
          <t>23/05/2030</t>
        </is>
      </c>
      <c r="M4667" s="45" t="inlineStr">
        <is>
          <t>45052 (Production spectacle) ; 44035 (Médiation socioculturelle) ; 45075 (Commerce art) ; 46340 (Communication événementielle)</t>
        </is>
      </c>
      <c r="N4667" s="50" t="inlineStr">
        <is>
          <t>NON</t>
        </is>
      </c>
      <c r="O4667" s="45" t="inlineStr"/>
    </row>
    <row r="4668" customFormat="1" s="3">
      <c r="A4668" s="51" t="n"/>
      <c r="B4668" s="52" t="inlineStr">
        <is>
          <t>45085</t>
        </is>
      </c>
      <c r="C4668" s="52">
        <f>LEFT(Tableau1[[#This Row],[Formacode]],3)</f>
        <v/>
      </c>
      <c r="D4668" s="53" t="n">
        <v>37742</v>
      </c>
      <c r="E4668" s="54">
        <f>"RNCP"&amp;D4668</f>
        <v/>
      </c>
      <c r="F4668" s="54" t="inlineStr">
        <is>
          <t>Initiateur aux arts du cirque</t>
        </is>
      </c>
      <c r="G4668" s="55">
        <f>E4668&amp;" - "&amp;F4668</f>
        <v/>
      </c>
      <c r="H4668" s="37" t="inlineStr">
        <is>
          <t>À vérifier</t>
        </is>
      </c>
      <c r="I4668" s="51" t="inlineStr">
        <is>
          <t>Successeur déjà publié : RNCP42506 (Initiateur aux arts du cirque) — préparer la bascule de l'offre CPF | Échéance le 19/07/2026 (dans 1 j)</t>
        </is>
      </c>
      <c r="J4668" s="51" t="inlineStr">
        <is>
          <t>RNCP42506</t>
        </is>
      </c>
      <c r="K4668" s="51" t="inlineStr">
        <is>
          <t>Initiateur aux arts du cirque</t>
        </is>
      </c>
      <c r="L4668" s="51" t="inlineStr">
        <is>
          <t>19/07/2026</t>
        </is>
      </c>
      <c r="M4668" s="51" t="inlineStr">
        <is>
          <t>44067 (Animation socioculturelle) ; 45020 (Cirque arts rue)</t>
        </is>
      </c>
      <c r="N4668" s="62" t="inlineStr">
        <is>
          <t>NON</t>
        </is>
      </c>
      <c r="O4668" s="51" t="inlineStr"/>
    </row>
    <row r="4669" customFormat="1" s="3">
      <c r="A4669" s="45" t="n"/>
      <c r="B4669" s="46" t="inlineStr">
        <is>
          <t>45501</t>
        </is>
      </c>
      <c r="C4669" s="46">
        <f>LEFT(Tableau1[[#This Row],[Formacode]],3)</f>
        <v/>
      </c>
      <c r="D4669" s="47" t="n">
        <v>36427</v>
      </c>
      <c r="E4669" s="48">
        <f>"RNCP"&amp;D4669</f>
        <v/>
      </c>
      <c r="F4669" s="48" t="inlineStr">
        <is>
          <t>CAP - Staffeur ornemaniste</t>
        </is>
      </c>
      <c r="G4669" s="49">
        <f>E4669&amp;" - "&amp;F4669</f>
        <v/>
      </c>
      <c r="H4669" s="36" t="inlineStr">
        <is>
          <t>RAS</t>
        </is>
      </c>
      <c r="I4669" s="45" t="inlineStr"/>
      <c r="J4669" s="45" t="inlineStr">
        <is>
          <t>RNCP36427</t>
        </is>
      </c>
      <c r="K4669" s="45" t="inlineStr">
        <is>
          <t>Staffeur ornemaniste</t>
        </is>
      </c>
      <c r="L4669" s="45" t="inlineStr">
        <is>
          <t>31/08/2027</t>
        </is>
      </c>
      <c r="M4669" s="45" t="inlineStr">
        <is>
          <t>22401 (Staff) ; 45554 (Artisanat art)</t>
        </is>
      </c>
      <c r="N4669" s="50" t="inlineStr">
        <is>
          <t>NON</t>
        </is>
      </c>
      <c r="O4669" s="45" t="inlineStr"/>
    </row>
    <row r="4670" customFormat="1" s="3">
      <c r="A4670" s="51" t="n"/>
      <c r="B4670" s="52" t="inlineStr">
        <is>
          <t>45501</t>
        </is>
      </c>
      <c r="C4670" s="52">
        <f>LEFT(Tableau1[[#This Row],[Formacode]],3)</f>
        <v/>
      </c>
      <c r="D4670" s="53" t="n">
        <v>38711</v>
      </c>
      <c r="E4670" s="54">
        <f>"RNCP"&amp;D4670</f>
        <v/>
      </c>
      <c r="F4670" s="54" t="inlineStr">
        <is>
          <t>CS - Peinture décoration</t>
        </is>
      </c>
      <c r="G4670" s="55">
        <f>E4670&amp;" - "&amp;F4670</f>
        <v/>
      </c>
      <c r="H4670" s="37" t="inlineStr">
        <is>
          <t>À vérifier</t>
        </is>
      </c>
      <c r="I4670" s="51" t="inlineStr">
        <is>
          <t>Successeur déjà publié : RNCP41753 (Peintre décorateur créateur d'ambiances) — préparer la bascule de l'offre CPF | Échéance le 31/12/2026 (dans 166 j)</t>
        </is>
      </c>
      <c r="J4670" s="51" t="inlineStr">
        <is>
          <t>RNCP41753</t>
        </is>
      </c>
      <c r="K4670" s="51" t="inlineStr">
        <is>
          <t>Peintre décorateur créateur d'ambiances</t>
        </is>
      </c>
      <c r="L4670" s="51" t="inlineStr">
        <is>
          <t>31/12/2026</t>
        </is>
      </c>
      <c r="M4670" s="51" t="inlineStr">
        <is>
          <t>22301 (Enduit maçonnerie) ; 45501 (Peinture décorative)</t>
        </is>
      </c>
      <c r="N4670" s="62" t="inlineStr">
        <is>
          <t>NON</t>
        </is>
      </c>
      <c r="O4670" s="51" t="inlineStr"/>
    </row>
    <row r="4671" customFormat="1" s="3">
      <c r="A4671" s="45" t="n"/>
      <c r="B4671" s="46" t="inlineStr">
        <is>
          <t>45501</t>
        </is>
      </c>
      <c r="C4671" s="46">
        <f>LEFT(Tableau1[[#This Row],[Formacode]],3)</f>
        <v/>
      </c>
      <c r="D4671" s="47" t="n">
        <v>39648</v>
      </c>
      <c r="E4671" s="48">
        <f>"RNCP"&amp;D4671</f>
        <v/>
      </c>
      <c r="F4671" s="48" t="inlineStr">
        <is>
          <t>CAP - Menuisier en sièges</t>
        </is>
      </c>
      <c r="G4671" s="49">
        <f>E4671&amp;" - "&amp;F4671</f>
        <v/>
      </c>
      <c r="H4671" s="36" t="inlineStr">
        <is>
          <t>RAS</t>
        </is>
      </c>
      <c r="I4671" s="45" t="inlineStr"/>
      <c r="J4671" s="45" t="inlineStr">
        <is>
          <t>RNCP39648</t>
        </is>
      </c>
      <c r="K4671" s="45" t="inlineStr">
        <is>
          <t>Menuisier en sièges</t>
        </is>
      </c>
      <c r="L4671" s="45" t="inlineStr">
        <is>
          <t>31/08/2027</t>
        </is>
      </c>
      <c r="M4671" s="45" t="inlineStr">
        <is>
          <t>45554 (Artisanat art) ; 45019 (Ameublement) ; 22881 (Bois) ; 22416 (Menuiserie bois)</t>
        </is>
      </c>
      <c r="N4671" s="50" t="inlineStr">
        <is>
          <t>NON</t>
        </is>
      </c>
      <c r="O4671" s="45" t="inlineStr"/>
    </row>
    <row r="4672" customFormat="1" s="3">
      <c r="A4672" s="45" t="n"/>
      <c r="B4672" s="46" t="inlineStr">
        <is>
          <t>45501</t>
        </is>
      </c>
      <c r="C4672" s="46">
        <f>LEFT(Tableau1[[#This Row],[Formacode]],3)</f>
        <v/>
      </c>
      <c r="D4672" s="47" t="n">
        <v>40696</v>
      </c>
      <c r="E4672" s="48">
        <f>"RNCP"&amp;D4672</f>
        <v/>
      </c>
      <c r="F4672" s="48" t="inlineStr">
        <is>
          <t>TP - Peintre décorateur</t>
        </is>
      </c>
      <c r="G4672" s="49">
        <f>E4672&amp;" - "&amp;F4672</f>
        <v/>
      </c>
      <c r="H4672" s="36" t="inlineStr">
        <is>
          <t>RAS</t>
        </is>
      </c>
      <c r="I4672" s="45" t="inlineStr"/>
      <c r="J4672" s="45" t="inlineStr">
        <is>
          <t>RNCP40696</t>
        </is>
      </c>
      <c r="K4672" s="45" t="inlineStr">
        <is>
          <t>Peintre décorateur</t>
        </is>
      </c>
      <c r="L4672" s="45" t="inlineStr">
        <is>
          <t>31/07/2030</t>
        </is>
      </c>
      <c r="M4672" s="45" t="inlineStr">
        <is>
          <t>22480 (Peinture intérieure) ; 45040 (Décor accessoire spectacle) ; 45501 (Peinture décorative)</t>
        </is>
      </c>
      <c r="N4672" s="50" t="inlineStr">
        <is>
          <t>NON</t>
        </is>
      </c>
      <c r="O4672" s="45" t="inlineStr"/>
    </row>
    <row r="4673" customFormat="1" s="3">
      <c r="A4673" s="45" t="n"/>
      <c r="B4673" s="46" t="inlineStr">
        <is>
          <t>45501</t>
        </is>
      </c>
      <c r="C4673" s="46">
        <f>LEFT(Tableau1[[#This Row],[Formacode]],3)</f>
        <v/>
      </c>
      <c r="D4673" s="47" t="n">
        <v>40697</v>
      </c>
      <c r="E4673" s="48">
        <f>"RNCP"&amp;D4673</f>
        <v/>
      </c>
      <c r="F4673" s="48" t="inlineStr">
        <is>
          <t>TP - Peintre applicateur de revêtements techniques</t>
        </is>
      </c>
      <c r="G4673" s="49">
        <f>E4673&amp;" - "&amp;F4673</f>
        <v/>
      </c>
      <c r="H4673" s="36" t="inlineStr">
        <is>
          <t>RAS</t>
        </is>
      </c>
      <c r="I4673" s="45" t="inlineStr"/>
      <c r="J4673" s="45" t="inlineStr">
        <is>
          <t>RNCP40697</t>
        </is>
      </c>
      <c r="K4673" s="45" t="inlineStr">
        <is>
          <t>Peintre applicateur de revêtements techniques</t>
        </is>
      </c>
      <c r="L4673" s="45" t="inlineStr">
        <is>
          <t>31/07/2030</t>
        </is>
      </c>
      <c r="M4673" s="45" t="inlineStr">
        <is>
          <t>22480 (Peinture intérieure) ; 45501 (Peinture décorative)</t>
        </is>
      </c>
      <c r="N4673" s="50" t="inlineStr">
        <is>
          <t>NON</t>
        </is>
      </c>
      <c r="O4673" s="45" t="inlineStr"/>
    </row>
    <row r="4674" customFormat="1" s="3">
      <c r="A4674" s="45" t="n"/>
      <c r="B4674" s="46" t="inlineStr">
        <is>
          <t>45501</t>
        </is>
      </c>
      <c r="C4674" s="46">
        <f>LEFT(Tableau1[[#This Row],[Formacode]],3)</f>
        <v/>
      </c>
      <c r="D4674" s="47" t="n">
        <v>40869</v>
      </c>
      <c r="E4674" s="48">
        <f>"RNCP"&amp;D4674</f>
        <v/>
      </c>
      <c r="F4674" s="48" t="inlineStr">
        <is>
          <t>Décorateur d’intérieur et aménagement d’espace</t>
        </is>
      </c>
      <c r="G4674" s="49">
        <f>E4674&amp;" - "&amp;F4674</f>
        <v/>
      </c>
      <c r="H4674" s="36" t="inlineStr">
        <is>
          <t>RAS</t>
        </is>
      </c>
      <c r="I4674" s="45" t="inlineStr"/>
      <c r="J4674" s="45" t="inlineStr">
        <is>
          <t>RNCP40869</t>
        </is>
      </c>
      <c r="K4674" s="45" t="inlineStr">
        <is>
          <t>Décorateur d’intérieur et aménagement d’espace</t>
        </is>
      </c>
      <c r="L4674" s="45" t="inlineStr">
        <is>
          <t>25/06/2027</t>
        </is>
      </c>
      <c r="M4674" s="45" t="inlineStr">
        <is>
          <t>45015 (Architecture intérieure) ; 45501 (Peinture décorative) ; 22408 (Cuisine salle de bains) ; 42159 (Valorisation immobilière)</t>
        </is>
      </c>
      <c r="N4674" s="50" t="inlineStr">
        <is>
          <t>NON</t>
        </is>
      </c>
      <c r="O4674" s="45" t="inlineStr"/>
    </row>
    <row r="4675" customFormat="1" s="3">
      <c r="A4675" s="45" t="n"/>
      <c r="B4675" s="46" t="inlineStr">
        <is>
          <t>45501</t>
        </is>
      </c>
      <c r="C4675" s="46">
        <f>LEFT(Tableau1[[#This Row],[Formacode]],3)</f>
        <v/>
      </c>
      <c r="D4675" s="47" t="n">
        <v>41357</v>
      </c>
      <c r="E4675" s="48">
        <f>"RNCP"&amp;D4675</f>
        <v/>
      </c>
      <c r="F4675" s="48" t="inlineStr">
        <is>
          <t>Designer en espaces intérieurs</t>
        </is>
      </c>
      <c r="G4675" s="49">
        <f>E4675&amp;" - "&amp;F4675</f>
        <v/>
      </c>
      <c r="H4675" s="36" t="inlineStr">
        <is>
          <t>RAS</t>
        </is>
      </c>
      <c r="I4675" s="45" t="inlineStr"/>
      <c r="J4675" s="45" t="inlineStr">
        <is>
          <t>RNCP41357</t>
        </is>
      </c>
      <c r="K4675" s="45" t="inlineStr">
        <is>
          <t>Designer en espaces intérieurs</t>
        </is>
      </c>
      <c r="L4675" s="45" t="inlineStr">
        <is>
          <t>24/09/2028</t>
        </is>
      </c>
      <c r="M4675" s="45" t="inlineStr">
        <is>
          <t>45015 (Architecture intérieure) ; 42159 (Valorisation immobilière) ; 45501 (Peinture décorative) ; 22408 (Cuisine salle de bains)</t>
        </is>
      </c>
      <c r="N4675" s="50" t="inlineStr">
        <is>
          <t>NON</t>
        </is>
      </c>
      <c r="O4675" s="45" t="inlineStr"/>
    </row>
    <row r="4676" customFormat="1" s="3">
      <c r="A4676" s="45" t="n"/>
      <c r="B4676" s="46" t="inlineStr">
        <is>
          <t>45502</t>
        </is>
      </c>
      <c r="C4676" s="46">
        <f>LEFT(Tableau1[[#This Row],[Formacode]],3)</f>
        <v/>
      </c>
      <c r="D4676" s="47" t="n">
        <v>36427</v>
      </c>
      <c r="E4676" s="48">
        <f>"RNCP"&amp;D4676</f>
        <v/>
      </c>
      <c r="F4676" s="48" t="inlineStr">
        <is>
          <t>CAP - Staffeur ornemaniste</t>
        </is>
      </c>
      <c r="G4676" s="49">
        <f>E4676&amp;" - "&amp;F4676</f>
        <v/>
      </c>
      <c r="H4676" s="36" t="inlineStr">
        <is>
          <t>RAS</t>
        </is>
      </c>
      <c r="I4676" s="45" t="inlineStr"/>
      <c r="J4676" s="45" t="inlineStr">
        <is>
          <t>RNCP36427</t>
        </is>
      </c>
      <c r="K4676" s="45" t="inlineStr">
        <is>
          <t>Staffeur ornemaniste</t>
        </is>
      </c>
      <c r="L4676" s="45" t="inlineStr">
        <is>
          <t>31/08/2027</t>
        </is>
      </c>
      <c r="M4676" s="45" t="inlineStr">
        <is>
          <t>22401 (Staff) ; 45554 (Artisanat art)</t>
        </is>
      </c>
      <c r="N4676" s="50" t="inlineStr">
        <is>
          <t>NON</t>
        </is>
      </c>
      <c r="O4676" s="45" t="inlineStr"/>
    </row>
    <row r="4677" customFormat="1" s="3">
      <c r="A4677" s="45" t="n"/>
      <c r="B4677" s="46" t="inlineStr">
        <is>
          <t>45502</t>
        </is>
      </c>
      <c r="C4677" s="46">
        <f>LEFT(Tableau1[[#This Row],[Formacode]],3)</f>
        <v/>
      </c>
      <c r="D4677" s="47" t="n">
        <v>38223</v>
      </c>
      <c r="E4677" s="48">
        <f>"RNCP"&amp;D4677</f>
        <v/>
      </c>
      <c r="F4677" s="48" t="inlineStr">
        <is>
          <t>BAC PRO - Métiers et arts de la pierre</t>
        </is>
      </c>
      <c r="G4677" s="49">
        <f>E4677&amp;" - "&amp;F4677</f>
        <v/>
      </c>
      <c r="H4677" s="36" t="inlineStr">
        <is>
          <t>RAS</t>
        </is>
      </c>
      <c r="I4677" s="45" t="inlineStr"/>
      <c r="J4677" s="45" t="inlineStr">
        <is>
          <t>RNCP38223</t>
        </is>
      </c>
      <c r="K4677" s="45" t="inlineStr">
        <is>
          <t>Métiers et arts de la pierre</t>
        </is>
      </c>
      <c r="L4677" s="45" t="inlineStr">
        <is>
          <t>31/08/2028</t>
        </is>
      </c>
      <c r="M4677" s="45" t="inlineStr">
        <is>
          <t>45097 (Sculpture pierre) ; 45502 (Taille pierre)</t>
        </is>
      </c>
      <c r="N4677" s="50" t="inlineStr">
        <is>
          <t>NON</t>
        </is>
      </c>
      <c r="O4677" s="45" t="inlineStr"/>
    </row>
    <row r="4678" customFormat="1" s="3">
      <c r="A4678" s="45" t="n"/>
      <c r="B4678" s="46" t="inlineStr">
        <is>
          <t>45502</t>
        </is>
      </c>
      <c r="C4678" s="46">
        <f>LEFT(Tableau1[[#This Row],[Formacode]],3)</f>
        <v/>
      </c>
      <c r="D4678" s="47" t="n">
        <v>38310</v>
      </c>
      <c r="E4678" s="48">
        <f>"RNCP"&amp;D4678</f>
        <v/>
      </c>
      <c r="F4678" s="48" t="inlineStr">
        <is>
          <t>CAP - Tailleur de pierre</t>
        </is>
      </c>
      <c r="G4678" s="49">
        <f>E4678&amp;" - "&amp;F4678</f>
        <v/>
      </c>
      <c r="H4678" s="36" t="inlineStr">
        <is>
          <t>RAS</t>
        </is>
      </c>
      <c r="I4678" s="45" t="inlineStr"/>
      <c r="J4678" s="45" t="inlineStr">
        <is>
          <t>RNCP38310</t>
        </is>
      </c>
      <c r="K4678" s="45" t="inlineStr">
        <is>
          <t>Tailleur de pierre</t>
        </is>
      </c>
      <c r="L4678" s="45" t="inlineStr">
        <is>
          <t>31/08/2028</t>
        </is>
      </c>
      <c r="M4678" s="45" t="inlineStr">
        <is>
          <t>45502 (Taille pierre)</t>
        </is>
      </c>
      <c r="N4678" s="50" t="inlineStr">
        <is>
          <t>NON</t>
        </is>
      </c>
      <c r="O4678" s="45" t="inlineStr"/>
    </row>
    <row r="4679" customFormat="1" s="3">
      <c r="A4679" s="45" t="n"/>
      <c r="B4679" s="46" t="inlineStr">
        <is>
          <t>45502</t>
        </is>
      </c>
      <c r="C4679" s="46">
        <f>LEFT(Tableau1[[#This Row],[Formacode]],3)</f>
        <v/>
      </c>
      <c r="D4679" s="47" t="n">
        <v>38393</v>
      </c>
      <c r="E4679" s="48">
        <f>"RNCP"&amp;D4679</f>
        <v/>
      </c>
      <c r="F4679" s="48" t="inlineStr">
        <is>
          <t>CAP - Marbrier du bâtiment et de la décoration</t>
        </is>
      </c>
      <c r="G4679" s="49">
        <f>E4679&amp;" - "&amp;F4679</f>
        <v/>
      </c>
      <c r="H4679" s="36" t="inlineStr">
        <is>
          <t>RAS</t>
        </is>
      </c>
      <c r="I4679" s="45" t="inlineStr"/>
      <c r="J4679" s="45" t="inlineStr">
        <is>
          <t>RNCP38393</t>
        </is>
      </c>
      <c r="K4679" s="45" t="inlineStr">
        <is>
          <t>Marbrier du bâtiment et de la décoration</t>
        </is>
      </c>
      <c r="L4679" s="45" t="inlineStr">
        <is>
          <t>31/08/2028</t>
        </is>
      </c>
      <c r="M4679" s="45" t="inlineStr">
        <is>
          <t>45505 (Marbrerie)</t>
        </is>
      </c>
      <c r="N4679" s="50" t="inlineStr">
        <is>
          <t>NON</t>
        </is>
      </c>
      <c r="O4679" s="45" t="inlineStr"/>
    </row>
    <row r="4680" customFormat="1" s="3">
      <c r="A4680" s="45" t="n"/>
      <c r="B4680" s="46" t="inlineStr">
        <is>
          <t>45502</t>
        </is>
      </c>
      <c r="C4680" s="46">
        <f>LEFT(Tableau1[[#This Row],[Formacode]],3)</f>
        <v/>
      </c>
      <c r="D4680" s="47" t="n">
        <v>38550</v>
      </c>
      <c r="E4680" s="48">
        <f>"RNCP"&amp;D4680</f>
        <v/>
      </c>
      <c r="F4680" s="48" t="inlineStr">
        <is>
          <t>TP - Tailleur de pierre</t>
        </is>
      </c>
      <c r="G4680" s="49">
        <f>E4680&amp;" - "&amp;F4680</f>
        <v/>
      </c>
      <c r="H4680" s="36" t="inlineStr">
        <is>
          <t>RAS</t>
        </is>
      </c>
      <c r="I4680" s="45" t="inlineStr"/>
      <c r="J4680" s="45" t="inlineStr">
        <is>
          <t>RNCP38550</t>
        </is>
      </c>
      <c r="K4680" s="45" t="inlineStr">
        <is>
          <t>Tailleur de pierre</t>
        </is>
      </c>
      <c r="L4680" s="45" t="inlineStr">
        <is>
          <t>23/03/2029</t>
        </is>
      </c>
      <c r="M4680" s="45" t="inlineStr">
        <is>
          <t>45502 (Taille pierre) ; 22354 (Bâtiment gros oeuvre)</t>
        </is>
      </c>
      <c r="N4680" s="50" t="inlineStr">
        <is>
          <t>NON</t>
        </is>
      </c>
      <c r="O4680" s="45" t="inlineStr"/>
    </row>
    <row r="4681" customFormat="1" s="3">
      <c r="A4681" s="45" t="n"/>
      <c r="B4681" s="46" t="inlineStr">
        <is>
          <t>45502</t>
        </is>
      </c>
      <c r="C4681" s="46">
        <f>LEFT(Tableau1[[#This Row],[Formacode]],3)</f>
        <v/>
      </c>
      <c r="D4681" s="47" t="n">
        <v>38724</v>
      </c>
      <c r="E4681" s="48">
        <f>"RNCP"&amp;D4681</f>
        <v/>
      </c>
      <c r="F4681" s="48" t="inlineStr">
        <is>
          <t>BP - Métiers de la pierre</t>
        </is>
      </c>
      <c r="G4681" s="49">
        <f>E4681&amp;" - "&amp;F4681</f>
        <v/>
      </c>
      <c r="H4681" s="36" t="inlineStr">
        <is>
          <t>RAS</t>
        </is>
      </c>
      <c r="I4681" s="45" t="inlineStr"/>
      <c r="J4681" s="45" t="inlineStr">
        <is>
          <t>RNCP38724</t>
        </is>
      </c>
      <c r="K4681" s="45" t="inlineStr">
        <is>
          <t>Métiers de la pierre</t>
        </is>
      </c>
      <c r="L4681" s="45" t="inlineStr">
        <is>
          <t>31/12/2028</t>
        </is>
      </c>
      <c r="M4681" s="45" t="inlineStr">
        <is>
          <t>22254 (BTP conception organisation) ; 45502 (Taille pierre)</t>
        </is>
      </c>
      <c r="N4681" s="50" t="inlineStr">
        <is>
          <t>NON</t>
        </is>
      </c>
      <c r="O4681" s="45" t="inlineStr"/>
    </row>
    <row r="4682" customFormat="1" s="3">
      <c r="A4682" s="45" t="n"/>
      <c r="B4682" s="46" t="inlineStr">
        <is>
          <t>45502</t>
        </is>
      </c>
      <c r="C4682" s="46">
        <f>LEFT(Tableau1[[#This Row],[Formacode]],3)</f>
        <v/>
      </c>
      <c r="D4682" s="47" t="n">
        <v>39648</v>
      </c>
      <c r="E4682" s="48">
        <f>"RNCP"&amp;D4682</f>
        <v/>
      </c>
      <c r="F4682" s="48" t="inlineStr">
        <is>
          <t>CAP - Menuisier en sièges</t>
        </is>
      </c>
      <c r="G4682" s="49">
        <f>E4682&amp;" - "&amp;F4682</f>
        <v/>
      </c>
      <c r="H4682" s="36" t="inlineStr">
        <is>
          <t>RAS</t>
        </is>
      </c>
      <c r="I4682" s="45" t="inlineStr"/>
      <c r="J4682" s="45" t="inlineStr">
        <is>
          <t>RNCP39648</t>
        </is>
      </c>
      <c r="K4682" s="45" t="inlineStr">
        <is>
          <t>Menuisier en sièges</t>
        </is>
      </c>
      <c r="L4682" s="45" t="inlineStr">
        <is>
          <t>31/08/2027</t>
        </is>
      </c>
      <c r="M4682" s="45" t="inlineStr">
        <is>
          <t>45554 (Artisanat art) ; 45019 (Ameublement) ; 22881 (Bois) ; 22416 (Menuiserie bois)</t>
        </is>
      </c>
      <c r="N4682" s="50" t="inlineStr">
        <is>
          <t>NON</t>
        </is>
      </c>
      <c r="O4682" s="45" t="inlineStr"/>
    </row>
    <row r="4683" customFormat="1" s="3">
      <c r="A4683" s="45" t="n"/>
      <c r="B4683" s="46" t="inlineStr">
        <is>
          <t>45502</t>
        </is>
      </c>
      <c r="C4683" s="46">
        <f>LEFT(Tableau1[[#This Row],[Formacode]],3)</f>
        <v/>
      </c>
      <c r="D4683" s="47" t="n">
        <v>40194</v>
      </c>
      <c r="E4683" s="48">
        <f>"RNCP"&amp;D4683</f>
        <v/>
      </c>
      <c r="F4683" s="48" t="inlineStr">
        <is>
          <t>BP - Tailleur de pierre / Appareilleur monuments historiques</t>
        </is>
      </c>
      <c r="G4683" s="49">
        <f>E4683&amp;" - "&amp;F4683</f>
        <v/>
      </c>
      <c r="H4683" s="36" t="inlineStr">
        <is>
          <t>RAS</t>
        </is>
      </c>
      <c r="I4683" s="45" t="inlineStr"/>
      <c r="J4683" s="45" t="inlineStr">
        <is>
          <t>RNCP40194</t>
        </is>
      </c>
      <c r="K4683" s="45" t="inlineStr">
        <is>
          <t>Tailleur de pierre / Appareilleur monuments historiques</t>
        </is>
      </c>
      <c r="L4683" s="45" t="inlineStr">
        <is>
          <t>31/08/2030</t>
        </is>
      </c>
      <c r="M4683" s="45" t="inlineStr">
        <is>
          <t>45502 (Taille pierre)</t>
        </is>
      </c>
      <c r="N4683" s="50" t="inlineStr">
        <is>
          <t>NON</t>
        </is>
      </c>
      <c r="O4683" s="45" t="inlineStr"/>
    </row>
    <row r="4684" customFormat="1" s="3">
      <c r="A4684" s="45" t="n"/>
      <c r="B4684" s="46" t="inlineStr">
        <is>
          <t>45504</t>
        </is>
      </c>
      <c r="C4684" s="46">
        <f>LEFT(Tableau1[[#This Row],[Formacode]],3)</f>
        <v/>
      </c>
      <c r="D4684" s="47" t="n">
        <v>36427</v>
      </c>
      <c r="E4684" s="48">
        <f>"RNCP"&amp;D4684</f>
        <v/>
      </c>
      <c r="F4684" s="48" t="inlineStr">
        <is>
          <t>CAP - Staffeur ornemaniste</t>
        </is>
      </c>
      <c r="G4684" s="49">
        <f>E4684&amp;" - "&amp;F4684</f>
        <v/>
      </c>
      <c r="H4684" s="36" t="inlineStr">
        <is>
          <t>RAS</t>
        </is>
      </c>
      <c r="I4684" s="45" t="inlineStr"/>
      <c r="J4684" s="45" t="inlineStr">
        <is>
          <t>RNCP36427</t>
        </is>
      </c>
      <c r="K4684" s="45" t="inlineStr">
        <is>
          <t>Staffeur ornemaniste</t>
        </is>
      </c>
      <c r="L4684" s="45" t="inlineStr">
        <is>
          <t>31/08/2027</t>
        </is>
      </c>
      <c r="M4684" s="45" t="inlineStr">
        <is>
          <t>22401 (Staff) ; 45554 (Artisanat art)</t>
        </is>
      </c>
      <c r="N4684" s="50" t="inlineStr">
        <is>
          <t>NON</t>
        </is>
      </c>
      <c r="O4684" s="45" t="inlineStr"/>
    </row>
    <row r="4685" customFormat="1" s="3">
      <c r="A4685" s="51" t="n"/>
      <c r="B4685" s="52" t="inlineStr">
        <is>
          <t>45504</t>
        </is>
      </c>
      <c r="C4685" s="52">
        <f>LEFT(Tableau1[[#This Row],[Formacode]],3)</f>
        <v/>
      </c>
      <c r="D4685" s="53" t="n">
        <v>39492</v>
      </c>
      <c r="E4685" s="54">
        <f>"RNCP"&amp;D4685</f>
        <v/>
      </c>
      <c r="F4685" s="54" t="inlineStr">
        <is>
          <t>CAP - Rentrayeur - option A tapis, option B tapisserie</t>
        </is>
      </c>
      <c r="G4685" s="55">
        <f>E4685&amp;" - "&amp;F4685</f>
        <v/>
      </c>
      <c r="H4685" s="37" t="inlineStr">
        <is>
          <t>À vérifier</t>
        </is>
      </c>
      <c r="I4685" s="51" t="inlineStr">
        <is>
          <t>Successeur déjà publié : RNCP42133 (Rentrayeur - option A tapis, option B tapisserie) — préparer la bascule de l'offre CPF | Échéance le 31/08/2026 (dans 44 j)</t>
        </is>
      </c>
      <c r="J4685" s="51" t="inlineStr">
        <is>
          <t>RNCP42133</t>
        </is>
      </c>
      <c r="K4685" s="51" t="inlineStr">
        <is>
          <t>Rentrayeur - option A tapis, option B tapisserie</t>
        </is>
      </c>
      <c r="L4685" s="51" t="inlineStr">
        <is>
          <t>31/08/2026</t>
        </is>
      </c>
      <c r="M4685" s="51" t="inlineStr">
        <is>
          <t>45504 (Tissage artisanal) ; 45038 (Restauration objet art) ; 45523 (Tapisserie ameublement)</t>
        </is>
      </c>
      <c r="N4685" s="62" t="inlineStr">
        <is>
          <t>NON</t>
        </is>
      </c>
      <c r="O4685" s="51" t="inlineStr"/>
    </row>
    <row r="4686" customFormat="1" s="3">
      <c r="A4686" s="45" t="n"/>
      <c r="B4686" s="46" t="inlineStr">
        <is>
          <t>45504</t>
        </is>
      </c>
      <c r="C4686" s="46">
        <f>LEFT(Tableau1[[#This Row],[Formacode]],3)</f>
        <v/>
      </c>
      <c r="D4686" s="47" t="n">
        <v>39648</v>
      </c>
      <c r="E4686" s="48">
        <f>"RNCP"&amp;D4686</f>
        <v/>
      </c>
      <c r="F4686" s="48" t="inlineStr">
        <is>
          <t>CAP - Menuisier en sièges</t>
        </is>
      </c>
      <c r="G4686" s="49">
        <f>E4686&amp;" - "&amp;F4686</f>
        <v/>
      </c>
      <c r="H4686" s="36" t="inlineStr">
        <is>
          <t>RAS</t>
        </is>
      </c>
      <c r="I4686" s="45" t="inlineStr"/>
      <c r="J4686" s="45" t="inlineStr">
        <is>
          <t>RNCP39648</t>
        </is>
      </c>
      <c r="K4686" s="45" t="inlineStr">
        <is>
          <t>Menuisier en sièges</t>
        </is>
      </c>
      <c r="L4686" s="45" t="inlineStr">
        <is>
          <t>31/08/2027</t>
        </is>
      </c>
      <c r="M4686" s="45" t="inlineStr">
        <is>
          <t>45554 (Artisanat art) ; 45019 (Ameublement) ; 22881 (Bois) ; 22416 (Menuiserie bois)</t>
        </is>
      </c>
      <c r="N4686" s="50" t="inlineStr">
        <is>
          <t>NON</t>
        </is>
      </c>
      <c r="O4686" s="45" t="inlineStr"/>
    </row>
    <row r="4687" customFormat="1" s="3">
      <c r="A4687" s="45" t="n"/>
      <c r="B4687" s="46" t="inlineStr">
        <is>
          <t>45511</t>
        </is>
      </c>
      <c r="C4687" s="46">
        <f>LEFT(Tableau1[[#This Row],[Formacode]],3)</f>
        <v/>
      </c>
      <c r="D4687" s="47" t="n">
        <v>36427</v>
      </c>
      <c r="E4687" s="48">
        <f>"RNCP"&amp;D4687</f>
        <v/>
      </c>
      <c r="F4687" s="48" t="inlineStr">
        <is>
          <t>CAP - Staffeur ornemaniste</t>
        </is>
      </c>
      <c r="G4687" s="49">
        <f>E4687&amp;" - "&amp;F4687</f>
        <v/>
      </c>
      <c r="H4687" s="36" t="inlineStr">
        <is>
          <t>RAS</t>
        </is>
      </c>
      <c r="I4687" s="45" t="inlineStr"/>
      <c r="J4687" s="45" t="inlineStr">
        <is>
          <t>RNCP36427</t>
        </is>
      </c>
      <c r="K4687" s="45" t="inlineStr">
        <is>
          <t>Staffeur ornemaniste</t>
        </is>
      </c>
      <c r="L4687" s="45" t="inlineStr">
        <is>
          <t>31/08/2027</t>
        </is>
      </c>
      <c r="M4687" s="45" t="inlineStr">
        <is>
          <t>22401 (Staff) ; 45554 (Artisanat art)</t>
        </is>
      </c>
      <c r="N4687" s="50" t="inlineStr">
        <is>
          <t>NON</t>
        </is>
      </c>
      <c r="O4687" s="45" t="inlineStr"/>
    </row>
    <row r="4688" customFormat="1" s="3">
      <c r="A4688" s="45" t="n"/>
      <c r="B4688" s="46" t="inlineStr">
        <is>
          <t>45511</t>
        </is>
      </c>
      <c r="C4688" s="46">
        <f>LEFT(Tableau1[[#This Row],[Formacode]],3)</f>
        <v/>
      </c>
      <c r="D4688" s="47" t="n">
        <v>39648</v>
      </c>
      <c r="E4688" s="48">
        <f>"RNCP"&amp;D4688</f>
        <v/>
      </c>
      <c r="F4688" s="48" t="inlineStr">
        <is>
          <t>CAP - Menuisier en sièges</t>
        </is>
      </c>
      <c r="G4688" s="49">
        <f>E4688&amp;" - "&amp;F4688</f>
        <v/>
      </c>
      <c r="H4688" s="36" t="inlineStr">
        <is>
          <t>RAS</t>
        </is>
      </c>
      <c r="I4688" s="45" t="inlineStr"/>
      <c r="J4688" s="45" t="inlineStr">
        <is>
          <t>RNCP39648</t>
        </is>
      </c>
      <c r="K4688" s="45" t="inlineStr">
        <is>
          <t>Menuisier en sièges</t>
        </is>
      </c>
      <c r="L4688" s="45" t="inlineStr">
        <is>
          <t>31/08/2027</t>
        </is>
      </c>
      <c r="M4688" s="45" t="inlineStr">
        <is>
          <t>45554 (Artisanat art) ; 45019 (Ameublement) ; 22881 (Bois) ; 22416 (Menuiserie bois)</t>
        </is>
      </c>
      <c r="N4688" s="50" t="inlineStr">
        <is>
          <t>NON</t>
        </is>
      </c>
      <c r="O4688" s="45" t="inlineStr"/>
    </row>
    <row r="4689" customFormat="1" s="3">
      <c r="A4689" s="51" t="n"/>
      <c r="B4689" s="52" t="inlineStr">
        <is>
          <t>45511</t>
        </is>
      </c>
      <c r="C4689" s="52">
        <f>LEFT(Tableau1[[#This Row],[Formacode]],3)</f>
        <v/>
      </c>
      <c r="D4689" s="53" t="n">
        <v>39714</v>
      </c>
      <c r="E4689" s="54">
        <f>"RNCP"&amp;D4689</f>
        <v/>
      </c>
      <c r="F4689" s="54" t="inlineStr">
        <is>
          <t>CAP - Arts du tapis et de la  tapisserie de lisse</t>
        </is>
      </c>
      <c r="G4689" s="55">
        <f>E4689&amp;" - "&amp;F4689</f>
        <v/>
      </c>
      <c r="H4689" s="37" t="inlineStr">
        <is>
          <t>À vérifier</t>
        </is>
      </c>
      <c r="I4689" s="51" t="inlineStr">
        <is>
          <t>Successeur déjà publié : RNCP42113 (Arts du tapis et de la tapisserie de lisse) — préparer la bascule de l'offre CPF | Échéance le 31/08/2026 (dans 44 j)</t>
        </is>
      </c>
      <c r="J4689" s="51" t="inlineStr">
        <is>
          <t>RNCP42113</t>
        </is>
      </c>
      <c r="K4689" s="51" t="inlineStr">
        <is>
          <t>Arts du tapis et de la tapisserie de lisse</t>
        </is>
      </c>
      <c r="L4689" s="51" t="inlineStr">
        <is>
          <t>31/08/2026</t>
        </is>
      </c>
      <c r="M4689" s="51" t="inlineStr">
        <is>
          <t>45511 (Tapisserie lice) ; 21694 (Tapis)</t>
        </is>
      </c>
      <c r="N4689" s="62" t="inlineStr">
        <is>
          <t>NON</t>
        </is>
      </c>
      <c r="O4689" s="51" t="inlineStr"/>
    </row>
    <row r="4690" customFormat="1" s="3">
      <c r="A4690" s="45" t="n"/>
      <c r="B4690" s="46" t="inlineStr">
        <is>
          <t>45513</t>
        </is>
      </c>
      <c r="C4690" s="46">
        <f>LEFT(Tableau1[[#This Row],[Formacode]],3)</f>
        <v/>
      </c>
      <c r="D4690" s="47" t="n">
        <v>36427</v>
      </c>
      <c r="E4690" s="48">
        <f>"RNCP"&amp;D4690</f>
        <v/>
      </c>
      <c r="F4690" s="48" t="inlineStr">
        <is>
          <t>CAP - Staffeur ornemaniste</t>
        </is>
      </c>
      <c r="G4690" s="49">
        <f>E4690&amp;" - "&amp;F4690</f>
        <v/>
      </c>
      <c r="H4690" s="36" t="inlineStr">
        <is>
          <t>RAS</t>
        </is>
      </c>
      <c r="I4690" s="45" t="inlineStr"/>
      <c r="J4690" s="45" t="inlineStr">
        <is>
          <t>RNCP36427</t>
        </is>
      </c>
      <c r="K4690" s="45" t="inlineStr">
        <is>
          <t>Staffeur ornemaniste</t>
        </is>
      </c>
      <c r="L4690" s="45" t="inlineStr">
        <is>
          <t>31/08/2027</t>
        </is>
      </c>
      <c r="M4690" s="45" t="inlineStr">
        <is>
          <t>22401 (Staff) ; 45554 (Artisanat art)</t>
        </is>
      </c>
      <c r="N4690" s="50" t="inlineStr">
        <is>
          <t>NON</t>
        </is>
      </c>
      <c r="O4690" s="45" t="inlineStr"/>
    </row>
    <row r="4691" customFormat="1" s="3">
      <c r="A4691" s="45" t="n"/>
      <c r="B4691" s="46" t="inlineStr">
        <is>
          <t>45513</t>
        </is>
      </c>
      <c r="C4691" s="46">
        <f>LEFT(Tableau1[[#This Row],[Formacode]],3)</f>
        <v/>
      </c>
      <c r="D4691" s="47" t="n">
        <v>39648</v>
      </c>
      <c r="E4691" s="48">
        <f>"RNCP"&amp;D4691</f>
        <v/>
      </c>
      <c r="F4691" s="48" t="inlineStr">
        <is>
          <t>CAP - Menuisier en sièges</t>
        </is>
      </c>
      <c r="G4691" s="49">
        <f>E4691&amp;" - "&amp;F4691</f>
        <v/>
      </c>
      <c r="H4691" s="36" t="inlineStr">
        <is>
          <t>RAS</t>
        </is>
      </c>
      <c r="I4691" s="45" t="inlineStr"/>
      <c r="J4691" s="45" t="inlineStr">
        <is>
          <t>RNCP39648</t>
        </is>
      </c>
      <c r="K4691" s="45" t="inlineStr">
        <is>
          <t>Menuisier en sièges</t>
        </is>
      </c>
      <c r="L4691" s="45" t="inlineStr">
        <is>
          <t>31/08/2027</t>
        </is>
      </c>
      <c r="M4691" s="45" t="inlineStr">
        <is>
          <t>45554 (Artisanat art) ; 45019 (Ameublement) ; 22881 (Bois) ; 22416 (Menuiserie bois)</t>
        </is>
      </c>
      <c r="N4691" s="50" t="inlineStr">
        <is>
          <t>NON</t>
        </is>
      </c>
      <c r="O4691" s="45" t="inlineStr"/>
    </row>
    <row r="4692" customFormat="1" s="3">
      <c r="A4692" s="45" t="n"/>
      <c r="B4692" s="46" t="inlineStr">
        <is>
          <t>45514</t>
        </is>
      </c>
      <c r="C4692" s="46">
        <f>LEFT(Tableau1[[#This Row],[Formacode]],3)</f>
        <v/>
      </c>
      <c r="D4692" s="47" t="n">
        <v>36427</v>
      </c>
      <c r="E4692" s="48">
        <f>"RNCP"&amp;D4692</f>
        <v/>
      </c>
      <c r="F4692" s="48" t="inlineStr">
        <is>
          <t>CAP - Staffeur ornemaniste</t>
        </is>
      </c>
      <c r="G4692" s="49">
        <f>E4692&amp;" - "&amp;F4692</f>
        <v/>
      </c>
      <c r="H4692" s="36" t="inlineStr">
        <is>
          <t>RAS</t>
        </is>
      </c>
      <c r="I4692" s="45" t="inlineStr"/>
      <c r="J4692" s="45" t="inlineStr">
        <is>
          <t>RNCP36427</t>
        </is>
      </c>
      <c r="K4692" s="45" t="inlineStr">
        <is>
          <t>Staffeur ornemaniste</t>
        </is>
      </c>
      <c r="L4692" s="45" t="inlineStr">
        <is>
          <t>31/08/2027</t>
        </is>
      </c>
      <c r="M4692" s="45" t="inlineStr">
        <is>
          <t>22401 (Staff) ; 45554 (Artisanat art)</t>
        </is>
      </c>
      <c r="N4692" s="50" t="inlineStr">
        <is>
          <t>NON</t>
        </is>
      </c>
      <c r="O4692" s="45" t="inlineStr"/>
    </row>
    <row r="4693" customFormat="1" s="3">
      <c r="A4693" s="45" t="n"/>
      <c r="B4693" s="46" t="inlineStr">
        <is>
          <t>45514</t>
        </is>
      </c>
      <c r="C4693" s="46">
        <f>LEFT(Tableau1[[#This Row],[Formacode]],3)</f>
        <v/>
      </c>
      <c r="D4693" s="47" t="n">
        <v>37242</v>
      </c>
      <c r="E4693" s="48">
        <f>"RNCP"&amp;D4693</f>
        <v/>
      </c>
      <c r="F4693" s="48" t="inlineStr">
        <is>
          <t>CAP - Encadreur</t>
        </is>
      </c>
      <c r="G4693" s="49">
        <f>E4693&amp;" - "&amp;F4693</f>
        <v/>
      </c>
      <c r="H4693" s="36" t="inlineStr">
        <is>
          <t>RAS</t>
        </is>
      </c>
      <c r="I4693" s="45" t="inlineStr"/>
      <c r="J4693" s="45" t="inlineStr">
        <is>
          <t>RNCP37242</t>
        </is>
      </c>
      <c r="K4693" s="45" t="inlineStr">
        <is>
          <t>Encadreur</t>
        </is>
      </c>
      <c r="L4693" s="45" t="inlineStr">
        <is>
          <t>31/08/2027</t>
        </is>
      </c>
      <c r="M4693" s="45" t="inlineStr">
        <is>
          <t>45514 (Encadrement art)</t>
        </is>
      </c>
      <c r="N4693" s="50" t="inlineStr">
        <is>
          <t>NON</t>
        </is>
      </c>
      <c r="O4693" s="45" t="inlineStr"/>
    </row>
    <row r="4694" customFormat="1" s="3">
      <c r="A4694" s="45" t="n"/>
      <c r="B4694" s="46" t="inlineStr">
        <is>
          <t>45514</t>
        </is>
      </c>
      <c r="C4694" s="46">
        <f>LEFT(Tableau1[[#This Row],[Formacode]],3)</f>
        <v/>
      </c>
      <c r="D4694" s="47" t="n">
        <v>39648</v>
      </c>
      <c r="E4694" s="48">
        <f>"RNCP"&amp;D4694</f>
        <v/>
      </c>
      <c r="F4694" s="48" t="inlineStr">
        <is>
          <t>CAP - Menuisier en sièges</t>
        </is>
      </c>
      <c r="G4694" s="49">
        <f>E4694&amp;" - "&amp;F4694</f>
        <v/>
      </c>
      <c r="H4694" s="36" t="inlineStr">
        <is>
          <t>RAS</t>
        </is>
      </c>
      <c r="I4694" s="45" t="inlineStr"/>
      <c r="J4694" s="45" t="inlineStr">
        <is>
          <t>RNCP39648</t>
        </is>
      </c>
      <c r="K4694" s="45" t="inlineStr">
        <is>
          <t>Menuisier en sièges</t>
        </is>
      </c>
      <c r="L4694" s="45" t="inlineStr">
        <is>
          <t>31/08/2027</t>
        </is>
      </c>
      <c r="M4694" s="45" t="inlineStr">
        <is>
          <t>45554 (Artisanat art) ; 45019 (Ameublement) ; 22881 (Bois) ; 22416 (Menuiserie bois)</t>
        </is>
      </c>
      <c r="N4694" s="50" t="inlineStr">
        <is>
          <t>NON</t>
        </is>
      </c>
      <c r="O4694" s="45" t="inlineStr"/>
    </row>
    <row r="4695" customFormat="1" s="3">
      <c r="A4695" s="45" t="n"/>
      <c r="B4695" s="46" t="inlineStr">
        <is>
          <t>45515</t>
        </is>
      </c>
      <c r="C4695" s="46">
        <f>LEFT(Tableau1[[#This Row],[Formacode]],3)</f>
        <v/>
      </c>
      <c r="D4695" s="47" t="n">
        <v>36427</v>
      </c>
      <c r="E4695" s="48">
        <f>"RNCP"&amp;D4695</f>
        <v/>
      </c>
      <c r="F4695" s="48" t="inlineStr">
        <is>
          <t>CAP - Staffeur ornemaniste</t>
        </is>
      </c>
      <c r="G4695" s="49">
        <f>E4695&amp;" - "&amp;F4695</f>
        <v/>
      </c>
      <c r="H4695" s="36" t="inlineStr">
        <is>
          <t>RAS</t>
        </is>
      </c>
      <c r="I4695" s="45" t="inlineStr"/>
      <c r="J4695" s="45" t="inlineStr">
        <is>
          <t>RNCP36427</t>
        </is>
      </c>
      <c r="K4695" s="45" t="inlineStr">
        <is>
          <t>Staffeur ornemaniste</t>
        </is>
      </c>
      <c r="L4695" s="45" t="inlineStr">
        <is>
          <t>31/08/2027</t>
        </is>
      </c>
      <c r="M4695" s="45" t="inlineStr">
        <is>
          <t>22401 (Staff) ; 45554 (Artisanat art)</t>
        </is>
      </c>
      <c r="N4695" s="50" t="inlineStr">
        <is>
          <t>NON</t>
        </is>
      </c>
      <c r="O4695" s="45" t="inlineStr"/>
    </row>
    <row r="4696" customFormat="1" s="3">
      <c r="A4696" s="45" t="n"/>
      <c r="B4696" s="46" t="inlineStr">
        <is>
          <t>45515</t>
        </is>
      </c>
      <c r="C4696" s="46">
        <f>LEFT(Tableau1[[#This Row],[Formacode]],3)</f>
        <v/>
      </c>
      <c r="D4696" s="47" t="n">
        <v>39648</v>
      </c>
      <c r="E4696" s="48">
        <f>"RNCP"&amp;D4696</f>
        <v/>
      </c>
      <c r="F4696" s="48" t="inlineStr">
        <is>
          <t>CAP - Menuisier en sièges</t>
        </is>
      </c>
      <c r="G4696" s="49">
        <f>E4696&amp;" - "&amp;F4696</f>
        <v/>
      </c>
      <c r="H4696" s="36" t="inlineStr">
        <is>
          <t>RAS</t>
        </is>
      </c>
      <c r="I4696" s="45" t="inlineStr"/>
      <c r="J4696" s="45" t="inlineStr">
        <is>
          <t>RNCP39648</t>
        </is>
      </c>
      <c r="K4696" s="45" t="inlineStr">
        <is>
          <t>Menuisier en sièges</t>
        </is>
      </c>
      <c r="L4696" s="45" t="inlineStr">
        <is>
          <t>31/08/2027</t>
        </is>
      </c>
      <c r="M4696" s="45" t="inlineStr">
        <is>
          <t>45554 (Artisanat art) ; 45019 (Ameublement) ; 22881 (Bois) ; 22416 (Menuiserie bois)</t>
        </is>
      </c>
      <c r="N4696" s="50" t="inlineStr">
        <is>
          <t>NON</t>
        </is>
      </c>
      <c r="O4696" s="45" t="inlineStr"/>
    </row>
    <row r="4697" customFormat="1" s="3">
      <c r="A4697" s="45" t="n"/>
      <c r="B4697" s="46" t="inlineStr">
        <is>
          <t>45516</t>
        </is>
      </c>
      <c r="C4697" s="46">
        <f>LEFT(Tableau1[[#This Row],[Formacode]],3)</f>
        <v/>
      </c>
      <c r="D4697" s="47" t="n">
        <v>36427</v>
      </c>
      <c r="E4697" s="48">
        <f>"RNCP"&amp;D4697</f>
        <v/>
      </c>
      <c r="F4697" s="48" t="inlineStr">
        <is>
          <t>CAP - Staffeur ornemaniste</t>
        </is>
      </c>
      <c r="G4697" s="49">
        <f>E4697&amp;" - "&amp;F4697</f>
        <v/>
      </c>
      <c r="H4697" s="36" t="inlineStr">
        <is>
          <t>RAS</t>
        </is>
      </c>
      <c r="I4697" s="45" t="inlineStr"/>
      <c r="J4697" s="45" t="inlineStr">
        <is>
          <t>RNCP36427</t>
        </is>
      </c>
      <c r="K4697" s="45" t="inlineStr">
        <is>
          <t>Staffeur ornemaniste</t>
        </is>
      </c>
      <c r="L4697" s="45" t="inlineStr">
        <is>
          <t>31/08/2027</t>
        </is>
      </c>
      <c r="M4697" s="45" t="inlineStr">
        <is>
          <t>22401 (Staff) ; 45554 (Artisanat art)</t>
        </is>
      </c>
      <c r="N4697" s="50" t="inlineStr">
        <is>
          <t>NON</t>
        </is>
      </c>
      <c r="O4697" s="45" t="inlineStr"/>
    </row>
    <row r="4698" customFormat="1" s="3">
      <c r="A4698" s="45" t="n"/>
      <c r="B4698" s="46" t="inlineStr">
        <is>
          <t>45516</t>
        </is>
      </c>
      <c r="C4698" s="46">
        <f>LEFT(Tableau1[[#This Row],[Formacode]],3)</f>
        <v/>
      </c>
      <c r="D4698" s="47" t="n">
        <v>39648</v>
      </c>
      <c r="E4698" s="48">
        <f>"RNCP"&amp;D4698</f>
        <v/>
      </c>
      <c r="F4698" s="48" t="inlineStr">
        <is>
          <t>CAP - Menuisier en sièges</t>
        </is>
      </c>
      <c r="G4698" s="49">
        <f>E4698&amp;" - "&amp;F4698</f>
        <v/>
      </c>
      <c r="H4698" s="36" t="inlineStr">
        <is>
          <t>RAS</t>
        </is>
      </c>
      <c r="I4698" s="45" t="inlineStr"/>
      <c r="J4698" s="45" t="inlineStr">
        <is>
          <t>RNCP39648</t>
        </is>
      </c>
      <c r="K4698" s="45" t="inlineStr">
        <is>
          <t>Menuisier en sièges</t>
        </is>
      </c>
      <c r="L4698" s="45" t="inlineStr">
        <is>
          <t>31/08/2027</t>
        </is>
      </c>
      <c r="M4698" s="45" t="inlineStr">
        <is>
          <t>45554 (Artisanat art) ; 45019 (Ameublement) ; 22881 (Bois) ; 22416 (Menuiserie bois)</t>
        </is>
      </c>
      <c r="N4698" s="50" t="inlineStr">
        <is>
          <t>NON</t>
        </is>
      </c>
      <c r="O4698" s="45" t="inlineStr"/>
    </row>
    <row r="4699" customFormat="1" s="3">
      <c r="A4699" s="45" t="n"/>
      <c r="B4699" s="46" t="inlineStr">
        <is>
          <t>45517</t>
        </is>
      </c>
      <c r="C4699" s="46">
        <f>LEFT(Tableau1[[#This Row],[Formacode]],3)</f>
        <v/>
      </c>
      <c r="D4699" s="47" t="n">
        <v>36427</v>
      </c>
      <c r="E4699" s="48">
        <f>"RNCP"&amp;D4699</f>
        <v/>
      </c>
      <c r="F4699" s="48" t="inlineStr">
        <is>
          <t>CAP - Staffeur ornemaniste</t>
        </is>
      </c>
      <c r="G4699" s="49">
        <f>E4699&amp;" - "&amp;F4699</f>
        <v/>
      </c>
      <c r="H4699" s="36" t="inlineStr">
        <is>
          <t>RAS</t>
        </is>
      </c>
      <c r="I4699" s="45" t="inlineStr"/>
      <c r="J4699" s="45" t="inlineStr">
        <is>
          <t>RNCP36427</t>
        </is>
      </c>
      <c r="K4699" s="45" t="inlineStr">
        <is>
          <t>Staffeur ornemaniste</t>
        </is>
      </c>
      <c r="L4699" s="45" t="inlineStr">
        <is>
          <t>31/08/2027</t>
        </is>
      </c>
      <c r="M4699" s="45" t="inlineStr">
        <is>
          <t>22401 (Staff) ; 45554 (Artisanat art)</t>
        </is>
      </c>
      <c r="N4699" s="50" t="inlineStr">
        <is>
          <t>NON</t>
        </is>
      </c>
      <c r="O4699" s="45" t="inlineStr"/>
    </row>
    <row r="4700" customFormat="1" s="3">
      <c r="A4700" s="45" t="n"/>
      <c r="B4700" s="46" t="inlineStr">
        <is>
          <t>45517</t>
        </is>
      </c>
      <c r="C4700" s="46">
        <f>LEFT(Tableau1[[#This Row],[Formacode]],3)</f>
        <v/>
      </c>
      <c r="D4700" s="47" t="n">
        <v>39648</v>
      </c>
      <c r="E4700" s="48">
        <f>"RNCP"&amp;D4700</f>
        <v/>
      </c>
      <c r="F4700" s="48" t="inlineStr">
        <is>
          <t>CAP - Menuisier en sièges</t>
        </is>
      </c>
      <c r="G4700" s="49">
        <f>E4700&amp;" - "&amp;F4700</f>
        <v/>
      </c>
      <c r="H4700" s="36" t="inlineStr">
        <is>
          <t>RAS</t>
        </is>
      </c>
      <c r="I4700" s="45" t="inlineStr"/>
      <c r="J4700" s="45" t="inlineStr">
        <is>
          <t>RNCP39648</t>
        </is>
      </c>
      <c r="K4700" s="45" t="inlineStr">
        <is>
          <t>Menuisier en sièges</t>
        </is>
      </c>
      <c r="L4700" s="45" t="inlineStr">
        <is>
          <t>31/08/2027</t>
        </is>
      </c>
      <c r="M4700" s="45" t="inlineStr">
        <is>
          <t>45554 (Artisanat art) ; 45019 (Ameublement) ; 22881 (Bois) ; 22416 (Menuiserie bois)</t>
        </is>
      </c>
      <c r="N4700" s="50" t="inlineStr">
        <is>
          <t>NON</t>
        </is>
      </c>
      <c r="O4700" s="45" t="inlineStr"/>
    </row>
    <row r="4701" customFormat="1" s="3">
      <c r="A4701" s="45" t="n"/>
      <c r="B4701" s="46" t="inlineStr">
        <is>
          <t>45518</t>
        </is>
      </c>
      <c r="C4701" s="46">
        <f>LEFT(Tableau1[[#This Row],[Formacode]],3)</f>
        <v/>
      </c>
      <c r="D4701" s="47" t="n">
        <v>36427</v>
      </c>
      <c r="E4701" s="48">
        <f>"RNCP"&amp;D4701</f>
        <v/>
      </c>
      <c r="F4701" s="48" t="inlineStr">
        <is>
          <t>CAP - Staffeur ornemaniste</t>
        </is>
      </c>
      <c r="G4701" s="49">
        <f>E4701&amp;" - "&amp;F4701</f>
        <v/>
      </c>
      <c r="H4701" s="36" t="inlineStr">
        <is>
          <t>RAS</t>
        </is>
      </c>
      <c r="I4701" s="45" t="inlineStr"/>
      <c r="J4701" s="45" t="inlineStr">
        <is>
          <t>RNCP36427</t>
        </is>
      </c>
      <c r="K4701" s="45" t="inlineStr">
        <is>
          <t>Staffeur ornemaniste</t>
        </is>
      </c>
      <c r="L4701" s="45" t="inlineStr">
        <is>
          <t>31/08/2027</t>
        </is>
      </c>
      <c r="M4701" s="45" t="inlineStr">
        <is>
          <t>22401 (Staff) ; 45554 (Artisanat art)</t>
        </is>
      </c>
      <c r="N4701" s="50" t="inlineStr">
        <is>
          <t>NON</t>
        </is>
      </c>
      <c r="O4701" s="45" t="inlineStr"/>
    </row>
    <row r="4702" customFormat="1" s="3">
      <c r="A4702" s="45" t="n"/>
      <c r="B4702" s="46" t="inlineStr">
        <is>
          <t>45518</t>
        </is>
      </c>
      <c r="C4702" s="46">
        <f>LEFT(Tableau1[[#This Row],[Formacode]],3)</f>
        <v/>
      </c>
      <c r="D4702" s="47" t="n">
        <v>37899</v>
      </c>
      <c r="E4702" s="48">
        <f>"RNCP"&amp;D4702</f>
        <v/>
      </c>
      <c r="F4702" s="48" t="inlineStr">
        <is>
          <t>CAP - Vannerie</t>
        </is>
      </c>
      <c r="G4702" s="49">
        <f>E4702&amp;" - "&amp;F4702</f>
        <v/>
      </c>
      <c r="H4702" s="36" t="inlineStr">
        <is>
          <t>RAS</t>
        </is>
      </c>
      <c r="I4702" s="45" t="inlineStr"/>
      <c r="J4702" s="45" t="inlineStr">
        <is>
          <t>RNCP37899</t>
        </is>
      </c>
      <c r="K4702" s="45" t="inlineStr">
        <is>
          <t>Vannerie</t>
        </is>
      </c>
      <c r="L4702" s="45" t="inlineStr">
        <is>
          <t>31/08/2028</t>
        </is>
      </c>
      <c r="M4702" s="45" t="inlineStr">
        <is>
          <t>45518 (Vannerie)</t>
        </is>
      </c>
      <c r="N4702" s="50" t="inlineStr">
        <is>
          <t>NON</t>
        </is>
      </c>
      <c r="O4702" s="45" t="inlineStr"/>
    </row>
    <row r="4703" customFormat="1" s="3">
      <c r="A4703" s="45" t="n"/>
      <c r="B4703" s="46" t="inlineStr">
        <is>
          <t>45518</t>
        </is>
      </c>
      <c r="C4703" s="46">
        <f>LEFT(Tableau1[[#This Row],[Formacode]],3)</f>
        <v/>
      </c>
      <c r="D4703" s="47" t="n">
        <v>39648</v>
      </c>
      <c r="E4703" s="48">
        <f>"RNCP"&amp;D4703</f>
        <v/>
      </c>
      <c r="F4703" s="48" t="inlineStr">
        <is>
          <t>CAP - Menuisier en sièges</t>
        </is>
      </c>
      <c r="G4703" s="49">
        <f>E4703&amp;" - "&amp;F4703</f>
        <v/>
      </c>
      <c r="H4703" s="36" t="inlineStr">
        <is>
          <t>RAS</t>
        </is>
      </c>
      <c r="I4703" s="45" t="inlineStr"/>
      <c r="J4703" s="45" t="inlineStr">
        <is>
          <t>RNCP39648</t>
        </is>
      </c>
      <c r="K4703" s="45" t="inlineStr">
        <is>
          <t>Menuisier en sièges</t>
        </is>
      </c>
      <c r="L4703" s="45" t="inlineStr">
        <is>
          <t>31/08/2027</t>
        </is>
      </c>
      <c r="M4703" s="45" t="inlineStr">
        <is>
          <t>45554 (Artisanat art) ; 45019 (Ameublement) ; 22881 (Bois) ; 22416 (Menuiserie bois)</t>
        </is>
      </c>
      <c r="N4703" s="50" t="inlineStr">
        <is>
          <t>NON</t>
        </is>
      </c>
      <c r="O4703" s="45" t="inlineStr"/>
    </row>
    <row r="4704" customFormat="1" s="3">
      <c r="A4704" s="45" t="n"/>
      <c r="B4704" s="46" t="inlineStr">
        <is>
          <t>45518</t>
        </is>
      </c>
      <c r="C4704" s="46">
        <f>LEFT(Tableau1[[#This Row],[Formacode]],3)</f>
        <v/>
      </c>
      <c r="D4704" s="47" t="n">
        <v>39649</v>
      </c>
      <c r="E4704" s="48">
        <f>"RNCP"&amp;D4704</f>
        <v/>
      </c>
      <c r="F4704" s="48" t="inlineStr">
        <is>
          <t>CAP - Cannage et paillage en ameublement</t>
        </is>
      </c>
      <c r="G4704" s="49">
        <f>E4704&amp;" - "&amp;F4704</f>
        <v/>
      </c>
      <c r="H4704" s="36" t="inlineStr">
        <is>
          <t>RAS</t>
        </is>
      </c>
      <c r="I4704" s="45" t="inlineStr"/>
      <c r="J4704" s="45" t="inlineStr">
        <is>
          <t>RNCP39649</t>
        </is>
      </c>
      <c r="K4704" s="45" t="inlineStr">
        <is>
          <t>Cannage et paillage en ameublement</t>
        </is>
      </c>
      <c r="L4704" s="45" t="inlineStr">
        <is>
          <t>31/08/2027</t>
        </is>
      </c>
      <c r="M4704" s="45" t="inlineStr">
        <is>
          <t>45521 (Cannage paillage)</t>
        </is>
      </c>
      <c r="N4704" s="50" t="inlineStr">
        <is>
          <t>NON</t>
        </is>
      </c>
      <c r="O4704" s="45" t="inlineStr"/>
    </row>
    <row r="4705" customFormat="1" s="3">
      <c r="A4705" s="45" t="n"/>
      <c r="B4705" s="46" t="inlineStr">
        <is>
          <t>45522</t>
        </is>
      </c>
      <c r="C4705" s="46">
        <f>LEFT(Tableau1[[#This Row],[Formacode]],3)</f>
        <v/>
      </c>
      <c r="D4705" s="47" t="n">
        <v>36427</v>
      </c>
      <c r="E4705" s="48">
        <f>"RNCP"&amp;D4705</f>
        <v/>
      </c>
      <c r="F4705" s="48" t="inlineStr">
        <is>
          <t>CAP - Staffeur ornemaniste</t>
        </is>
      </c>
      <c r="G4705" s="49">
        <f>E4705&amp;" - "&amp;F4705</f>
        <v/>
      </c>
      <c r="H4705" s="36" t="inlineStr">
        <is>
          <t>RAS</t>
        </is>
      </c>
      <c r="I4705" s="45" t="inlineStr"/>
      <c r="J4705" s="45" t="inlineStr">
        <is>
          <t>RNCP36427</t>
        </is>
      </c>
      <c r="K4705" s="45" t="inlineStr">
        <is>
          <t>Staffeur ornemaniste</t>
        </is>
      </c>
      <c r="L4705" s="45" t="inlineStr">
        <is>
          <t>31/08/2027</t>
        </is>
      </c>
      <c r="M4705" s="45" t="inlineStr">
        <is>
          <t>22401 (Staff) ; 45554 (Artisanat art)</t>
        </is>
      </c>
      <c r="N4705" s="50" t="inlineStr">
        <is>
          <t>NON</t>
        </is>
      </c>
      <c r="O4705" s="45" t="inlineStr"/>
    </row>
    <row r="4706" customFormat="1" s="3">
      <c r="A4706" s="45" t="n"/>
      <c r="B4706" s="46" t="inlineStr">
        <is>
          <t>45522</t>
        </is>
      </c>
      <c r="C4706" s="46">
        <f>LEFT(Tableau1[[#This Row],[Formacode]],3)</f>
        <v/>
      </c>
      <c r="D4706" s="47" t="n">
        <v>39648</v>
      </c>
      <c r="E4706" s="48">
        <f>"RNCP"&amp;D4706</f>
        <v/>
      </c>
      <c r="F4706" s="48" t="inlineStr">
        <is>
          <t>CAP - Menuisier en sièges</t>
        </is>
      </c>
      <c r="G4706" s="49">
        <f>E4706&amp;" - "&amp;F4706</f>
        <v/>
      </c>
      <c r="H4706" s="36" t="inlineStr">
        <is>
          <t>RAS</t>
        </is>
      </c>
      <c r="I4706" s="45" t="inlineStr"/>
      <c r="J4706" s="45" t="inlineStr">
        <is>
          <t>RNCP39648</t>
        </is>
      </c>
      <c r="K4706" s="45" t="inlineStr">
        <is>
          <t>Menuisier en sièges</t>
        </is>
      </c>
      <c r="L4706" s="45" t="inlineStr">
        <is>
          <t>31/08/2027</t>
        </is>
      </c>
      <c r="M4706" s="45" t="inlineStr">
        <is>
          <t>45554 (Artisanat art) ; 45019 (Ameublement) ; 22881 (Bois) ; 22416 (Menuiserie bois)</t>
        </is>
      </c>
      <c r="N4706" s="50" t="inlineStr">
        <is>
          <t>NON</t>
        </is>
      </c>
      <c r="O4706" s="45" t="inlineStr"/>
    </row>
    <row r="4707" customFormat="1" s="3">
      <c r="A4707" s="45" t="n"/>
      <c r="B4707" s="46" t="inlineStr">
        <is>
          <t>45523</t>
        </is>
      </c>
      <c r="C4707" s="46">
        <f>LEFT(Tableau1[[#This Row],[Formacode]],3)</f>
        <v/>
      </c>
      <c r="D4707" s="47" t="n">
        <v>36245</v>
      </c>
      <c r="E4707" s="48">
        <f>"RNCP"&amp;D4707</f>
        <v/>
      </c>
      <c r="F4707" s="48" t="inlineStr">
        <is>
          <t>TP - Tapissier-couturier d'ameublement</t>
        </is>
      </c>
      <c r="G4707" s="49">
        <f>E4707&amp;" - "&amp;F4707</f>
        <v/>
      </c>
      <c r="H4707" s="36" t="inlineStr">
        <is>
          <t>RAS</t>
        </is>
      </c>
      <c r="I4707" s="45" t="inlineStr"/>
      <c r="J4707" s="45" t="inlineStr">
        <is>
          <t>RNCP36245</t>
        </is>
      </c>
      <c r="K4707" s="45" t="inlineStr">
        <is>
          <t>Tapissier-couturier d'ameublement</t>
        </is>
      </c>
      <c r="L4707" s="45" t="inlineStr">
        <is>
          <t>17/04/2027</t>
        </is>
      </c>
      <c r="M4707" s="45" t="inlineStr">
        <is>
          <t>45019 (Ameublement) ; 45523 (Tapisserie ameublement)</t>
        </is>
      </c>
      <c r="N4707" s="50" t="inlineStr">
        <is>
          <t>NON</t>
        </is>
      </c>
      <c r="O4707" s="45" t="inlineStr"/>
    </row>
    <row r="4708" customFormat="1" s="3">
      <c r="A4708" s="45" t="n"/>
      <c r="B4708" s="46" t="inlineStr">
        <is>
          <t>45523</t>
        </is>
      </c>
      <c r="C4708" s="46">
        <f>LEFT(Tableau1[[#This Row],[Formacode]],3)</f>
        <v/>
      </c>
      <c r="D4708" s="47" t="n">
        <v>36258</v>
      </c>
      <c r="E4708" s="48">
        <f>"RNCP"&amp;D4708</f>
        <v/>
      </c>
      <c r="F4708" s="48" t="inlineStr">
        <is>
          <t>TP - Tapissier garnisseur</t>
        </is>
      </c>
      <c r="G4708" s="49">
        <f>E4708&amp;" - "&amp;F4708</f>
        <v/>
      </c>
      <c r="H4708" s="36" t="inlineStr">
        <is>
          <t>RAS</t>
        </is>
      </c>
      <c r="I4708" s="45" t="inlineStr"/>
      <c r="J4708" s="45" t="inlineStr">
        <is>
          <t>RNCP36258</t>
        </is>
      </c>
      <c r="K4708" s="45" t="inlineStr">
        <is>
          <t>Tapissier garnisseur</t>
        </is>
      </c>
      <c r="L4708" s="45" t="inlineStr">
        <is>
          <t>11/07/2027</t>
        </is>
      </c>
      <c r="M4708" s="45" t="inlineStr">
        <is>
          <t>45523 (Tapisserie ameublement) ; 45019 (Ameublement)</t>
        </is>
      </c>
      <c r="N4708" s="50" t="inlineStr">
        <is>
          <t>NON</t>
        </is>
      </c>
      <c r="O4708" s="45" t="inlineStr"/>
    </row>
    <row r="4709" customFormat="1" s="3">
      <c r="A4709" s="45" t="n"/>
      <c r="B4709" s="46" t="inlineStr">
        <is>
          <t>45523</t>
        </is>
      </c>
      <c r="C4709" s="46">
        <f>LEFT(Tableau1[[#This Row],[Formacode]],3)</f>
        <v/>
      </c>
      <c r="D4709" s="47" t="n">
        <v>36427</v>
      </c>
      <c r="E4709" s="48">
        <f>"RNCP"&amp;D4709</f>
        <v/>
      </c>
      <c r="F4709" s="48" t="inlineStr">
        <is>
          <t>CAP - Staffeur ornemaniste</t>
        </is>
      </c>
      <c r="G4709" s="49">
        <f>E4709&amp;" - "&amp;F4709</f>
        <v/>
      </c>
      <c r="H4709" s="36" t="inlineStr">
        <is>
          <t>RAS</t>
        </is>
      </c>
      <c r="I4709" s="45" t="inlineStr"/>
      <c r="J4709" s="45" t="inlineStr">
        <is>
          <t>RNCP36427</t>
        </is>
      </c>
      <c r="K4709" s="45" t="inlineStr">
        <is>
          <t>Staffeur ornemaniste</t>
        </is>
      </c>
      <c r="L4709" s="45" t="inlineStr">
        <is>
          <t>31/08/2027</t>
        </is>
      </c>
      <c r="M4709" s="45" t="inlineStr">
        <is>
          <t>22401 (Staff) ; 45554 (Artisanat art)</t>
        </is>
      </c>
      <c r="N4709" s="50" t="inlineStr">
        <is>
          <t>NON</t>
        </is>
      </c>
      <c r="O4709" s="45" t="inlineStr"/>
    </row>
    <row r="4710" customFormat="1" s="3">
      <c r="A4710" s="45" t="n"/>
      <c r="B4710" s="46" t="inlineStr">
        <is>
          <t>45523</t>
        </is>
      </c>
      <c r="C4710" s="46">
        <f>LEFT(Tableau1[[#This Row],[Formacode]],3)</f>
        <v/>
      </c>
      <c r="D4710" s="47" t="n">
        <v>37236</v>
      </c>
      <c r="E4710" s="48">
        <f>"RNCP"&amp;D4710</f>
        <v/>
      </c>
      <c r="F4710" s="48" t="inlineStr">
        <is>
          <t>BP - Ameublement tapisserie décoration</t>
        </is>
      </c>
      <c r="G4710" s="49">
        <f>E4710&amp;" - "&amp;F4710</f>
        <v/>
      </c>
      <c r="H4710" s="36" t="inlineStr">
        <is>
          <t>RAS</t>
        </is>
      </c>
      <c r="I4710" s="45" t="inlineStr"/>
      <c r="J4710" s="45" t="inlineStr">
        <is>
          <t>RNCP37236</t>
        </is>
      </c>
      <c r="K4710" s="45" t="inlineStr">
        <is>
          <t>Ameublement tapisserie décoration</t>
        </is>
      </c>
      <c r="L4710" s="45" t="inlineStr">
        <is>
          <t>31/08/2027</t>
        </is>
      </c>
      <c r="M4710" s="45" t="inlineStr">
        <is>
          <t>45523 (Tapisserie ameublement)</t>
        </is>
      </c>
      <c r="N4710" s="50" t="inlineStr">
        <is>
          <t>NON</t>
        </is>
      </c>
      <c r="O4710" s="45" t="inlineStr"/>
    </row>
    <row r="4711" customFormat="1" s="3">
      <c r="A4711" s="45" t="n"/>
      <c r="B4711" s="46" t="inlineStr">
        <is>
          <t>45523</t>
        </is>
      </c>
      <c r="C4711" s="46">
        <f>LEFT(Tableau1[[#This Row],[Formacode]],3)</f>
        <v/>
      </c>
      <c r="D4711" s="47" t="n">
        <v>37247</v>
      </c>
      <c r="E4711" s="48">
        <f>"RNCP"&amp;D4711</f>
        <v/>
      </c>
      <c r="F4711" s="48" t="inlineStr">
        <is>
          <t>CAP - Tapissier d'ameublement en décor</t>
        </is>
      </c>
      <c r="G4711" s="49">
        <f>E4711&amp;" - "&amp;F4711</f>
        <v/>
      </c>
      <c r="H4711" s="36" t="inlineStr">
        <is>
          <t>RAS</t>
        </is>
      </c>
      <c r="I4711" s="45" t="inlineStr"/>
      <c r="J4711" s="45" t="inlineStr">
        <is>
          <t>RNCP37247</t>
        </is>
      </c>
      <c r="K4711" s="45" t="inlineStr">
        <is>
          <t>Tapissier d'ameublement en décor</t>
        </is>
      </c>
      <c r="L4711" s="45" t="inlineStr">
        <is>
          <t>31/08/2027</t>
        </is>
      </c>
      <c r="M4711" s="45" t="inlineStr">
        <is>
          <t>45523 (Tapisserie ameublement)</t>
        </is>
      </c>
      <c r="N4711" s="50" t="inlineStr">
        <is>
          <t>NON</t>
        </is>
      </c>
      <c r="O4711" s="45" t="inlineStr"/>
    </row>
    <row r="4712" customFormat="1" s="3">
      <c r="A4712" s="45" t="n"/>
      <c r="B4712" s="46" t="inlineStr">
        <is>
          <t>45523</t>
        </is>
      </c>
      <c r="C4712" s="46">
        <f>LEFT(Tableau1[[#This Row],[Formacode]],3)</f>
        <v/>
      </c>
      <c r="D4712" s="47" t="n">
        <v>37248</v>
      </c>
      <c r="E4712" s="48">
        <f>"RNCP"&amp;D4712</f>
        <v/>
      </c>
      <c r="F4712" s="48" t="inlineStr">
        <is>
          <t>CAP - Tapissier d'ameublement en siège</t>
        </is>
      </c>
      <c r="G4712" s="49">
        <f>E4712&amp;" - "&amp;F4712</f>
        <v/>
      </c>
      <c r="H4712" s="36" t="inlineStr">
        <is>
          <t>RAS</t>
        </is>
      </c>
      <c r="I4712" s="45" t="inlineStr"/>
      <c r="J4712" s="45" t="inlineStr">
        <is>
          <t>RNCP37248</t>
        </is>
      </c>
      <c r="K4712" s="45" t="inlineStr">
        <is>
          <t>Tapissier d'ameublement en siège</t>
        </is>
      </c>
      <c r="L4712" s="45" t="inlineStr">
        <is>
          <t>31/08/2027</t>
        </is>
      </c>
      <c r="M4712" s="45" t="inlineStr">
        <is>
          <t>45523 (Tapisserie ameublement)</t>
        </is>
      </c>
      <c r="N4712" s="50" t="inlineStr">
        <is>
          <t>NON</t>
        </is>
      </c>
      <c r="O4712" s="45" t="inlineStr"/>
    </row>
    <row r="4713" customFormat="1" s="3">
      <c r="A4713" s="51" t="n"/>
      <c r="B4713" s="52" t="inlineStr">
        <is>
          <t>45523</t>
        </is>
      </c>
      <c r="C4713" s="52">
        <f>LEFT(Tableau1[[#This Row],[Formacode]],3)</f>
        <v/>
      </c>
      <c r="D4713" s="53" t="n">
        <v>39492</v>
      </c>
      <c r="E4713" s="54">
        <f>"RNCP"&amp;D4713</f>
        <v/>
      </c>
      <c r="F4713" s="54" t="inlineStr">
        <is>
          <t>CAP - Rentrayeur - option A tapis, option B tapisserie</t>
        </is>
      </c>
      <c r="G4713" s="55">
        <f>E4713&amp;" - "&amp;F4713</f>
        <v/>
      </c>
      <c r="H4713" s="37" t="inlineStr">
        <is>
          <t>À vérifier</t>
        </is>
      </c>
      <c r="I4713" s="51" t="inlineStr">
        <is>
          <t>Successeur déjà publié : RNCP42133 (Rentrayeur - option A tapis, option B tapisserie) — préparer la bascule de l'offre CPF | Échéance le 31/08/2026 (dans 44 j)</t>
        </is>
      </c>
      <c r="J4713" s="51" t="inlineStr">
        <is>
          <t>RNCP42133</t>
        </is>
      </c>
      <c r="K4713" s="51" t="inlineStr">
        <is>
          <t>Rentrayeur - option A tapis, option B tapisserie</t>
        </is>
      </c>
      <c r="L4713" s="51" t="inlineStr">
        <is>
          <t>31/08/2026</t>
        </is>
      </c>
      <c r="M4713" s="51" t="inlineStr">
        <is>
          <t>45504 (Tissage artisanal) ; 45038 (Restauration objet art) ; 45523 (Tapisserie ameublement)</t>
        </is>
      </c>
      <c r="N4713" s="62" t="inlineStr">
        <is>
          <t>NON</t>
        </is>
      </c>
      <c r="O4713" s="51" t="inlineStr"/>
    </row>
    <row r="4714" customFormat="1" s="3">
      <c r="A4714" s="45" t="n"/>
      <c r="B4714" s="46" t="inlineStr">
        <is>
          <t>45523</t>
        </is>
      </c>
      <c r="C4714" s="46">
        <f>LEFT(Tableau1[[#This Row],[Formacode]],3)</f>
        <v/>
      </c>
      <c r="D4714" s="47" t="n">
        <v>39648</v>
      </c>
      <c r="E4714" s="48">
        <f>"RNCP"&amp;D4714</f>
        <v/>
      </c>
      <c r="F4714" s="48" t="inlineStr">
        <is>
          <t>CAP - Menuisier en sièges</t>
        </is>
      </c>
      <c r="G4714" s="49">
        <f>E4714&amp;" - "&amp;F4714</f>
        <v/>
      </c>
      <c r="H4714" s="36" t="inlineStr">
        <is>
          <t>RAS</t>
        </is>
      </c>
      <c r="I4714" s="45" t="inlineStr"/>
      <c r="J4714" s="45" t="inlineStr">
        <is>
          <t>RNCP39648</t>
        </is>
      </c>
      <c r="K4714" s="45" t="inlineStr">
        <is>
          <t>Menuisier en sièges</t>
        </is>
      </c>
      <c r="L4714" s="45" t="inlineStr">
        <is>
          <t>31/08/2027</t>
        </is>
      </c>
      <c r="M4714" s="45" t="inlineStr">
        <is>
          <t>45554 (Artisanat art) ; 45019 (Ameublement) ; 22881 (Bois) ; 22416 (Menuiserie bois)</t>
        </is>
      </c>
      <c r="N4714" s="50" t="inlineStr">
        <is>
          <t>NON</t>
        </is>
      </c>
      <c r="O4714" s="45" t="inlineStr"/>
    </row>
    <row r="4715" customFormat="1" s="3">
      <c r="A4715" s="45" t="n"/>
      <c r="B4715" s="46" t="inlineStr">
        <is>
          <t>45524</t>
        </is>
      </c>
      <c r="C4715" s="46">
        <f>LEFT(Tableau1[[#This Row],[Formacode]],3)</f>
        <v/>
      </c>
      <c r="D4715" s="47" t="n">
        <v>36427</v>
      </c>
      <c r="E4715" s="48">
        <f>"RNCP"&amp;D4715</f>
        <v/>
      </c>
      <c r="F4715" s="48" t="inlineStr">
        <is>
          <t>CAP - Staffeur ornemaniste</t>
        </is>
      </c>
      <c r="G4715" s="49">
        <f>E4715&amp;" - "&amp;F4715</f>
        <v/>
      </c>
      <c r="H4715" s="36" t="inlineStr">
        <is>
          <t>RAS</t>
        </is>
      </c>
      <c r="I4715" s="45" t="inlineStr"/>
      <c r="J4715" s="45" t="inlineStr">
        <is>
          <t>RNCP36427</t>
        </is>
      </c>
      <c r="K4715" s="45" t="inlineStr">
        <is>
          <t>Staffeur ornemaniste</t>
        </is>
      </c>
      <c r="L4715" s="45" t="inlineStr">
        <is>
          <t>31/08/2027</t>
        </is>
      </c>
      <c r="M4715" s="45" t="inlineStr">
        <is>
          <t>22401 (Staff) ; 45554 (Artisanat art)</t>
        </is>
      </c>
      <c r="N4715" s="50" t="inlineStr">
        <is>
          <t>NON</t>
        </is>
      </c>
      <c r="O4715" s="45" t="inlineStr"/>
    </row>
    <row r="4716" customFormat="1" s="3">
      <c r="A4716" s="45" t="n"/>
      <c r="B4716" s="46" t="inlineStr">
        <is>
          <t>45524</t>
        </is>
      </c>
      <c r="C4716" s="46">
        <f>LEFT(Tableau1[[#This Row],[Formacode]],3)</f>
        <v/>
      </c>
      <c r="D4716" s="47" t="n">
        <v>39648</v>
      </c>
      <c r="E4716" s="48">
        <f>"RNCP"&amp;D4716</f>
        <v/>
      </c>
      <c r="F4716" s="48" t="inlineStr">
        <is>
          <t>CAP - Menuisier en sièges</t>
        </is>
      </c>
      <c r="G4716" s="49">
        <f>E4716&amp;" - "&amp;F4716</f>
        <v/>
      </c>
      <c r="H4716" s="36" t="inlineStr">
        <is>
          <t>RAS</t>
        </is>
      </c>
      <c r="I4716" s="45" t="inlineStr"/>
      <c r="J4716" s="45" t="inlineStr">
        <is>
          <t>RNCP39648</t>
        </is>
      </c>
      <c r="K4716" s="45" t="inlineStr">
        <is>
          <t>Menuisier en sièges</t>
        </is>
      </c>
      <c r="L4716" s="45" t="inlineStr">
        <is>
          <t>31/08/2027</t>
        </is>
      </c>
      <c r="M4716" s="45" t="inlineStr">
        <is>
          <t>45554 (Artisanat art) ; 45019 (Ameublement) ; 22881 (Bois) ; 22416 (Menuiserie bois)</t>
        </is>
      </c>
      <c r="N4716" s="50" t="inlineStr">
        <is>
          <t>NON</t>
        </is>
      </c>
      <c r="O4716" s="45" t="inlineStr"/>
    </row>
    <row r="4717" ht="28.8" customFormat="1" customHeight="1" s="3">
      <c r="A4717" s="45" t="n"/>
      <c r="B4717" s="46" t="inlineStr">
        <is>
          <t>45529</t>
        </is>
      </c>
      <c r="C4717" s="46">
        <f>LEFT(Tableau1[[#This Row],[Formacode]],3)</f>
        <v/>
      </c>
      <c r="D4717" s="47" t="n">
        <v>36336</v>
      </c>
      <c r="E4717" s="48">
        <f>"RNCP"&amp;D4717</f>
        <v/>
      </c>
      <c r="F4717" s="48" t="inlineStr">
        <is>
          <t>CAP - Art et techniques de la bijouterie-joaillerie options bijouterie-joaillerie, bijouterie sertissage et polissage finition</t>
        </is>
      </c>
      <c r="G4717" s="49">
        <f>E4717&amp;" - "&amp;F4717</f>
        <v/>
      </c>
      <c r="H4717" s="36" t="inlineStr">
        <is>
          <t>RAS</t>
        </is>
      </c>
      <c r="I4717" s="45" t="inlineStr"/>
      <c r="J4717" s="45" t="inlineStr">
        <is>
          <t>RNCP36336</t>
        </is>
      </c>
      <c r="K4717" s="45" t="inlineStr">
        <is>
          <t>Art et techniques de la bijouterie-joaillerie options bijouterie-joaillerie, bijouterie sertissage et polissage finition</t>
        </is>
      </c>
      <c r="L4717" s="45" t="inlineStr">
        <is>
          <t>31/08/2027</t>
        </is>
      </c>
      <c r="M4717" s="45" t="inlineStr">
        <is>
          <t>45529 (BJO)</t>
        </is>
      </c>
      <c r="N4717" s="50" t="inlineStr">
        <is>
          <t>NON</t>
        </is>
      </c>
      <c r="O4717" s="45" t="inlineStr"/>
    </row>
    <row r="4718" customFormat="1" s="3">
      <c r="A4718" s="45" t="n"/>
      <c r="B4718" s="46" t="inlineStr">
        <is>
          <t>45529</t>
        </is>
      </c>
      <c r="C4718" s="46">
        <f>LEFT(Tableau1[[#This Row],[Formacode]],3)</f>
        <v/>
      </c>
      <c r="D4718" s="47" t="n">
        <v>36427</v>
      </c>
      <c r="E4718" s="48">
        <f>"RNCP"&amp;D4718</f>
        <v/>
      </c>
      <c r="F4718" s="48" t="inlineStr">
        <is>
          <t>CAP - Staffeur ornemaniste</t>
        </is>
      </c>
      <c r="G4718" s="49">
        <f>E4718&amp;" - "&amp;F4718</f>
        <v/>
      </c>
      <c r="H4718" s="36" t="inlineStr">
        <is>
          <t>RAS</t>
        </is>
      </c>
      <c r="I4718" s="45" t="inlineStr"/>
      <c r="J4718" s="45" t="inlineStr">
        <is>
          <t>RNCP36427</t>
        </is>
      </c>
      <c r="K4718" s="45" t="inlineStr">
        <is>
          <t>Staffeur ornemaniste</t>
        </is>
      </c>
      <c r="L4718" s="45" t="inlineStr">
        <is>
          <t>31/08/2027</t>
        </is>
      </c>
      <c r="M4718" s="45" t="inlineStr">
        <is>
          <t>22401 (Staff) ; 45554 (Artisanat art)</t>
        </is>
      </c>
      <c r="N4718" s="50" t="inlineStr">
        <is>
          <t>NON</t>
        </is>
      </c>
      <c r="O4718" s="45" t="inlineStr"/>
    </row>
    <row r="4719" customFormat="1" s="3">
      <c r="A4719" s="45" t="n"/>
      <c r="B4719" s="46" t="inlineStr">
        <is>
          <t>45529</t>
        </is>
      </c>
      <c r="C4719" s="46">
        <f>LEFT(Tableau1[[#This Row],[Formacode]],3)</f>
        <v/>
      </c>
      <c r="D4719" s="47" t="n">
        <v>36684</v>
      </c>
      <c r="E4719" s="48">
        <f>"RNCP"&amp;D4719</f>
        <v/>
      </c>
      <c r="F4719" s="48" t="inlineStr">
        <is>
          <t>CS - Joaillerie</t>
        </is>
      </c>
      <c r="G4719" s="49">
        <f>E4719&amp;" - "&amp;F4719</f>
        <v/>
      </c>
      <c r="H4719" s="36" t="inlineStr">
        <is>
          <t>RAS</t>
        </is>
      </c>
      <c r="I4719" s="45" t="inlineStr"/>
      <c r="J4719" s="45" t="inlineStr">
        <is>
          <t>RNCP36684</t>
        </is>
      </c>
      <c r="K4719" s="45" t="inlineStr">
        <is>
          <t>Joaillerie</t>
        </is>
      </c>
      <c r="L4719" s="45" t="inlineStr">
        <is>
          <t>31/08/2027</t>
        </is>
      </c>
      <c r="M4719" s="45" t="inlineStr">
        <is>
          <t>45509 (Joaillerie)</t>
        </is>
      </c>
      <c r="N4719" s="50" t="inlineStr">
        <is>
          <t>NON</t>
        </is>
      </c>
      <c r="O4719" s="45" t="inlineStr"/>
    </row>
    <row r="4720" customFormat="1" s="3">
      <c r="A4720" s="45" t="n"/>
      <c r="B4720" s="46" t="inlineStr">
        <is>
          <t>45529</t>
        </is>
      </c>
      <c r="C4720" s="46">
        <f>LEFT(Tableau1[[#This Row],[Formacode]],3)</f>
        <v/>
      </c>
      <c r="D4720" s="47" t="n">
        <v>37311</v>
      </c>
      <c r="E4720" s="48">
        <f>"RNCP"&amp;D4720</f>
        <v/>
      </c>
      <c r="F4720" s="48" t="inlineStr">
        <is>
          <t>BP - Gemmologue</t>
        </is>
      </c>
      <c r="G4720" s="49">
        <f>E4720&amp;" - "&amp;F4720</f>
        <v/>
      </c>
      <c r="H4720" s="36" t="inlineStr">
        <is>
          <t>RAS</t>
        </is>
      </c>
      <c r="I4720" s="45" t="inlineStr"/>
      <c r="J4720" s="45" t="inlineStr">
        <is>
          <t>RNCP37311</t>
        </is>
      </c>
      <c r="K4720" s="45" t="inlineStr">
        <is>
          <t>Gemmologue</t>
        </is>
      </c>
      <c r="L4720" s="45" t="inlineStr">
        <is>
          <t>31/08/2028</t>
        </is>
      </c>
      <c r="M4720" s="45" t="inlineStr">
        <is>
          <t>45519 (Gemmologie)</t>
        </is>
      </c>
      <c r="N4720" s="50" t="inlineStr">
        <is>
          <t>NON</t>
        </is>
      </c>
      <c r="O4720" s="45" t="inlineStr"/>
    </row>
    <row r="4721" customFormat="1" s="3">
      <c r="A4721" s="45" t="n"/>
      <c r="B4721" s="46" t="inlineStr">
        <is>
          <t>45529</t>
        </is>
      </c>
      <c r="C4721" s="46">
        <f>LEFT(Tableau1[[#This Row],[Formacode]],3)</f>
        <v/>
      </c>
      <c r="D4721" s="47" t="n">
        <v>37381</v>
      </c>
      <c r="E4721" s="48">
        <f>"RNCP"&amp;D4721</f>
        <v/>
      </c>
      <c r="F4721" s="48" t="inlineStr">
        <is>
          <t>CS - Bijoux de mode</t>
        </is>
      </c>
      <c r="G4721" s="49">
        <f>E4721&amp;" - "&amp;F4721</f>
        <v/>
      </c>
      <c r="H4721" s="36" t="inlineStr">
        <is>
          <t>RAS</t>
        </is>
      </c>
      <c r="I4721" s="45" t="inlineStr"/>
      <c r="J4721" s="45" t="inlineStr">
        <is>
          <t>RNCP37381</t>
        </is>
      </c>
      <c r="K4721" s="45" t="inlineStr">
        <is>
          <t>Bijoux de mode</t>
        </is>
      </c>
      <c r="L4721" s="45" t="inlineStr">
        <is>
          <t>31/08/2028</t>
        </is>
      </c>
      <c r="M4721" s="45" t="inlineStr">
        <is>
          <t>45529 (BJO) ; 21752 (Accessoire mode)</t>
        </is>
      </c>
      <c r="N4721" s="50" t="inlineStr">
        <is>
          <t>NON</t>
        </is>
      </c>
      <c r="O4721" s="45" t="inlineStr"/>
    </row>
    <row r="4722" customFormat="1" s="3">
      <c r="A4722" s="51" t="n"/>
      <c r="B4722" s="52" t="inlineStr">
        <is>
          <t>45529</t>
        </is>
      </c>
      <c r="C4722" s="52">
        <f>LEFT(Tableau1[[#This Row],[Formacode]],3)</f>
        <v/>
      </c>
      <c r="D4722" s="53" t="n">
        <v>39031</v>
      </c>
      <c r="E4722" s="54">
        <f>"RNCP"&amp;D4722</f>
        <v/>
      </c>
      <c r="F4722" s="54" t="inlineStr">
        <is>
          <t>CAP - Emailleur d'art sur métaux</t>
        </is>
      </c>
      <c r="G4722" s="55">
        <f>E4722&amp;" - "&amp;F4722</f>
        <v/>
      </c>
      <c r="H4722" s="37" t="inlineStr">
        <is>
          <t>À vérifier</t>
        </is>
      </c>
      <c r="I4722" s="51" t="inlineStr">
        <is>
          <t>Successeur déjà publié : RNCP42111 (Emailleur d'art sur métaux) — préparer la bascule de l'offre CPF | Échéance le 31/08/2026 (dans 44 j)</t>
        </is>
      </c>
      <c r="J4722" s="51" t="inlineStr">
        <is>
          <t>RNCP42111</t>
        </is>
      </c>
      <c r="K4722" s="51" t="inlineStr">
        <is>
          <t>Emailleur d'art sur métaux</t>
        </is>
      </c>
      <c r="L4722" s="51" t="inlineStr">
        <is>
          <t>31/08/2026</t>
        </is>
      </c>
      <c r="M4722" s="51" t="inlineStr">
        <is>
          <t>45529 (BJO)</t>
        </is>
      </c>
      <c r="N4722" s="62" t="inlineStr">
        <is>
          <t>NON</t>
        </is>
      </c>
      <c r="O4722" s="51" t="inlineStr"/>
    </row>
    <row r="4723" customFormat="1" s="3">
      <c r="A4723" s="45" t="n"/>
      <c r="B4723" s="46" t="inlineStr">
        <is>
          <t>45529</t>
        </is>
      </c>
      <c r="C4723" s="46">
        <f>LEFT(Tableau1[[#This Row],[Formacode]],3)</f>
        <v/>
      </c>
      <c r="D4723" s="47" t="n">
        <v>39648</v>
      </c>
      <c r="E4723" s="48">
        <f>"RNCP"&amp;D4723</f>
        <v/>
      </c>
      <c r="F4723" s="48" t="inlineStr">
        <is>
          <t>CAP - Menuisier en sièges</t>
        </is>
      </c>
      <c r="G4723" s="49">
        <f>E4723&amp;" - "&amp;F4723</f>
        <v/>
      </c>
      <c r="H4723" s="36" t="inlineStr">
        <is>
          <t>RAS</t>
        </is>
      </c>
      <c r="I4723" s="45" t="inlineStr"/>
      <c r="J4723" s="45" t="inlineStr">
        <is>
          <t>RNCP39648</t>
        </is>
      </c>
      <c r="K4723" s="45" t="inlineStr">
        <is>
          <t>Menuisier en sièges</t>
        </is>
      </c>
      <c r="L4723" s="45" t="inlineStr">
        <is>
          <t>31/08/2027</t>
        </is>
      </c>
      <c r="M4723" s="45" t="inlineStr">
        <is>
          <t>45554 (Artisanat art) ; 45019 (Ameublement) ; 22881 (Bois) ; 22416 (Menuiserie bois)</t>
        </is>
      </c>
      <c r="N4723" s="50" t="inlineStr">
        <is>
          <t>NON</t>
        </is>
      </c>
      <c r="O4723" s="45" t="inlineStr"/>
    </row>
    <row r="4724" ht="28.8" customFormat="1" customHeight="1" s="3">
      <c r="A4724" s="51" t="n"/>
      <c r="B4724" s="52" t="inlineStr">
        <is>
          <t>45529</t>
        </is>
      </c>
      <c r="C4724" s="52">
        <f>LEFT(Tableau1[[#This Row],[Formacode]],3)</f>
        <v/>
      </c>
      <c r="D4724" s="53" t="n">
        <v>39788</v>
      </c>
      <c r="E4724" s="54">
        <f>"RNCP"&amp;D4724</f>
        <v/>
      </c>
      <c r="F4724" s="54" t="inlineStr">
        <is>
          <t>CAP - Orfèvre options : A : monteur en orfèvrerie ; B : tourneur repousseur en orfèvrerie ; C : polisseur aviveur en orfèvrerie ; D : planeur en orfèvrerie</t>
        </is>
      </c>
      <c r="G4724" s="55">
        <f>E4724&amp;" - "&amp;F4724</f>
        <v/>
      </c>
      <c r="H4724" s="37" t="inlineStr">
        <is>
          <t>À vérifier</t>
        </is>
      </c>
      <c r="I4724" s="51" t="inlineStr">
        <is>
          <t>Successeur déjà publié : RNCP42131 (Orfèvre options : A : monteur en orfèvrerie ; B : tourneur repousseur en orfèvrerie ; C : polisseur aviveur en orfèvrerie ; D : planeur en orfèvrerie) — préparer la bascule de l'offre CPF | Échéance le 31/08/2026 (dans 44 j)</t>
        </is>
      </c>
      <c r="J4724" s="51" t="inlineStr">
        <is>
          <t>RNCP42131</t>
        </is>
      </c>
      <c r="K4724" s="51" t="inlineStr">
        <is>
          <t>Orfèvre options : A : monteur en orfèvrerie ; B : tourneur repousseur en orfèvrerie ; C : polisseur aviveur en orfèvrerie ; D : planeur en orfèvrerie</t>
        </is>
      </c>
      <c r="L4724" s="51" t="inlineStr">
        <is>
          <t>31/08/2026</t>
        </is>
      </c>
      <c r="M4724" s="51" t="inlineStr">
        <is>
          <t>45507 (Orfèvrerie)</t>
        </is>
      </c>
      <c r="N4724" s="62" t="inlineStr">
        <is>
          <t>NON</t>
        </is>
      </c>
      <c r="O4724" s="51" t="inlineStr"/>
    </row>
    <row r="4725" customFormat="1" s="3">
      <c r="A4725" s="51" t="n"/>
      <c r="B4725" s="52" t="inlineStr">
        <is>
          <t>45529</t>
        </is>
      </c>
      <c r="C4725" s="52">
        <f>LEFT(Tableau1[[#This Row],[Formacode]],3)</f>
        <v/>
      </c>
      <c r="D4725" s="53" t="n">
        <v>39807</v>
      </c>
      <c r="E4725" s="54">
        <f>"RNCP"&amp;D4725</f>
        <v/>
      </c>
      <c r="F4725" s="54" t="inlineStr">
        <is>
          <t>CAP - Lapidaire options Diamant et Pierres de couleur</t>
        </is>
      </c>
      <c r="G4725" s="55">
        <f>E4725&amp;" - "&amp;F4725</f>
        <v/>
      </c>
      <c r="H4725" s="37" t="inlineStr">
        <is>
          <t>À vérifier</t>
        </is>
      </c>
      <c r="I4725" s="51" t="inlineStr">
        <is>
          <t>Successeur déjà publié : RNCP42135 (Lapidaire options Diamant et Pierres de couleur) — préparer la bascule de l'offre CPF | Échéance le 31/08/2026 (dans 44 j)</t>
        </is>
      </c>
      <c r="J4725" s="51" t="inlineStr">
        <is>
          <t>RNCP42135</t>
        </is>
      </c>
      <c r="K4725" s="51" t="inlineStr">
        <is>
          <t>Lapidaire options Diamant et Pierres de couleur</t>
        </is>
      </c>
      <c r="L4725" s="51" t="inlineStr">
        <is>
          <t>31/08/2026</t>
        </is>
      </c>
      <c r="M4725" s="51" t="inlineStr">
        <is>
          <t>45508 (Art pierre précieuse)</t>
        </is>
      </c>
      <c r="N4725" s="62" t="inlineStr">
        <is>
          <t>NON</t>
        </is>
      </c>
      <c r="O4725" s="51" t="inlineStr"/>
    </row>
    <row r="4726" customFormat="1" s="3">
      <c r="A4726" s="51" t="n"/>
      <c r="B4726" s="52" t="inlineStr">
        <is>
          <t>45531</t>
        </is>
      </c>
      <c r="C4726" s="52">
        <f>LEFT(Tableau1[[#This Row],[Formacode]],3)</f>
        <v/>
      </c>
      <c r="D4726" s="53" t="n">
        <v>35640</v>
      </c>
      <c r="E4726" s="54">
        <f>"RNCP"&amp;D4726</f>
        <v/>
      </c>
      <c r="F4726" s="54" t="inlineStr">
        <is>
          <t>CAP - Arts de la dentelle, options fuseaux et aiguille</t>
        </is>
      </c>
      <c r="G4726" s="55">
        <f>E4726&amp;" - "&amp;F4726</f>
        <v/>
      </c>
      <c r="H4726" s="37" t="inlineStr">
        <is>
          <t>À vérifier</t>
        </is>
      </c>
      <c r="I4726" s="51" t="inlineStr">
        <is>
          <t>Successeur déjà publié : RNCP42132 (Arts de la dentelle, options fuseaux et aiguille) — préparer la bascule de l'offre CPF | Échéance le 31/08/2026 (dans 44 j)</t>
        </is>
      </c>
      <c r="J4726" s="51" t="inlineStr">
        <is>
          <t>RNCP42132</t>
        </is>
      </c>
      <c r="K4726" s="51" t="inlineStr">
        <is>
          <t>Arts de la dentelle, options fuseaux et aiguille</t>
        </is>
      </c>
      <c r="L4726" s="51" t="inlineStr">
        <is>
          <t>31/08/2026</t>
        </is>
      </c>
      <c r="M4726" s="51" t="inlineStr">
        <is>
          <t>45531 (Dentellerie broderie artisanale) ; 31620 (Conduite installation industrielle) ; 21625 (Ennoblissement textile) ; 21650 (Machine filature) ; 21620 (Métier à tisser)</t>
        </is>
      </c>
      <c r="N4726" s="62" t="inlineStr">
        <is>
          <t>NON</t>
        </is>
      </c>
      <c r="O4726" s="51" t="inlineStr"/>
    </row>
    <row r="4727" customFormat="1" s="3">
      <c r="A4727" s="45" t="n"/>
      <c r="B4727" s="46" t="inlineStr">
        <is>
          <t>45531</t>
        </is>
      </c>
      <c r="C4727" s="46">
        <f>LEFT(Tableau1[[#This Row],[Formacode]],3)</f>
        <v/>
      </c>
      <c r="D4727" s="47" t="n">
        <v>36427</v>
      </c>
      <c r="E4727" s="48">
        <f>"RNCP"&amp;D4727</f>
        <v/>
      </c>
      <c r="F4727" s="48" t="inlineStr">
        <is>
          <t>CAP - Staffeur ornemaniste</t>
        </is>
      </c>
      <c r="G4727" s="49">
        <f>E4727&amp;" - "&amp;F4727</f>
        <v/>
      </c>
      <c r="H4727" s="36" t="inlineStr">
        <is>
          <t>RAS</t>
        </is>
      </c>
      <c r="I4727" s="45" t="inlineStr"/>
      <c r="J4727" s="45" t="inlineStr">
        <is>
          <t>RNCP36427</t>
        </is>
      </c>
      <c r="K4727" s="45" t="inlineStr">
        <is>
          <t>Staffeur ornemaniste</t>
        </is>
      </c>
      <c r="L4727" s="45" t="inlineStr">
        <is>
          <t>31/08/2027</t>
        </is>
      </c>
      <c r="M4727" s="45" t="inlineStr">
        <is>
          <t>22401 (Staff) ; 45554 (Artisanat art)</t>
        </is>
      </c>
      <c r="N4727" s="50" t="inlineStr">
        <is>
          <t>NON</t>
        </is>
      </c>
      <c r="O4727" s="45" t="inlineStr"/>
    </row>
    <row r="4728" customFormat="1" s="3">
      <c r="A4728" s="45" t="n"/>
      <c r="B4728" s="46" t="inlineStr">
        <is>
          <t>45531</t>
        </is>
      </c>
      <c r="C4728" s="46">
        <f>LEFT(Tableau1[[#This Row],[Formacode]],3)</f>
        <v/>
      </c>
      <c r="D4728" s="47" t="n">
        <v>39648</v>
      </c>
      <c r="E4728" s="48">
        <f>"RNCP"&amp;D4728</f>
        <v/>
      </c>
      <c r="F4728" s="48" t="inlineStr">
        <is>
          <t>CAP - Menuisier en sièges</t>
        </is>
      </c>
      <c r="G4728" s="49">
        <f>E4728&amp;" - "&amp;F4728</f>
        <v/>
      </c>
      <c r="H4728" s="36" t="inlineStr">
        <is>
          <t>RAS</t>
        </is>
      </c>
      <c r="I4728" s="45" t="inlineStr"/>
      <c r="J4728" s="45" t="inlineStr">
        <is>
          <t>RNCP39648</t>
        </is>
      </c>
      <c r="K4728" s="45" t="inlineStr">
        <is>
          <t>Menuisier en sièges</t>
        </is>
      </c>
      <c r="L4728" s="45" t="inlineStr">
        <is>
          <t>31/08/2027</t>
        </is>
      </c>
      <c r="M4728" s="45" t="inlineStr">
        <is>
          <t>45554 (Artisanat art) ; 45019 (Ameublement) ; 22881 (Bois) ; 22416 (Menuiserie bois)</t>
        </is>
      </c>
      <c r="N4728" s="50" t="inlineStr">
        <is>
          <t>NON</t>
        </is>
      </c>
      <c r="O4728" s="45" t="inlineStr"/>
    </row>
    <row r="4729" customFormat="1" s="3">
      <c r="A4729" s="51" t="n"/>
      <c r="B4729" s="52" t="inlineStr">
        <is>
          <t>45531</t>
        </is>
      </c>
      <c r="C4729" s="52">
        <f>LEFT(Tableau1[[#This Row],[Formacode]],3)</f>
        <v/>
      </c>
      <c r="D4729" s="53" t="n">
        <v>39706</v>
      </c>
      <c r="E4729" s="54">
        <f>"RNCP"&amp;D4729</f>
        <v/>
      </c>
      <c r="F4729" s="54" t="inlineStr">
        <is>
          <t>CAP - Arts de la broderie</t>
        </is>
      </c>
      <c r="G4729" s="55">
        <f>E4729&amp;" - "&amp;F4729</f>
        <v/>
      </c>
      <c r="H4729" s="37" t="inlineStr">
        <is>
          <t>À vérifier</t>
        </is>
      </c>
      <c r="I4729" s="51" t="inlineStr">
        <is>
          <t>Successeur déjà publié : RNCP42105 (Arts de la broderie) — préparer la bascule de l'offre CPF | Échéance le 31/08/2026 (dans 44 j)</t>
        </is>
      </c>
      <c r="J4729" s="51" t="inlineStr">
        <is>
          <t>RNCP42105</t>
        </is>
      </c>
      <c r="K4729" s="51" t="inlineStr">
        <is>
          <t>Arts de la broderie</t>
        </is>
      </c>
      <c r="L4729" s="51" t="inlineStr">
        <is>
          <t>31/08/2026</t>
        </is>
      </c>
      <c r="M4729" s="51" t="inlineStr">
        <is>
          <t>45531 (Dentellerie broderie artisanale)</t>
        </is>
      </c>
      <c r="N4729" s="62" t="inlineStr">
        <is>
          <t>NON</t>
        </is>
      </c>
      <c r="O4729" s="51" t="inlineStr"/>
    </row>
    <row r="4730" customFormat="1" s="3">
      <c r="A4730" s="45" t="n"/>
      <c r="B4730" s="46" t="inlineStr">
        <is>
          <t>45539</t>
        </is>
      </c>
      <c r="C4730" s="46">
        <f>LEFT(Tableau1[[#This Row],[Formacode]],3)</f>
        <v/>
      </c>
      <c r="D4730" s="47" t="n">
        <v>36427</v>
      </c>
      <c r="E4730" s="48">
        <f>"RNCP"&amp;D4730</f>
        <v/>
      </c>
      <c r="F4730" s="48" t="inlineStr">
        <is>
          <t>CAP - Staffeur ornemaniste</t>
        </is>
      </c>
      <c r="G4730" s="49">
        <f>E4730&amp;" - "&amp;F4730</f>
        <v/>
      </c>
      <c r="H4730" s="36" t="inlineStr">
        <is>
          <t>RAS</t>
        </is>
      </c>
      <c r="I4730" s="45" t="inlineStr"/>
      <c r="J4730" s="45" t="inlineStr">
        <is>
          <t>RNCP36427</t>
        </is>
      </c>
      <c r="K4730" s="45" t="inlineStr">
        <is>
          <t>Staffeur ornemaniste</t>
        </is>
      </c>
      <c r="L4730" s="45" t="inlineStr">
        <is>
          <t>31/08/2027</t>
        </is>
      </c>
      <c r="M4730" s="45" t="inlineStr">
        <is>
          <t>22401 (Staff) ; 45554 (Artisanat art)</t>
        </is>
      </c>
      <c r="N4730" s="50" t="inlineStr">
        <is>
          <t>NON</t>
        </is>
      </c>
      <c r="O4730" s="45" t="inlineStr"/>
    </row>
    <row r="4731" customFormat="1" s="3">
      <c r="A4731" s="45" t="n"/>
      <c r="B4731" s="46" t="inlineStr">
        <is>
          <t>45539</t>
        </is>
      </c>
      <c r="C4731" s="46">
        <f>LEFT(Tableau1[[#This Row],[Formacode]],3)</f>
        <v/>
      </c>
      <c r="D4731" s="47" t="n">
        <v>39648</v>
      </c>
      <c r="E4731" s="48">
        <f>"RNCP"&amp;D4731</f>
        <v/>
      </c>
      <c r="F4731" s="48" t="inlineStr">
        <is>
          <t>CAP - Menuisier en sièges</t>
        </is>
      </c>
      <c r="G4731" s="49">
        <f>E4731&amp;" - "&amp;F4731</f>
        <v/>
      </c>
      <c r="H4731" s="36" t="inlineStr">
        <is>
          <t>RAS</t>
        </is>
      </c>
      <c r="I4731" s="45" t="inlineStr"/>
      <c r="J4731" s="45" t="inlineStr">
        <is>
          <t>RNCP39648</t>
        </is>
      </c>
      <c r="K4731" s="45" t="inlineStr">
        <is>
          <t>Menuisier en sièges</t>
        </is>
      </c>
      <c r="L4731" s="45" t="inlineStr">
        <is>
          <t>31/08/2027</t>
        </is>
      </c>
      <c r="M4731" s="45" t="inlineStr">
        <is>
          <t>45554 (Artisanat art) ; 45019 (Ameublement) ; 22881 (Bois) ; 22416 (Menuiserie bois)</t>
        </is>
      </c>
      <c r="N4731" s="50" t="inlineStr">
        <is>
          <t>NON</t>
        </is>
      </c>
      <c r="O4731" s="45" t="inlineStr"/>
    </row>
    <row r="4732" customFormat="1" s="3">
      <c r="A4732" s="51" t="n"/>
      <c r="B4732" s="52" t="inlineStr">
        <is>
          <t>45540</t>
        </is>
      </c>
      <c r="C4732" s="52">
        <f>LEFT(Tableau1[[#This Row],[Formacode]],3)</f>
        <v/>
      </c>
      <c r="D4732" s="53" t="n">
        <v>35639</v>
      </c>
      <c r="E4732" s="54">
        <f>"RNCP"&amp;D4732</f>
        <v/>
      </c>
      <c r="F4732" s="54" t="inlineStr">
        <is>
          <t>CS - Art de la dorure à chaud</t>
        </is>
      </c>
      <c r="G4732" s="55">
        <f>E4732&amp;" - "&amp;F4732</f>
        <v/>
      </c>
      <c r="H4732" s="37" t="inlineStr">
        <is>
          <t>À vérifier</t>
        </is>
      </c>
      <c r="I4732" s="51" t="inlineStr">
        <is>
          <t>Successeur déjà publié : RNCP42017 (Art de la dorure à chaud) — préparer la bascule de l'offre CPF | Échéance le 31/08/2026 (dans 44 j)</t>
        </is>
      </c>
      <c r="J4732" s="51" t="inlineStr">
        <is>
          <t>RNCP42017</t>
        </is>
      </c>
      <c r="K4732" s="51" t="inlineStr">
        <is>
          <t>Art de la dorure à chaud</t>
        </is>
      </c>
      <c r="L4732" s="51" t="inlineStr">
        <is>
          <t>31/08/2026</t>
        </is>
      </c>
      <c r="M4732" s="51" t="inlineStr">
        <is>
          <t>45540 (Dorure art)</t>
        </is>
      </c>
      <c r="N4732" s="62" t="inlineStr">
        <is>
          <t>NON</t>
        </is>
      </c>
      <c r="O4732" s="51" t="inlineStr"/>
    </row>
    <row r="4733" customFormat="1" s="3">
      <c r="A4733" s="45" t="n"/>
      <c r="B4733" s="46" t="inlineStr">
        <is>
          <t>45540</t>
        </is>
      </c>
      <c r="C4733" s="46">
        <f>LEFT(Tableau1[[#This Row],[Formacode]],3)</f>
        <v/>
      </c>
      <c r="D4733" s="47" t="n">
        <v>36427</v>
      </c>
      <c r="E4733" s="48">
        <f>"RNCP"&amp;D4733</f>
        <v/>
      </c>
      <c r="F4733" s="48" t="inlineStr">
        <is>
          <t>CAP - Staffeur ornemaniste</t>
        </is>
      </c>
      <c r="G4733" s="49">
        <f>E4733&amp;" - "&amp;F4733</f>
        <v/>
      </c>
      <c r="H4733" s="36" t="inlineStr">
        <is>
          <t>RAS</t>
        </is>
      </c>
      <c r="I4733" s="45" t="inlineStr"/>
      <c r="J4733" s="45" t="inlineStr">
        <is>
          <t>RNCP36427</t>
        </is>
      </c>
      <c r="K4733" s="45" t="inlineStr">
        <is>
          <t>Staffeur ornemaniste</t>
        </is>
      </c>
      <c r="L4733" s="45" t="inlineStr">
        <is>
          <t>31/08/2027</t>
        </is>
      </c>
      <c r="M4733" s="45" t="inlineStr">
        <is>
          <t>22401 (Staff) ; 45554 (Artisanat art)</t>
        </is>
      </c>
      <c r="N4733" s="50" t="inlineStr">
        <is>
          <t>NON</t>
        </is>
      </c>
      <c r="O4733" s="45" t="inlineStr"/>
    </row>
    <row r="4734" customFormat="1" s="3">
      <c r="A4734" s="51" t="n"/>
      <c r="B4734" s="52" t="inlineStr">
        <is>
          <t>45540</t>
        </is>
      </c>
      <c r="C4734" s="52">
        <f>LEFT(Tableau1[[#This Row],[Formacode]],3)</f>
        <v/>
      </c>
      <c r="D4734" s="53" t="n">
        <v>36683</v>
      </c>
      <c r="E4734" s="54">
        <f>"RNCP"&amp;D4734</f>
        <v/>
      </c>
      <c r="F4734" s="54" t="inlineStr">
        <is>
          <t>CAP - Doreur à la feuille ornemaniste</t>
        </is>
      </c>
      <c r="G4734" s="55">
        <f>E4734&amp;" - "&amp;F4734</f>
        <v/>
      </c>
      <c r="H4734" s="37" t="inlineStr">
        <is>
          <t>À vérifier</t>
        </is>
      </c>
      <c r="I4734" s="51" t="inlineStr">
        <is>
          <t>Successeur déjà publié : RNCP42112 (Doreur à la feuille ornemaniste) — préparer la bascule de l'offre CPF | Échéance le 31/08/2026 (dans 44 j)</t>
        </is>
      </c>
      <c r="J4734" s="51" t="inlineStr">
        <is>
          <t>RNCP42112</t>
        </is>
      </c>
      <c r="K4734" s="51" t="inlineStr">
        <is>
          <t>Doreur à la feuille ornemaniste</t>
        </is>
      </c>
      <c r="L4734" s="51" t="inlineStr">
        <is>
          <t>31/08/2026</t>
        </is>
      </c>
      <c r="M4734" s="51" t="inlineStr">
        <is>
          <t>45540 (Dorure art)</t>
        </is>
      </c>
      <c r="N4734" s="62" t="inlineStr">
        <is>
          <t>NON</t>
        </is>
      </c>
      <c r="O4734" s="51" t="inlineStr"/>
    </row>
    <row r="4735" customFormat="1" s="3">
      <c r="A4735" s="45" t="n"/>
      <c r="B4735" s="46" t="inlineStr">
        <is>
          <t>45540</t>
        </is>
      </c>
      <c r="C4735" s="46">
        <f>LEFT(Tableau1[[#This Row],[Formacode]],3)</f>
        <v/>
      </c>
      <c r="D4735" s="47" t="n">
        <v>39648</v>
      </c>
      <c r="E4735" s="48">
        <f>"RNCP"&amp;D4735</f>
        <v/>
      </c>
      <c r="F4735" s="48" t="inlineStr">
        <is>
          <t>CAP - Menuisier en sièges</t>
        </is>
      </c>
      <c r="G4735" s="49">
        <f>E4735&amp;" - "&amp;F4735</f>
        <v/>
      </c>
      <c r="H4735" s="36" t="inlineStr">
        <is>
          <t>RAS</t>
        </is>
      </c>
      <c r="I4735" s="45" t="inlineStr"/>
      <c r="J4735" s="45" t="inlineStr">
        <is>
          <t>RNCP39648</t>
        </is>
      </c>
      <c r="K4735" s="45" t="inlineStr">
        <is>
          <t>Menuisier en sièges</t>
        </is>
      </c>
      <c r="L4735" s="45" t="inlineStr">
        <is>
          <t>31/08/2027</t>
        </is>
      </c>
      <c r="M4735" s="45" t="inlineStr">
        <is>
          <t>45554 (Artisanat art) ; 45019 (Ameublement) ; 22881 (Bois) ; 22416 (Menuiserie bois)</t>
        </is>
      </c>
      <c r="N4735" s="50" t="inlineStr">
        <is>
          <t>NON</t>
        </is>
      </c>
      <c r="O4735" s="45" t="inlineStr"/>
    </row>
    <row r="4736" customFormat="1" s="3">
      <c r="A4736" s="45" t="n"/>
      <c r="B4736" s="46" t="inlineStr">
        <is>
          <t>45549</t>
        </is>
      </c>
      <c r="C4736" s="46">
        <f>LEFT(Tableau1[[#This Row],[Formacode]],3)</f>
        <v/>
      </c>
      <c r="D4736" s="47" t="n">
        <v>36427</v>
      </c>
      <c r="E4736" s="48">
        <f>"RNCP"&amp;D4736</f>
        <v/>
      </c>
      <c r="F4736" s="48" t="inlineStr">
        <is>
          <t>CAP - Staffeur ornemaniste</t>
        </is>
      </c>
      <c r="G4736" s="49">
        <f>E4736&amp;" - "&amp;F4736</f>
        <v/>
      </c>
      <c r="H4736" s="36" t="inlineStr">
        <is>
          <t>RAS</t>
        </is>
      </c>
      <c r="I4736" s="45" t="inlineStr"/>
      <c r="J4736" s="45" t="inlineStr">
        <is>
          <t>RNCP36427</t>
        </is>
      </c>
      <c r="K4736" s="45" t="inlineStr">
        <is>
          <t>Staffeur ornemaniste</t>
        </is>
      </c>
      <c r="L4736" s="45" t="inlineStr">
        <is>
          <t>31/08/2027</t>
        </is>
      </c>
      <c r="M4736" s="45" t="inlineStr">
        <is>
          <t>22401 (Staff) ; 45554 (Artisanat art)</t>
        </is>
      </c>
      <c r="N4736" s="50" t="inlineStr">
        <is>
          <t>NON</t>
        </is>
      </c>
      <c r="O4736" s="45" t="inlineStr"/>
    </row>
    <row r="4737" customFormat="1" s="3">
      <c r="A4737" s="45" t="n"/>
      <c r="B4737" s="46" t="inlineStr">
        <is>
          <t>45549</t>
        </is>
      </c>
      <c r="C4737" s="46">
        <f>LEFT(Tableau1[[#This Row],[Formacode]],3)</f>
        <v/>
      </c>
      <c r="D4737" s="47" t="n">
        <v>39648</v>
      </c>
      <c r="E4737" s="48">
        <f>"RNCP"&amp;D4737</f>
        <v/>
      </c>
      <c r="F4737" s="48" t="inlineStr">
        <is>
          <t>CAP - Menuisier en sièges</t>
        </is>
      </c>
      <c r="G4737" s="49">
        <f>E4737&amp;" - "&amp;F4737</f>
        <v/>
      </c>
      <c r="H4737" s="36" t="inlineStr">
        <is>
          <t>RAS</t>
        </is>
      </c>
      <c r="I4737" s="45" t="inlineStr"/>
      <c r="J4737" s="45" t="inlineStr">
        <is>
          <t>RNCP39648</t>
        </is>
      </c>
      <c r="K4737" s="45" t="inlineStr">
        <is>
          <t>Menuisier en sièges</t>
        </is>
      </c>
      <c r="L4737" s="45" t="inlineStr">
        <is>
          <t>31/08/2027</t>
        </is>
      </c>
      <c r="M4737" s="45" t="inlineStr">
        <is>
          <t>45554 (Artisanat art) ; 45019 (Ameublement) ; 22881 (Bois) ; 22416 (Menuiserie bois)</t>
        </is>
      </c>
      <c r="N4737" s="50" t="inlineStr">
        <is>
          <t>NON</t>
        </is>
      </c>
      <c r="O4737" s="45" t="inlineStr"/>
    </row>
    <row r="4738" ht="28.8" customFormat="1" customHeight="1" s="3">
      <c r="A4738" s="51" t="n"/>
      <c r="B4738" s="52" t="inlineStr">
        <is>
          <t>45549</t>
        </is>
      </c>
      <c r="C4738" s="52">
        <f>LEFT(Tableau1[[#This Row],[Formacode]],3)</f>
        <v/>
      </c>
      <c r="D4738" s="53" t="n">
        <v>39716</v>
      </c>
      <c r="E4738" s="54">
        <f>"RNCP"&amp;D4738</f>
        <v/>
      </c>
      <c r="F4738" s="54" t="inlineStr">
        <is>
          <t>CAP - Bronzier options : A : Monteur en bronze B : Ciseleur sur bronze C : Tourneur sur bronze</t>
        </is>
      </c>
      <c r="G4738" s="55">
        <f>E4738&amp;" - "&amp;F4738</f>
        <v/>
      </c>
      <c r="H4738" s="37" t="inlineStr">
        <is>
          <t>À vérifier</t>
        </is>
      </c>
      <c r="I4738" s="51" t="inlineStr">
        <is>
          <t>Successeur déjà publié : RNCP42134 (Bronzier options : A : Monteur en bronze B : Ciseleur sur bronze C : Tourneur sur bronze) — préparer la bascule de l'offre CPF | Échéance le 31/08/2026 (dans 44 j)</t>
        </is>
      </c>
      <c r="J4738" s="51" t="inlineStr">
        <is>
          <t>RNCP42134</t>
        </is>
      </c>
      <c r="K4738" s="51" t="inlineStr">
        <is>
          <t>Bronzier options : A : Monteur en bronze B : Ciseleur sur bronze C : Tourneur sur bronze</t>
        </is>
      </c>
      <c r="L4738" s="51" t="inlineStr">
        <is>
          <t>31/08/2026</t>
        </is>
      </c>
      <c r="M4738" s="51" t="inlineStr">
        <is>
          <t>45548 (Art bronze)</t>
        </is>
      </c>
      <c r="N4738" s="62" t="inlineStr">
        <is>
          <t>NON</t>
        </is>
      </c>
      <c r="O4738" s="51" t="inlineStr"/>
    </row>
    <row r="4739" customFormat="1" s="3">
      <c r="A4739" s="45" t="n"/>
      <c r="B4739" s="46" t="inlineStr">
        <is>
          <t>45558</t>
        </is>
      </c>
      <c r="C4739" s="46">
        <f>LEFT(Tableau1[[#This Row],[Formacode]],3)</f>
        <v/>
      </c>
      <c r="D4739" s="47" t="n">
        <v>36427</v>
      </c>
      <c r="E4739" s="48">
        <f>"RNCP"&amp;D4739</f>
        <v/>
      </c>
      <c r="F4739" s="48" t="inlineStr">
        <is>
          <t>CAP - Staffeur ornemaniste</t>
        </is>
      </c>
      <c r="G4739" s="49">
        <f>E4739&amp;" - "&amp;F4739</f>
        <v/>
      </c>
      <c r="H4739" s="36" t="inlineStr">
        <is>
          <t>RAS</t>
        </is>
      </c>
      <c r="I4739" s="45" t="inlineStr"/>
      <c r="J4739" s="45" t="inlineStr">
        <is>
          <t>RNCP36427</t>
        </is>
      </c>
      <c r="K4739" s="45" t="inlineStr">
        <is>
          <t>Staffeur ornemaniste</t>
        </is>
      </c>
      <c r="L4739" s="45" t="inlineStr">
        <is>
          <t>31/08/2027</t>
        </is>
      </c>
      <c r="M4739" s="45" t="inlineStr">
        <is>
          <t>22401 (Staff) ; 45554 (Artisanat art)</t>
        </is>
      </c>
      <c r="N4739" s="50" t="inlineStr">
        <is>
          <t>NON</t>
        </is>
      </c>
      <c r="O4739" s="45" t="inlineStr"/>
    </row>
    <row r="4740" customFormat="1" s="3">
      <c r="A4740" s="45" t="n"/>
      <c r="B4740" s="46" t="inlineStr">
        <is>
          <t>45558</t>
        </is>
      </c>
      <c r="C4740" s="46">
        <f>LEFT(Tableau1[[#This Row],[Formacode]],3)</f>
        <v/>
      </c>
      <c r="D4740" s="47" t="n">
        <v>38392</v>
      </c>
      <c r="E4740" s="48">
        <f>"RNCP"&amp;D4740</f>
        <v/>
      </c>
      <c r="F4740" s="48" t="inlineStr">
        <is>
          <t>CAP - Ferronnier d'art</t>
        </is>
      </c>
      <c r="G4740" s="49">
        <f>E4740&amp;" - "&amp;F4740</f>
        <v/>
      </c>
      <c r="H4740" s="36" t="inlineStr">
        <is>
          <t>RAS</t>
        </is>
      </c>
      <c r="I4740" s="45" t="inlineStr"/>
      <c r="J4740" s="45" t="inlineStr">
        <is>
          <t>RNCP38392</t>
        </is>
      </c>
      <c r="K4740" s="45" t="inlineStr">
        <is>
          <t>Ferronnier d'art</t>
        </is>
      </c>
      <c r="L4740" s="45" t="inlineStr">
        <is>
          <t>31/08/2028</t>
        </is>
      </c>
      <c r="M4740" s="45" t="inlineStr">
        <is>
          <t>45558 (Ferronnerie art) ; 22478 (Métallerie serrurerie)</t>
        </is>
      </c>
      <c r="N4740" s="50" t="inlineStr">
        <is>
          <t>NON</t>
        </is>
      </c>
      <c r="O4740" s="45" t="inlineStr"/>
    </row>
    <row r="4741" customFormat="1" s="3">
      <c r="A4741" s="45" t="n"/>
      <c r="B4741" s="46" t="inlineStr">
        <is>
          <t>45558</t>
        </is>
      </c>
      <c r="C4741" s="46">
        <f>LEFT(Tableau1[[#This Row],[Formacode]],3)</f>
        <v/>
      </c>
      <c r="D4741" s="47" t="n">
        <v>39648</v>
      </c>
      <c r="E4741" s="48">
        <f>"RNCP"&amp;D4741</f>
        <v/>
      </c>
      <c r="F4741" s="48" t="inlineStr">
        <is>
          <t>CAP - Menuisier en sièges</t>
        </is>
      </c>
      <c r="G4741" s="49">
        <f>E4741&amp;" - "&amp;F4741</f>
        <v/>
      </c>
      <c r="H4741" s="36" t="inlineStr">
        <is>
          <t>RAS</t>
        </is>
      </c>
      <c r="I4741" s="45" t="inlineStr"/>
      <c r="J4741" s="45" t="inlineStr">
        <is>
          <t>RNCP39648</t>
        </is>
      </c>
      <c r="K4741" s="45" t="inlineStr">
        <is>
          <t>Menuisier en sièges</t>
        </is>
      </c>
      <c r="L4741" s="45" t="inlineStr">
        <is>
          <t>31/08/2027</t>
        </is>
      </c>
      <c r="M4741" s="45" t="inlineStr">
        <is>
          <t>45554 (Artisanat art) ; 45019 (Ameublement) ; 22881 (Bois) ; 22416 (Menuiserie bois)</t>
        </is>
      </c>
      <c r="N4741" s="50" t="inlineStr">
        <is>
          <t>NON</t>
        </is>
      </c>
      <c r="O4741" s="45" t="inlineStr"/>
    </row>
    <row r="4742" customFormat="1" s="3">
      <c r="A4742" s="45" t="n"/>
      <c r="B4742" s="46" t="inlineStr">
        <is>
          <t>45560</t>
        </is>
      </c>
      <c r="C4742" s="46">
        <f>LEFT(Tableau1[[#This Row],[Formacode]],3)</f>
        <v/>
      </c>
      <c r="D4742" s="47" t="n">
        <v>36427</v>
      </c>
      <c r="E4742" s="48">
        <f>"RNCP"&amp;D4742</f>
        <v/>
      </c>
      <c r="F4742" s="48" t="inlineStr">
        <is>
          <t>CAP - Staffeur ornemaniste</t>
        </is>
      </c>
      <c r="G4742" s="49">
        <f>E4742&amp;" - "&amp;F4742</f>
        <v/>
      </c>
      <c r="H4742" s="36" t="inlineStr">
        <is>
          <t>RAS</t>
        </is>
      </c>
      <c r="I4742" s="45" t="inlineStr"/>
      <c r="J4742" s="45" t="inlineStr">
        <is>
          <t>RNCP36427</t>
        </is>
      </c>
      <c r="K4742" s="45" t="inlineStr">
        <is>
          <t>Staffeur ornemaniste</t>
        </is>
      </c>
      <c r="L4742" s="45" t="inlineStr">
        <is>
          <t>31/08/2027</t>
        </is>
      </c>
      <c r="M4742" s="45" t="inlineStr">
        <is>
          <t>22401 (Staff) ; 45554 (Artisanat art)</t>
        </is>
      </c>
      <c r="N4742" s="50" t="inlineStr">
        <is>
          <t>NON</t>
        </is>
      </c>
      <c r="O4742" s="45" t="inlineStr"/>
    </row>
    <row r="4743" customFormat="1" s="3">
      <c r="A4743" s="45" t="n"/>
      <c r="B4743" s="46" t="inlineStr">
        <is>
          <t>45560</t>
        </is>
      </c>
      <c r="C4743" s="46">
        <f>LEFT(Tableau1[[#This Row],[Formacode]],3)</f>
        <v/>
      </c>
      <c r="D4743" s="47" t="n">
        <v>37301</v>
      </c>
      <c r="E4743" s="48">
        <f>"RNCP"&amp;D4743</f>
        <v/>
      </c>
      <c r="F4743" s="48" t="inlineStr">
        <is>
          <t>CAP - Arts du bois</t>
        </is>
      </c>
      <c r="G4743" s="49">
        <f>E4743&amp;" - "&amp;F4743</f>
        <v/>
      </c>
      <c r="H4743" s="36" t="inlineStr">
        <is>
          <t>RAS</t>
        </is>
      </c>
      <c r="I4743" s="45" t="inlineStr"/>
      <c r="J4743" s="45" t="inlineStr">
        <is>
          <t>RNCP37301</t>
        </is>
      </c>
      <c r="K4743" s="45" t="inlineStr">
        <is>
          <t>Arts du bois</t>
        </is>
      </c>
      <c r="L4743" s="45" t="inlineStr">
        <is>
          <t>31/08/2028</t>
        </is>
      </c>
      <c r="M4743" s="45" t="inlineStr">
        <is>
          <t>45096 (Sculpture bois) ; 45591 (Marqueterie) ; 45560 (Tournage bois)</t>
        </is>
      </c>
      <c r="N4743" s="50" t="inlineStr">
        <is>
          <t>NON</t>
        </is>
      </c>
      <c r="O4743" s="45" t="inlineStr"/>
    </row>
    <row r="4744" customFormat="1" s="3">
      <c r="A4744" s="45" t="n"/>
      <c r="B4744" s="46" t="inlineStr">
        <is>
          <t>45560</t>
        </is>
      </c>
      <c r="C4744" s="46">
        <f>LEFT(Tableau1[[#This Row],[Formacode]],3)</f>
        <v/>
      </c>
      <c r="D4744" s="47" t="n">
        <v>39648</v>
      </c>
      <c r="E4744" s="48">
        <f>"RNCP"&amp;D4744</f>
        <v/>
      </c>
      <c r="F4744" s="48" t="inlineStr">
        <is>
          <t>CAP - Menuisier en sièges</t>
        </is>
      </c>
      <c r="G4744" s="49">
        <f>E4744&amp;" - "&amp;F4744</f>
        <v/>
      </c>
      <c r="H4744" s="36" t="inlineStr">
        <is>
          <t>RAS</t>
        </is>
      </c>
      <c r="I4744" s="45" t="inlineStr"/>
      <c r="J4744" s="45" t="inlineStr">
        <is>
          <t>RNCP39648</t>
        </is>
      </c>
      <c r="K4744" s="45" t="inlineStr">
        <is>
          <t>Menuisier en sièges</t>
        </is>
      </c>
      <c r="L4744" s="45" t="inlineStr">
        <is>
          <t>31/08/2027</t>
        </is>
      </c>
      <c r="M4744" s="45" t="inlineStr">
        <is>
          <t>45554 (Artisanat art) ; 45019 (Ameublement) ; 22881 (Bois) ; 22416 (Menuiserie bois)</t>
        </is>
      </c>
      <c r="N4744" s="50" t="inlineStr">
        <is>
          <t>NON</t>
        </is>
      </c>
      <c r="O4744" s="45" t="inlineStr"/>
    </row>
    <row r="4745" customFormat="1" s="3">
      <c r="A4745" s="45" t="n"/>
      <c r="B4745" s="46" t="inlineStr">
        <is>
          <t>45567</t>
        </is>
      </c>
      <c r="C4745" s="46">
        <f>LEFT(Tableau1[[#This Row],[Formacode]],3)</f>
        <v/>
      </c>
      <c r="D4745" s="47" t="n">
        <v>36426</v>
      </c>
      <c r="E4745" s="48">
        <f>"RNCP"&amp;D4745</f>
        <v/>
      </c>
      <c r="F4745" s="48" t="inlineStr">
        <is>
          <t>CAP - Arts de verre et du cristal</t>
        </is>
      </c>
      <c r="G4745" s="49">
        <f>E4745&amp;" - "&amp;F4745</f>
        <v/>
      </c>
      <c r="H4745" s="36" t="inlineStr">
        <is>
          <t>RAS</t>
        </is>
      </c>
      <c r="I4745" s="45" t="inlineStr"/>
      <c r="J4745" s="45" t="inlineStr">
        <is>
          <t>RNCP36426</t>
        </is>
      </c>
      <c r="K4745" s="45" t="inlineStr">
        <is>
          <t>Arts de verre et du cristal</t>
        </is>
      </c>
      <c r="L4745" s="45" t="inlineStr">
        <is>
          <t>31/08/2027</t>
        </is>
      </c>
      <c r="M4745" s="45" t="inlineStr">
        <is>
          <t>45567 (Verrerie art)</t>
        </is>
      </c>
      <c r="N4745" s="50" t="inlineStr">
        <is>
          <t>NON</t>
        </is>
      </c>
      <c r="O4745" s="45" t="inlineStr"/>
    </row>
    <row r="4746" customFormat="1" s="3">
      <c r="A4746" s="45" t="n"/>
      <c r="B4746" s="46" t="inlineStr">
        <is>
          <t>45567</t>
        </is>
      </c>
      <c r="C4746" s="46">
        <f>LEFT(Tableau1[[#This Row],[Formacode]],3)</f>
        <v/>
      </c>
      <c r="D4746" s="47" t="n">
        <v>36427</v>
      </c>
      <c r="E4746" s="48">
        <f>"RNCP"&amp;D4746</f>
        <v/>
      </c>
      <c r="F4746" s="48" t="inlineStr">
        <is>
          <t>CAP - Staffeur ornemaniste</t>
        </is>
      </c>
      <c r="G4746" s="49">
        <f>E4746&amp;" - "&amp;F4746</f>
        <v/>
      </c>
      <c r="H4746" s="36" t="inlineStr">
        <is>
          <t>RAS</t>
        </is>
      </c>
      <c r="I4746" s="45" t="inlineStr"/>
      <c r="J4746" s="45" t="inlineStr">
        <is>
          <t>RNCP36427</t>
        </is>
      </c>
      <c r="K4746" s="45" t="inlineStr">
        <is>
          <t>Staffeur ornemaniste</t>
        </is>
      </c>
      <c r="L4746" s="45" t="inlineStr">
        <is>
          <t>31/08/2027</t>
        </is>
      </c>
      <c r="M4746" s="45" t="inlineStr">
        <is>
          <t>22401 (Staff) ; 45554 (Artisanat art)</t>
        </is>
      </c>
      <c r="N4746" s="50" t="inlineStr">
        <is>
          <t>NON</t>
        </is>
      </c>
      <c r="O4746" s="45" t="inlineStr"/>
    </row>
    <row r="4747" customFormat="1" s="3">
      <c r="A4747" s="45" t="n"/>
      <c r="B4747" s="46" t="inlineStr">
        <is>
          <t>45567</t>
        </is>
      </c>
      <c r="C4747" s="46">
        <f>LEFT(Tableau1[[#This Row],[Formacode]],3)</f>
        <v/>
      </c>
      <c r="D4747" s="47" t="n">
        <v>37302</v>
      </c>
      <c r="E4747" s="48">
        <f>"RNCP"&amp;D4747</f>
        <v/>
      </c>
      <c r="F4747" s="48" t="inlineStr">
        <is>
          <t>CAP - Arts et techniques du verre  option Vitrailliste et option Décorateur sur verre</t>
        </is>
      </c>
      <c r="G4747" s="49">
        <f>E4747&amp;" - "&amp;F4747</f>
        <v/>
      </c>
      <c r="H4747" s="36" t="inlineStr">
        <is>
          <t>RAS</t>
        </is>
      </c>
      <c r="I4747" s="45" t="inlineStr"/>
      <c r="J4747" s="45" t="inlineStr">
        <is>
          <t>RNCP37302</t>
        </is>
      </c>
      <c r="K4747" s="45" t="inlineStr">
        <is>
          <t>Arts et techniques du verre option Vitrailliste et option Décorateur sur verre</t>
        </is>
      </c>
      <c r="L4747" s="45" t="inlineStr">
        <is>
          <t>31/08/2028</t>
        </is>
      </c>
      <c r="M4747" s="45" t="inlineStr">
        <is>
          <t>45579 (Vitrail) ; 45567 (Verrerie art)</t>
        </is>
      </c>
      <c r="N4747" s="50" t="inlineStr">
        <is>
          <t>NON</t>
        </is>
      </c>
      <c r="O4747" s="45" t="inlineStr"/>
    </row>
    <row r="4748" customFormat="1" s="3">
      <c r="A4748" s="45" t="n"/>
      <c r="B4748" s="46" t="inlineStr">
        <is>
          <t>45567</t>
        </is>
      </c>
      <c r="C4748" s="46">
        <f>LEFT(Tableau1[[#This Row],[Formacode]],3)</f>
        <v/>
      </c>
      <c r="D4748" s="47" t="n">
        <v>39648</v>
      </c>
      <c r="E4748" s="48">
        <f>"RNCP"&amp;D4748</f>
        <v/>
      </c>
      <c r="F4748" s="48" t="inlineStr">
        <is>
          <t>CAP - Menuisier en sièges</t>
        </is>
      </c>
      <c r="G4748" s="49">
        <f>E4748&amp;" - "&amp;F4748</f>
        <v/>
      </c>
      <c r="H4748" s="36" t="inlineStr">
        <is>
          <t>RAS</t>
        </is>
      </c>
      <c r="I4748" s="45" t="inlineStr"/>
      <c r="J4748" s="45" t="inlineStr">
        <is>
          <t>RNCP39648</t>
        </is>
      </c>
      <c r="K4748" s="45" t="inlineStr">
        <is>
          <t>Menuisier en sièges</t>
        </is>
      </c>
      <c r="L4748" s="45" t="inlineStr">
        <is>
          <t>31/08/2027</t>
        </is>
      </c>
      <c r="M4748" s="45" t="inlineStr">
        <is>
          <t>45554 (Artisanat art) ; 45019 (Ameublement) ; 22881 (Bois) ; 22416 (Menuiserie bois)</t>
        </is>
      </c>
      <c r="N4748" s="50" t="inlineStr">
        <is>
          <t>NON</t>
        </is>
      </c>
      <c r="O4748" s="45" t="inlineStr"/>
    </row>
    <row r="4749" customFormat="1" s="3">
      <c r="A4749" s="45" t="n"/>
      <c r="B4749" s="46" t="inlineStr">
        <is>
          <t>45567</t>
        </is>
      </c>
      <c r="C4749" s="46">
        <f>LEFT(Tableau1[[#This Row],[Formacode]],3)</f>
        <v/>
      </c>
      <c r="D4749" s="47" t="n">
        <v>39940</v>
      </c>
      <c r="E4749" s="48">
        <f>"RNCP"&amp;D4749</f>
        <v/>
      </c>
      <c r="F4749" s="48" t="inlineStr">
        <is>
          <t>CAP - Souffleur de verre options Enseigne lumineuse et Verrerie scientifique</t>
        </is>
      </c>
      <c r="G4749" s="49">
        <f>E4749&amp;" - "&amp;F4749</f>
        <v/>
      </c>
      <c r="H4749" s="36" t="inlineStr">
        <is>
          <t>RAS</t>
        </is>
      </c>
      <c r="I4749" s="45" t="inlineStr"/>
      <c r="J4749" s="45" t="inlineStr">
        <is>
          <t>RNCP39940</t>
        </is>
      </c>
      <c r="K4749" s="45" t="inlineStr">
        <is>
          <t>Souffleur de verre options Enseigne lumineuse et Verrerie scientifique</t>
        </is>
      </c>
      <c r="L4749" s="45" t="inlineStr">
        <is>
          <t>31/08/2027</t>
        </is>
      </c>
      <c r="M4749" s="45" t="inlineStr">
        <is>
          <t>45567 (Verrerie art) ; 22820 (Verre) ; 22441 (Signalétique enseigne)</t>
        </is>
      </c>
      <c r="N4749" s="50" t="inlineStr">
        <is>
          <t>NON</t>
        </is>
      </c>
      <c r="O4749" s="45" t="inlineStr"/>
    </row>
    <row r="4750" customFormat="1" s="3">
      <c r="A4750" s="45" t="n"/>
      <c r="B4750" s="46" t="inlineStr">
        <is>
          <t>45571</t>
        </is>
      </c>
      <c r="C4750" s="46">
        <f>LEFT(Tableau1[[#This Row],[Formacode]],3)</f>
        <v/>
      </c>
      <c r="D4750" s="47" t="n">
        <v>36427</v>
      </c>
      <c r="E4750" s="48">
        <f>"RNCP"&amp;D4750</f>
        <v/>
      </c>
      <c r="F4750" s="48" t="inlineStr">
        <is>
          <t>CAP - Staffeur ornemaniste</t>
        </is>
      </c>
      <c r="G4750" s="49">
        <f>E4750&amp;" - "&amp;F4750</f>
        <v/>
      </c>
      <c r="H4750" s="36" t="inlineStr">
        <is>
          <t>RAS</t>
        </is>
      </c>
      <c r="I4750" s="45" t="inlineStr"/>
      <c r="J4750" s="45" t="inlineStr">
        <is>
          <t>RNCP36427</t>
        </is>
      </c>
      <c r="K4750" s="45" t="inlineStr">
        <is>
          <t>Staffeur ornemaniste</t>
        </is>
      </c>
      <c r="L4750" s="45" t="inlineStr">
        <is>
          <t>31/08/2027</t>
        </is>
      </c>
      <c r="M4750" s="45" t="inlineStr">
        <is>
          <t>22401 (Staff) ; 45554 (Artisanat art)</t>
        </is>
      </c>
      <c r="N4750" s="50" t="inlineStr">
        <is>
          <t>NON</t>
        </is>
      </c>
      <c r="O4750" s="45" t="inlineStr"/>
    </row>
    <row r="4751" customFormat="1" s="3">
      <c r="A4751" s="45" t="n"/>
      <c r="B4751" s="46" t="inlineStr">
        <is>
          <t>45571</t>
        </is>
      </c>
      <c r="C4751" s="46">
        <f>LEFT(Tableau1[[#This Row],[Formacode]],3)</f>
        <v/>
      </c>
      <c r="D4751" s="47" t="n">
        <v>39648</v>
      </c>
      <c r="E4751" s="48">
        <f>"RNCP"&amp;D4751</f>
        <v/>
      </c>
      <c r="F4751" s="48" t="inlineStr">
        <is>
          <t>CAP - Menuisier en sièges</t>
        </is>
      </c>
      <c r="G4751" s="49">
        <f>E4751&amp;" - "&amp;F4751</f>
        <v/>
      </c>
      <c r="H4751" s="36" t="inlineStr">
        <is>
          <t>RAS</t>
        </is>
      </c>
      <c r="I4751" s="45" t="inlineStr"/>
      <c r="J4751" s="45" t="inlineStr">
        <is>
          <t>RNCP39648</t>
        </is>
      </c>
      <c r="K4751" s="45" t="inlineStr">
        <is>
          <t>Menuisier en sièges</t>
        </is>
      </c>
      <c r="L4751" s="45" t="inlineStr">
        <is>
          <t>31/08/2027</t>
        </is>
      </c>
      <c r="M4751" s="45" t="inlineStr">
        <is>
          <t>45554 (Artisanat art) ; 45019 (Ameublement) ; 22881 (Bois) ; 22416 (Menuiserie bois)</t>
        </is>
      </c>
      <c r="N4751" s="50" t="inlineStr">
        <is>
          <t>NON</t>
        </is>
      </c>
      <c r="O4751" s="45" t="inlineStr"/>
    </row>
    <row r="4752" customFormat="1" s="3">
      <c r="A4752" s="45" t="n"/>
      <c r="B4752" s="46" t="inlineStr">
        <is>
          <t>45577</t>
        </is>
      </c>
      <c r="C4752" s="46">
        <f>LEFT(Tableau1[[#This Row],[Formacode]],3)</f>
        <v/>
      </c>
      <c r="D4752" s="47" t="n">
        <v>36427</v>
      </c>
      <c r="E4752" s="48">
        <f>"RNCP"&amp;D4752</f>
        <v/>
      </c>
      <c r="F4752" s="48" t="inlineStr">
        <is>
          <t>CAP - Staffeur ornemaniste</t>
        </is>
      </c>
      <c r="G4752" s="49">
        <f>E4752&amp;" - "&amp;F4752</f>
        <v/>
      </c>
      <c r="H4752" s="36" t="inlineStr">
        <is>
          <t>RAS</t>
        </is>
      </c>
      <c r="I4752" s="45" t="inlineStr"/>
      <c r="J4752" s="45" t="inlineStr">
        <is>
          <t>RNCP36427</t>
        </is>
      </c>
      <c r="K4752" s="45" t="inlineStr">
        <is>
          <t>Staffeur ornemaniste</t>
        </is>
      </c>
      <c r="L4752" s="45" t="inlineStr">
        <is>
          <t>31/08/2027</t>
        </is>
      </c>
      <c r="M4752" s="45" t="inlineStr">
        <is>
          <t>22401 (Staff) ; 45554 (Artisanat art)</t>
        </is>
      </c>
      <c r="N4752" s="50" t="inlineStr">
        <is>
          <t>NON</t>
        </is>
      </c>
      <c r="O4752" s="45" t="inlineStr"/>
    </row>
    <row r="4753" customFormat="1" s="3">
      <c r="A4753" s="45" t="n"/>
      <c r="B4753" s="46" t="inlineStr">
        <is>
          <t>45577</t>
        </is>
      </c>
      <c r="C4753" s="46">
        <f>LEFT(Tableau1[[#This Row],[Formacode]],3)</f>
        <v/>
      </c>
      <c r="D4753" s="47" t="n">
        <v>39648</v>
      </c>
      <c r="E4753" s="48">
        <f>"RNCP"&amp;D4753</f>
        <v/>
      </c>
      <c r="F4753" s="48" t="inlineStr">
        <is>
          <t>CAP - Menuisier en sièges</t>
        </is>
      </c>
      <c r="G4753" s="49">
        <f>E4753&amp;" - "&amp;F4753</f>
        <v/>
      </c>
      <c r="H4753" s="36" t="inlineStr">
        <is>
          <t>RAS</t>
        </is>
      </c>
      <c r="I4753" s="45" t="inlineStr"/>
      <c r="J4753" s="45" t="inlineStr">
        <is>
          <t>RNCP39648</t>
        </is>
      </c>
      <c r="K4753" s="45" t="inlineStr">
        <is>
          <t>Menuisier en sièges</t>
        </is>
      </c>
      <c r="L4753" s="45" t="inlineStr">
        <is>
          <t>31/08/2027</t>
        </is>
      </c>
      <c r="M4753" s="45" t="inlineStr">
        <is>
          <t>45554 (Artisanat art) ; 45019 (Ameublement) ; 22881 (Bois) ; 22416 (Menuiserie bois)</t>
        </is>
      </c>
      <c r="N4753" s="50" t="inlineStr">
        <is>
          <t>NON</t>
        </is>
      </c>
      <c r="O4753" s="45" t="inlineStr"/>
    </row>
    <row r="4754" customFormat="1" s="3">
      <c r="A4754" s="45" t="n"/>
      <c r="B4754" s="46" t="inlineStr">
        <is>
          <t>45582</t>
        </is>
      </c>
      <c r="C4754" s="46">
        <f>LEFT(Tableau1[[#This Row],[Formacode]],3)</f>
        <v/>
      </c>
      <c r="D4754" s="47" t="n">
        <v>36244</v>
      </c>
      <c r="E4754" s="48">
        <f>"RNCP"&amp;D4754</f>
        <v/>
      </c>
      <c r="F4754" s="48" t="inlineStr">
        <is>
          <t>TP - Restaurateur de meubles d'art, anciens et contemporains</t>
        </is>
      </c>
      <c r="G4754" s="49">
        <f>E4754&amp;" - "&amp;F4754</f>
        <v/>
      </c>
      <c r="H4754" s="36" t="inlineStr">
        <is>
          <t>RAS</t>
        </is>
      </c>
      <c r="I4754" s="45" t="inlineStr"/>
      <c r="J4754" s="45" t="inlineStr">
        <is>
          <t>RNCP36244</t>
        </is>
      </c>
      <c r="K4754" s="45" t="inlineStr">
        <is>
          <t>Restaurateur de meubles d'art, anciens et contemporains</t>
        </is>
      </c>
      <c r="L4754" s="45" t="inlineStr">
        <is>
          <t>05/03/2027</t>
        </is>
      </c>
      <c r="M4754" s="45" t="inlineStr">
        <is>
          <t>45019 (Ameublement) ; 45038 (Restauration objet art) ; 45582 (Ébénisterie)</t>
        </is>
      </c>
      <c r="N4754" s="50" t="inlineStr">
        <is>
          <t>NON</t>
        </is>
      </c>
      <c r="O4754" s="45" t="inlineStr"/>
    </row>
    <row r="4755" customFormat="1" s="3">
      <c r="A4755" s="45" t="n"/>
      <c r="B4755" s="46" t="inlineStr">
        <is>
          <t>45582</t>
        </is>
      </c>
      <c r="C4755" s="46">
        <f>LEFT(Tableau1[[#This Row],[Formacode]],3)</f>
        <v/>
      </c>
      <c r="D4755" s="47" t="n">
        <v>36427</v>
      </c>
      <c r="E4755" s="48">
        <f>"RNCP"&amp;D4755</f>
        <v/>
      </c>
      <c r="F4755" s="48" t="inlineStr">
        <is>
          <t>CAP - Staffeur ornemaniste</t>
        </is>
      </c>
      <c r="G4755" s="49">
        <f>E4755&amp;" - "&amp;F4755</f>
        <v/>
      </c>
      <c r="H4755" s="36" t="inlineStr">
        <is>
          <t>RAS</t>
        </is>
      </c>
      <c r="I4755" s="45" t="inlineStr"/>
      <c r="J4755" s="45" t="inlineStr">
        <is>
          <t>RNCP36427</t>
        </is>
      </c>
      <c r="K4755" s="45" t="inlineStr">
        <is>
          <t>Staffeur ornemaniste</t>
        </is>
      </c>
      <c r="L4755" s="45" t="inlineStr">
        <is>
          <t>31/08/2027</t>
        </is>
      </c>
      <c r="M4755" s="45" t="inlineStr">
        <is>
          <t>22401 (Staff) ; 45554 (Artisanat art)</t>
        </is>
      </c>
      <c r="N4755" s="50" t="inlineStr">
        <is>
          <t>NON</t>
        </is>
      </c>
      <c r="O4755" s="45" t="inlineStr"/>
    </row>
    <row r="4756" customFormat="1" s="3">
      <c r="A4756" s="45" t="n"/>
      <c r="B4756" s="46" t="inlineStr">
        <is>
          <t>45582</t>
        </is>
      </c>
      <c r="C4756" s="46">
        <f>LEFT(Tableau1[[#This Row],[Formacode]],3)</f>
        <v/>
      </c>
      <c r="D4756" s="47" t="n">
        <v>37301</v>
      </c>
      <c r="E4756" s="48">
        <f>"RNCP"&amp;D4756</f>
        <v/>
      </c>
      <c r="F4756" s="48" t="inlineStr">
        <is>
          <t>CAP - Arts du bois</t>
        </is>
      </c>
      <c r="G4756" s="49">
        <f>E4756&amp;" - "&amp;F4756</f>
        <v/>
      </c>
      <c r="H4756" s="36" t="inlineStr">
        <is>
          <t>RAS</t>
        </is>
      </c>
      <c r="I4756" s="45" t="inlineStr"/>
      <c r="J4756" s="45" t="inlineStr">
        <is>
          <t>RNCP37301</t>
        </is>
      </c>
      <c r="K4756" s="45" t="inlineStr">
        <is>
          <t>Arts du bois</t>
        </is>
      </c>
      <c r="L4756" s="45" t="inlineStr">
        <is>
          <t>31/08/2028</t>
        </is>
      </c>
      <c r="M4756" s="45" t="inlineStr">
        <is>
          <t>45096 (Sculpture bois) ; 45591 (Marqueterie) ; 45560 (Tournage bois)</t>
        </is>
      </c>
      <c r="N4756" s="50" t="inlineStr">
        <is>
          <t>NON</t>
        </is>
      </c>
      <c r="O4756" s="45" t="inlineStr"/>
    </row>
    <row r="4757" customFormat="1" s="3">
      <c r="A4757" s="45" t="n"/>
      <c r="B4757" s="46" t="inlineStr">
        <is>
          <t>45582</t>
        </is>
      </c>
      <c r="C4757" s="46">
        <f>LEFT(Tableau1[[#This Row],[Formacode]],3)</f>
        <v/>
      </c>
      <c r="D4757" s="47" t="n">
        <v>37538</v>
      </c>
      <c r="E4757" s="48">
        <f>"RNCP"&amp;D4757</f>
        <v/>
      </c>
      <c r="F4757" s="48" t="inlineStr">
        <is>
          <t>CAP - Ebeniste</t>
        </is>
      </c>
      <c r="G4757" s="49">
        <f>E4757&amp;" - "&amp;F4757</f>
        <v/>
      </c>
      <c r="H4757" s="36" t="inlineStr">
        <is>
          <t>RAS</t>
        </is>
      </c>
      <c r="I4757" s="45" t="inlineStr"/>
      <c r="J4757" s="45" t="inlineStr">
        <is>
          <t>RNCP37538</t>
        </is>
      </c>
      <c r="K4757" s="45" t="inlineStr">
        <is>
          <t>Ebeniste</t>
        </is>
      </c>
      <c r="L4757" s="45" t="inlineStr">
        <is>
          <t>31/08/2028</t>
        </is>
      </c>
      <c r="M4757" s="45" t="inlineStr">
        <is>
          <t>45582 (Ébénisterie)</t>
        </is>
      </c>
      <c r="N4757" s="50" t="inlineStr">
        <is>
          <t>NON</t>
        </is>
      </c>
      <c r="O4757" s="45" t="inlineStr"/>
    </row>
    <row r="4758" customFormat="1" s="3">
      <c r="A4758" s="45" t="n"/>
      <c r="B4758" s="46" t="inlineStr">
        <is>
          <t>45582</t>
        </is>
      </c>
      <c r="C4758" s="46">
        <f>LEFT(Tableau1[[#This Row],[Formacode]],3)</f>
        <v/>
      </c>
      <c r="D4758" s="47" t="n">
        <v>39648</v>
      </c>
      <c r="E4758" s="48">
        <f>"RNCP"&amp;D4758</f>
        <v/>
      </c>
      <c r="F4758" s="48" t="inlineStr">
        <is>
          <t>CAP - Menuisier en sièges</t>
        </is>
      </c>
      <c r="G4758" s="49">
        <f>E4758&amp;" - "&amp;F4758</f>
        <v/>
      </c>
      <c r="H4758" s="36" t="inlineStr">
        <is>
          <t>RAS</t>
        </is>
      </c>
      <c r="I4758" s="45" t="inlineStr"/>
      <c r="J4758" s="45" t="inlineStr">
        <is>
          <t>RNCP39648</t>
        </is>
      </c>
      <c r="K4758" s="45" t="inlineStr">
        <is>
          <t>Menuisier en sièges</t>
        </is>
      </c>
      <c r="L4758" s="45" t="inlineStr">
        <is>
          <t>31/08/2027</t>
        </is>
      </c>
      <c r="M4758" s="45" t="inlineStr">
        <is>
          <t>45554 (Artisanat art) ; 45019 (Ameublement) ; 22881 (Bois) ; 22416 (Menuiserie bois)</t>
        </is>
      </c>
      <c r="N4758" s="50" t="inlineStr">
        <is>
          <t>NON</t>
        </is>
      </c>
      <c r="O4758" s="45" t="inlineStr"/>
    </row>
    <row r="4759" customFormat="1" s="3">
      <c r="A4759" s="51" t="n"/>
      <c r="B4759" s="52" t="inlineStr">
        <is>
          <t>45583</t>
        </is>
      </c>
      <c r="C4759" s="52">
        <f>LEFT(Tableau1[[#This Row],[Formacode]],3)</f>
        <v/>
      </c>
      <c r="D4759" s="53" t="n">
        <v>35699</v>
      </c>
      <c r="E4759" s="54">
        <f>"RNCP"&amp;D4759</f>
        <v/>
      </c>
      <c r="F4759" s="54" t="inlineStr">
        <is>
          <t>CAP - Assistant luthier du quatuor</t>
        </is>
      </c>
      <c r="G4759" s="55">
        <f>E4759&amp;" - "&amp;F4759</f>
        <v/>
      </c>
      <c r="H4759" s="37" t="inlineStr">
        <is>
          <t>À vérifier</t>
        </is>
      </c>
      <c r="I4759" s="51" t="inlineStr">
        <is>
          <t>Successeur déjà publié : RNCP42108 (Assistant luthier du quatuor) — préparer la bascule de l'offre CPF | Échéance le 31/08/2026 (dans 44 j)</t>
        </is>
      </c>
      <c r="J4759" s="51" t="inlineStr">
        <is>
          <t>RNCP42108</t>
        </is>
      </c>
      <c r="K4759" s="51" t="inlineStr">
        <is>
          <t>Assistant luthier du quatuor</t>
        </is>
      </c>
      <c r="L4759" s="51" t="inlineStr">
        <is>
          <t>31/08/2026</t>
        </is>
      </c>
      <c r="M4759" s="51" t="inlineStr">
        <is>
          <t>45595 (Lutherie)</t>
        </is>
      </c>
      <c r="N4759" s="62" t="inlineStr">
        <is>
          <t>NON</t>
        </is>
      </c>
      <c r="O4759" s="51" t="inlineStr"/>
    </row>
    <row r="4760" ht="28.8" customFormat="1" customHeight="1" s="3">
      <c r="A4760" s="51" t="n"/>
      <c r="B4760" s="52" t="inlineStr">
        <is>
          <t>45583</t>
        </is>
      </c>
      <c r="C4760" s="52">
        <f>LEFT(Tableau1[[#This Row],[Formacode]],3)</f>
        <v/>
      </c>
      <c r="D4760" s="53" t="n">
        <v>36255</v>
      </c>
      <c r="E4760" s="54">
        <f>"RNCP"&amp;D4760</f>
        <v/>
      </c>
      <c r="F4760" s="54" t="inlineStr">
        <is>
          <t>CAP - Assistant technique en instruments de musique options : Accordéon, Guitare, Instruments à vent, Piano</t>
        </is>
      </c>
      <c r="G4760" s="55">
        <f>E4760&amp;" - "&amp;F4760</f>
        <v/>
      </c>
      <c r="H4760" s="37" t="inlineStr">
        <is>
          <t>À vérifier</t>
        </is>
      </c>
      <c r="I4760" s="51" t="inlineStr">
        <is>
          <t>Successeur déjà publié : RNCP42419 (Facture d'accordéons) ; RNCP42420 (Facture d'instruments à vent) ; RNCP42421 (Facture de pianos) ; RNCP42422 (Lutherie guitare) — préparer la bascule de l'offre CPF</t>
        </is>
      </c>
      <c r="J4760" s="51" t="inlineStr">
        <is>
          <t>RNCP42419, RNCP42420, RNCP42421, RNCP42422</t>
        </is>
      </c>
      <c r="K4760" s="51" t="inlineStr">
        <is>
          <t>Facture d'accordéons</t>
        </is>
      </c>
      <c r="L4760" s="51" t="inlineStr">
        <is>
          <t>31/08/2027</t>
        </is>
      </c>
      <c r="M4760" s="51" t="inlineStr">
        <is>
          <t>45583 (Facture instrumentale)</t>
        </is>
      </c>
      <c r="N4760" s="62" t="inlineStr">
        <is>
          <t>NON</t>
        </is>
      </c>
      <c r="O4760" s="51" t="inlineStr"/>
    </row>
    <row r="4761" customFormat="1" s="3">
      <c r="A4761" s="45" t="n"/>
      <c r="B4761" s="46" t="inlineStr">
        <is>
          <t>45583</t>
        </is>
      </c>
      <c r="C4761" s="46">
        <f>LEFT(Tableau1[[#This Row],[Formacode]],3)</f>
        <v/>
      </c>
      <c r="D4761" s="47" t="n">
        <v>36339</v>
      </c>
      <c r="E4761" s="48">
        <f>"RNCP"&amp;D4761</f>
        <v/>
      </c>
      <c r="F4761" s="48" t="inlineStr">
        <is>
          <t>CAP - Accordeur de pianos</t>
        </is>
      </c>
      <c r="G4761" s="49">
        <f>E4761&amp;" - "&amp;F4761</f>
        <v/>
      </c>
      <c r="H4761" s="36" t="inlineStr">
        <is>
          <t>RAS</t>
        </is>
      </c>
      <c r="I4761" s="45" t="inlineStr"/>
      <c r="J4761" s="45" t="inlineStr">
        <is>
          <t>RNCP36339</t>
        </is>
      </c>
      <c r="K4761" s="45" t="inlineStr">
        <is>
          <t>Accordeur de pianos</t>
        </is>
      </c>
      <c r="L4761" s="45" t="inlineStr">
        <is>
          <t>31/08/2027</t>
        </is>
      </c>
      <c r="M4761" s="45" t="inlineStr">
        <is>
          <t>45583 (Facture instrumentale)</t>
        </is>
      </c>
      <c r="N4761" s="50" t="inlineStr">
        <is>
          <t>NON</t>
        </is>
      </c>
      <c r="O4761" s="45" t="inlineStr"/>
    </row>
    <row r="4762" customFormat="1" s="3">
      <c r="A4762" s="45" t="n"/>
      <c r="B4762" s="46" t="inlineStr">
        <is>
          <t>45583</t>
        </is>
      </c>
      <c r="C4762" s="46">
        <f>LEFT(Tableau1[[#This Row],[Formacode]],3)</f>
        <v/>
      </c>
      <c r="D4762" s="47" t="n">
        <v>36427</v>
      </c>
      <c r="E4762" s="48">
        <f>"RNCP"&amp;D4762</f>
        <v/>
      </c>
      <c r="F4762" s="48" t="inlineStr">
        <is>
          <t>CAP - Staffeur ornemaniste</t>
        </is>
      </c>
      <c r="G4762" s="49">
        <f>E4762&amp;" - "&amp;F4762</f>
        <v/>
      </c>
      <c r="H4762" s="36" t="inlineStr">
        <is>
          <t>RAS</t>
        </is>
      </c>
      <c r="I4762" s="45" t="inlineStr"/>
      <c r="J4762" s="45" t="inlineStr">
        <is>
          <t>RNCP36427</t>
        </is>
      </c>
      <c r="K4762" s="45" t="inlineStr">
        <is>
          <t>Staffeur ornemaniste</t>
        </is>
      </c>
      <c r="L4762" s="45" t="inlineStr">
        <is>
          <t>31/08/2027</t>
        </is>
      </c>
      <c r="M4762" s="45" t="inlineStr">
        <is>
          <t>22401 (Staff) ; 45554 (Artisanat art)</t>
        </is>
      </c>
      <c r="N4762" s="50" t="inlineStr">
        <is>
          <t>NON</t>
        </is>
      </c>
      <c r="O4762" s="45" t="inlineStr"/>
    </row>
    <row r="4763" customFormat="1" s="3">
      <c r="A4763" s="45" t="n"/>
      <c r="B4763" s="46" t="inlineStr">
        <is>
          <t>45583</t>
        </is>
      </c>
      <c r="C4763" s="46">
        <f>LEFT(Tableau1[[#This Row],[Formacode]],3)</f>
        <v/>
      </c>
      <c r="D4763" s="47" t="n">
        <v>39648</v>
      </c>
      <c r="E4763" s="48">
        <f>"RNCP"&amp;D4763</f>
        <v/>
      </c>
      <c r="F4763" s="48" t="inlineStr">
        <is>
          <t>CAP - Menuisier en sièges</t>
        </is>
      </c>
      <c r="G4763" s="49">
        <f>E4763&amp;" - "&amp;F4763</f>
        <v/>
      </c>
      <c r="H4763" s="36" t="inlineStr">
        <is>
          <t>RAS</t>
        </is>
      </c>
      <c r="I4763" s="45" t="inlineStr"/>
      <c r="J4763" s="45" t="inlineStr">
        <is>
          <t>RNCP39648</t>
        </is>
      </c>
      <c r="K4763" s="45" t="inlineStr">
        <is>
          <t>Menuisier en sièges</t>
        </is>
      </c>
      <c r="L4763" s="45" t="inlineStr">
        <is>
          <t>31/08/2027</t>
        </is>
      </c>
      <c r="M4763" s="45" t="inlineStr">
        <is>
          <t>45554 (Artisanat art) ; 45019 (Ameublement) ; 22881 (Bois) ; 22416 (Menuiserie bois)</t>
        </is>
      </c>
      <c r="N4763" s="50" t="inlineStr">
        <is>
          <t>NON</t>
        </is>
      </c>
      <c r="O4763" s="45" t="inlineStr"/>
    </row>
    <row r="4764" customFormat="1" s="3">
      <c r="A4764" s="45" t="n"/>
      <c r="B4764" s="46" t="inlineStr">
        <is>
          <t>45583</t>
        </is>
      </c>
      <c r="C4764" s="46">
        <f>LEFT(Tableau1[[#This Row],[Formacode]],3)</f>
        <v/>
      </c>
      <c r="D4764" s="47" t="n">
        <v>39711</v>
      </c>
      <c r="E4764" s="48">
        <f>"RNCP"&amp;D4764</f>
        <v/>
      </c>
      <c r="F4764" s="48" t="inlineStr">
        <is>
          <t>CAP - Ouvrier archetier</t>
        </is>
      </c>
      <c r="G4764" s="49">
        <f>E4764&amp;" - "&amp;F4764</f>
        <v/>
      </c>
      <c r="H4764" s="36" t="inlineStr">
        <is>
          <t>RAS</t>
        </is>
      </c>
      <c r="I4764" s="45" t="inlineStr"/>
      <c r="J4764" s="45" t="inlineStr">
        <is>
          <t>RNCP39711</t>
        </is>
      </c>
      <c r="K4764" s="45" t="inlineStr">
        <is>
          <t>Ouvrier archetier</t>
        </is>
      </c>
      <c r="L4764" s="45" t="inlineStr">
        <is>
          <t>31/08/2028</t>
        </is>
      </c>
      <c r="M4764" s="45" t="inlineStr">
        <is>
          <t>45592 (Archet)</t>
        </is>
      </c>
      <c r="N4764" s="50" t="inlineStr">
        <is>
          <t>NON</t>
        </is>
      </c>
      <c r="O4764" s="45" t="inlineStr"/>
    </row>
    <row r="4765" customFormat="1" s="3">
      <c r="A4765" s="45" t="n"/>
      <c r="B4765" s="46" t="inlineStr">
        <is>
          <t>45585</t>
        </is>
      </c>
      <c r="C4765" s="46">
        <f>LEFT(Tableau1[[#This Row],[Formacode]],3)</f>
        <v/>
      </c>
      <c r="D4765" s="47" t="n">
        <v>36427</v>
      </c>
      <c r="E4765" s="48">
        <f>"RNCP"&amp;D4765</f>
        <v/>
      </c>
      <c r="F4765" s="48" t="inlineStr">
        <is>
          <t>CAP - Staffeur ornemaniste</t>
        </is>
      </c>
      <c r="G4765" s="49">
        <f>E4765&amp;" - "&amp;F4765</f>
        <v/>
      </c>
      <c r="H4765" s="36" t="inlineStr">
        <is>
          <t>RAS</t>
        </is>
      </c>
      <c r="I4765" s="45" t="inlineStr"/>
      <c r="J4765" s="45" t="inlineStr">
        <is>
          <t>RNCP36427</t>
        </is>
      </c>
      <c r="K4765" s="45" t="inlineStr">
        <is>
          <t>Staffeur ornemaniste</t>
        </is>
      </c>
      <c r="L4765" s="45" t="inlineStr">
        <is>
          <t>31/08/2027</t>
        </is>
      </c>
      <c r="M4765" s="45" t="inlineStr">
        <is>
          <t>22401 (Staff) ; 45554 (Artisanat art)</t>
        </is>
      </c>
      <c r="N4765" s="50" t="inlineStr">
        <is>
          <t>NON</t>
        </is>
      </c>
      <c r="O4765" s="45" t="inlineStr"/>
    </row>
    <row r="4766" customFormat="1" s="3">
      <c r="A4766" s="45" t="n"/>
      <c r="B4766" s="46" t="inlineStr">
        <is>
          <t>45585</t>
        </is>
      </c>
      <c r="C4766" s="46">
        <f>LEFT(Tableau1[[#This Row],[Formacode]],3)</f>
        <v/>
      </c>
      <c r="D4766" s="47" t="n">
        <v>39648</v>
      </c>
      <c r="E4766" s="48">
        <f>"RNCP"&amp;D4766</f>
        <v/>
      </c>
      <c r="F4766" s="48" t="inlineStr">
        <is>
          <t>CAP - Menuisier en sièges</t>
        </is>
      </c>
      <c r="G4766" s="49">
        <f>E4766&amp;" - "&amp;F4766</f>
        <v/>
      </c>
      <c r="H4766" s="36" t="inlineStr">
        <is>
          <t>RAS</t>
        </is>
      </c>
      <c r="I4766" s="45" t="inlineStr"/>
      <c r="J4766" s="45" t="inlineStr">
        <is>
          <t>RNCP39648</t>
        </is>
      </c>
      <c r="K4766" s="45" t="inlineStr">
        <is>
          <t>Menuisier en sièges</t>
        </is>
      </c>
      <c r="L4766" s="45" t="inlineStr">
        <is>
          <t>31/08/2027</t>
        </is>
      </c>
      <c r="M4766" s="45" t="inlineStr">
        <is>
          <t>45554 (Artisanat art) ; 45019 (Ameublement) ; 22881 (Bois) ; 22416 (Menuiserie bois)</t>
        </is>
      </c>
      <c r="N4766" s="50" t="inlineStr">
        <is>
          <t>NON</t>
        </is>
      </c>
      <c r="O4766" s="45" t="inlineStr"/>
    </row>
    <row r="4767" customFormat="1" s="3">
      <c r="A4767" s="45" t="n"/>
      <c r="B4767" s="46" t="inlineStr">
        <is>
          <t>45594</t>
        </is>
      </c>
      <c r="C4767" s="46">
        <f>LEFT(Tableau1[[#This Row],[Formacode]],3)</f>
        <v/>
      </c>
      <c r="D4767" s="47" t="n">
        <v>36427</v>
      </c>
      <c r="E4767" s="48">
        <f>"RNCP"&amp;D4767</f>
        <v/>
      </c>
      <c r="F4767" s="48" t="inlineStr">
        <is>
          <t>CAP - Staffeur ornemaniste</t>
        </is>
      </c>
      <c r="G4767" s="49">
        <f>E4767&amp;" - "&amp;F4767</f>
        <v/>
      </c>
      <c r="H4767" s="36" t="inlineStr">
        <is>
          <t>RAS</t>
        </is>
      </c>
      <c r="I4767" s="45" t="inlineStr"/>
      <c r="J4767" s="45" t="inlineStr">
        <is>
          <t>RNCP36427</t>
        </is>
      </c>
      <c r="K4767" s="45" t="inlineStr">
        <is>
          <t>Staffeur ornemaniste</t>
        </is>
      </c>
      <c r="L4767" s="45" t="inlineStr">
        <is>
          <t>31/08/2027</t>
        </is>
      </c>
      <c r="M4767" s="45" t="inlineStr">
        <is>
          <t>22401 (Staff) ; 45554 (Artisanat art)</t>
        </is>
      </c>
      <c r="N4767" s="50" t="inlineStr">
        <is>
          <t>NON</t>
        </is>
      </c>
      <c r="O4767" s="45" t="inlineStr"/>
    </row>
    <row r="4768" customFormat="1" s="3">
      <c r="A4768" s="45" t="n"/>
      <c r="B4768" s="46" t="inlineStr">
        <is>
          <t>45594</t>
        </is>
      </c>
      <c r="C4768" s="46">
        <f>LEFT(Tableau1[[#This Row],[Formacode]],3)</f>
        <v/>
      </c>
      <c r="D4768" s="47" t="n">
        <v>37539</v>
      </c>
      <c r="E4768" s="48">
        <f>"RNCP"&amp;D4768</f>
        <v/>
      </c>
      <c r="F4768" s="48" t="inlineStr">
        <is>
          <t>CAP - Arts de la reliure</t>
        </is>
      </c>
      <c r="G4768" s="49">
        <f>E4768&amp;" - "&amp;F4768</f>
        <v/>
      </c>
      <c r="H4768" s="36" t="inlineStr">
        <is>
          <t>RAS</t>
        </is>
      </c>
      <c r="I4768" s="45" t="inlineStr"/>
      <c r="J4768" s="45" t="inlineStr">
        <is>
          <t>RNCP37539</t>
        </is>
      </c>
      <c r="K4768" s="45" t="inlineStr">
        <is>
          <t>Arts de la reliure</t>
        </is>
      </c>
      <c r="L4768" s="45" t="inlineStr">
        <is>
          <t>31/08/2028</t>
        </is>
      </c>
      <c r="M4768" s="45" t="inlineStr">
        <is>
          <t>45594 (Reliure restauration livre)</t>
        </is>
      </c>
      <c r="N4768" s="50" t="inlineStr">
        <is>
          <t>NON</t>
        </is>
      </c>
      <c r="O4768" s="45" t="inlineStr"/>
    </row>
    <row r="4769" customFormat="1" s="3">
      <c r="A4769" s="45" t="n"/>
      <c r="B4769" s="46" t="inlineStr">
        <is>
          <t>45594</t>
        </is>
      </c>
      <c r="C4769" s="46">
        <f>LEFT(Tableau1[[#This Row],[Formacode]],3)</f>
        <v/>
      </c>
      <c r="D4769" s="47" t="n">
        <v>39648</v>
      </c>
      <c r="E4769" s="48">
        <f>"RNCP"&amp;D4769</f>
        <v/>
      </c>
      <c r="F4769" s="48" t="inlineStr">
        <is>
          <t>CAP - Menuisier en sièges</t>
        </is>
      </c>
      <c r="G4769" s="49">
        <f>E4769&amp;" - "&amp;F4769</f>
        <v/>
      </c>
      <c r="H4769" s="36" t="inlineStr">
        <is>
          <t>RAS</t>
        </is>
      </c>
      <c r="I4769" s="45" t="inlineStr"/>
      <c r="J4769" s="45" t="inlineStr">
        <is>
          <t>RNCP39648</t>
        </is>
      </c>
      <c r="K4769" s="45" t="inlineStr">
        <is>
          <t>Menuisier en sièges</t>
        </is>
      </c>
      <c r="L4769" s="45" t="inlineStr">
        <is>
          <t>31/08/2027</t>
        </is>
      </c>
      <c r="M4769" s="45" t="inlineStr">
        <is>
          <t>45554 (Artisanat art) ; 45019 (Ameublement) ; 22881 (Bois) ; 22416 (Menuiserie bois)</t>
        </is>
      </c>
      <c r="N4769" s="50" t="inlineStr">
        <is>
          <t>NON</t>
        </is>
      </c>
      <c r="O4769" s="45" t="inlineStr"/>
    </row>
    <row r="4770" customFormat="1" s="3">
      <c r="A4770" s="45" t="n"/>
      <c r="B4770" s="46" t="inlineStr">
        <is>
          <t>45597</t>
        </is>
      </c>
      <c r="C4770" s="46">
        <f>LEFT(Tableau1[[#This Row],[Formacode]],3)</f>
        <v/>
      </c>
      <c r="D4770" s="47" t="n">
        <v>36337</v>
      </c>
      <c r="E4770" s="48">
        <f>"RNCP"&amp;D4770</f>
        <v/>
      </c>
      <c r="F4770" s="48" t="inlineStr">
        <is>
          <t>CAP - Tournage en céramique</t>
        </is>
      </c>
      <c r="G4770" s="49">
        <f>E4770&amp;" - "&amp;F4770</f>
        <v/>
      </c>
      <c r="H4770" s="36" t="inlineStr">
        <is>
          <t>RAS</t>
        </is>
      </c>
      <c r="I4770" s="45" t="inlineStr"/>
      <c r="J4770" s="45" t="inlineStr">
        <is>
          <t>RNCP36337</t>
        </is>
      </c>
      <c r="K4770" s="45" t="inlineStr">
        <is>
          <t>Tournage en céramique</t>
        </is>
      </c>
      <c r="L4770" s="45" t="inlineStr">
        <is>
          <t>31/07/2027</t>
        </is>
      </c>
      <c r="M4770" s="45" t="inlineStr">
        <is>
          <t>45597 (Céramique poterie)</t>
        </is>
      </c>
      <c r="N4770" s="50" t="inlineStr">
        <is>
          <t>NON</t>
        </is>
      </c>
      <c r="O4770" s="45" t="inlineStr"/>
    </row>
    <row r="4771" customFormat="1" s="3">
      <c r="A4771" s="45" t="n"/>
      <c r="B4771" s="46" t="inlineStr">
        <is>
          <t>45597</t>
        </is>
      </c>
      <c r="C4771" s="46">
        <f>LEFT(Tableau1[[#This Row],[Formacode]],3)</f>
        <v/>
      </c>
      <c r="D4771" s="47" t="n">
        <v>36338</v>
      </c>
      <c r="E4771" s="48">
        <f>"RNCP"&amp;D4771</f>
        <v/>
      </c>
      <c r="F4771" s="48" t="inlineStr">
        <is>
          <t>CAP - Décoration en céramique</t>
        </is>
      </c>
      <c r="G4771" s="49">
        <f>E4771&amp;" - "&amp;F4771</f>
        <v/>
      </c>
      <c r="H4771" s="36" t="inlineStr">
        <is>
          <t>RAS</t>
        </is>
      </c>
      <c r="I4771" s="45" t="inlineStr"/>
      <c r="J4771" s="45" t="inlineStr">
        <is>
          <t>RNCP36338</t>
        </is>
      </c>
      <c r="K4771" s="45" t="inlineStr">
        <is>
          <t>Décoration en céramique</t>
        </is>
      </c>
      <c r="L4771" s="45" t="inlineStr">
        <is>
          <t>31/08/2027</t>
        </is>
      </c>
      <c r="M4771" s="45" t="inlineStr">
        <is>
          <t>45586 (Décoration céramique)</t>
        </is>
      </c>
      <c r="N4771" s="50" t="inlineStr">
        <is>
          <t>NON</t>
        </is>
      </c>
      <c r="O4771" s="45" t="inlineStr"/>
    </row>
    <row r="4772" customFormat="1" s="3">
      <c r="A4772" s="45" t="n"/>
      <c r="B4772" s="46" t="inlineStr">
        <is>
          <t>45597</t>
        </is>
      </c>
      <c r="C4772" s="46">
        <f>LEFT(Tableau1[[#This Row],[Formacode]],3)</f>
        <v/>
      </c>
      <c r="D4772" s="47" t="n">
        <v>36427</v>
      </c>
      <c r="E4772" s="48">
        <f>"RNCP"&amp;D4772</f>
        <v/>
      </c>
      <c r="F4772" s="48" t="inlineStr">
        <is>
          <t>CAP - Staffeur ornemaniste</t>
        </is>
      </c>
      <c r="G4772" s="49">
        <f>E4772&amp;" - "&amp;F4772</f>
        <v/>
      </c>
      <c r="H4772" s="36" t="inlineStr">
        <is>
          <t>RAS</t>
        </is>
      </c>
      <c r="I4772" s="45" t="inlineStr"/>
      <c r="J4772" s="45" t="inlineStr">
        <is>
          <t>RNCP36427</t>
        </is>
      </c>
      <c r="K4772" s="45" t="inlineStr">
        <is>
          <t>Staffeur ornemaniste</t>
        </is>
      </c>
      <c r="L4772" s="45" t="inlineStr">
        <is>
          <t>31/08/2027</t>
        </is>
      </c>
      <c r="M4772" s="45" t="inlineStr">
        <is>
          <t>22401 (Staff) ; 45554 (Artisanat art)</t>
        </is>
      </c>
      <c r="N4772" s="50" t="inlineStr">
        <is>
          <t>NON</t>
        </is>
      </c>
      <c r="O4772" s="45" t="inlineStr"/>
    </row>
    <row r="4773" customFormat="1" s="3">
      <c r="A4773" s="45" t="n"/>
      <c r="B4773" s="46" t="inlineStr">
        <is>
          <t>45597</t>
        </is>
      </c>
      <c r="C4773" s="46">
        <f>LEFT(Tableau1[[#This Row],[Formacode]],3)</f>
        <v/>
      </c>
      <c r="D4773" s="47" t="n">
        <v>39647</v>
      </c>
      <c r="E4773" s="48">
        <f>"RNCP"&amp;D4773</f>
        <v/>
      </c>
      <c r="F4773" s="48" t="inlineStr">
        <is>
          <t>CAP - Modèles et moules céramiques</t>
        </is>
      </c>
      <c r="G4773" s="49">
        <f>E4773&amp;" - "&amp;F4773</f>
        <v/>
      </c>
      <c r="H4773" s="36" t="inlineStr">
        <is>
          <t>RAS</t>
        </is>
      </c>
      <c r="I4773" s="45" t="inlineStr"/>
      <c r="J4773" s="45" t="inlineStr">
        <is>
          <t>RNCP39647</t>
        </is>
      </c>
      <c r="K4773" s="45" t="inlineStr">
        <is>
          <t>Modèles et moules céramiques</t>
        </is>
      </c>
      <c r="L4773" s="45" t="inlineStr">
        <is>
          <t>31/08/2029</t>
        </is>
      </c>
      <c r="M4773" s="45" t="inlineStr">
        <is>
          <t>22821 (Céramique industrielle) ; 45597 (Céramique poterie) ; 23090 (Fonderie)</t>
        </is>
      </c>
      <c r="N4773" s="50" t="inlineStr">
        <is>
          <t>NON</t>
        </is>
      </c>
      <c r="O4773" s="45" t="inlineStr"/>
    </row>
    <row r="4774" customFormat="1" s="3">
      <c r="A4774" s="45" t="n"/>
      <c r="B4774" s="46" t="inlineStr">
        <is>
          <t>45597</t>
        </is>
      </c>
      <c r="C4774" s="46">
        <f>LEFT(Tableau1[[#This Row],[Formacode]],3)</f>
        <v/>
      </c>
      <c r="D4774" s="47" t="n">
        <v>39648</v>
      </c>
      <c r="E4774" s="48">
        <f>"RNCP"&amp;D4774</f>
        <v/>
      </c>
      <c r="F4774" s="48" t="inlineStr">
        <is>
          <t>CAP - Menuisier en sièges</t>
        </is>
      </c>
      <c r="G4774" s="49">
        <f>E4774&amp;" - "&amp;F4774</f>
        <v/>
      </c>
      <c r="H4774" s="36" t="inlineStr">
        <is>
          <t>RAS</t>
        </is>
      </c>
      <c r="I4774" s="45" t="inlineStr"/>
      <c r="J4774" s="45" t="inlineStr">
        <is>
          <t>RNCP39648</t>
        </is>
      </c>
      <c r="K4774" s="45" t="inlineStr">
        <is>
          <t>Menuisier en sièges</t>
        </is>
      </c>
      <c r="L4774" s="45" t="inlineStr">
        <is>
          <t>31/08/2027</t>
        </is>
      </c>
      <c r="M4774" s="45" t="inlineStr">
        <is>
          <t>45554 (Artisanat art) ; 45019 (Ameublement) ; 22881 (Bois) ; 22416 (Menuiserie bois)</t>
        </is>
      </c>
      <c r="N4774" s="50" t="inlineStr">
        <is>
          <t>NON</t>
        </is>
      </c>
      <c r="O4774" s="45" t="inlineStr"/>
    </row>
    <row r="4775" customFormat="1" s="3">
      <c r="A4775" s="45" t="n"/>
      <c r="B4775" s="46" t="inlineStr">
        <is>
          <t>45598</t>
        </is>
      </c>
      <c r="C4775" s="46">
        <f>LEFT(Tableau1[[#This Row],[Formacode]],3)</f>
        <v/>
      </c>
      <c r="D4775" s="47" t="n">
        <v>36427</v>
      </c>
      <c r="E4775" s="48">
        <f>"RNCP"&amp;D4775</f>
        <v/>
      </c>
      <c r="F4775" s="48" t="inlineStr">
        <is>
          <t>CAP - Staffeur ornemaniste</t>
        </is>
      </c>
      <c r="G4775" s="49">
        <f>E4775&amp;" - "&amp;F4775</f>
        <v/>
      </c>
      <c r="H4775" s="36" t="inlineStr">
        <is>
          <t>RAS</t>
        </is>
      </c>
      <c r="I4775" s="45" t="inlineStr"/>
      <c r="J4775" s="45" t="inlineStr">
        <is>
          <t>RNCP36427</t>
        </is>
      </c>
      <c r="K4775" s="45" t="inlineStr">
        <is>
          <t>Staffeur ornemaniste</t>
        </is>
      </c>
      <c r="L4775" s="45" t="inlineStr">
        <is>
          <t>31/08/2027</t>
        </is>
      </c>
      <c r="M4775" s="45" t="inlineStr">
        <is>
          <t>22401 (Staff) ; 45554 (Artisanat art)</t>
        </is>
      </c>
      <c r="N4775" s="50" t="inlineStr">
        <is>
          <t>NON</t>
        </is>
      </c>
      <c r="O4775" s="45" t="inlineStr"/>
    </row>
    <row r="4776" customFormat="1" s="3">
      <c r="A4776" s="45" t="n"/>
      <c r="B4776" s="46" t="inlineStr">
        <is>
          <t>45598</t>
        </is>
      </c>
      <c r="C4776" s="46">
        <f>LEFT(Tableau1[[#This Row],[Formacode]],3)</f>
        <v/>
      </c>
      <c r="D4776" s="47" t="n">
        <v>39648</v>
      </c>
      <c r="E4776" s="48">
        <f>"RNCP"&amp;D4776</f>
        <v/>
      </c>
      <c r="F4776" s="48" t="inlineStr">
        <is>
          <t>CAP - Menuisier en sièges</t>
        </is>
      </c>
      <c r="G4776" s="49">
        <f>E4776&amp;" - "&amp;F4776</f>
        <v/>
      </c>
      <c r="H4776" s="36" t="inlineStr">
        <is>
          <t>RAS</t>
        </is>
      </c>
      <c r="I4776" s="45" t="inlineStr"/>
      <c r="J4776" s="45" t="inlineStr">
        <is>
          <t>RNCP39648</t>
        </is>
      </c>
      <c r="K4776" s="45" t="inlineStr">
        <is>
          <t>Menuisier en sièges</t>
        </is>
      </c>
      <c r="L4776" s="45" t="inlineStr">
        <is>
          <t>31/08/2027</t>
        </is>
      </c>
      <c r="M4776" s="45" t="inlineStr">
        <is>
          <t>45554 (Artisanat art) ; 45019 (Ameublement) ; 22881 (Bois) ; 22416 (Menuiserie bois)</t>
        </is>
      </c>
      <c r="N4776" s="50" t="inlineStr">
        <is>
          <t>NON</t>
        </is>
      </c>
      <c r="O4776" s="45" t="inlineStr"/>
    </row>
    <row r="4777" customFormat="1" s="3">
      <c r="A4777" s="45" t="n"/>
      <c r="B4777" s="46" t="inlineStr">
        <is>
          <t>45599</t>
        </is>
      </c>
      <c r="C4777" s="46">
        <f>LEFT(Tableau1[[#This Row],[Formacode]],3)</f>
        <v/>
      </c>
      <c r="D4777" s="47" t="n">
        <v>36427</v>
      </c>
      <c r="E4777" s="48">
        <f>"RNCP"&amp;D4777</f>
        <v/>
      </c>
      <c r="F4777" s="48" t="inlineStr">
        <is>
          <t>CAP - Staffeur ornemaniste</t>
        </is>
      </c>
      <c r="G4777" s="49">
        <f>E4777&amp;" - "&amp;F4777</f>
        <v/>
      </c>
      <c r="H4777" s="36" t="inlineStr">
        <is>
          <t>RAS</t>
        </is>
      </c>
      <c r="I4777" s="45" t="inlineStr"/>
      <c r="J4777" s="45" t="inlineStr">
        <is>
          <t>RNCP36427</t>
        </is>
      </c>
      <c r="K4777" s="45" t="inlineStr">
        <is>
          <t>Staffeur ornemaniste</t>
        </is>
      </c>
      <c r="L4777" s="45" t="inlineStr">
        <is>
          <t>31/08/2027</t>
        </is>
      </c>
      <c r="M4777" s="45" t="inlineStr">
        <is>
          <t>22401 (Staff) ; 45554 (Artisanat art)</t>
        </is>
      </c>
      <c r="N4777" s="50" t="inlineStr">
        <is>
          <t>NON</t>
        </is>
      </c>
      <c r="O4777" s="45" t="inlineStr"/>
    </row>
    <row r="4778" customFormat="1" s="3">
      <c r="A4778" s="45" t="n"/>
      <c r="B4778" s="46" t="inlineStr">
        <is>
          <t>45599</t>
        </is>
      </c>
      <c r="C4778" s="46">
        <f>LEFT(Tableau1[[#This Row],[Formacode]],3)</f>
        <v/>
      </c>
      <c r="D4778" s="47" t="n">
        <v>39648</v>
      </c>
      <c r="E4778" s="48">
        <f>"RNCP"&amp;D4778</f>
        <v/>
      </c>
      <c r="F4778" s="48" t="inlineStr">
        <is>
          <t>CAP - Menuisier en sièges</t>
        </is>
      </c>
      <c r="G4778" s="49">
        <f>E4778&amp;" - "&amp;F4778</f>
        <v/>
      </c>
      <c r="H4778" s="36" t="inlineStr">
        <is>
          <t>RAS</t>
        </is>
      </c>
      <c r="I4778" s="45" t="inlineStr"/>
      <c r="J4778" s="45" t="inlineStr">
        <is>
          <t>RNCP39648</t>
        </is>
      </c>
      <c r="K4778" s="45" t="inlineStr">
        <is>
          <t>Menuisier en sièges</t>
        </is>
      </c>
      <c r="L4778" s="45" t="inlineStr">
        <is>
          <t>31/08/2027</t>
        </is>
      </c>
      <c r="M4778" s="45" t="inlineStr">
        <is>
          <t>45554 (Artisanat art) ; 45019 (Ameublement) ; 22881 (Bois) ; 22416 (Menuiserie bois)</t>
        </is>
      </c>
      <c r="N4778" s="50" t="inlineStr">
        <is>
          <t>NON</t>
        </is>
      </c>
      <c r="O4778" s="45" t="inlineStr"/>
    </row>
    <row r="4779" customFormat="1" s="3">
      <c r="A4779" s="63" t="n"/>
      <c r="B4779" s="64" t="inlineStr">
        <is>
          <t>46072</t>
        </is>
      </c>
      <c r="C4779" s="64">
        <f>LEFT(Tableau1[[#This Row],[Formacode]],3)</f>
        <v/>
      </c>
      <c r="D4779" s="65" t="n">
        <v>35634</v>
      </c>
      <c r="E4779" s="66">
        <f>"RNCP"&amp;D4779</f>
        <v/>
      </c>
      <c r="F4779" s="66" t="inlineStr">
        <is>
          <t>TP - Concepteur designer UI</t>
        </is>
      </c>
      <c r="G4779" s="67">
        <f>E4779&amp;" - "&amp;F4779</f>
        <v/>
      </c>
      <c r="H4779" s="38" t="inlineStr">
        <is>
          <t>Expiré / remplacé</t>
        </is>
      </c>
      <c r="I4779" s="63" t="inlineStr">
        <is>
          <t>Fiche inactive — remplacée par RNCP42140 (Concepteur designer User Interface)</t>
        </is>
      </c>
      <c r="J4779" s="63" t="inlineStr">
        <is>
          <t>RNCP42140</t>
        </is>
      </c>
      <c r="K4779" s="63" t="inlineStr">
        <is>
          <t>Concepteur designer User Interface</t>
        </is>
      </c>
      <c r="L4779" s="63" t="inlineStr">
        <is>
          <t>13/07/2026</t>
        </is>
      </c>
      <c r="M4779" s="63" t="inlineStr">
        <is>
          <t>46372 (Design interface utilisateur) ; 46072 (Art graphique) ; 31090 (Développement web)</t>
        </is>
      </c>
      <c r="N4779" s="68" t="inlineStr">
        <is>
          <t>NON</t>
        </is>
      </c>
      <c r="O4779" s="63" t="inlineStr"/>
    </row>
    <row r="4780" customFormat="1" s="3">
      <c r="A4780" s="51" t="n"/>
      <c r="B4780" s="52" t="inlineStr">
        <is>
          <t>46072</t>
        </is>
      </c>
      <c r="C4780" s="52">
        <f>LEFT(Tableau1[[#This Row],[Formacode]],3)</f>
        <v/>
      </c>
      <c r="D4780" s="53" t="n">
        <v>35874</v>
      </c>
      <c r="E4780" s="54">
        <f>"RNCP"&amp;D4780</f>
        <v/>
      </c>
      <c r="F4780" s="54" t="inlineStr">
        <is>
          <t>Graphiste motion designer</t>
        </is>
      </c>
      <c r="G4780" s="55">
        <f>E4780&amp;" - "&amp;F4780</f>
        <v/>
      </c>
      <c r="H4780" s="37" t="inlineStr">
        <is>
          <t>À vérifier</t>
        </is>
      </c>
      <c r="I4780" s="51" t="inlineStr">
        <is>
          <t>Échéance le 15/09/2026 (dans 59 j)</t>
        </is>
      </c>
      <c r="J4780" s="51" t="inlineStr">
        <is>
          <t>RNCP35874</t>
        </is>
      </c>
      <c r="K4780" s="51" t="inlineStr">
        <is>
          <t>Graphiste motion designer</t>
        </is>
      </c>
      <c r="L4780" s="51" t="inlineStr">
        <is>
          <t>15/09/2026</t>
        </is>
      </c>
      <c r="M4780" s="51" t="inlineStr">
        <is>
          <t>46003 (Infographie)</t>
        </is>
      </c>
      <c r="N4780" s="62" t="inlineStr">
        <is>
          <t>NON</t>
        </is>
      </c>
      <c r="O4780" s="51" t="inlineStr"/>
    </row>
    <row r="4781" customFormat="1" s="3">
      <c r="A4781" s="45" t="n"/>
      <c r="B4781" s="46" t="inlineStr">
        <is>
          <t>46072</t>
        </is>
      </c>
      <c r="C4781" s="46">
        <f>LEFT(Tableau1[[#This Row],[Formacode]],3)</f>
        <v/>
      </c>
      <c r="D4781" s="47" t="n">
        <v>36465</v>
      </c>
      <c r="E4781" s="48">
        <f>"RNCP"&amp;D4781</f>
        <v/>
      </c>
      <c r="F4781" s="48" t="inlineStr">
        <is>
          <t>Expert en création numérique interactive</t>
        </is>
      </c>
      <c r="G4781" s="49">
        <f>E4781&amp;" - "&amp;F4781</f>
        <v/>
      </c>
      <c r="H4781" s="36" t="inlineStr">
        <is>
          <t>RAS</t>
        </is>
      </c>
      <c r="I4781" s="45" t="inlineStr"/>
      <c r="J4781" s="45" t="inlineStr">
        <is>
          <t>RNCP36465</t>
        </is>
      </c>
      <c r="K4781" s="45" t="inlineStr">
        <is>
          <t>Expert en création numérique interactive</t>
        </is>
      </c>
      <c r="L4781" s="45" t="inlineStr">
        <is>
          <t>01/06/2027</t>
        </is>
      </c>
      <c r="M4781" s="45" t="inlineStr">
        <is>
          <t>31090 (Développement web) ; 46003 (Infographie) ; 46347 (Stratégie communication numérique)</t>
        </is>
      </c>
      <c r="N4781" s="50" t="inlineStr">
        <is>
          <t>NON</t>
        </is>
      </c>
      <c r="O4781" s="45" t="inlineStr"/>
    </row>
    <row r="4782" customFormat="1" s="3">
      <c r="A4782" s="51" t="n"/>
      <c r="B4782" s="52" t="inlineStr">
        <is>
          <t>46072</t>
        </is>
      </c>
      <c r="C4782" s="52">
        <f>LEFT(Tableau1[[#This Row],[Formacode]],3)</f>
        <v/>
      </c>
      <c r="D4782" s="53" t="n">
        <v>37828</v>
      </c>
      <c r="E4782" s="54">
        <f>"RNCP"&amp;D4782</f>
        <v/>
      </c>
      <c r="F4782" s="54" t="inlineStr">
        <is>
          <t>Designer créateur de produit de mode et textile</t>
        </is>
      </c>
      <c r="G4782" s="55">
        <f>E4782&amp;" - "&amp;F4782</f>
        <v/>
      </c>
      <c r="H4782" s="37" t="inlineStr">
        <is>
          <t>À vérifier</t>
        </is>
      </c>
      <c r="I4782" s="51" t="inlineStr">
        <is>
          <t>Échéance le 19/07/2026 (dans 1 j)</t>
        </is>
      </c>
      <c r="J4782" s="51" t="inlineStr">
        <is>
          <t>RNCP37828</t>
        </is>
      </c>
      <c r="K4782" s="51" t="inlineStr">
        <is>
          <t>Designer créateur de produit de mode et textile</t>
        </is>
      </c>
      <c r="L4782" s="51" t="inlineStr">
        <is>
          <t>19/07/2026</t>
        </is>
      </c>
      <c r="M4782" s="51" t="inlineStr">
        <is>
          <t>21775 (Stylisme habillement) ; 21627 (Création textile) ; 21752 (Accessoire mode) ; 45027 (Art appliqué) ; 46081 (Création graphique)</t>
        </is>
      </c>
      <c r="N4782" s="62" t="inlineStr">
        <is>
          <t>NON</t>
        </is>
      </c>
      <c r="O4782" s="51" t="inlineStr"/>
    </row>
    <row r="4783" customFormat="1" s="3">
      <c r="A4783" s="51" t="n"/>
      <c r="B4783" s="52" t="inlineStr">
        <is>
          <t>46072</t>
        </is>
      </c>
      <c r="C4783" s="52">
        <f>LEFT(Tableau1[[#This Row],[Formacode]],3)</f>
        <v/>
      </c>
      <c r="D4783" s="53" t="n">
        <v>38143</v>
      </c>
      <c r="E4783" s="54">
        <f>"RNCP"&amp;D4783</f>
        <v/>
      </c>
      <c r="F4783" s="54" t="inlineStr">
        <is>
          <t>Graphiste motion designer</t>
        </is>
      </c>
      <c r="G4783" s="55">
        <f>E4783&amp;" - "&amp;F4783</f>
        <v/>
      </c>
      <c r="H4783" s="37" t="inlineStr">
        <is>
          <t>À vérifier</t>
        </is>
      </c>
      <c r="I4783" s="51" t="inlineStr">
        <is>
          <t>Échéance le 18/10/2026 (dans 92 j)</t>
        </is>
      </c>
      <c r="J4783" s="51" t="inlineStr">
        <is>
          <t>RNCP38143</t>
        </is>
      </c>
      <c r="K4783" s="51" t="inlineStr">
        <is>
          <t>Graphiste motion designer</t>
        </is>
      </c>
      <c r="L4783" s="51" t="inlineStr">
        <is>
          <t>18/10/2026</t>
        </is>
      </c>
      <c r="M4783" s="51" t="inlineStr">
        <is>
          <t>46003 (Infographie) ; 46090 (Graphisme publicité) ; 46269 (Montage audiovisuel)</t>
        </is>
      </c>
      <c r="N4783" s="62" t="inlineStr">
        <is>
          <t>NON</t>
        </is>
      </c>
      <c r="O4783" s="51" t="inlineStr"/>
    </row>
    <row r="4784" customFormat="1" s="3">
      <c r="A4784" s="51" t="n"/>
      <c r="B4784" s="52" t="inlineStr">
        <is>
          <t>46072</t>
        </is>
      </c>
      <c r="C4784" s="52">
        <f>LEFT(Tableau1[[#This Row],[Formacode]],3)</f>
        <v/>
      </c>
      <c r="D4784" s="53" t="n">
        <v>38244</v>
      </c>
      <c r="E4784" s="54">
        <f>"RNCP"&amp;D4784</f>
        <v/>
      </c>
      <c r="F4784" s="54" t="inlineStr">
        <is>
          <t>Concepteur UI et webdesign</t>
        </is>
      </c>
      <c r="G4784" s="55">
        <f>E4784&amp;" - "&amp;F4784</f>
        <v/>
      </c>
      <c r="H4784" s="37" t="inlineStr">
        <is>
          <t>À vérifier</t>
        </is>
      </c>
      <c r="I4784" s="51" t="inlineStr">
        <is>
          <t>Échéance le 15/11/2026 (dans 120 j)</t>
        </is>
      </c>
      <c r="J4784" s="51" t="inlineStr">
        <is>
          <t>RNCP38244</t>
        </is>
      </c>
      <c r="K4784" s="51" t="inlineStr">
        <is>
          <t>Concepteur UI et webdesign</t>
        </is>
      </c>
      <c r="L4784" s="51" t="inlineStr">
        <is>
          <t>15/11/2026</t>
        </is>
      </c>
      <c r="M4784" s="51" t="inlineStr">
        <is>
          <t>46331 (Site web) ; 46003 (Infographie)</t>
        </is>
      </c>
      <c r="N4784" s="62" t="inlineStr">
        <is>
          <t>NON</t>
        </is>
      </c>
      <c r="O4784" s="51" t="inlineStr"/>
    </row>
    <row r="4785" customFormat="1" s="3">
      <c r="A4785" s="51" t="n"/>
      <c r="B4785" s="52" t="inlineStr">
        <is>
          <t>46072</t>
        </is>
      </c>
      <c r="C4785" s="52">
        <f>LEFT(Tableau1[[#This Row],[Formacode]],3)</f>
        <v/>
      </c>
      <c r="D4785" s="53" t="n">
        <v>38268</v>
      </c>
      <c r="E4785" s="54">
        <f>"RNCP"&amp;D4785</f>
        <v/>
      </c>
      <c r="F4785" s="54" t="inlineStr">
        <is>
          <t>Motion designer</t>
        </is>
      </c>
      <c r="G4785" s="55">
        <f>E4785&amp;" - "&amp;F4785</f>
        <v/>
      </c>
      <c r="H4785" s="37" t="inlineStr">
        <is>
          <t>À vérifier</t>
        </is>
      </c>
      <c r="I4785" s="51" t="inlineStr">
        <is>
          <t>Échéance le 15/11/2026 (dans 120 j)</t>
        </is>
      </c>
      <c r="J4785" s="51" t="inlineStr">
        <is>
          <t>RNCP38268</t>
        </is>
      </c>
      <c r="K4785" s="51" t="inlineStr">
        <is>
          <t>Motion designer</t>
        </is>
      </c>
      <c r="L4785" s="51" t="inlineStr">
        <is>
          <t>15/11/2026</t>
        </is>
      </c>
      <c r="M4785" s="51" t="inlineStr">
        <is>
          <t>46003 (Infographie) ; 46276 (Film animation)</t>
        </is>
      </c>
      <c r="N4785" s="62" t="inlineStr">
        <is>
          <t>NON</t>
        </is>
      </c>
      <c r="O4785" s="51" t="inlineStr"/>
    </row>
    <row r="4786" ht="28.8" customFormat="1" customHeight="1" s="3">
      <c r="A4786" s="45" t="n"/>
      <c r="B4786" s="46" t="inlineStr">
        <is>
          <t>46072</t>
        </is>
      </c>
      <c r="C4786" s="46">
        <f>LEFT(Tableau1[[#This Row],[Formacode]],3)</f>
        <v/>
      </c>
      <c r="D4786" s="47" t="n">
        <v>38421</v>
      </c>
      <c r="E4786" s="48">
        <f>"RNCP"&amp;D4786</f>
        <v/>
      </c>
      <c r="F4786" s="48" t="inlineStr">
        <is>
          <t>BTS - Etudes de réalisation d'un projet de communication - Option A : Études de réalisation de produits plurimédia et B : Études de réalisation de produits imprimés</t>
        </is>
      </c>
      <c r="G4786" s="49">
        <f>E4786&amp;" - "&amp;F4786</f>
        <v/>
      </c>
      <c r="H4786" s="36" t="inlineStr">
        <is>
          <t>RAS</t>
        </is>
      </c>
      <c r="I4786" s="45" t="inlineStr"/>
      <c r="J4786" s="45" t="inlineStr">
        <is>
          <t>RNCP38421</t>
        </is>
      </c>
      <c r="K4786" s="45" t="inlineStr">
        <is>
          <t>Etudes de réalisation d'un projet de communication - Option A : Études de réalisation de produits plurimédia et B : Études de réalisation de produits imprimés</t>
        </is>
      </c>
      <c r="L4786" s="45" t="inlineStr">
        <is>
          <t>31/12/2028</t>
        </is>
      </c>
      <c r="M4786" s="45" t="inlineStr">
        <is>
          <t>46054 (Industrie graphique imprimerie) ; 46302 (Gestion entreprise communication information)</t>
        </is>
      </c>
      <c r="N4786" s="50" t="inlineStr">
        <is>
          <t>NON</t>
        </is>
      </c>
      <c r="O4786" s="45" t="inlineStr"/>
    </row>
    <row r="4787" customFormat="1" s="3">
      <c r="A4787" s="45" t="n"/>
      <c r="B4787" s="46" t="inlineStr">
        <is>
          <t>46072</t>
        </is>
      </c>
      <c r="C4787" s="46">
        <f>LEFT(Tableau1[[#This Row],[Formacode]],3)</f>
        <v/>
      </c>
      <c r="D4787" s="47" t="n">
        <v>38518</v>
      </c>
      <c r="E4787" s="48">
        <f>"RNCP"&amp;D4787</f>
        <v/>
      </c>
      <c r="F4787" s="48" t="inlineStr">
        <is>
          <t>Designer d'images animées et immersives</t>
        </is>
      </c>
      <c r="G4787" s="49">
        <f>E4787&amp;" - "&amp;F4787</f>
        <v/>
      </c>
      <c r="H4787" s="36" t="inlineStr">
        <is>
          <t>RAS</t>
        </is>
      </c>
      <c r="I4787" s="45" t="inlineStr"/>
      <c r="J4787" s="45" t="inlineStr">
        <is>
          <t>RNCP38518</t>
        </is>
      </c>
      <c r="K4787" s="45" t="inlineStr">
        <is>
          <t>Designer d'images animées et immersives</t>
        </is>
      </c>
      <c r="L4787" s="45" t="inlineStr">
        <is>
          <t>21/12/2027</t>
        </is>
      </c>
      <c r="M4787" s="45" t="inlineStr">
        <is>
          <t>46264 (Conception réalisation audiovisuelle) ; 46347 (Stratégie communication numérique) ; 46003 (Infographie)</t>
        </is>
      </c>
      <c r="N4787" s="50" t="inlineStr">
        <is>
          <t>NON</t>
        </is>
      </c>
      <c r="O4787" s="45" t="inlineStr"/>
    </row>
    <row r="4788" customFormat="1" s="3">
      <c r="A4788" s="45" t="n"/>
      <c r="B4788" s="46" t="inlineStr">
        <is>
          <t>46072</t>
        </is>
      </c>
      <c r="C4788" s="46">
        <f>LEFT(Tableau1[[#This Row],[Formacode]],3)</f>
        <v/>
      </c>
      <c r="D4788" s="47" t="n">
        <v>38589</v>
      </c>
      <c r="E4788" s="48">
        <f>"RNCP"&amp;D4788</f>
        <v/>
      </c>
      <c r="F4788" s="48" t="inlineStr">
        <is>
          <t>Directeur artistique</t>
        </is>
      </c>
      <c r="G4788" s="49">
        <f>E4788&amp;" - "&amp;F4788</f>
        <v/>
      </c>
      <c r="H4788" s="36" t="inlineStr">
        <is>
          <t>RAS</t>
        </is>
      </c>
      <c r="I4788" s="45" t="inlineStr"/>
      <c r="J4788" s="45" t="inlineStr">
        <is>
          <t>RNCP38589</t>
        </is>
      </c>
      <c r="K4788" s="45" t="inlineStr">
        <is>
          <t>Directeur artistique</t>
        </is>
      </c>
      <c r="L4788" s="45" t="inlineStr">
        <is>
          <t>09/02/2027</t>
        </is>
      </c>
      <c r="M4788" s="45" t="inlineStr">
        <is>
          <t>46090 (Graphisme publicité) ; 46217 (Conception réalisation transmédia) ; 46003 (Infographie)</t>
        </is>
      </c>
      <c r="N4788" s="50" t="inlineStr">
        <is>
          <t>NON</t>
        </is>
      </c>
      <c r="O4788" s="45" t="inlineStr"/>
    </row>
    <row r="4789" customFormat="1" s="3">
      <c r="A4789" s="45" t="n"/>
      <c r="B4789" s="46" t="inlineStr">
        <is>
          <t>46072</t>
        </is>
      </c>
      <c r="C4789" s="46">
        <f>LEFT(Tableau1[[#This Row],[Formacode]],3)</f>
        <v/>
      </c>
      <c r="D4789" s="47" t="n">
        <v>39092</v>
      </c>
      <c r="E4789" s="48">
        <f>"RNCP"&amp;D4789</f>
        <v/>
      </c>
      <c r="F4789" s="48" t="inlineStr">
        <is>
          <t>Expert en création digitale</t>
        </is>
      </c>
      <c r="G4789" s="49">
        <f>E4789&amp;" - "&amp;F4789</f>
        <v/>
      </c>
      <c r="H4789" s="36" t="inlineStr">
        <is>
          <t>RAS</t>
        </is>
      </c>
      <c r="I4789" s="45" t="inlineStr"/>
      <c r="J4789" s="45" t="inlineStr">
        <is>
          <t>RNCP39092</t>
        </is>
      </c>
      <c r="K4789" s="45" t="inlineStr">
        <is>
          <t>Expert en création digitale</t>
        </is>
      </c>
      <c r="L4789" s="45" t="inlineStr">
        <is>
          <t>31/05/2028</t>
        </is>
      </c>
      <c r="M4789" s="45" t="inlineStr">
        <is>
          <t>46339 (Conduite projet numérique) ; 46251 (Jeu vidéo) ; 46081 (Création graphique)</t>
        </is>
      </c>
      <c r="N4789" s="50" t="inlineStr">
        <is>
          <t>NON</t>
        </is>
      </c>
      <c r="O4789" s="45" t="inlineStr"/>
    </row>
    <row r="4790" customFormat="1" s="3">
      <c r="A4790" s="45" t="n"/>
      <c r="B4790" s="46" t="inlineStr">
        <is>
          <t>46072</t>
        </is>
      </c>
      <c r="C4790" s="46">
        <f>LEFT(Tableau1[[#This Row],[Formacode]],3)</f>
        <v/>
      </c>
      <c r="D4790" s="47" t="n">
        <v>39240</v>
      </c>
      <c r="E4790" s="48">
        <f>"RNCP"&amp;D4790</f>
        <v/>
      </c>
      <c r="F4790" s="48" t="inlineStr">
        <is>
          <t>Concepteur webdesigner</t>
        </is>
      </c>
      <c r="G4790" s="49">
        <f>E4790&amp;" - "&amp;F4790</f>
        <v/>
      </c>
      <c r="H4790" s="36" t="inlineStr">
        <is>
          <t>RAS</t>
        </is>
      </c>
      <c r="I4790" s="45" t="inlineStr"/>
      <c r="J4790" s="45" t="inlineStr">
        <is>
          <t>RNCP39240</t>
        </is>
      </c>
      <c r="K4790" s="45" t="inlineStr">
        <is>
          <t>Concepteur webdesigner</t>
        </is>
      </c>
      <c r="L4790" s="45" t="inlineStr">
        <is>
          <t>27/06/2027</t>
        </is>
      </c>
      <c r="M4790" s="45" t="inlineStr">
        <is>
          <t>46334 (Maquettage site web) ; 31090 (Développement web) ; 46003 (Infographie)</t>
        </is>
      </c>
      <c r="N4790" s="50" t="inlineStr">
        <is>
          <t>NON</t>
        </is>
      </c>
      <c r="O4790" s="45" t="inlineStr"/>
    </row>
    <row r="4791" customFormat="1" s="3">
      <c r="A4791" s="45" t="n"/>
      <c r="B4791" s="46" t="inlineStr">
        <is>
          <t>46072</t>
        </is>
      </c>
      <c r="C4791" s="46">
        <f>LEFT(Tableau1[[#This Row],[Formacode]],3)</f>
        <v/>
      </c>
      <c r="D4791" s="47" t="n">
        <v>39256</v>
      </c>
      <c r="E4791" s="48">
        <f>"RNCP"&amp;D4791</f>
        <v/>
      </c>
      <c r="F4791" s="48" t="inlineStr">
        <is>
          <t>Réalisateur 3D</t>
        </is>
      </c>
      <c r="G4791" s="49">
        <f>E4791&amp;" - "&amp;F4791</f>
        <v/>
      </c>
      <c r="H4791" s="36" t="inlineStr">
        <is>
          <t>RAS</t>
        </is>
      </c>
      <c r="I4791" s="45" t="inlineStr"/>
      <c r="J4791" s="45" t="inlineStr">
        <is>
          <t>RNCP39256</t>
        </is>
      </c>
      <c r="K4791" s="45" t="inlineStr">
        <is>
          <t>Réalisateur 3D</t>
        </is>
      </c>
      <c r="L4791" s="45" t="inlineStr">
        <is>
          <t>27/06/2027</t>
        </is>
      </c>
      <c r="M4791" s="45" t="inlineStr">
        <is>
          <t>46003 (Infographie) ; 46276 (Film animation) ; 46251 (Jeu vidéo)</t>
        </is>
      </c>
      <c r="N4791" s="50" t="inlineStr">
        <is>
          <t>NON</t>
        </is>
      </c>
      <c r="O4791" s="45" t="inlineStr"/>
    </row>
    <row r="4792" customFormat="1" s="3">
      <c r="A4792" s="45" t="n"/>
      <c r="B4792" s="46" t="inlineStr">
        <is>
          <t>46072</t>
        </is>
      </c>
      <c r="C4792" s="46">
        <f>LEFT(Tableau1[[#This Row],[Formacode]],3)</f>
        <v/>
      </c>
      <c r="D4792" s="47" t="n">
        <v>39532</v>
      </c>
      <c r="E4792" s="48">
        <f>"RNCP"&amp;D4792</f>
        <v/>
      </c>
      <c r="F4792" s="48" t="inlineStr">
        <is>
          <t>TP - Graphiste</t>
        </is>
      </c>
      <c r="G4792" s="49">
        <f>E4792&amp;" - "&amp;F4792</f>
        <v/>
      </c>
      <c r="H4792" s="36" t="inlineStr">
        <is>
          <t>RAS</t>
        </is>
      </c>
      <c r="I4792" s="45" t="inlineStr"/>
      <c r="J4792" s="45" t="inlineStr">
        <is>
          <t>RNCP39532</t>
        </is>
      </c>
      <c r="K4792" s="45" t="inlineStr">
        <is>
          <t>Graphiste</t>
        </is>
      </c>
      <c r="L4792" s="45" t="inlineStr">
        <is>
          <t>30/09/2029</t>
        </is>
      </c>
      <c r="M4792" s="45" t="inlineStr">
        <is>
          <t>46003 (Infographie) ; 46090 (Graphisme publicité) ; 46276 (Film animation) ; 46049 (Pré-presse)</t>
        </is>
      </c>
      <c r="N4792" s="50" t="inlineStr">
        <is>
          <t>NON</t>
        </is>
      </c>
      <c r="O4792" s="45" t="inlineStr"/>
    </row>
    <row r="4793" customFormat="1" s="3">
      <c r="A4793" s="45" t="n"/>
      <c r="B4793" s="46" t="inlineStr">
        <is>
          <t>46072</t>
        </is>
      </c>
      <c r="C4793" s="46">
        <f>LEFT(Tableau1[[#This Row],[Formacode]],3)</f>
        <v/>
      </c>
      <c r="D4793" s="47" t="n">
        <v>40154</v>
      </c>
      <c r="E4793" s="48">
        <f>"RNCP"&amp;D4793</f>
        <v/>
      </c>
      <c r="F4793" s="48" t="inlineStr">
        <is>
          <t>Graphiste concepteur</t>
        </is>
      </c>
      <c r="G4793" s="49">
        <f>E4793&amp;" - "&amp;F4793</f>
        <v/>
      </c>
      <c r="H4793" s="36" t="inlineStr">
        <is>
          <t>RAS</t>
        </is>
      </c>
      <c r="I4793" s="45" t="inlineStr"/>
      <c r="J4793" s="45" t="inlineStr">
        <is>
          <t>RNCP40154</t>
        </is>
      </c>
      <c r="K4793" s="45" t="inlineStr">
        <is>
          <t>Graphiste concepteur</t>
        </is>
      </c>
      <c r="L4793" s="45" t="inlineStr">
        <is>
          <t>31/01/2028</t>
        </is>
      </c>
      <c r="M4793" s="45" t="inlineStr">
        <is>
          <t>46081 (Création graphique)</t>
        </is>
      </c>
      <c r="N4793" s="50" t="inlineStr">
        <is>
          <t>NON</t>
        </is>
      </c>
      <c r="O4793" s="45" t="inlineStr"/>
    </row>
    <row r="4794" customFormat="1" s="3">
      <c r="A4794" s="45" t="n"/>
      <c r="B4794" s="46" t="inlineStr">
        <is>
          <t>46072</t>
        </is>
      </c>
      <c r="C4794" s="46">
        <f>LEFT(Tableau1[[#This Row],[Formacode]],3)</f>
        <v/>
      </c>
      <c r="D4794" s="47" t="n">
        <v>40602</v>
      </c>
      <c r="E4794" s="48">
        <f>"RNCP"&amp;D4794</f>
        <v/>
      </c>
      <c r="F4794" s="48" t="inlineStr">
        <is>
          <t>Manager de la création et du design de marque</t>
        </is>
      </c>
      <c r="G4794" s="49">
        <f>E4794&amp;" - "&amp;F4794</f>
        <v/>
      </c>
      <c r="H4794" s="36" t="inlineStr">
        <is>
          <t>RAS</t>
        </is>
      </c>
      <c r="I4794" s="45" t="inlineStr"/>
      <c r="J4794" s="45" t="inlineStr">
        <is>
          <t>RNCP40602</t>
        </is>
      </c>
      <c r="K4794" s="45" t="inlineStr">
        <is>
          <t>Manager de la création et du design de marque</t>
        </is>
      </c>
      <c r="L4794" s="45" t="inlineStr">
        <is>
          <t>30/04/2028</t>
        </is>
      </c>
      <c r="M4794" s="45" t="inlineStr">
        <is>
          <t>46090 (Graphisme publicité) ; 46003 (Infographie) ; 32025 (Stratégie entreprise) ; 34074 (Publicité)</t>
        </is>
      </c>
      <c r="N4794" s="50" t="inlineStr">
        <is>
          <t>NON</t>
        </is>
      </c>
      <c r="O4794" s="45" t="inlineStr"/>
    </row>
    <row r="4795" customFormat="1" s="3">
      <c r="A4795" s="45" t="n"/>
      <c r="B4795" s="46" t="inlineStr">
        <is>
          <t>46072</t>
        </is>
      </c>
      <c r="C4795" s="46">
        <f>LEFT(Tableau1[[#This Row],[Formacode]],3)</f>
        <v/>
      </c>
      <c r="D4795" s="47" t="n">
        <v>40876</v>
      </c>
      <c r="E4795" s="48">
        <f>"RNCP"&amp;D4795</f>
        <v/>
      </c>
      <c r="F4795" s="48" t="inlineStr">
        <is>
          <t>Expert en conception et réalisation - Animation 3D et Effets Spéciaux</t>
        </is>
      </c>
      <c r="G4795" s="49">
        <f>E4795&amp;" - "&amp;F4795</f>
        <v/>
      </c>
      <c r="H4795" s="36" t="inlineStr">
        <is>
          <t>RAS</t>
        </is>
      </c>
      <c r="I4795" s="45" t="inlineStr"/>
      <c r="J4795" s="45" t="inlineStr">
        <is>
          <t>RNCP40876</t>
        </is>
      </c>
      <c r="K4795" s="45" t="inlineStr">
        <is>
          <t>Expert en conception et réalisation - Animation 3D et Effets Spéciaux</t>
        </is>
      </c>
      <c r="L4795" s="45" t="inlineStr">
        <is>
          <t>25/06/2030</t>
        </is>
      </c>
      <c r="M4795" s="45" t="inlineStr">
        <is>
          <t>46276 (Film animation) ; 46257 (Effets spéciaux) ; 46003 (Infographie)</t>
        </is>
      </c>
      <c r="N4795" s="50" t="inlineStr">
        <is>
          <t>NON</t>
        </is>
      </c>
      <c r="O4795" s="45" t="inlineStr"/>
    </row>
    <row r="4796" customFormat="1" s="3">
      <c r="A4796" s="45" t="n"/>
      <c r="B4796" s="46" t="inlineStr">
        <is>
          <t>46072</t>
        </is>
      </c>
      <c r="C4796" s="46">
        <f>LEFT(Tableau1[[#This Row],[Formacode]],3)</f>
        <v/>
      </c>
      <c r="D4796" s="47" t="n">
        <v>40924</v>
      </c>
      <c r="E4796" s="48">
        <f>"RNCP"&amp;D4796</f>
        <v/>
      </c>
      <c r="F4796" s="48" t="inlineStr">
        <is>
          <t>Concepteur en création visuelle</t>
        </is>
      </c>
      <c r="G4796" s="49">
        <f>E4796&amp;" - "&amp;F4796</f>
        <v/>
      </c>
      <c r="H4796" s="36" t="inlineStr">
        <is>
          <t>RAS</t>
        </is>
      </c>
      <c r="I4796" s="45" t="inlineStr"/>
      <c r="J4796" s="45" t="inlineStr">
        <is>
          <t>RNCP40924</t>
        </is>
      </c>
      <c r="K4796" s="45" t="inlineStr">
        <is>
          <t>Concepteur en création visuelle</t>
        </is>
      </c>
      <c r="L4796" s="45" t="inlineStr">
        <is>
          <t>25/06/2028</t>
        </is>
      </c>
      <c r="M4796" s="45" t="inlineStr">
        <is>
          <t>46081 (Création graphique) ; 46276 (Film animation) ; 46244 (Gestion production audiovisuelle) ; 46354 (Information - Communication numérique)</t>
        </is>
      </c>
      <c r="N4796" s="50" t="inlineStr">
        <is>
          <t>NON</t>
        </is>
      </c>
      <c r="O4796" s="45" t="inlineStr"/>
    </row>
    <row r="4797" customFormat="1" s="3">
      <c r="A4797" s="45" t="n"/>
      <c r="B4797" s="46" t="inlineStr">
        <is>
          <t>46072</t>
        </is>
      </c>
      <c r="C4797" s="46">
        <f>LEFT(Tableau1[[#This Row],[Formacode]],3)</f>
        <v/>
      </c>
      <c r="D4797" s="47" t="n">
        <v>41089</v>
      </c>
      <c r="E4797" s="48">
        <f>"RNCP"&amp;D4797</f>
        <v/>
      </c>
      <c r="F4797" s="48" t="inlineStr">
        <is>
          <t>Graphiste Eco-concepteur</t>
        </is>
      </c>
      <c r="G4797" s="49">
        <f>E4797&amp;" - "&amp;F4797</f>
        <v/>
      </c>
      <c r="H4797" s="36" t="inlineStr">
        <is>
          <t>RAS</t>
        </is>
      </c>
      <c r="I4797" s="45" t="inlineStr"/>
      <c r="J4797" s="45" t="inlineStr">
        <is>
          <t>RNCP41089</t>
        </is>
      </c>
      <c r="K4797" s="45" t="inlineStr">
        <is>
          <t>Graphiste Eco-concepteur</t>
        </is>
      </c>
      <c r="L4797" s="45" t="inlineStr">
        <is>
          <t>18/07/2028</t>
        </is>
      </c>
      <c r="M4797" s="45" t="inlineStr">
        <is>
          <t>46003 (Infographie) ; 46052 (PAO) ; 46090 (Graphisme publicité) ; 31090 (Développement web)</t>
        </is>
      </c>
      <c r="N4797" s="50" t="inlineStr">
        <is>
          <t>NON</t>
        </is>
      </c>
      <c r="O4797" s="45" t="inlineStr"/>
    </row>
    <row r="4798" customFormat="1" s="3">
      <c r="A4798" s="45" t="n"/>
      <c r="B4798" s="46" t="inlineStr">
        <is>
          <t>46072</t>
        </is>
      </c>
      <c r="C4798" s="46">
        <f>LEFT(Tableau1[[#This Row],[Formacode]],3)</f>
        <v/>
      </c>
      <c r="D4798" s="47" t="n">
        <v>41125</v>
      </c>
      <c r="E4798" s="48">
        <f>"RNCP"&amp;D4798</f>
        <v/>
      </c>
      <c r="F4798" s="48" t="inlineStr">
        <is>
          <t>Chargé de communication</t>
        </is>
      </c>
      <c r="G4798" s="49">
        <f>E4798&amp;" - "&amp;F4798</f>
        <v/>
      </c>
      <c r="H4798" s="36" t="inlineStr">
        <is>
          <t>RAS</t>
        </is>
      </c>
      <c r="I4798" s="45" t="inlineStr"/>
      <c r="J4798" s="45" t="inlineStr">
        <is>
          <t>RNCP41125</t>
        </is>
      </c>
      <c r="K4798" s="45" t="inlineStr">
        <is>
          <t>Chargé de communication</t>
        </is>
      </c>
      <c r="L4798" s="45" t="inlineStr">
        <is>
          <t>18/07/2030</t>
        </is>
      </c>
      <c r="M4798" s="45" t="inlineStr">
        <is>
          <t>46301 (Communication entreprise) ; 46347 (Stratégie communication numérique) ; 46081 (Création graphique)</t>
        </is>
      </c>
      <c r="N4798" s="50" t="inlineStr">
        <is>
          <t>NON</t>
        </is>
      </c>
      <c r="O4798" s="45" t="inlineStr"/>
    </row>
    <row r="4799" customFormat="1" s="3">
      <c r="A4799" s="45" t="n"/>
      <c r="B4799" s="46" t="inlineStr">
        <is>
          <t>46072</t>
        </is>
      </c>
      <c r="C4799" s="46">
        <f>LEFT(Tableau1[[#This Row],[Formacode]],3)</f>
        <v/>
      </c>
      <c r="D4799" s="47" t="n">
        <v>41710</v>
      </c>
      <c r="E4799" s="48">
        <f>"RNCP"&amp;D4799</f>
        <v/>
      </c>
      <c r="F4799" s="48" t="inlineStr">
        <is>
          <t>Designer graphique</t>
        </is>
      </c>
      <c r="G4799" s="49">
        <f>E4799&amp;" - "&amp;F4799</f>
        <v/>
      </c>
      <c r="H4799" s="36" t="inlineStr">
        <is>
          <t>RAS</t>
        </is>
      </c>
      <c r="I4799" s="45" t="inlineStr"/>
      <c r="J4799" s="45" t="inlineStr">
        <is>
          <t>RNCP41710</t>
        </is>
      </c>
      <c r="K4799" s="45" t="inlineStr">
        <is>
          <t>Designer graphique</t>
        </is>
      </c>
      <c r="L4799" s="45" t="inlineStr">
        <is>
          <t>27/11/2028</t>
        </is>
      </c>
      <c r="M4799" s="45" t="inlineStr">
        <is>
          <t>46081 (Création graphique)</t>
        </is>
      </c>
      <c r="N4799" s="50" t="inlineStr">
        <is>
          <t>NON</t>
        </is>
      </c>
      <c r="O4799" s="45" t="inlineStr"/>
    </row>
    <row r="4800" ht="28.8" customFormat="1" customHeight="1" s="3">
      <c r="A4800" s="45" t="n"/>
      <c r="B4800" s="46" t="inlineStr">
        <is>
          <t>46084</t>
        </is>
      </c>
      <c r="C4800" s="46">
        <f>LEFT(Tableau1[[#This Row],[Formacode]],3)</f>
        <v/>
      </c>
      <c r="D4800" s="47" t="n">
        <v>38421</v>
      </c>
      <c r="E4800" s="48">
        <f>"RNCP"&amp;D4800</f>
        <v/>
      </c>
      <c r="F4800" s="48" t="inlineStr">
        <is>
          <t>BTS - Etudes de réalisation d'un projet de communication - Option A : Études de réalisation de produits plurimédia et B : Études de réalisation de produits imprimés</t>
        </is>
      </c>
      <c r="G4800" s="49">
        <f>E4800&amp;" - "&amp;F4800</f>
        <v/>
      </c>
      <c r="H4800" s="36" t="inlineStr">
        <is>
          <t>RAS</t>
        </is>
      </c>
      <c r="I4800" s="45" t="inlineStr"/>
      <c r="J4800" s="45" t="inlineStr">
        <is>
          <t>RNCP38421</t>
        </is>
      </c>
      <c r="K4800" s="45" t="inlineStr">
        <is>
          <t>Etudes de réalisation d'un projet de communication - Option A : Études de réalisation de produits plurimédia et B : Études de réalisation de produits imprimés</t>
        </is>
      </c>
      <c r="L4800" s="45" t="inlineStr">
        <is>
          <t>31/12/2028</t>
        </is>
      </c>
      <c r="M4800" s="45" t="inlineStr">
        <is>
          <t>46054 (Industrie graphique imprimerie) ; 46302 (Gestion entreprise communication information)</t>
        </is>
      </c>
      <c r="N4800" s="50" t="inlineStr">
        <is>
          <t>NON</t>
        </is>
      </c>
      <c r="O4800" s="45" t="inlineStr"/>
    </row>
    <row r="4801" ht="28.8" customFormat="1" customHeight="1" s="3">
      <c r="A4801" s="45" t="n"/>
      <c r="B4801" s="46" t="inlineStr">
        <is>
          <t>46085</t>
        </is>
      </c>
      <c r="C4801" s="46">
        <f>LEFT(Tableau1[[#This Row],[Formacode]],3)</f>
        <v/>
      </c>
      <c r="D4801" s="47" t="n">
        <v>38421</v>
      </c>
      <c r="E4801" s="48">
        <f>"RNCP"&amp;D4801</f>
        <v/>
      </c>
      <c r="F4801" s="48" t="inlineStr">
        <is>
          <t>BTS - Etudes de réalisation d'un projet de communication - Option A : Études de réalisation de produits plurimédia et B : Études de réalisation de produits imprimés</t>
        </is>
      </c>
      <c r="G4801" s="49">
        <f>E4801&amp;" - "&amp;F4801</f>
        <v/>
      </c>
      <c r="H4801" s="36" t="inlineStr">
        <is>
          <t>RAS</t>
        </is>
      </c>
      <c r="I4801" s="45" t="inlineStr"/>
      <c r="J4801" s="45" t="inlineStr">
        <is>
          <t>RNCP38421</t>
        </is>
      </c>
      <c r="K4801" s="45" t="inlineStr">
        <is>
          <t>Etudes de réalisation d'un projet de communication - Option A : Études de réalisation de produits plurimédia et B : Études de réalisation de produits imprimés</t>
        </is>
      </c>
      <c r="L4801" s="45" t="inlineStr">
        <is>
          <t>31/12/2028</t>
        </is>
      </c>
      <c r="M4801" s="45" t="inlineStr">
        <is>
          <t>46054 (Industrie graphique imprimerie) ; 46302 (Gestion entreprise communication information)</t>
        </is>
      </c>
      <c r="N4801" s="50" t="inlineStr">
        <is>
          <t>NON</t>
        </is>
      </c>
      <c r="O4801" s="45" t="inlineStr"/>
    </row>
    <row r="4802" customFormat="1" s="3">
      <c r="A4802" s="63" t="n"/>
      <c r="B4802" s="64" t="inlineStr">
        <is>
          <t>46093</t>
        </is>
      </c>
      <c r="C4802" s="64">
        <f>LEFT(Tableau1[[#This Row],[Formacode]],3)</f>
        <v/>
      </c>
      <c r="D4802" s="65" t="n">
        <v>37333</v>
      </c>
      <c r="E4802" s="66">
        <f>"RNCP"&amp;D4802</f>
        <v/>
      </c>
      <c r="F4802" s="66" t="inlineStr">
        <is>
          <t>Photographe</t>
        </is>
      </c>
      <c r="G4802" s="67">
        <f>E4802&amp;" - "&amp;F4802</f>
        <v/>
      </c>
      <c r="H4802" s="38" t="inlineStr">
        <is>
          <t>Expiré / remplacé</t>
        </is>
      </c>
      <c r="I4802" s="63" t="inlineStr">
        <is>
          <t>Fiche inactive (échéance 17/02/2026) — aucun successeur publié</t>
        </is>
      </c>
      <c r="J4802" s="63" t="inlineStr">
        <is>
          <t>RNCP37333</t>
        </is>
      </c>
      <c r="K4802" s="63" t="inlineStr">
        <is>
          <t>Photographe</t>
        </is>
      </c>
      <c r="L4802" s="63" t="inlineStr">
        <is>
          <t>17/02/2026</t>
        </is>
      </c>
      <c r="M4802" s="63" t="inlineStr">
        <is>
          <t>46006 (Acquisition traitement image) ; 46283 (Prise de vue photographie) ; 46392 (Photothèque)</t>
        </is>
      </c>
      <c r="N4802" s="68" t="inlineStr">
        <is>
          <t>NON</t>
        </is>
      </c>
      <c r="O4802" s="63" t="inlineStr"/>
    </row>
    <row r="4803" customFormat="1" s="3">
      <c r="A4803" s="45" t="n"/>
      <c r="B4803" s="46" t="inlineStr">
        <is>
          <t>46093</t>
        </is>
      </c>
      <c r="C4803" s="46">
        <f>LEFT(Tableau1[[#This Row],[Formacode]],3)</f>
        <v/>
      </c>
      <c r="D4803" s="47" t="n">
        <v>38411</v>
      </c>
      <c r="E4803" s="48">
        <f>"RNCP"&amp;D4803</f>
        <v/>
      </c>
      <c r="F4803" s="48" t="inlineStr">
        <is>
          <t>CAP - Sérigraphie industrielle</t>
        </is>
      </c>
      <c r="G4803" s="49">
        <f>E4803&amp;" - "&amp;F4803</f>
        <v/>
      </c>
      <c r="H4803" s="36" t="inlineStr">
        <is>
          <t>RAS</t>
        </is>
      </c>
      <c r="I4803" s="45" t="inlineStr"/>
      <c r="J4803" s="45" t="inlineStr">
        <is>
          <t>RNCP38411</t>
        </is>
      </c>
      <c r="K4803" s="45" t="inlineStr">
        <is>
          <t>Sérigraphie industrielle</t>
        </is>
      </c>
      <c r="L4803" s="45" t="inlineStr">
        <is>
          <t>31/12/2028</t>
        </is>
      </c>
      <c r="M4803" s="45" t="inlineStr">
        <is>
          <t>46029 (Sérigraphie)</t>
        </is>
      </c>
      <c r="N4803" s="50" t="inlineStr">
        <is>
          <t>NON</t>
        </is>
      </c>
      <c r="O4803" s="45" t="inlineStr"/>
    </row>
    <row r="4804" ht="28.8" customFormat="1" customHeight="1" s="3">
      <c r="A4804" s="45" t="n"/>
      <c r="B4804" s="46" t="inlineStr">
        <is>
          <t>46093</t>
        </is>
      </c>
      <c r="C4804" s="46">
        <f>LEFT(Tableau1[[#This Row],[Formacode]],3)</f>
        <v/>
      </c>
      <c r="D4804" s="47" t="n">
        <v>38421</v>
      </c>
      <c r="E4804" s="48">
        <f>"RNCP"&amp;D4804</f>
        <v/>
      </c>
      <c r="F4804" s="48" t="inlineStr">
        <is>
          <t>BTS - Etudes de réalisation d'un projet de communication - Option A : Études de réalisation de produits plurimédia et B : Études de réalisation de produits imprimés</t>
        </is>
      </c>
      <c r="G4804" s="49">
        <f>E4804&amp;" - "&amp;F4804</f>
        <v/>
      </c>
      <c r="H4804" s="36" t="inlineStr">
        <is>
          <t>RAS</t>
        </is>
      </c>
      <c r="I4804" s="45" t="inlineStr"/>
      <c r="J4804" s="45" t="inlineStr">
        <is>
          <t>RNCP38421</t>
        </is>
      </c>
      <c r="K4804" s="45" t="inlineStr">
        <is>
          <t>Etudes de réalisation d'un projet de communication - Option A : Études de réalisation de produits plurimédia et B : Études de réalisation de produits imprimés</t>
        </is>
      </c>
      <c r="L4804" s="45" t="inlineStr">
        <is>
          <t>31/12/2028</t>
        </is>
      </c>
      <c r="M4804" s="45" t="inlineStr">
        <is>
          <t>46054 (Industrie graphique imprimerie) ; 46302 (Gestion entreprise communication information)</t>
        </is>
      </c>
      <c r="N4804" s="50" t="inlineStr">
        <is>
          <t>NON</t>
        </is>
      </c>
      <c r="O4804" s="45" t="inlineStr"/>
    </row>
    <row r="4805" customFormat="1" s="3">
      <c r="A4805" s="45" t="n"/>
      <c r="B4805" s="46" t="inlineStr">
        <is>
          <t>46093</t>
        </is>
      </c>
      <c r="C4805" s="46">
        <f>LEFT(Tableau1[[#This Row],[Formacode]],3)</f>
        <v/>
      </c>
      <c r="D4805" s="47" t="n">
        <v>39532</v>
      </c>
      <c r="E4805" s="48">
        <f>"RNCP"&amp;D4805</f>
        <v/>
      </c>
      <c r="F4805" s="48" t="inlineStr">
        <is>
          <t>TP - Graphiste</t>
        </is>
      </c>
      <c r="G4805" s="49">
        <f>E4805&amp;" - "&amp;F4805</f>
        <v/>
      </c>
      <c r="H4805" s="36" t="inlineStr">
        <is>
          <t>RAS</t>
        </is>
      </c>
      <c r="I4805" s="45" t="inlineStr"/>
      <c r="J4805" s="45" t="inlineStr">
        <is>
          <t>RNCP39532</t>
        </is>
      </c>
      <c r="K4805" s="45" t="inlineStr">
        <is>
          <t>Graphiste</t>
        </is>
      </c>
      <c r="L4805" s="45" t="inlineStr">
        <is>
          <t>30/09/2029</t>
        </is>
      </c>
      <c r="M4805" s="45" t="inlineStr">
        <is>
          <t>46003 (Infographie) ; 46090 (Graphisme publicité) ; 46276 (Film animation) ; 46049 (Pré-presse)</t>
        </is>
      </c>
      <c r="N4805" s="50" t="inlineStr">
        <is>
          <t>NON</t>
        </is>
      </c>
      <c r="O4805" s="45" t="inlineStr"/>
    </row>
    <row r="4806" customFormat="1" s="3">
      <c r="A4806" s="45" t="n"/>
      <c r="B4806" s="46" t="inlineStr">
        <is>
          <t>46093</t>
        </is>
      </c>
      <c r="C4806" s="46">
        <f>LEFT(Tableau1[[#This Row],[Formacode]],3)</f>
        <v/>
      </c>
      <c r="D4806" s="47" t="n">
        <v>39980</v>
      </c>
      <c r="E4806" s="48">
        <f>"RNCP"&amp;D4806</f>
        <v/>
      </c>
      <c r="F4806" s="48" t="inlineStr">
        <is>
          <t>Photographe</t>
        </is>
      </c>
      <c r="G4806" s="49">
        <f>E4806&amp;" - "&amp;F4806</f>
        <v/>
      </c>
      <c r="H4806" s="36" t="inlineStr">
        <is>
          <t>RAS</t>
        </is>
      </c>
      <c r="I4806" s="45" t="inlineStr"/>
      <c r="J4806" s="45" t="inlineStr">
        <is>
          <t>RNCP39980</t>
        </is>
      </c>
      <c r="K4806" s="45" t="inlineStr">
        <is>
          <t>Photographe</t>
        </is>
      </c>
      <c r="L4806" s="45" t="inlineStr">
        <is>
          <t>18/12/2029</t>
        </is>
      </c>
      <c r="M4806" s="45" t="inlineStr">
        <is>
          <t>46278 (Photographie) ; 46006 (Acquisition traitement image) ; 46392 (Photothèque)</t>
        </is>
      </c>
      <c r="N4806" s="50" t="inlineStr">
        <is>
          <t>NON</t>
        </is>
      </c>
      <c r="O4806" s="45" t="inlineStr"/>
    </row>
    <row r="4807" customFormat="1" s="3">
      <c r="A4807" s="45" t="n"/>
      <c r="B4807" s="46" t="inlineStr">
        <is>
          <t>46093</t>
        </is>
      </c>
      <c r="C4807" s="46">
        <f>LEFT(Tableau1[[#This Row],[Formacode]],3)</f>
        <v/>
      </c>
      <c r="D4807" s="47" t="n">
        <v>41089</v>
      </c>
      <c r="E4807" s="48">
        <f>"RNCP"&amp;D4807</f>
        <v/>
      </c>
      <c r="F4807" s="48" t="inlineStr">
        <is>
          <t>Graphiste Eco-concepteur</t>
        </is>
      </c>
      <c r="G4807" s="49">
        <f>E4807&amp;" - "&amp;F4807</f>
        <v/>
      </c>
      <c r="H4807" s="36" t="inlineStr">
        <is>
          <t>RAS</t>
        </is>
      </c>
      <c r="I4807" s="45" t="inlineStr"/>
      <c r="J4807" s="45" t="inlineStr">
        <is>
          <t>RNCP41089</t>
        </is>
      </c>
      <c r="K4807" s="45" t="inlineStr">
        <is>
          <t>Graphiste Eco-concepteur</t>
        </is>
      </c>
      <c r="L4807" s="45" t="inlineStr">
        <is>
          <t>18/07/2028</t>
        </is>
      </c>
      <c r="M4807" s="45" t="inlineStr">
        <is>
          <t>46003 (Infographie) ; 46052 (PAO) ; 46090 (Graphisme publicité) ; 31090 (Développement web)</t>
        </is>
      </c>
      <c r="N4807" s="50" t="inlineStr">
        <is>
          <t>NON</t>
        </is>
      </c>
      <c r="O4807" s="45" t="inlineStr"/>
    </row>
    <row r="4808" customFormat="1" s="3">
      <c r="A4808" s="45" t="n"/>
      <c r="B4808" s="46" t="inlineStr">
        <is>
          <t>46217</t>
        </is>
      </c>
      <c r="C4808" s="46">
        <f>LEFT(Tableau1[[#This Row],[Formacode]],3)</f>
        <v/>
      </c>
      <c r="D4808" s="47" t="n">
        <v>38589</v>
      </c>
      <c r="E4808" s="48">
        <f>"RNCP"&amp;D4808</f>
        <v/>
      </c>
      <c r="F4808" s="48" t="inlineStr">
        <is>
          <t>Directeur artistique</t>
        </is>
      </c>
      <c r="G4808" s="49">
        <f>E4808&amp;" - "&amp;F4808</f>
        <v/>
      </c>
      <c r="H4808" s="36" t="inlineStr">
        <is>
          <t>RAS</t>
        </is>
      </c>
      <c r="I4808" s="45" t="inlineStr"/>
      <c r="J4808" s="45" t="inlineStr">
        <is>
          <t>RNCP38589</t>
        </is>
      </c>
      <c r="K4808" s="45" t="inlineStr">
        <is>
          <t>Directeur artistique</t>
        </is>
      </c>
      <c r="L4808" s="45" t="inlineStr">
        <is>
          <t>09/02/2027</t>
        </is>
      </c>
      <c r="M4808" s="45" t="inlineStr">
        <is>
          <t>46090 (Graphisme publicité) ; 46217 (Conception réalisation transmédia) ; 46003 (Infographie)</t>
        </is>
      </c>
      <c r="N4808" s="50" t="inlineStr">
        <is>
          <t>NON</t>
        </is>
      </c>
      <c r="O4808" s="45" t="inlineStr"/>
    </row>
    <row r="4809" customFormat="1" s="3">
      <c r="A4809" s="45" t="n"/>
      <c r="B4809" s="46" t="inlineStr">
        <is>
          <t>46217</t>
        </is>
      </c>
      <c r="C4809" s="46">
        <f>LEFT(Tableau1[[#This Row],[Formacode]],3)</f>
        <v/>
      </c>
      <c r="D4809" s="47" t="n">
        <v>40642</v>
      </c>
      <c r="E4809" s="48">
        <f>"RNCP"&amp;D4809</f>
        <v/>
      </c>
      <c r="F4809" s="48" t="inlineStr">
        <is>
          <t>Assistant de production cinéma, audiovisuel et contenus numériques</t>
        </is>
      </c>
      <c r="G4809" s="49">
        <f>E4809&amp;" - "&amp;F4809</f>
        <v/>
      </c>
      <c r="H4809" s="36" t="inlineStr">
        <is>
          <t>RAS</t>
        </is>
      </c>
      <c r="I4809" s="45" t="inlineStr"/>
      <c r="J4809" s="45" t="inlineStr">
        <is>
          <t>RNCP40642</t>
        </is>
      </c>
      <c r="K4809" s="45" t="inlineStr">
        <is>
          <t>Assistant de production cinéma, audiovisuel et contenus numériques</t>
        </is>
      </c>
      <c r="L4809" s="45" t="inlineStr">
        <is>
          <t>23/05/2030</t>
        </is>
      </c>
      <c r="M4809" s="45" t="inlineStr">
        <is>
          <t>46274 (Cinéma) ; 46244 (Gestion production audiovisuelle) ; 46217 (Conception réalisation transmédia) ; 46339 (Conduite projet numérique)</t>
        </is>
      </c>
      <c r="N4809" s="50" t="inlineStr">
        <is>
          <t>NON</t>
        </is>
      </c>
      <c r="O4809" s="45" t="inlineStr"/>
    </row>
    <row r="4810" customFormat="1" s="3">
      <c r="A4810" s="45" t="n"/>
      <c r="B4810" s="46" t="inlineStr">
        <is>
          <t>46217</t>
        </is>
      </c>
      <c r="C4810" s="46">
        <f>LEFT(Tableau1[[#This Row],[Formacode]],3)</f>
        <v/>
      </c>
      <c r="D4810" s="47" t="n">
        <v>41481</v>
      </c>
      <c r="E4810" s="48">
        <f>"RNCP"&amp;D4810</f>
        <v/>
      </c>
      <c r="F4810" s="48" t="inlineStr">
        <is>
          <t>Assistant de réalisation cinéma, audiovisuel et contenus numériques</t>
        </is>
      </c>
      <c r="G4810" s="49">
        <f>E4810&amp;" - "&amp;F4810</f>
        <v/>
      </c>
      <c r="H4810" s="36" t="inlineStr">
        <is>
          <t>RAS</t>
        </is>
      </c>
      <c r="I4810" s="45" t="inlineStr"/>
      <c r="J4810" s="45" t="inlineStr">
        <is>
          <t>RNCP41481</t>
        </is>
      </c>
      <c r="K4810" s="45" t="inlineStr">
        <is>
          <t>Assistant de réalisation cinéma, audiovisuel et contenus numériques</t>
        </is>
      </c>
      <c r="L4810" s="45" t="inlineStr">
        <is>
          <t>27/10/2030</t>
        </is>
      </c>
      <c r="M4810" s="45" t="inlineStr">
        <is>
          <t>46274 (Cinéma) ; 46282 (Régie cinéma télévision) ; 46217 (Conception réalisation transmédia)</t>
        </is>
      </c>
      <c r="N4810" s="50" t="inlineStr">
        <is>
          <t>NON</t>
        </is>
      </c>
      <c r="O4810" s="45" t="inlineStr"/>
    </row>
    <row r="4811" customFormat="1" s="3">
      <c r="A4811" s="45" t="n"/>
      <c r="B4811" s="46" t="inlineStr">
        <is>
          <t>46233</t>
        </is>
      </c>
      <c r="C4811" s="46">
        <f>LEFT(Tableau1[[#This Row],[Formacode]],3)</f>
        <v/>
      </c>
      <c r="D4811" s="47" t="n">
        <v>36594</v>
      </c>
      <c r="E4811" s="48">
        <f>"RNCP"&amp;D4811</f>
        <v/>
      </c>
      <c r="F4811" s="48" t="inlineStr">
        <is>
          <t>Technicien d’exploitation des équipements audiovisuels</t>
        </is>
      </c>
      <c r="G4811" s="49">
        <f>E4811&amp;" - "&amp;F4811</f>
        <v/>
      </c>
      <c r="H4811" s="36" t="inlineStr">
        <is>
          <t>RAS</t>
        </is>
      </c>
      <c r="I4811" s="45" t="inlineStr"/>
      <c r="J4811" s="45" t="inlineStr">
        <is>
          <t>RNCP36594</t>
        </is>
      </c>
      <c r="K4811" s="45" t="inlineStr">
        <is>
          <t>Technicien d’exploitation des équipements audiovisuels</t>
        </is>
      </c>
      <c r="L4811" s="45" t="inlineStr">
        <is>
          <t>01/07/2027</t>
        </is>
      </c>
      <c r="M4811" s="45" t="inlineStr">
        <is>
          <t>24374 (Maintenance audiovisuelle) ; 46233 (Équipement audiovisuel)</t>
        </is>
      </c>
      <c r="N4811" s="50" t="inlineStr">
        <is>
          <t>NON</t>
        </is>
      </c>
      <c r="O4811" s="45" t="inlineStr"/>
    </row>
    <row r="4812" ht="28.8" customFormat="1" customHeight="1" s="3">
      <c r="A4812" s="45" t="n"/>
      <c r="B4812" s="46" t="inlineStr">
        <is>
          <t>46233</t>
        </is>
      </c>
      <c r="C4812" s="46">
        <f>LEFT(Tableau1[[#This Row],[Formacode]],3)</f>
        <v/>
      </c>
      <c r="D4812" s="47" t="n">
        <v>37022</v>
      </c>
      <c r="E4812" s="48">
        <f>"RNCP"&amp;D4812</f>
        <v/>
      </c>
      <c r="F4812" s="48" t="inlineStr">
        <is>
          <t>BTS - Métiers de l’audiovisuel option techniques d’ingénierie et exploitation des équipements</t>
        </is>
      </c>
      <c r="G4812" s="49">
        <f>E4812&amp;" - "&amp;F4812</f>
        <v/>
      </c>
      <c r="H4812" s="36" t="inlineStr">
        <is>
          <t>RAS</t>
        </is>
      </c>
      <c r="I4812" s="45" t="inlineStr"/>
      <c r="J4812" s="45" t="inlineStr">
        <is>
          <t>RNCP37022</t>
        </is>
      </c>
      <c r="K4812" s="45" t="inlineStr">
        <is>
          <t>Métiers de l’audiovisuel option techniques d’ingénierie et exploitation des équipements</t>
        </is>
      </c>
      <c r="L4812" s="45" t="inlineStr">
        <is>
          <t>31/08/2027</t>
        </is>
      </c>
      <c r="M4812" s="45" t="inlineStr">
        <is>
          <t>46233 (Équipement audiovisuel)</t>
        </is>
      </c>
      <c r="N4812" s="50" t="inlineStr">
        <is>
          <t>NON</t>
        </is>
      </c>
      <c r="O4812" s="45" t="inlineStr"/>
    </row>
    <row r="4813" customFormat="1" s="3">
      <c r="A4813" s="45" t="n"/>
      <c r="B4813" s="46" t="inlineStr">
        <is>
          <t>46236</t>
        </is>
      </c>
      <c r="C4813" s="46">
        <f>LEFT(Tableau1[[#This Row],[Formacode]],3)</f>
        <v/>
      </c>
      <c r="D4813" s="47" t="n">
        <v>36156</v>
      </c>
      <c r="E4813" s="48">
        <f>"RNCP"&amp;D4813</f>
        <v/>
      </c>
      <c r="F4813" s="48" t="inlineStr">
        <is>
          <t>Technicien d'exploitation son</t>
        </is>
      </c>
      <c r="G4813" s="49">
        <f>E4813&amp;" - "&amp;F4813</f>
        <v/>
      </c>
      <c r="H4813" s="36" t="inlineStr">
        <is>
          <t>RAS</t>
        </is>
      </c>
      <c r="I4813" s="45" t="inlineStr"/>
      <c r="J4813" s="45" t="inlineStr">
        <is>
          <t>RNCP36156</t>
        </is>
      </c>
      <c r="K4813" s="45" t="inlineStr">
        <is>
          <t>Technicien d'exploitation son</t>
        </is>
      </c>
      <c r="L4813" s="45" t="inlineStr">
        <is>
          <t>26/01/2027</t>
        </is>
      </c>
      <c r="M4813" s="45" t="inlineStr">
        <is>
          <t>46236 (Son)</t>
        </is>
      </c>
      <c r="N4813" s="50" t="inlineStr">
        <is>
          <t>NON</t>
        </is>
      </c>
      <c r="O4813" s="45" t="inlineStr"/>
    </row>
    <row r="4814" customFormat="1" s="3">
      <c r="A4814" s="45" t="n"/>
      <c r="B4814" s="46" t="inlineStr">
        <is>
          <t>46236</t>
        </is>
      </c>
      <c r="C4814" s="46">
        <f>LEFT(Tableau1[[#This Row],[Formacode]],3)</f>
        <v/>
      </c>
      <c r="D4814" s="47" t="n">
        <v>37196</v>
      </c>
      <c r="E4814" s="48">
        <f>"RNCP"&amp;D4814</f>
        <v/>
      </c>
      <c r="F4814" s="48" t="inlineStr">
        <is>
          <t>BTS - Métiers de l’audiovisuel option métiers du son</t>
        </is>
      </c>
      <c r="G4814" s="49">
        <f>E4814&amp;" - "&amp;F4814</f>
        <v/>
      </c>
      <c r="H4814" s="36" t="inlineStr">
        <is>
          <t>RAS</t>
        </is>
      </c>
      <c r="I4814" s="45" t="inlineStr"/>
      <c r="J4814" s="45" t="inlineStr">
        <is>
          <t>RNCP37196</t>
        </is>
      </c>
      <c r="K4814" s="45" t="inlineStr">
        <is>
          <t>Métiers de l’audiovisuel option métiers du son</t>
        </is>
      </c>
      <c r="L4814" s="45" t="inlineStr">
        <is>
          <t>31/08/2027</t>
        </is>
      </c>
      <c r="M4814" s="45" t="inlineStr">
        <is>
          <t>46236 (Son)</t>
        </is>
      </c>
      <c r="N4814" s="50" t="inlineStr">
        <is>
          <t>NON</t>
        </is>
      </c>
      <c r="O4814" s="45" t="inlineStr"/>
    </row>
    <row r="4815" customFormat="1" s="3">
      <c r="A4815" s="51" t="n"/>
      <c r="B4815" s="52" t="inlineStr">
        <is>
          <t>46236</t>
        </is>
      </c>
      <c r="C4815" s="52">
        <f>LEFT(Tableau1[[#This Row],[Formacode]],3)</f>
        <v/>
      </c>
      <c r="D4815" s="53" t="n">
        <v>37853</v>
      </c>
      <c r="E4815" s="54">
        <f>"RNCP"&amp;D4815</f>
        <v/>
      </c>
      <c r="F4815" s="54" t="inlineStr">
        <is>
          <t>Opérateur son</t>
        </is>
      </c>
      <c r="G4815" s="55">
        <f>E4815&amp;" - "&amp;F4815</f>
        <v/>
      </c>
      <c r="H4815" s="37" t="inlineStr">
        <is>
          <t>À vérifier</t>
        </is>
      </c>
      <c r="I4815" s="51" t="inlineStr">
        <is>
          <t>Échéance le 19/07/2026 (dans 1 j)</t>
        </is>
      </c>
      <c r="J4815" s="51" t="inlineStr">
        <is>
          <t>RNCP37853</t>
        </is>
      </c>
      <c r="K4815" s="51" t="inlineStr">
        <is>
          <t>Opérateur son</t>
        </is>
      </c>
      <c r="L4815" s="51" t="inlineStr">
        <is>
          <t>19/07/2026</t>
        </is>
      </c>
      <c r="M4815" s="51" t="inlineStr">
        <is>
          <t>46236 (Son)</t>
        </is>
      </c>
      <c r="N4815" s="62" t="inlineStr">
        <is>
          <t>NON</t>
        </is>
      </c>
      <c r="O4815" s="51" t="inlineStr"/>
    </row>
    <row r="4816" customFormat="1" s="3">
      <c r="A4816" s="45" t="n"/>
      <c r="B4816" s="46" t="inlineStr">
        <is>
          <t>46236</t>
        </is>
      </c>
      <c r="C4816" s="46">
        <f>LEFT(Tableau1[[#This Row],[Formacode]],3)</f>
        <v/>
      </c>
      <c r="D4816" s="47" t="n">
        <v>40910</v>
      </c>
      <c r="E4816" s="48">
        <f>"RNCP"&amp;D4816</f>
        <v/>
      </c>
      <c r="F4816" s="48" t="inlineStr">
        <is>
          <t>Ingénieur du son</t>
        </is>
      </c>
      <c r="G4816" s="49">
        <f>E4816&amp;" - "&amp;F4816</f>
        <v/>
      </c>
      <c r="H4816" s="36" t="inlineStr">
        <is>
          <t>RAS</t>
        </is>
      </c>
      <c r="I4816" s="45" t="inlineStr"/>
      <c r="J4816" s="45" t="inlineStr">
        <is>
          <t>RNCP40910</t>
        </is>
      </c>
      <c r="K4816" s="45" t="inlineStr">
        <is>
          <t>Ingénieur du son</t>
        </is>
      </c>
      <c r="L4816" s="45" t="inlineStr">
        <is>
          <t>25/06/2030</t>
        </is>
      </c>
      <c r="M4816" s="45" t="inlineStr">
        <is>
          <t>45061 (Régie son) ; 46225 (Mixage) ; 72730 (Logiciel montage son) ; 46227 (Audionumérique)</t>
        </is>
      </c>
      <c r="N4816" s="50" t="inlineStr">
        <is>
          <t>NON</t>
        </is>
      </c>
      <c r="O4816" s="45" t="inlineStr"/>
    </row>
    <row r="4817" customFormat="1" s="3">
      <c r="A4817" s="45" t="n"/>
      <c r="B4817" s="46" t="inlineStr">
        <is>
          <t>46236</t>
        </is>
      </c>
      <c r="C4817" s="46">
        <f>LEFT(Tableau1[[#This Row],[Formacode]],3)</f>
        <v/>
      </c>
      <c r="D4817" s="47" t="n">
        <v>41429</v>
      </c>
      <c r="E4817" s="48">
        <f>"RNCP"&amp;D4817</f>
        <v/>
      </c>
      <c r="F4817" s="48" t="inlineStr">
        <is>
          <t>Chef opérateur son</t>
        </is>
      </c>
      <c r="G4817" s="49">
        <f>E4817&amp;" - "&amp;F4817</f>
        <v/>
      </c>
      <c r="H4817" s="36" t="inlineStr">
        <is>
          <t>RAS</t>
        </is>
      </c>
      <c r="I4817" s="45" t="inlineStr"/>
      <c r="J4817" s="45" t="inlineStr">
        <is>
          <t>RNCP41429</t>
        </is>
      </c>
      <c r="K4817" s="45" t="inlineStr">
        <is>
          <t>Chef opérateur son</t>
        </is>
      </c>
      <c r="L4817" s="45" t="inlineStr">
        <is>
          <t>27/10/2030</t>
        </is>
      </c>
      <c r="M4817" s="45" t="inlineStr">
        <is>
          <t>46236 (Son)</t>
        </is>
      </c>
      <c r="N4817" s="50" t="inlineStr">
        <is>
          <t>NON</t>
        </is>
      </c>
      <c r="O4817" s="45" t="inlineStr"/>
    </row>
    <row r="4818" customFormat="1" s="3">
      <c r="A4818" s="45" t="n"/>
      <c r="B4818" s="46" t="inlineStr">
        <is>
          <t>46244</t>
        </is>
      </c>
      <c r="C4818" s="46">
        <f>LEFT(Tableau1[[#This Row],[Formacode]],3)</f>
        <v/>
      </c>
      <c r="D4818" s="47" t="n">
        <v>37019</v>
      </c>
      <c r="E4818" s="48">
        <f>"RNCP"&amp;D4818</f>
        <v/>
      </c>
      <c r="F4818" s="48" t="inlineStr">
        <is>
          <t>BTS - Métiers de l’audiovisuel option gestion de la production</t>
        </is>
      </c>
      <c r="G4818" s="49">
        <f>E4818&amp;" - "&amp;F4818</f>
        <v/>
      </c>
      <c r="H4818" s="36" t="inlineStr">
        <is>
          <t>RAS</t>
        </is>
      </c>
      <c r="I4818" s="45" t="inlineStr"/>
      <c r="J4818" s="45" t="inlineStr">
        <is>
          <t>RNCP37019</t>
        </is>
      </c>
      <c r="K4818" s="45" t="inlineStr">
        <is>
          <t>Métiers de l’audiovisuel option gestion de la production</t>
        </is>
      </c>
      <c r="L4818" s="45" t="inlineStr">
        <is>
          <t>31/08/2027</t>
        </is>
      </c>
      <c r="M4818" s="45" t="inlineStr">
        <is>
          <t>46244 (Gestion production audiovisuelle)</t>
        </is>
      </c>
      <c r="N4818" s="50" t="inlineStr">
        <is>
          <t>NON</t>
        </is>
      </c>
      <c r="O4818" s="45" t="inlineStr"/>
    </row>
    <row r="4819" customFormat="1" s="3">
      <c r="A4819" s="45" t="n"/>
      <c r="B4819" s="46" t="inlineStr">
        <is>
          <t>46244</t>
        </is>
      </c>
      <c r="C4819" s="46">
        <f>LEFT(Tableau1[[#This Row],[Formacode]],3)</f>
        <v/>
      </c>
      <c r="D4819" s="47" t="n">
        <v>38832</v>
      </c>
      <c r="E4819" s="48">
        <f>"RNCP"&amp;D4819</f>
        <v/>
      </c>
      <c r="F4819" s="48" t="inlineStr">
        <is>
          <t>Chargé de production dans les industries créatives et culturelles</t>
        </is>
      </c>
      <c r="G4819" s="49">
        <f>E4819&amp;" - "&amp;F4819</f>
        <v/>
      </c>
      <c r="H4819" s="36" t="inlineStr">
        <is>
          <t>RAS</t>
        </is>
      </c>
      <c r="I4819" s="45" t="inlineStr"/>
      <c r="J4819" s="45" t="inlineStr">
        <is>
          <t>RNCP38832</t>
        </is>
      </c>
      <c r="K4819" s="45" t="inlineStr">
        <is>
          <t>Chargé de production dans les industries créatives et culturelles</t>
        </is>
      </c>
      <c r="L4819" s="45" t="inlineStr">
        <is>
          <t>27/03/2027</t>
        </is>
      </c>
      <c r="M4819" s="45" t="inlineStr">
        <is>
          <t>46244 (Gestion production audiovisuelle) ; 45052 (Production spectacle) ; 46274 (Cinéma) ; 45060 (Régie spectacle) ; 46340 (Communication événementielle)</t>
        </is>
      </c>
      <c r="N4819" s="50" t="inlineStr">
        <is>
          <t>NON</t>
        </is>
      </c>
      <c r="O4819" s="45" t="inlineStr"/>
    </row>
    <row r="4820" customFormat="1" s="3">
      <c r="A4820" s="45" t="n"/>
      <c r="B4820" s="46" t="inlineStr">
        <is>
          <t>46244</t>
        </is>
      </c>
      <c r="C4820" s="46">
        <f>LEFT(Tableau1[[#This Row],[Formacode]],3)</f>
        <v/>
      </c>
      <c r="D4820" s="47" t="n">
        <v>40642</v>
      </c>
      <c r="E4820" s="48">
        <f>"RNCP"&amp;D4820</f>
        <v/>
      </c>
      <c r="F4820" s="48" t="inlineStr">
        <is>
          <t>Assistant de production cinéma, audiovisuel et contenus numériques</t>
        </is>
      </c>
      <c r="G4820" s="49">
        <f>E4820&amp;" - "&amp;F4820</f>
        <v/>
      </c>
      <c r="H4820" s="36" t="inlineStr">
        <is>
          <t>RAS</t>
        </is>
      </c>
      <c r="I4820" s="45" t="inlineStr"/>
      <c r="J4820" s="45" t="inlineStr">
        <is>
          <t>RNCP40642</t>
        </is>
      </c>
      <c r="K4820" s="45" t="inlineStr">
        <is>
          <t>Assistant de production cinéma, audiovisuel et contenus numériques</t>
        </is>
      </c>
      <c r="L4820" s="45" t="inlineStr">
        <is>
          <t>23/05/2030</t>
        </is>
      </c>
      <c r="M4820" s="45" t="inlineStr">
        <is>
          <t>46274 (Cinéma) ; 46244 (Gestion production audiovisuelle) ; 46217 (Conception réalisation transmédia) ; 46339 (Conduite projet numérique)</t>
        </is>
      </c>
      <c r="N4820" s="50" t="inlineStr">
        <is>
          <t>NON</t>
        </is>
      </c>
      <c r="O4820" s="45" t="inlineStr"/>
    </row>
    <row r="4821" customFormat="1" s="3">
      <c r="A4821" s="45" t="n"/>
      <c r="B4821" s="46" t="inlineStr">
        <is>
          <t>46244</t>
        </is>
      </c>
      <c r="C4821" s="46">
        <f>LEFT(Tableau1[[#This Row],[Formacode]],3)</f>
        <v/>
      </c>
      <c r="D4821" s="47" t="n">
        <v>40668</v>
      </c>
      <c r="E4821" s="48">
        <f>"RNCP"&amp;D4821</f>
        <v/>
      </c>
      <c r="F4821" s="48" t="inlineStr">
        <is>
          <t>Chargé de production cinématographique et audiovisuelle</t>
        </is>
      </c>
      <c r="G4821" s="49">
        <f>E4821&amp;" - "&amp;F4821</f>
        <v/>
      </c>
      <c r="H4821" s="36" t="inlineStr">
        <is>
          <t>RAS</t>
        </is>
      </c>
      <c r="I4821" s="45" t="inlineStr"/>
      <c r="J4821" s="45" t="inlineStr">
        <is>
          <t>RNCP40668</t>
        </is>
      </c>
      <c r="K4821" s="45" t="inlineStr">
        <is>
          <t>Chargé de production cinématographique et audiovisuelle</t>
        </is>
      </c>
      <c r="L4821" s="45" t="inlineStr">
        <is>
          <t>23/05/2030</t>
        </is>
      </c>
      <c r="M4821" s="45" t="inlineStr">
        <is>
          <t>46244 (Gestion production audiovisuelle) ; 46264 (Conception réalisation audiovisuelle)</t>
        </is>
      </c>
      <c r="N4821" s="50" t="inlineStr">
        <is>
          <t>NON</t>
        </is>
      </c>
      <c r="O4821" s="45" t="inlineStr"/>
    </row>
    <row r="4822" customFormat="1" s="3">
      <c r="A4822" s="45" t="n"/>
      <c r="B4822" s="46" t="inlineStr">
        <is>
          <t>46244</t>
        </is>
      </c>
      <c r="C4822" s="46">
        <f>LEFT(Tableau1[[#This Row],[Formacode]],3)</f>
        <v/>
      </c>
      <c r="D4822" s="47" t="n">
        <v>40924</v>
      </c>
      <c r="E4822" s="48">
        <f>"RNCP"&amp;D4822</f>
        <v/>
      </c>
      <c r="F4822" s="48" t="inlineStr">
        <is>
          <t>Concepteur en création visuelle</t>
        </is>
      </c>
      <c r="G4822" s="49">
        <f>E4822&amp;" - "&amp;F4822</f>
        <v/>
      </c>
      <c r="H4822" s="36" t="inlineStr">
        <is>
          <t>RAS</t>
        </is>
      </c>
      <c r="I4822" s="45" t="inlineStr"/>
      <c r="J4822" s="45" t="inlineStr">
        <is>
          <t>RNCP40924</t>
        </is>
      </c>
      <c r="K4822" s="45" t="inlineStr">
        <is>
          <t>Concepteur en création visuelle</t>
        </is>
      </c>
      <c r="L4822" s="45" t="inlineStr">
        <is>
          <t>25/06/2028</t>
        </is>
      </c>
      <c r="M4822" s="45" t="inlineStr">
        <is>
          <t>46081 (Création graphique) ; 46276 (Film animation) ; 46244 (Gestion production audiovisuelle) ; 46354 (Information - Communication numérique)</t>
        </is>
      </c>
      <c r="N4822" s="50" t="inlineStr">
        <is>
          <t>NON</t>
        </is>
      </c>
      <c r="O4822" s="45" t="inlineStr"/>
    </row>
    <row r="4823" customFormat="1" s="3">
      <c r="A4823" s="45" t="n"/>
      <c r="B4823" s="46" t="inlineStr">
        <is>
          <t>46244</t>
        </is>
      </c>
      <c r="C4823" s="46">
        <f>LEFT(Tableau1[[#This Row],[Formacode]],3)</f>
        <v/>
      </c>
      <c r="D4823" s="47" t="n">
        <v>41801</v>
      </c>
      <c r="E4823" s="48">
        <f>"RNCP"&amp;D4823</f>
        <v/>
      </c>
      <c r="F4823" s="48" t="inlineStr">
        <is>
          <t>Chargé de production audiovisuelle</t>
        </is>
      </c>
      <c r="G4823" s="49">
        <f>E4823&amp;" - "&amp;F4823</f>
        <v/>
      </c>
      <c r="H4823" s="36" t="inlineStr">
        <is>
          <t>RAS</t>
        </is>
      </c>
      <c r="I4823" s="45" t="inlineStr"/>
      <c r="J4823" s="45" t="inlineStr">
        <is>
          <t>RNCP41801</t>
        </is>
      </c>
      <c r="K4823" s="45" t="inlineStr">
        <is>
          <t>Chargé de production audiovisuelle</t>
        </is>
      </c>
      <c r="L4823" s="45" t="inlineStr">
        <is>
          <t>18/12/2030</t>
        </is>
      </c>
      <c r="M4823" s="45" t="inlineStr">
        <is>
          <t>46244 (Gestion production audiovisuelle)</t>
        </is>
      </c>
      <c r="N4823" s="50" t="inlineStr">
        <is>
          <t>NON</t>
        </is>
      </c>
      <c r="O4823" s="45" t="inlineStr"/>
    </row>
    <row r="4824" customFormat="1" s="3">
      <c r="A4824" s="45" t="n"/>
      <c r="B4824" s="46" t="inlineStr">
        <is>
          <t>46245</t>
        </is>
      </c>
      <c r="C4824" s="46">
        <f>LEFT(Tableau1[[#This Row],[Formacode]],3)</f>
        <v/>
      </c>
      <c r="D4824" s="47" t="n">
        <v>39253</v>
      </c>
      <c r="E4824" s="48">
        <f>"RNCP"&amp;D4824</f>
        <v/>
      </c>
      <c r="F4824" s="48" t="inlineStr">
        <is>
          <t>Auteur réalisateur</t>
        </is>
      </c>
      <c r="G4824" s="49">
        <f>E4824&amp;" - "&amp;F4824</f>
        <v/>
      </c>
      <c r="H4824" s="36" t="inlineStr">
        <is>
          <t>RAS</t>
        </is>
      </c>
      <c r="I4824" s="45" t="inlineStr"/>
      <c r="J4824" s="45" t="inlineStr">
        <is>
          <t>RNCP39253</t>
        </is>
      </c>
      <c r="K4824" s="45" t="inlineStr">
        <is>
          <t>Auteur réalisateur</t>
        </is>
      </c>
      <c r="L4824" s="45" t="inlineStr">
        <is>
          <t>27/06/2027</t>
        </is>
      </c>
      <c r="M4824" s="45" t="inlineStr">
        <is>
          <t>46264 (Conception réalisation audiovisuelle) ; 46274 (Cinéma) ; 46245 (Radio télévision)</t>
        </is>
      </c>
      <c r="N4824" s="50" t="inlineStr">
        <is>
          <t>NON</t>
        </is>
      </c>
      <c r="O4824" s="45" t="inlineStr"/>
    </row>
    <row r="4825" customFormat="1" s="3">
      <c r="A4825" s="51" t="n"/>
      <c r="B4825" s="52" t="inlineStr">
        <is>
          <t>46245</t>
        </is>
      </c>
      <c r="C4825" s="52">
        <f>LEFT(Tableau1[[#This Row],[Formacode]],3)</f>
        <v/>
      </c>
      <c r="D4825" s="53" t="n">
        <v>39392</v>
      </c>
      <c r="E4825" s="54">
        <f>"RNCP"&amp;D4825</f>
        <v/>
      </c>
      <c r="F4825" s="54" t="inlineStr">
        <is>
          <t>Assistant réalisateur</t>
        </is>
      </c>
      <c r="G4825" s="55">
        <f>E4825&amp;" - "&amp;F4825</f>
        <v/>
      </c>
      <c r="H4825" s="37" t="inlineStr">
        <is>
          <t>À vérifier</t>
        </is>
      </c>
      <c r="I4825" s="51" t="inlineStr">
        <is>
          <t>Successeur déjà publié : RNCP42150 (Assistant réalisateur) — préparer la bascule de l'offre CPF | Échéance le 19/07/2026 (dans 1 j)</t>
        </is>
      </c>
      <c r="J4825" s="51" t="inlineStr">
        <is>
          <t>RNCP42150</t>
        </is>
      </c>
      <c r="K4825" s="51" t="inlineStr">
        <is>
          <t>Assistant réalisateur</t>
        </is>
      </c>
      <c r="L4825" s="51" t="inlineStr">
        <is>
          <t>19/07/2026</t>
        </is>
      </c>
      <c r="M4825" s="51" t="inlineStr">
        <is>
          <t>46274 (Cinéma) ; 46275 (Film documentaire) ; 46282 (Régie cinéma télévision) ; 46245 (Radio télévision)</t>
        </is>
      </c>
      <c r="N4825" s="62" t="inlineStr">
        <is>
          <t>NON</t>
        </is>
      </c>
      <c r="O4825" s="51" t="inlineStr"/>
    </row>
    <row r="4826" customFormat="1" s="3">
      <c r="A4826" s="45" t="n"/>
      <c r="B4826" s="46" t="inlineStr">
        <is>
          <t>46245</t>
        </is>
      </c>
      <c r="C4826" s="46">
        <f>LEFT(Tableau1[[#This Row],[Formacode]],3)</f>
        <v/>
      </c>
      <c r="D4826" s="47" t="n">
        <v>39969</v>
      </c>
      <c r="E4826" s="48">
        <f>"RNCP"&amp;D4826</f>
        <v/>
      </c>
      <c r="F4826" s="48" t="inlineStr">
        <is>
          <t>Animateur-technicien-réalisateur radio</t>
        </is>
      </c>
      <c r="G4826" s="49">
        <f>E4826&amp;" - "&amp;F4826</f>
        <v/>
      </c>
      <c r="H4826" s="36" t="inlineStr">
        <is>
          <t>RAS</t>
        </is>
      </c>
      <c r="I4826" s="45" t="inlineStr"/>
      <c r="J4826" s="45" t="inlineStr">
        <is>
          <t>RNCP39969</t>
        </is>
      </c>
      <c r="K4826" s="45" t="inlineStr">
        <is>
          <t>Animateur-technicien-réalisateur radio</t>
        </is>
      </c>
      <c r="L4826" s="45" t="inlineStr">
        <is>
          <t>18/12/2027</t>
        </is>
      </c>
      <c r="M4826" s="45" t="inlineStr">
        <is>
          <t>46245 (Radio télévision)</t>
        </is>
      </c>
      <c r="N4826" s="50" t="inlineStr">
        <is>
          <t>NON</t>
        </is>
      </c>
      <c r="O4826" s="45" t="inlineStr"/>
    </row>
    <row r="4827" customFormat="1" s="3">
      <c r="A4827" s="45" t="n"/>
      <c r="B4827" s="46" t="inlineStr">
        <is>
          <t>46264</t>
        </is>
      </c>
      <c r="C4827" s="46">
        <f>LEFT(Tableau1[[#This Row],[Formacode]],3)</f>
        <v/>
      </c>
      <c r="D4827" s="47" t="n">
        <v>36533</v>
      </c>
      <c r="E4827" s="48">
        <f>"RNCP"&amp;D4827</f>
        <v/>
      </c>
      <c r="F4827" s="48" t="inlineStr">
        <is>
          <t>Concepteur 3D animation VFX jeux vidéo</t>
        </is>
      </c>
      <c r="G4827" s="49">
        <f>E4827&amp;" - "&amp;F4827</f>
        <v/>
      </c>
      <c r="H4827" s="36" t="inlineStr">
        <is>
          <t>RAS</t>
        </is>
      </c>
      <c r="I4827" s="45" t="inlineStr"/>
      <c r="J4827" s="45" t="inlineStr">
        <is>
          <t>RNCP36533</t>
        </is>
      </c>
      <c r="K4827" s="45" t="inlineStr">
        <is>
          <t>Concepteur 3D animation VFX jeux vidéo</t>
        </is>
      </c>
      <c r="L4827" s="45" t="inlineStr">
        <is>
          <t>01/06/2027</t>
        </is>
      </c>
      <c r="M4827" s="45" t="inlineStr">
        <is>
          <t>46251 (Jeu vidéo) ; 46276 (Film animation)</t>
        </is>
      </c>
      <c r="N4827" s="50" t="inlineStr">
        <is>
          <t>NON</t>
        </is>
      </c>
      <c r="O4827" s="45" t="inlineStr"/>
    </row>
    <row r="4828" customFormat="1" s="3">
      <c r="A4828" s="45" t="n"/>
      <c r="B4828" s="46" t="inlineStr">
        <is>
          <t>46264</t>
        </is>
      </c>
      <c r="C4828" s="46">
        <f>LEFT(Tableau1[[#This Row],[Formacode]],3)</f>
        <v/>
      </c>
      <c r="D4828" s="47" t="n">
        <v>36744</v>
      </c>
      <c r="E4828" s="48">
        <f>"RNCP"&amp;D4828</f>
        <v/>
      </c>
      <c r="F4828" s="48" t="inlineStr">
        <is>
          <t>Game designer concepteur en gamification</t>
        </is>
      </c>
      <c r="G4828" s="49">
        <f>E4828&amp;" - "&amp;F4828</f>
        <v/>
      </c>
      <c r="H4828" s="36" t="inlineStr">
        <is>
          <t>RAS</t>
        </is>
      </c>
      <c r="I4828" s="45" t="inlineStr"/>
      <c r="J4828" s="45" t="inlineStr">
        <is>
          <t>RNCP36744</t>
        </is>
      </c>
      <c r="K4828" s="45" t="inlineStr">
        <is>
          <t>Game designer concepteur en gamification</t>
        </is>
      </c>
      <c r="L4828" s="45" t="inlineStr">
        <is>
          <t>20/07/2027</t>
        </is>
      </c>
      <c r="M4828" s="45" t="inlineStr">
        <is>
          <t>46251 (Jeu vidéo)</t>
        </is>
      </c>
      <c r="N4828" s="50" t="inlineStr">
        <is>
          <t>NON</t>
        </is>
      </c>
      <c r="O4828" s="45" t="inlineStr"/>
    </row>
    <row r="4829" customFormat="1" s="3">
      <c r="A4829" s="51" t="n"/>
      <c r="B4829" s="52" t="inlineStr">
        <is>
          <t>46264</t>
        </is>
      </c>
      <c r="C4829" s="52">
        <f>LEFT(Tableau1[[#This Row],[Formacode]],3)</f>
        <v/>
      </c>
      <c r="D4829" s="53" t="n">
        <v>36842</v>
      </c>
      <c r="E4829" s="54">
        <f>"RNCP"&amp;D4829</f>
        <v/>
      </c>
      <c r="F4829" s="54" t="inlineStr">
        <is>
          <t>DIPLOVIS - Concepteur réalisateur de films d'animation</t>
        </is>
      </c>
      <c r="G4829" s="55">
        <f>E4829&amp;" - "&amp;F4829</f>
        <v/>
      </c>
      <c r="H4829" s="37" t="inlineStr">
        <is>
          <t>À vérifier</t>
        </is>
      </c>
      <c r="I4829" s="51" t="inlineStr">
        <is>
          <t>Successeur déjà publié : RNCP42219 (Concepteur et réalisateur de films d'animation) — préparer la bascule de l'offre CPF | Échéance le 31/08/2026 (dans 44 j)</t>
        </is>
      </c>
      <c r="J4829" s="51" t="inlineStr">
        <is>
          <t>RNCP42219</t>
        </is>
      </c>
      <c r="K4829" s="51" t="inlineStr">
        <is>
          <t>Concepteur et réalisateur de films d'animation</t>
        </is>
      </c>
      <c r="L4829" s="51" t="inlineStr">
        <is>
          <t>31/08/2026</t>
        </is>
      </c>
      <c r="M4829" s="51" t="inlineStr">
        <is>
          <t>46276 (Film animation) ; 46251 (Jeu vidéo)</t>
        </is>
      </c>
      <c r="N4829" s="62" t="inlineStr">
        <is>
          <t>NON</t>
        </is>
      </c>
      <c r="O4829" s="51" t="inlineStr"/>
    </row>
    <row r="4830" customFormat="1" s="3">
      <c r="A4830" s="45" t="n"/>
      <c r="B4830" s="46" t="inlineStr">
        <is>
          <t>46264</t>
        </is>
      </c>
      <c r="C4830" s="46">
        <f>LEFT(Tableau1[[#This Row],[Formacode]],3)</f>
        <v/>
      </c>
      <c r="D4830" s="47" t="n">
        <v>37020</v>
      </c>
      <c r="E4830" s="48">
        <f>"RNCP"&amp;D4830</f>
        <v/>
      </c>
      <c r="F4830" s="48" t="inlineStr">
        <is>
          <t>BTS - Métiers de l’audiovisuel option métiers du montage et de la postproduction</t>
        </is>
      </c>
      <c r="G4830" s="49">
        <f>E4830&amp;" - "&amp;F4830</f>
        <v/>
      </c>
      <c r="H4830" s="36" t="inlineStr">
        <is>
          <t>RAS</t>
        </is>
      </c>
      <c r="I4830" s="45" t="inlineStr"/>
      <c r="J4830" s="45" t="inlineStr">
        <is>
          <t>RNCP37020</t>
        </is>
      </c>
      <c r="K4830" s="45" t="inlineStr">
        <is>
          <t>Métiers de l’audiovisuel option métiers du montage et de la postproduction</t>
        </is>
      </c>
      <c r="L4830" s="45" t="inlineStr">
        <is>
          <t>31/08/2027</t>
        </is>
      </c>
      <c r="M4830" s="45" t="inlineStr">
        <is>
          <t>46269 (Montage audiovisuel)</t>
        </is>
      </c>
      <c r="N4830" s="50" t="inlineStr">
        <is>
          <t>NON</t>
        </is>
      </c>
      <c r="O4830" s="45" t="inlineStr"/>
    </row>
    <row r="4831" customFormat="1" s="3">
      <c r="A4831" s="45" t="n"/>
      <c r="B4831" s="46" t="inlineStr">
        <is>
          <t>46264</t>
        </is>
      </c>
      <c r="C4831" s="46">
        <f>LEFT(Tableau1[[#This Row],[Formacode]],3)</f>
        <v/>
      </c>
      <c r="D4831" s="47" t="n">
        <v>37021</v>
      </c>
      <c r="E4831" s="48">
        <f>"RNCP"&amp;D4831</f>
        <v/>
      </c>
      <c r="F4831" s="48" t="inlineStr">
        <is>
          <t>BTS - Métiers de l’audiovisuel option métiers de l’image</t>
        </is>
      </c>
      <c r="G4831" s="49">
        <f>E4831&amp;" - "&amp;F4831</f>
        <v/>
      </c>
      <c r="H4831" s="36" t="inlineStr">
        <is>
          <t>RAS</t>
        </is>
      </c>
      <c r="I4831" s="45" t="inlineStr"/>
      <c r="J4831" s="45" t="inlineStr">
        <is>
          <t>RNCP37021</t>
        </is>
      </c>
      <c r="K4831" s="45" t="inlineStr">
        <is>
          <t>Métiers de l’audiovisuel option métiers de l’image</t>
        </is>
      </c>
      <c r="L4831" s="45" t="inlineStr">
        <is>
          <t>31/08/2027</t>
        </is>
      </c>
      <c r="M4831" s="45" t="inlineStr">
        <is>
          <t>46281 (Prise de vue)</t>
        </is>
      </c>
      <c r="N4831" s="50" t="inlineStr">
        <is>
          <t>NON</t>
        </is>
      </c>
      <c r="O4831" s="45" t="inlineStr"/>
    </row>
    <row r="4832" customFormat="1" s="3">
      <c r="A4832" s="45" t="n"/>
      <c r="B4832" s="46" t="inlineStr">
        <is>
          <t>46264</t>
        </is>
      </c>
      <c r="C4832" s="46">
        <f>LEFT(Tableau1[[#This Row],[Formacode]],3)</f>
        <v/>
      </c>
      <c r="D4832" s="47" t="n">
        <v>37337</v>
      </c>
      <c r="E4832" s="48">
        <f>"RNCP"&amp;D4832</f>
        <v/>
      </c>
      <c r="F4832" s="48" t="inlineStr">
        <is>
          <t>Monteur audiovisuel</t>
        </is>
      </c>
      <c r="G4832" s="49">
        <f>E4832&amp;" - "&amp;F4832</f>
        <v/>
      </c>
      <c r="H4832" s="36" t="inlineStr">
        <is>
          <t>RAS</t>
        </is>
      </c>
      <c r="I4832" s="45" t="inlineStr"/>
      <c r="J4832" s="45" t="inlineStr">
        <is>
          <t>RNCP37337</t>
        </is>
      </c>
      <c r="K4832" s="45" t="inlineStr">
        <is>
          <t>Monteur audiovisuel</t>
        </is>
      </c>
      <c r="L4832" s="45" t="inlineStr">
        <is>
          <t>17/02/2028</t>
        </is>
      </c>
      <c r="M4832" s="45" t="inlineStr">
        <is>
          <t>46269 (Montage audiovisuel)</t>
        </is>
      </c>
      <c r="N4832" s="50" t="inlineStr">
        <is>
          <t>NON</t>
        </is>
      </c>
      <c r="O4832" s="45" t="inlineStr"/>
    </row>
    <row r="4833" customFormat="1" s="3">
      <c r="A4833" s="51" t="n"/>
      <c r="B4833" s="52" t="inlineStr">
        <is>
          <t>46264</t>
        </is>
      </c>
      <c r="C4833" s="52">
        <f>LEFT(Tableau1[[#This Row],[Formacode]],3)</f>
        <v/>
      </c>
      <c r="D4833" s="53" t="n">
        <v>37854</v>
      </c>
      <c r="E4833" s="54">
        <f>"RNCP"&amp;D4833</f>
        <v/>
      </c>
      <c r="F4833" s="54" t="inlineStr">
        <is>
          <t>Opérateur de prise de vue</t>
        </is>
      </c>
      <c r="G4833" s="55">
        <f>E4833&amp;" - "&amp;F4833</f>
        <v/>
      </c>
      <c r="H4833" s="37" t="inlineStr">
        <is>
          <t>À vérifier</t>
        </is>
      </c>
      <c r="I4833" s="51" t="inlineStr">
        <is>
          <t>Échéance le 19/07/2026 (dans 1 j)</t>
        </is>
      </c>
      <c r="J4833" s="51" t="inlineStr">
        <is>
          <t>RNCP37854</t>
        </is>
      </c>
      <c r="K4833" s="51" t="inlineStr">
        <is>
          <t>Opérateur de prise de vue</t>
        </is>
      </c>
      <c r="L4833" s="51" t="inlineStr">
        <is>
          <t>19/07/2026</t>
        </is>
      </c>
      <c r="M4833" s="51" t="inlineStr">
        <is>
          <t>46281 (Prise de vue)</t>
        </is>
      </c>
      <c r="N4833" s="62" t="inlineStr">
        <is>
          <t>NON</t>
        </is>
      </c>
      <c r="O4833" s="51" t="inlineStr"/>
    </row>
    <row r="4834" customFormat="1" s="3">
      <c r="A4834" s="51" t="n"/>
      <c r="B4834" s="52" t="inlineStr">
        <is>
          <t>46264</t>
        </is>
      </c>
      <c r="C4834" s="52">
        <f>LEFT(Tableau1[[#This Row],[Formacode]],3)</f>
        <v/>
      </c>
      <c r="D4834" s="53" t="n">
        <v>38143</v>
      </c>
      <c r="E4834" s="54">
        <f>"RNCP"&amp;D4834</f>
        <v/>
      </c>
      <c r="F4834" s="54" t="inlineStr">
        <is>
          <t>Graphiste motion designer</t>
        </is>
      </c>
      <c r="G4834" s="55">
        <f>E4834&amp;" - "&amp;F4834</f>
        <v/>
      </c>
      <c r="H4834" s="37" t="inlineStr">
        <is>
          <t>À vérifier</t>
        </is>
      </c>
      <c r="I4834" s="51" t="inlineStr">
        <is>
          <t>Échéance le 18/10/2026 (dans 92 j)</t>
        </is>
      </c>
      <c r="J4834" s="51" t="inlineStr">
        <is>
          <t>RNCP38143</t>
        </is>
      </c>
      <c r="K4834" s="51" t="inlineStr">
        <is>
          <t>Graphiste motion designer</t>
        </is>
      </c>
      <c r="L4834" s="51" t="inlineStr">
        <is>
          <t>18/10/2026</t>
        </is>
      </c>
      <c r="M4834" s="51" t="inlineStr">
        <is>
          <t>46003 (Infographie) ; 46090 (Graphisme publicité) ; 46269 (Montage audiovisuel)</t>
        </is>
      </c>
      <c r="N4834" s="62" t="inlineStr">
        <is>
          <t>NON</t>
        </is>
      </c>
      <c r="O4834" s="51" t="inlineStr"/>
    </row>
    <row r="4835" customFormat="1" s="3">
      <c r="A4835" s="51" t="n"/>
      <c r="B4835" s="52" t="inlineStr">
        <is>
          <t>46264</t>
        </is>
      </c>
      <c r="C4835" s="52">
        <f>LEFT(Tableau1[[#This Row],[Formacode]],3)</f>
        <v/>
      </c>
      <c r="D4835" s="53" t="n">
        <v>38268</v>
      </c>
      <c r="E4835" s="54">
        <f>"RNCP"&amp;D4835</f>
        <v/>
      </c>
      <c r="F4835" s="54" t="inlineStr">
        <is>
          <t>Motion designer</t>
        </is>
      </c>
      <c r="G4835" s="55">
        <f>E4835&amp;" - "&amp;F4835</f>
        <v/>
      </c>
      <c r="H4835" s="37" t="inlineStr">
        <is>
          <t>À vérifier</t>
        </is>
      </c>
      <c r="I4835" s="51" t="inlineStr">
        <is>
          <t>Échéance le 15/11/2026 (dans 120 j)</t>
        </is>
      </c>
      <c r="J4835" s="51" t="inlineStr">
        <is>
          <t>RNCP38268</t>
        </is>
      </c>
      <c r="K4835" s="51" t="inlineStr">
        <is>
          <t>Motion designer</t>
        </is>
      </c>
      <c r="L4835" s="51" t="inlineStr">
        <is>
          <t>15/11/2026</t>
        </is>
      </c>
      <c r="M4835" s="51" t="inlineStr">
        <is>
          <t>46003 (Infographie) ; 46276 (Film animation)</t>
        </is>
      </c>
      <c r="N4835" s="62" t="inlineStr">
        <is>
          <t>NON</t>
        </is>
      </c>
      <c r="O4835" s="51" t="inlineStr"/>
    </row>
    <row r="4836" customFormat="1" s="3">
      <c r="A4836" s="45" t="n"/>
      <c r="B4836" s="46" t="inlineStr">
        <is>
          <t>46264</t>
        </is>
      </c>
      <c r="C4836" s="46">
        <f>LEFT(Tableau1[[#This Row],[Formacode]],3)</f>
        <v/>
      </c>
      <c r="D4836" s="47" t="n">
        <v>38518</v>
      </c>
      <c r="E4836" s="48">
        <f>"RNCP"&amp;D4836</f>
        <v/>
      </c>
      <c r="F4836" s="48" t="inlineStr">
        <is>
          <t>Designer d'images animées et immersives</t>
        </is>
      </c>
      <c r="G4836" s="49">
        <f>E4836&amp;" - "&amp;F4836</f>
        <v/>
      </c>
      <c r="H4836" s="36" t="inlineStr">
        <is>
          <t>RAS</t>
        </is>
      </c>
      <c r="I4836" s="45" t="inlineStr"/>
      <c r="J4836" s="45" t="inlineStr">
        <is>
          <t>RNCP38518</t>
        </is>
      </c>
      <c r="K4836" s="45" t="inlineStr">
        <is>
          <t>Designer d'images animées et immersives</t>
        </is>
      </c>
      <c r="L4836" s="45" t="inlineStr">
        <is>
          <t>21/12/2027</t>
        </is>
      </c>
      <c r="M4836" s="45" t="inlineStr">
        <is>
          <t>46264 (Conception réalisation audiovisuelle) ; 46347 (Stratégie communication numérique) ; 46003 (Infographie)</t>
        </is>
      </c>
      <c r="N4836" s="50" t="inlineStr">
        <is>
          <t>NON</t>
        </is>
      </c>
      <c r="O4836" s="45" t="inlineStr"/>
    </row>
    <row r="4837" customFormat="1" s="3">
      <c r="A4837" s="45" t="n"/>
      <c r="B4837" s="46" t="inlineStr">
        <is>
          <t>46264</t>
        </is>
      </c>
      <c r="C4837" s="46">
        <f>LEFT(Tableau1[[#This Row],[Formacode]],3)</f>
        <v/>
      </c>
      <c r="D4837" s="47" t="n">
        <v>38752</v>
      </c>
      <c r="E4837" s="48">
        <f>"RNCP"&amp;D4837</f>
        <v/>
      </c>
      <c r="F4837" s="48" t="inlineStr">
        <is>
          <t>TP - Monteur audiovisuel</t>
        </is>
      </c>
      <c r="G4837" s="49">
        <f>E4837&amp;" - "&amp;F4837</f>
        <v/>
      </c>
      <c r="H4837" s="36" t="inlineStr">
        <is>
          <t>RAS</t>
        </is>
      </c>
      <c r="I4837" s="45" t="inlineStr"/>
      <c r="J4837" s="45" t="inlineStr">
        <is>
          <t>RNCP38752</t>
        </is>
      </c>
      <c r="K4837" s="45" t="inlineStr">
        <is>
          <t>Monteur audiovisuel</t>
        </is>
      </c>
      <c r="L4837" s="45" t="inlineStr">
        <is>
          <t>12/05/2029</t>
        </is>
      </c>
      <c r="M4837" s="45" t="inlineStr">
        <is>
          <t>46277 (Technique vidéo) ; 46257 (Effets spéciaux)</t>
        </is>
      </c>
      <c r="N4837" s="50" t="inlineStr">
        <is>
          <t>NON</t>
        </is>
      </c>
      <c r="O4837" s="45" t="inlineStr"/>
    </row>
    <row r="4838" customFormat="1" s="3">
      <c r="A4838" s="63" t="n"/>
      <c r="B4838" s="64" t="inlineStr">
        <is>
          <t>46264</t>
        </is>
      </c>
      <c r="C4838" s="64">
        <f>LEFT(Tableau1[[#This Row],[Formacode]],3)</f>
        <v/>
      </c>
      <c r="D4838" s="65" t="n">
        <v>38803</v>
      </c>
      <c r="E4838" s="66">
        <f>"RNCP"&amp;D4838</f>
        <v/>
      </c>
      <c r="F4838" s="66" t="inlineStr">
        <is>
          <t>Cadreur monteur – vidéaste</t>
        </is>
      </c>
      <c r="G4838" s="67">
        <f>E4838&amp;" - "&amp;F4838</f>
        <v/>
      </c>
      <c r="H4838" s="38" t="inlineStr">
        <is>
          <t>Expiré / remplacé</t>
        </is>
      </c>
      <c r="I4838" s="63" t="inlineStr">
        <is>
          <t>Fiche inactive — remplacée par RNCP41667 (Cadreur - monteur - vidéaste)</t>
        </is>
      </c>
      <c r="J4838" s="63" t="inlineStr">
        <is>
          <t>RNCP41667</t>
        </is>
      </c>
      <c r="K4838" s="63" t="inlineStr">
        <is>
          <t>Cadreur - monteur - vidéaste</t>
        </is>
      </c>
      <c r="L4838" s="63" t="inlineStr">
        <is>
          <t>27/03/2026</t>
        </is>
      </c>
      <c r="M4838" s="63" t="inlineStr">
        <is>
          <t>46281 (Prise de vue) ; 46282 (Régie cinéma télévision) ; 46269 (Montage audiovisuel)</t>
        </is>
      </c>
      <c r="N4838" s="68" t="inlineStr">
        <is>
          <t>NON</t>
        </is>
      </c>
      <c r="O4838" s="63" t="inlineStr"/>
    </row>
    <row r="4839" customFormat="1" s="3">
      <c r="A4839" s="45" t="n"/>
      <c r="B4839" s="46" t="inlineStr">
        <is>
          <t>46264</t>
        </is>
      </c>
      <c r="C4839" s="46">
        <f>LEFT(Tableau1[[#This Row],[Formacode]],3)</f>
        <v/>
      </c>
      <c r="D4839" s="47" t="n">
        <v>39092</v>
      </c>
      <c r="E4839" s="48">
        <f>"RNCP"&amp;D4839</f>
        <v/>
      </c>
      <c r="F4839" s="48" t="inlineStr">
        <is>
          <t>Expert en création digitale</t>
        </is>
      </c>
      <c r="G4839" s="49">
        <f>E4839&amp;" - "&amp;F4839</f>
        <v/>
      </c>
      <c r="H4839" s="36" t="inlineStr">
        <is>
          <t>RAS</t>
        </is>
      </c>
      <c r="I4839" s="45" t="inlineStr"/>
      <c r="J4839" s="45" t="inlineStr">
        <is>
          <t>RNCP39092</t>
        </is>
      </c>
      <c r="K4839" s="45" t="inlineStr">
        <is>
          <t>Expert en création digitale</t>
        </is>
      </c>
      <c r="L4839" s="45" t="inlineStr">
        <is>
          <t>31/05/2028</t>
        </is>
      </c>
      <c r="M4839" s="45" t="inlineStr">
        <is>
          <t>46339 (Conduite projet numérique) ; 46251 (Jeu vidéo) ; 46081 (Création graphique)</t>
        </is>
      </c>
      <c r="N4839" s="50" t="inlineStr">
        <is>
          <t>NON</t>
        </is>
      </c>
      <c r="O4839" s="45" t="inlineStr"/>
    </row>
    <row r="4840" customFormat="1" s="3">
      <c r="A4840" s="45" t="n"/>
      <c r="B4840" s="46" t="inlineStr">
        <is>
          <t>46264</t>
        </is>
      </c>
      <c r="C4840" s="46">
        <f>LEFT(Tableau1[[#This Row],[Formacode]],3)</f>
        <v/>
      </c>
      <c r="D4840" s="47" t="n">
        <v>39253</v>
      </c>
      <c r="E4840" s="48">
        <f>"RNCP"&amp;D4840</f>
        <v/>
      </c>
      <c r="F4840" s="48" t="inlineStr">
        <is>
          <t>Auteur réalisateur</t>
        </is>
      </c>
      <c r="G4840" s="49">
        <f>E4840&amp;" - "&amp;F4840</f>
        <v/>
      </c>
      <c r="H4840" s="36" t="inlineStr">
        <is>
          <t>RAS</t>
        </is>
      </c>
      <c r="I4840" s="45" t="inlineStr"/>
      <c r="J4840" s="45" t="inlineStr">
        <is>
          <t>RNCP39253</t>
        </is>
      </c>
      <c r="K4840" s="45" t="inlineStr">
        <is>
          <t>Auteur réalisateur</t>
        </is>
      </c>
      <c r="L4840" s="45" t="inlineStr">
        <is>
          <t>27/06/2027</t>
        </is>
      </c>
      <c r="M4840" s="45" t="inlineStr">
        <is>
          <t>46264 (Conception réalisation audiovisuelle) ; 46274 (Cinéma) ; 46245 (Radio télévision)</t>
        </is>
      </c>
      <c r="N4840" s="50" t="inlineStr">
        <is>
          <t>NON</t>
        </is>
      </c>
      <c r="O4840" s="45" t="inlineStr"/>
    </row>
    <row r="4841" customFormat="1" s="3">
      <c r="A4841" s="45" t="n"/>
      <c r="B4841" s="46" t="inlineStr">
        <is>
          <t>46264</t>
        </is>
      </c>
      <c r="C4841" s="46">
        <f>LEFT(Tableau1[[#This Row],[Formacode]],3)</f>
        <v/>
      </c>
      <c r="D4841" s="47" t="n">
        <v>39256</v>
      </c>
      <c r="E4841" s="48">
        <f>"RNCP"&amp;D4841</f>
        <v/>
      </c>
      <c r="F4841" s="48" t="inlineStr">
        <is>
          <t>Réalisateur 3D</t>
        </is>
      </c>
      <c r="G4841" s="49">
        <f>E4841&amp;" - "&amp;F4841</f>
        <v/>
      </c>
      <c r="H4841" s="36" t="inlineStr">
        <is>
          <t>RAS</t>
        </is>
      </c>
      <c r="I4841" s="45" t="inlineStr"/>
      <c r="J4841" s="45" t="inlineStr">
        <is>
          <t>RNCP39256</t>
        </is>
      </c>
      <c r="K4841" s="45" t="inlineStr">
        <is>
          <t>Réalisateur 3D</t>
        </is>
      </c>
      <c r="L4841" s="45" t="inlineStr">
        <is>
          <t>27/06/2027</t>
        </is>
      </c>
      <c r="M4841" s="45" t="inlineStr">
        <is>
          <t>46003 (Infographie) ; 46276 (Film animation) ; 46251 (Jeu vidéo)</t>
        </is>
      </c>
      <c r="N4841" s="50" t="inlineStr">
        <is>
          <t>NON</t>
        </is>
      </c>
      <c r="O4841" s="45" t="inlineStr"/>
    </row>
    <row r="4842" customFormat="1" s="3">
      <c r="A4842" s="45" t="n"/>
      <c r="B4842" s="46" t="inlineStr">
        <is>
          <t>46264</t>
        </is>
      </c>
      <c r="C4842" s="46">
        <f>LEFT(Tableau1[[#This Row],[Formacode]],3)</f>
        <v/>
      </c>
      <c r="D4842" s="47" t="n">
        <v>39351</v>
      </c>
      <c r="E4842" s="48">
        <f>"RNCP"&amp;D4842</f>
        <v/>
      </c>
      <c r="F4842" s="48" t="inlineStr">
        <is>
          <t>Opérateur de prise de vues - Cadreur</t>
        </is>
      </c>
      <c r="G4842" s="49">
        <f>E4842&amp;" - "&amp;F4842</f>
        <v/>
      </c>
      <c r="H4842" s="36" t="inlineStr">
        <is>
          <t>RAS</t>
        </is>
      </c>
      <c r="I4842" s="45" t="inlineStr"/>
      <c r="J4842" s="45" t="inlineStr">
        <is>
          <t>RNCP39351</t>
        </is>
      </c>
      <c r="K4842" s="45" t="inlineStr">
        <is>
          <t>Opérateur de prise de vues - Cadreur</t>
        </is>
      </c>
      <c r="L4842" s="45" t="inlineStr">
        <is>
          <t>19/07/2028</t>
        </is>
      </c>
      <c r="M4842" s="45" t="inlineStr">
        <is>
          <t>46281 (Prise de vue)</t>
        </is>
      </c>
      <c r="N4842" s="50" t="inlineStr">
        <is>
          <t>NON</t>
        </is>
      </c>
      <c r="O4842" s="45" t="inlineStr"/>
    </row>
    <row r="4843" customFormat="1" s="3">
      <c r="A4843" s="45" t="n"/>
      <c r="B4843" s="46" t="inlineStr">
        <is>
          <t>46264</t>
        </is>
      </c>
      <c r="C4843" s="46">
        <f>LEFT(Tableau1[[#This Row],[Formacode]],3)</f>
        <v/>
      </c>
      <c r="D4843" s="47" t="n">
        <v>39390</v>
      </c>
      <c r="E4843" s="48">
        <f>"RNCP"&amp;D4843</f>
        <v/>
      </c>
      <c r="F4843" s="48" t="inlineStr">
        <is>
          <t>Chef monteur</t>
        </is>
      </c>
      <c r="G4843" s="49">
        <f>E4843&amp;" - "&amp;F4843</f>
        <v/>
      </c>
      <c r="H4843" s="36" t="inlineStr">
        <is>
          <t>RAS</t>
        </is>
      </c>
      <c r="I4843" s="45" t="inlineStr"/>
      <c r="J4843" s="45" t="inlineStr">
        <is>
          <t>RNCP39390</t>
        </is>
      </c>
      <c r="K4843" s="45" t="inlineStr">
        <is>
          <t>Chef monteur</t>
        </is>
      </c>
      <c r="L4843" s="45" t="inlineStr">
        <is>
          <t>19/07/2027</t>
        </is>
      </c>
      <c r="M4843" s="45" t="inlineStr">
        <is>
          <t>46269 (Montage audiovisuel) ; 46257 (Effets spéciaux)</t>
        </is>
      </c>
      <c r="N4843" s="50" t="inlineStr">
        <is>
          <t>NON</t>
        </is>
      </c>
      <c r="O4843" s="45" t="inlineStr"/>
    </row>
    <row r="4844" customFormat="1" s="3">
      <c r="A4844" s="51" t="n"/>
      <c r="B4844" s="52" t="inlineStr">
        <is>
          <t>46264</t>
        </is>
      </c>
      <c r="C4844" s="52">
        <f>LEFT(Tableau1[[#This Row],[Formacode]],3)</f>
        <v/>
      </c>
      <c r="D4844" s="53" t="n">
        <v>39392</v>
      </c>
      <c r="E4844" s="54">
        <f>"RNCP"&amp;D4844</f>
        <v/>
      </c>
      <c r="F4844" s="54" t="inlineStr">
        <is>
          <t>Assistant réalisateur</t>
        </is>
      </c>
      <c r="G4844" s="55">
        <f>E4844&amp;" - "&amp;F4844</f>
        <v/>
      </c>
      <c r="H4844" s="37" t="inlineStr">
        <is>
          <t>À vérifier</t>
        </is>
      </c>
      <c r="I4844" s="51" t="inlineStr">
        <is>
          <t>Successeur déjà publié : RNCP42150 (Assistant réalisateur) — préparer la bascule de l'offre CPF | Échéance le 19/07/2026 (dans 1 j)</t>
        </is>
      </c>
      <c r="J4844" s="51" t="inlineStr">
        <is>
          <t>RNCP42150</t>
        </is>
      </c>
      <c r="K4844" s="51" t="inlineStr">
        <is>
          <t>Assistant réalisateur</t>
        </is>
      </c>
      <c r="L4844" s="51" t="inlineStr">
        <is>
          <t>19/07/2026</t>
        </is>
      </c>
      <c r="M4844" s="51" t="inlineStr">
        <is>
          <t>46274 (Cinéma) ; 46275 (Film documentaire) ; 46282 (Régie cinéma télévision) ; 46245 (Radio télévision)</t>
        </is>
      </c>
      <c r="N4844" s="62" t="inlineStr">
        <is>
          <t>NON</t>
        </is>
      </c>
      <c r="O4844" s="51" t="inlineStr"/>
    </row>
    <row r="4845" customFormat="1" s="3">
      <c r="A4845" s="45" t="n"/>
      <c r="B4845" s="46" t="inlineStr">
        <is>
          <t>46264</t>
        </is>
      </c>
      <c r="C4845" s="46">
        <f>LEFT(Tableau1[[#This Row],[Formacode]],3)</f>
        <v/>
      </c>
      <c r="D4845" s="47" t="n">
        <v>39532</v>
      </c>
      <c r="E4845" s="48">
        <f>"RNCP"&amp;D4845</f>
        <v/>
      </c>
      <c r="F4845" s="48" t="inlineStr">
        <is>
          <t>TP - Graphiste</t>
        </is>
      </c>
      <c r="G4845" s="49">
        <f>E4845&amp;" - "&amp;F4845</f>
        <v/>
      </c>
      <c r="H4845" s="36" t="inlineStr">
        <is>
          <t>RAS</t>
        </is>
      </c>
      <c r="I4845" s="45" t="inlineStr"/>
      <c r="J4845" s="45" t="inlineStr">
        <is>
          <t>RNCP39532</t>
        </is>
      </c>
      <c r="K4845" s="45" t="inlineStr">
        <is>
          <t>Graphiste</t>
        </is>
      </c>
      <c r="L4845" s="45" t="inlineStr">
        <is>
          <t>30/09/2029</t>
        </is>
      </c>
      <c r="M4845" s="45" t="inlineStr">
        <is>
          <t>46003 (Infographie) ; 46090 (Graphisme publicité) ; 46276 (Film animation) ; 46049 (Pré-presse)</t>
        </is>
      </c>
      <c r="N4845" s="50" t="inlineStr">
        <is>
          <t>NON</t>
        </is>
      </c>
      <c r="O4845" s="45" t="inlineStr"/>
    </row>
    <row r="4846" customFormat="1" s="3">
      <c r="A4846" s="45" t="n"/>
      <c r="B4846" s="46" t="inlineStr">
        <is>
          <t>46264</t>
        </is>
      </c>
      <c r="C4846" s="46">
        <f>LEFT(Tableau1[[#This Row],[Formacode]],3)</f>
        <v/>
      </c>
      <c r="D4846" s="47" t="n">
        <v>39749</v>
      </c>
      <c r="E4846" s="48">
        <f>"RNCP"&amp;D4846</f>
        <v/>
      </c>
      <c r="F4846" s="48" t="inlineStr">
        <is>
          <t>Adjoint à la réalisation d'oeuvres cinématographiques ou audiovisuelles</t>
        </is>
      </c>
      <c r="G4846" s="49">
        <f>E4846&amp;" - "&amp;F4846</f>
        <v/>
      </c>
      <c r="H4846" s="36" t="inlineStr">
        <is>
          <t>RAS</t>
        </is>
      </c>
      <c r="I4846" s="45" t="inlineStr"/>
      <c r="J4846" s="45" t="inlineStr">
        <is>
          <t>RNCP39749</t>
        </is>
      </c>
      <c r="K4846" s="45" t="inlineStr">
        <is>
          <t>Adjoint à la réalisation d'oeuvres cinématographiques ou audiovisuelles</t>
        </is>
      </c>
      <c r="L4846" s="45" t="inlineStr">
        <is>
          <t>31/10/2029</t>
        </is>
      </c>
      <c r="M4846" s="45" t="inlineStr">
        <is>
          <t>46274 (Cinéma) ; 46264 (Conception réalisation audiovisuelle)</t>
        </is>
      </c>
      <c r="N4846" s="50" t="inlineStr">
        <is>
          <t>NON</t>
        </is>
      </c>
      <c r="O4846" s="45" t="inlineStr"/>
    </row>
    <row r="4847" ht="28.8" customFormat="1" customHeight="1" s="3">
      <c r="A4847" s="45" t="n"/>
      <c r="B4847" s="46" t="inlineStr">
        <is>
          <t>46264</t>
        </is>
      </c>
      <c r="C4847" s="46">
        <f>LEFT(Tableau1[[#This Row],[Formacode]],3)</f>
        <v/>
      </c>
      <c r="D4847" s="47" t="n">
        <v>39750</v>
      </c>
      <c r="E4847" s="48">
        <f>"RNCP"&amp;D4847</f>
        <v/>
      </c>
      <c r="F4847" s="48" t="inlineStr">
        <is>
          <t>Chargé de production et de distribution d'oeuvres cinématographiques ou audiovisuelles</t>
        </is>
      </c>
      <c r="G4847" s="49">
        <f>E4847&amp;" - "&amp;F4847</f>
        <v/>
      </c>
      <c r="H4847" s="36" t="inlineStr">
        <is>
          <t>RAS</t>
        </is>
      </c>
      <c r="I4847" s="45" t="inlineStr"/>
      <c r="J4847" s="45" t="inlineStr">
        <is>
          <t>RNCP39750</t>
        </is>
      </c>
      <c r="K4847" s="45" t="inlineStr">
        <is>
          <t>Chargé de production et de distribution d'oeuvres cinématographiques ou audiovisuelles</t>
        </is>
      </c>
      <c r="L4847" s="45" t="inlineStr">
        <is>
          <t>31/10/2029</t>
        </is>
      </c>
      <c r="M4847" s="45" t="inlineStr">
        <is>
          <t>46267 (Postproduction)</t>
        </is>
      </c>
      <c r="N4847" s="50" t="inlineStr">
        <is>
          <t>NON</t>
        </is>
      </c>
      <c r="O4847" s="45" t="inlineStr"/>
    </row>
    <row r="4848" customFormat="1" s="3">
      <c r="A4848" s="45" t="n"/>
      <c r="B4848" s="46" t="inlineStr">
        <is>
          <t>46264</t>
        </is>
      </c>
      <c r="C4848" s="46">
        <f>LEFT(Tableau1[[#This Row],[Formacode]],3)</f>
        <v/>
      </c>
      <c r="D4848" s="47" t="n">
        <v>39751</v>
      </c>
      <c r="E4848" s="48">
        <f>"RNCP"&amp;D4848</f>
        <v/>
      </c>
      <c r="F4848" s="48" t="inlineStr">
        <is>
          <t>Monteur-effets spéciaux d'oeuvres cinématographiques ou audiovisuelles</t>
        </is>
      </c>
      <c r="G4848" s="49">
        <f>E4848&amp;" - "&amp;F4848</f>
        <v/>
      </c>
      <c r="H4848" s="36" t="inlineStr">
        <is>
          <t>RAS</t>
        </is>
      </c>
      <c r="I4848" s="45" t="inlineStr"/>
      <c r="J4848" s="45" t="inlineStr">
        <is>
          <t>RNCP39751</t>
        </is>
      </c>
      <c r="K4848" s="45" t="inlineStr">
        <is>
          <t>Monteur-effets spéciaux d'oeuvres cinématographiques ou audiovisuelles</t>
        </is>
      </c>
      <c r="L4848" s="45" t="inlineStr">
        <is>
          <t>31/10/2029</t>
        </is>
      </c>
      <c r="M4848" s="45" t="inlineStr">
        <is>
          <t>46267 (Postproduction)</t>
        </is>
      </c>
      <c r="N4848" s="50" t="inlineStr">
        <is>
          <t>NON</t>
        </is>
      </c>
      <c r="O4848" s="45" t="inlineStr"/>
    </row>
    <row r="4849" customFormat="1" s="3">
      <c r="A4849" s="45" t="n"/>
      <c r="B4849" s="46" t="inlineStr">
        <is>
          <t>46264</t>
        </is>
      </c>
      <c r="C4849" s="46">
        <f>LEFT(Tableau1[[#This Row],[Formacode]],3)</f>
        <v/>
      </c>
      <c r="D4849" s="47" t="n">
        <v>39760</v>
      </c>
      <c r="E4849" s="48">
        <f>"RNCP"&amp;D4849</f>
        <v/>
      </c>
      <c r="F4849" s="48" t="inlineStr">
        <is>
          <t>Concepteur de jeux vidéo / Game designer</t>
        </is>
      </c>
      <c r="G4849" s="49">
        <f>E4849&amp;" - "&amp;F4849</f>
        <v/>
      </c>
      <c r="H4849" s="36" t="inlineStr">
        <is>
          <t>RAS</t>
        </is>
      </c>
      <c r="I4849" s="45" t="inlineStr"/>
      <c r="J4849" s="45" t="inlineStr">
        <is>
          <t>RNCP39760</t>
        </is>
      </c>
      <c r="K4849" s="45" t="inlineStr">
        <is>
          <t>Concepteur de jeux vidéo / Game designer</t>
        </is>
      </c>
      <c r="L4849" s="45" t="inlineStr">
        <is>
          <t>31/10/2027</t>
        </is>
      </c>
      <c r="M4849" s="45" t="inlineStr">
        <is>
          <t>46251 (Jeu vidéo)</t>
        </is>
      </c>
      <c r="N4849" s="50" t="inlineStr">
        <is>
          <t>NON</t>
        </is>
      </c>
      <c r="O4849" s="45" t="inlineStr"/>
    </row>
    <row r="4850" customFormat="1" s="3">
      <c r="A4850" s="45" t="n"/>
      <c r="B4850" s="46" t="inlineStr">
        <is>
          <t>46264</t>
        </is>
      </c>
      <c r="C4850" s="46">
        <f>LEFT(Tableau1[[#This Row],[Formacode]],3)</f>
        <v/>
      </c>
      <c r="D4850" s="47" t="n">
        <v>39780</v>
      </c>
      <c r="E4850" s="48">
        <f>"RNCP"&amp;D4850</f>
        <v/>
      </c>
      <c r="F4850" s="48" t="inlineStr">
        <is>
          <t>Concepteur 2D / 3D - Game Artist</t>
        </is>
      </c>
      <c r="G4850" s="49">
        <f>E4850&amp;" - "&amp;F4850</f>
        <v/>
      </c>
      <c r="H4850" s="36" t="inlineStr">
        <is>
          <t>RAS</t>
        </is>
      </c>
      <c r="I4850" s="45" t="inlineStr"/>
      <c r="J4850" s="45" t="inlineStr">
        <is>
          <t>RNCP39780</t>
        </is>
      </c>
      <c r="K4850" s="45" t="inlineStr">
        <is>
          <t>Concepteur 2D / 3D - Game Artist</t>
        </is>
      </c>
      <c r="L4850" s="45" t="inlineStr">
        <is>
          <t>31/10/2027</t>
        </is>
      </c>
      <c r="M4850" s="45" t="inlineStr">
        <is>
          <t>46251 (Jeu vidéo)</t>
        </is>
      </c>
      <c r="N4850" s="50" t="inlineStr">
        <is>
          <t>NON</t>
        </is>
      </c>
      <c r="O4850" s="45" t="inlineStr"/>
    </row>
    <row r="4851" customFormat="1" s="3">
      <c r="A4851" s="45" t="n"/>
      <c r="B4851" s="46" t="inlineStr">
        <is>
          <t>46264</t>
        </is>
      </c>
      <c r="C4851" s="46">
        <f>LEFT(Tableau1[[#This Row],[Formacode]],3)</f>
        <v/>
      </c>
      <c r="D4851" s="47" t="n">
        <v>40173</v>
      </c>
      <c r="E4851" s="48">
        <f>"RNCP"&amp;D4851</f>
        <v/>
      </c>
      <c r="F4851" s="48" t="inlineStr">
        <is>
          <t>Photographe vidéaste</t>
        </is>
      </c>
      <c r="G4851" s="49">
        <f>E4851&amp;" - "&amp;F4851</f>
        <v/>
      </c>
      <c r="H4851" s="36" t="inlineStr">
        <is>
          <t>RAS</t>
        </is>
      </c>
      <c r="I4851" s="45" t="inlineStr"/>
      <c r="J4851" s="45" t="inlineStr">
        <is>
          <t>RNCP40173</t>
        </is>
      </c>
      <c r="K4851" s="45" t="inlineStr">
        <is>
          <t>Photographe vidéaste</t>
        </is>
      </c>
      <c r="L4851" s="45" t="inlineStr">
        <is>
          <t>31/01/2030</t>
        </is>
      </c>
      <c r="M4851" s="45" t="inlineStr">
        <is>
          <t>46278 (Photographie) ; 46264 (Conception réalisation audiovisuelle)</t>
        </is>
      </c>
      <c r="N4851" s="50" t="inlineStr">
        <is>
          <t>NON</t>
        </is>
      </c>
      <c r="O4851" s="45" t="inlineStr"/>
    </row>
    <row r="4852" customFormat="1" s="3">
      <c r="A4852" s="45" t="n"/>
      <c r="B4852" s="46" t="inlineStr">
        <is>
          <t>46264</t>
        </is>
      </c>
      <c r="C4852" s="46">
        <f>LEFT(Tableau1[[#This Row],[Formacode]],3)</f>
        <v/>
      </c>
      <c r="D4852" s="47" t="n">
        <v>40565</v>
      </c>
      <c r="E4852" s="48">
        <f>"RNCP"&amp;D4852</f>
        <v/>
      </c>
      <c r="F4852" s="48" t="inlineStr">
        <is>
          <t>CQP Administrateur de production cinéma - audiovisuel</t>
        </is>
      </c>
      <c r="G4852" s="49">
        <f>E4852&amp;" - "&amp;F4852</f>
        <v/>
      </c>
      <c r="H4852" s="36" t="inlineStr">
        <is>
          <t>RAS</t>
        </is>
      </c>
      <c r="I4852" s="45" t="inlineStr"/>
      <c r="J4852" s="45" t="inlineStr">
        <is>
          <t>RNCP40565</t>
        </is>
      </c>
      <c r="K4852" s="45" t="inlineStr">
        <is>
          <t>CQP Administrateur de production cinéma - audiovisuel</t>
        </is>
      </c>
      <c r="L4852" s="45" t="inlineStr">
        <is>
          <t>30/04/2030</t>
        </is>
      </c>
      <c r="M4852" s="45" t="inlineStr">
        <is>
          <t>46264 (Conception réalisation audiovisuelle) ; 46274 (Cinéma) ; 32654 (Gestion financière comptabilité)</t>
        </is>
      </c>
      <c r="N4852" s="50" t="inlineStr">
        <is>
          <t>NON</t>
        </is>
      </c>
      <c r="O4852" s="45" t="inlineStr"/>
    </row>
    <row r="4853" customFormat="1" s="3">
      <c r="A4853" s="45" t="n"/>
      <c r="B4853" s="46" t="inlineStr">
        <is>
          <t>46264</t>
        </is>
      </c>
      <c r="C4853" s="46">
        <f>LEFT(Tableau1[[#This Row],[Formacode]],3)</f>
        <v/>
      </c>
      <c r="D4853" s="47" t="n">
        <v>40581</v>
      </c>
      <c r="E4853" s="48">
        <f>"RNCP"&amp;D4853</f>
        <v/>
      </c>
      <c r="F4853" s="48" t="inlineStr">
        <is>
          <t>Monteur truquiste</t>
        </is>
      </c>
      <c r="G4853" s="49">
        <f>E4853&amp;" - "&amp;F4853</f>
        <v/>
      </c>
      <c r="H4853" s="36" t="inlineStr">
        <is>
          <t>RAS</t>
        </is>
      </c>
      <c r="I4853" s="45" t="inlineStr"/>
      <c r="J4853" s="45" t="inlineStr">
        <is>
          <t>RNCP40581</t>
        </is>
      </c>
      <c r="K4853" s="45" t="inlineStr">
        <is>
          <t>Monteur truquiste</t>
        </is>
      </c>
      <c r="L4853" s="45" t="inlineStr">
        <is>
          <t>30/04/2030</t>
        </is>
      </c>
      <c r="M4853" s="45" t="inlineStr">
        <is>
          <t>46269 (Montage audiovisuel) ; 46257 (Effets spéciaux)</t>
        </is>
      </c>
      <c r="N4853" s="50" t="inlineStr">
        <is>
          <t>NON</t>
        </is>
      </c>
      <c r="O4853" s="45" t="inlineStr"/>
    </row>
    <row r="4854" customFormat="1" s="3">
      <c r="A4854" s="45" t="n"/>
      <c r="B4854" s="46" t="inlineStr">
        <is>
          <t>46264</t>
        </is>
      </c>
      <c r="C4854" s="46">
        <f>LEFT(Tableau1[[#This Row],[Formacode]],3)</f>
        <v/>
      </c>
      <c r="D4854" s="47" t="n">
        <v>40666</v>
      </c>
      <c r="E4854" s="48">
        <f>"RNCP"&amp;D4854</f>
        <v/>
      </c>
      <c r="F4854" s="48" t="inlineStr">
        <is>
          <t>Chef de projet audiovisuel multi technique</t>
        </is>
      </c>
      <c r="G4854" s="49">
        <f>E4854&amp;" - "&amp;F4854</f>
        <v/>
      </c>
      <c r="H4854" s="36" t="inlineStr">
        <is>
          <t>RAS</t>
        </is>
      </c>
      <c r="I4854" s="45" t="inlineStr"/>
      <c r="J4854" s="45" t="inlineStr">
        <is>
          <t>RNCP40666</t>
        </is>
      </c>
      <c r="K4854" s="45" t="inlineStr">
        <is>
          <t>Chef de projet audiovisuel multi technique</t>
        </is>
      </c>
      <c r="L4854" s="45" t="inlineStr">
        <is>
          <t>23/05/2030</t>
        </is>
      </c>
      <c r="M4854" s="45" t="inlineStr">
        <is>
          <t>46264 (Conception réalisation audiovisuelle)</t>
        </is>
      </c>
      <c r="N4854" s="50" t="inlineStr">
        <is>
          <t>NON</t>
        </is>
      </c>
      <c r="O4854" s="45" t="inlineStr"/>
    </row>
    <row r="4855" customFormat="1" s="3">
      <c r="A4855" s="45" t="n"/>
      <c r="B4855" s="46" t="inlineStr">
        <is>
          <t>46264</t>
        </is>
      </c>
      <c r="C4855" s="46">
        <f>LEFT(Tableau1[[#This Row],[Formacode]],3)</f>
        <v/>
      </c>
      <c r="D4855" s="47" t="n">
        <v>40668</v>
      </c>
      <c r="E4855" s="48">
        <f>"RNCP"&amp;D4855</f>
        <v/>
      </c>
      <c r="F4855" s="48" t="inlineStr">
        <is>
          <t>Chargé de production cinématographique et audiovisuelle</t>
        </is>
      </c>
      <c r="G4855" s="49">
        <f>E4855&amp;" - "&amp;F4855</f>
        <v/>
      </c>
      <c r="H4855" s="36" t="inlineStr">
        <is>
          <t>RAS</t>
        </is>
      </c>
      <c r="I4855" s="45" t="inlineStr"/>
      <c r="J4855" s="45" t="inlineStr">
        <is>
          <t>RNCP40668</t>
        </is>
      </c>
      <c r="K4855" s="45" t="inlineStr">
        <is>
          <t>Chargé de production cinématographique et audiovisuelle</t>
        </is>
      </c>
      <c r="L4855" s="45" t="inlineStr">
        <is>
          <t>23/05/2030</t>
        </is>
      </c>
      <c r="M4855" s="45" t="inlineStr">
        <is>
          <t>46244 (Gestion production audiovisuelle) ; 46264 (Conception réalisation audiovisuelle)</t>
        </is>
      </c>
      <c r="N4855" s="50" t="inlineStr">
        <is>
          <t>NON</t>
        </is>
      </c>
      <c r="O4855" s="45" t="inlineStr"/>
    </row>
    <row r="4856" customFormat="1" s="3">
      <c r="A4856" s="45" t="n"/>
      <c r="B4856" s="46" t="inlineStr">
        <is>
          <t>46264</t>
        </is>
      </c>
      <c r="C4856" s="46">
        <f>LEFT(Tableau1[[#This Row],[Formacode]],3)</f>
        <v/>
      </c>
      <c r="D4856" s="47" t="n">
        <v>40862</v>
      </c>
      <c r="E4856" s="48">
        <f>"RNCP"&amp;D4856</f>
        <v/>
      </c>
      <c r="F4856" s="48" t="inlineStr">
        <is>
          <t>Régisseur du spectacle vivant option son/vidéo ou lumière/vidéo ou plateau</t>
        </is>
      </c>
      <c r="G4856" s="49">
        <f>E4856&amp;" - "&amp;F4856</f>
        <v/>
      </c>
      <c r="H4856" s="36" t="inlineStr">
        <is>
          <t>RAS</t>
        </is>
      </c>
      <c r="I4856" s="45" t="inlineStr"/>
      <c r="J4856" s="45" t="inlineStr">
        <is>
          <t>RNCP40862</t>
        </is>
      </c>
      <c r="K4856" s="45" t="inlineStr">
        <is>
          <t>Régisseur du spectacle vivant option son/vidéo ou lumière/vidéo ou plateau</t>
        </is>
      </c>
      <c r="L4856" s="45" t="inlineStr">
        <is>
          <t>25/06/2028</t>
        </is>
      </c>
      <c r="M4856" s="45" t="inlineStr">
        <is>
          <t>46269 (Montage audiovisuel) ; 45061 (Régie son) ; 45062 (Régie lumière) ; 45063 (Régie plateau)</t>
        </is>
      </c>
      <c r="N4856" s="50" t="inlineStr">
        <is>
          <t>NON</t>
        </is>
      </c>
      <c r="O4856" s="45" t="inlineStr"/>
    </row>
    <row r="4857" customFormat="1" s="3">
      <c r="A4857" s="45" t="n"/>
      <c r="B4857" s="46" t="inlineStr">
        <is>
          <t>46264</t>
        </is>
      </c>
      <c r="C4857" s="46">
        <f>LEFT(Tableau1[[#This Row],[Formacode]],3)</f>
        <v/>
      </c>
      <c r="D4857" s="47" t="n">
        <v>40876</v>
      </c>
      <c r="E4857" s="48">
        <f>"RNCP"&amp;D4857</f>
        <v/>
      </c>
      <c r="F4857" s="48" t="inlineStr">
        <is>
          <t>Expert en conception et réalisation - Animation 3D et Effets Spéciaux</t>
        </is>
      </c>
      <c r="G4857" s="49">
        <f>E4857&amp;" - "&amp;F4857</f>
        <v/>
      </c>
      <c r="H4857" s="36" t="inlineStr">
        <is>
          <t>RAS</t>
        </is>
      </c>
      <c r="I4857" s="45" t="inlineStr"/>
      <c r="J4857" s="45" t="inlineStr">
        <is>
          <t>RNCP40876</t>
        </is>
      </c>
      <c r="K4857" s="45" t="inlineStr">
        <is>
          <t>Expert en conception et réalisation - Animation 3D et Effets Spéciaux</t>
        </is>
      </c>
      <c r="L4857" s="45" t="inlineStr">
        <is>
          <t>25/06/2030</t>
        </is>
      </c>
      <c r="M4857" s="45" t="inlineStr">
        <is>
          <t>46276 (Film animation) ; 46257 (Effets spéciaux) ; 46003 (Infographie)</t>
        </is>
      </c>
      <c r="N4857" s="50" t="inlineStr">
        <is>
          <t>NON</t>
        </is>
      </c>
      <c r="O4857" s="45" t="inlineStr"/>
    </row>
    <row r="4858" customFormat="1" s="3">
      <c r="A4858" s="45" t="n"/>
      <c r="B4858" s="46" t="inlineStr">
        <is>
          <t>46264</t>
        </is>
      </c>
      <c r="C4858" s="46">
        <f>LEFT(Tableau1[[#This Row],[Formacode]],3)</f>
        <v/>
      </c>
      <c r="D4858" s="47" t="n">
        <v>40924</v>
      </c>
      <c r="E4858" s="48">
        <f>"RNCP"&amp;D4858</f>
        <v/>
      </c>
      <c r="F4858" s="48" t="inlineStr">
        <is>
          <t>Concepteur en création visuelle</t>
        </is>
      </c>
      <c r="G4858" s="49">
        <f>E4858&amp;" - "&amp;F4858</f>
        <v/>
      </c>
      <c r="H4858" s="36" t="inlineStr">
        <is>
          <t>RAS</t>
        </is>
      </c>
      <c r="I4858" s="45" t="inlineStr"/>
      <c r="J4858" s="45" t="inlineStr">
        <is>
          <t>RNCP40924</t>
        </is>
      </c>
      <c r="K4858" s="45" t="inlineStr">
        <is>
          <t>Concepteur en création visuelle</t>
        </is>
      </c>
      <c r="L4858" s="45" t="inlineStr">
        <is>
          <t>25/06/2028</t>
        </is>
      </c>
      <c r="M4858" s="45" t="inlineStr">
        <is>
          <t>46081 (Création graphique) ; 46276 (Film animation) ; 46244 (Gestion production audiovisuelle) ; 46354 (Information - Communication numérique)</t>
        </is>
      </c>
      <c r="N4858" s="50" t="inlineStr">
        <is>
          <t>NON</t>
        </is>
      </c>
      <c r="O4858" s="45" t="inlineStr"/>
    </row>
    <row r="4859" customFormat="1" s="3">
      <c r="A4859" s="45" t="n"/>
      <c r="B4859" s="46" t="inlineStr">
        <is>
          <t>46264</t>
        </is>
      </c>
      <c r="C4859" s="46">
        <f>LEFT(Tableau1[[#This Row],[Formacode]],3)</f>
        <v/>
      </c>
      <c r="D4859" s="47" t="n">
        <v>41481</v>
      </c>
      <c r="E4859" s="48">
        <f>"RNCP"&amp;D4859</f>
        <v/>
      </c>
      <c r="F4859" s="48" t="inlineStr">
        <is>
          <t>Assistant de réalisation cinéma, audiovisuel et contenus numériques</t>
        </is>
      </c>
      <c r="G4859" s="49">
        <f>E4859&amp;" - "&amp;F4859</f>
        <v/>
      </c>
      <c r="H4859" s="36" t="inlineStr">
        <is>
          <t>RAS</t>
        </is>
      </c>
      <c r="I4859" s="45" t="inlineStr"/>
      <c r="J4859" s="45" t="inlineStr">
        <is>
          <t>RNCP41481</t>
        </is>
      </c>
      <c r="K4859" s="45" t="inlineStr">
        <is>
          <t>Assistant de réalisation cinéma, audiovisuel et contenus numériques</t>
        </is>
      </c>
      <c r="L4859" s="45" t="inlineStr">
        <is>
          <t>27/10/2030</t>
        </is>
      </c>
      <c r="M4859" s="45" t="inlineStr">
        <is>
          <t>46274 (Cinéma) ; 46282 (Régie cinéma télévision) ; 46217 (Conception réalisation transmédia)</t>
        </is>
      </c>
      <c r="N4859" s="50" t="inlineStr">
        <is>
          <t>NON</t>
        </is>
      </c>
      <c r="O4859" s="45" t="inlineStr"/>
    </row>
    <row r="4860" customFormat="1" s="3">
      <c r="A4860" s="45" t="n"/>
      <c r="B4860" s="46" t="inlineStr">
        <is>
          <t>46264</t>
        </is>
      </c>
      <c r="C4860" s="46">
        <f>LEFT(Tableau1[[#This Row],[Formacode]],3)</f>
        <v/>
      </c>
      <c r="D4860" s="47" t="n">
        <v>41666</v>
      </c>
      <c r="E4860" s="48">
        <f>"RNCP"&amp;D4860</f>
        <v/>
      </c>
      <c r="F4860" s="48" t="inlineStr">
        <is>
          <t>Réalisateur numérique</t>
        </is>
      </c>
      <c r="G4860" s="49">
        <f>E4860&amp;" - "&amp;F4860</f>
        <v/>
      </c>
      <c r="H4860" s="36" t="inlineStr">
        <is>
          <t>RAS</t>
        </is>
      </c>
      <c r="I4860" s="45" t="inlineStr"/>
      <c r="J4860" s="45" t="inlineStr">
        <is>
          <t>RNCP41666</t>
        </is>
      </c>
      <c r="K4860" s="45" t="inlineStr">
        <is>
          <t>Réalisateur numérique</t>
        </is>
      </c>
      <c r="L4860" s="45" t="inlineStr">
        <is>
          <t>27/11/2030</t>
        </is>
      </c>
      <c r="M4860" s="45" t="inlineStr">
        <is>
          <t>46264 (Conception réalisation audiovisuelle)</t>
        </is>
      </c>
      <c r="N4860" s="50" t="inlineStr">
        <is>
          <t>NON</t>
        </is>
      </c>
      <c r="O4860" s="45" t="inlineStr"/>
    </row>
    <row r="4861" customFormat="1" s="3">
      <c r="A4861" s="45" t="n"/>
      <c r="B4861" s="46" t="inlineStr">
        <is>
          <t>46274</t>
        </is>
      </c>
      <c r="C4861" s="46">
        <f>LEFT(Tableau1[[#This Row],[Formacode]],3)</f>
        <v/>
      </c>
      <c r="D4861" s="47" t="n">
        <v>37299</v>
      </c>
      <c r="E4861" s="48">
        <f>"RNCP"&amp;D4861</f>
        <v/>
      </c>
      <c r="F4861" s="48" t="inlineStr">
        <is>
          <t>CAP - Accessoiriste réalisateur</t>
        </is>
      </c>
      <c r="G4861" s="49">
        <f>E4861&amp;" - "&amp;F4861</f>
        <v/>
      </c>
      <c r="H4861" s="36" t="inlineStr">
        <is>
          <t>RAS</t>
        </is>
      </c>
      <c r="I4861" s="45" t="inlineStr"/>
      <c r="J4861" s="45" t="inlineStr">
        <is>
          <t>RNCP37299</t>
        </is>
      </c>
      <c r="K4861" s="45" t="inlineStr">
        <is>
          <t>Accessoiriste réalisateur</t>
        </is>
      </c>
      <c r="L4861" s="45" t="inlineStr">
        <is>
          <t>31/08/2028</t>
        </is>
      </c>
      <c r="M4861" s="45" t="inlineStr">
        <is>
          <t>45040 (Décor accessoire spectacle) ; 46274 (Cinéma)</t>
        </is>
      </c>
      <c r="N4861" s="50" t="inlineStr">
        <is>
          <t>NON</t>
        </is>
      </c>
      <c r="O4861" s="45" t="inlineStr"/>
    </row>
    <row r="4862" customFormat="1" s="3">
      <c r="A4862" s="45" t="n"/>
      <c r="B4862" s="46" t="inlineStr">
        <is>
          <t>46274</t>
        </is>
      </c>
      <c r="C4862" s="46">
        <f>LEFT(Tableau1[[#This Row],[Formacode]],3)</f>
        <v/>
      </c>
      <c r="D4862" s="47" t="n">
        <v>38832</v>
      </c>
      <c r="E4862" s="48">
        <f>"RNCP"&amp;D4862</f>
        <v/>
      </c>
      <c r="F4862" s="48" t="inlineStr">
        <is>
          <t>Chargé de production dans les industries créatives et culturelles</t>
        </is>
      </c>
      <c r="G4862" s="49">
        <f>E4862&amp;" - "&amp;F4862</f>
        <v/>
      </c>
      <c r="H4862" s="36" t="inlineStr">
        <is>
          <t>RAS</t>
        </is>
      </c>
      <c r="I4862" s="45" t="inlineStr"/>
      <c r="J4862" s="45" t="inlineStr">
        <is>
          <t>RNCP38832</t>
        </is>
      </c>
      <c r="K4862" s="45" t="inlineStr">
        <is>
          <t>Chargé de production dans les industries créatives et culturelles</t>
        </is>
      </c>
      <c r="L4862" s="45" t="inlineStr">
        <is>
          <t>27/03/2027</t>
        </is>
      </c>
      <c r="M4862" s="45" t="inlineStr">
        <is>
          <t>46244 (Gestion production audiovisuelle) ; 45052 (Production spectacle) ; 46274 (Cinéma) ; 45060 (Régie spectacle) ; 46340 (Communication événementielle)</t>
        </is>
      </c>
      <c r="N4862" s="50" t="inlineStr">
        <is>
          <t>NON</t>
        </is>
      </c>
      <c r="O4862" s="45" t="inlineStr"/>
    </row>
    <row r="4863" customFormat="1" s="3">
      <c r="A4863" s="45" t="n"/>
      <c r="B4863" s="46" t="inlineStr">
        <is>
          <t>46274</t>
        </is>
      </c>
      <c r="C4863" s="46">
        <f>LEFT(Tableau1[[#This Row],[Formacode]],3)</f>
        <v/>
      </c>
      <c r="D4863" s="47" t="n">
        <v>39253</v>
      </c>
      <c r="E4863" s="48">
        <f>"RNCP"&amp;D4863</f>
        <v/>
      </c>
      <c r="F4863" s="48" t="inlineStr">
        <is>
          <t>Auteur réalisateur</t>
        </is>
      </c>
      <c r="G4863" s="49">
        <f>E4863&amp;" - "&amp;F4863</f>
        <v/>
      </c>
      <c r="H4863" s="36" t="inlineStr">
        <is>
          <t>RAS</t>
        </is>
      </c>
      <c r="I4863" s="45" t="inlineStr"/>
      <c r="J4863" s="45" t="inlineStr">
        <is>
          <t>RNCP39253</t>
        </is>
      </c>
      <c r="K4863" s="45" t="inlineStr">
        <is>
          <t>Auteur réalisateur</t>
        </is>
      </c>
      <c r="L4863" s="45" t="inlineStr">
        <is>
          <t>27/06/2027</t>
        </is>
      </c>
      <c r="M4863" s="45" t="inlineStr">
        <is>
          <t>46264 (Conception réalisation audiovisuelle) ; 46274 (Cinéma) ; 46245 (Radio télévision)</t>
        </is>
      </c>
      <c r="N4863" s="50" t="inlineStr">
        <is>
          <t>NON</t>
        </is>
      </c>
      <c r="O4863" s="45" t="inlineStr"/>
    </row>
    <row r="4864" customFormat="1" s="3">
      <c r="A4864" s="51" t="n"/>
      <c r="B4864" s="52" t="inlineStr">
        <is>
          <t>46274</t>
        </is>
      </c>
      <c r="C4864" s="52">
        <f>LEFT(Tableau1[[#This Row],[Formacode]],3)</f>
        <v/>
      </c>
      <c r="D4864" s="53" t="n">
        <v>39392</v>
      </c>
      <c r="E4864" s="54">
        <f>"RNCP"&amp;D4864</f>
        <v/>
      </c>
      <c r="F4864" s="54" t="inlineStr">
        <is>
          <t>Assistant réalisateur</t>
        </is>
      </c>
      <c r="G4864" s="55">
        <f>E4864&amp;" - "&amp;F4864</f>
        <v/>
      </c>
      <c r="H4864" s="37" t="inlineStr">
        <is>
          <t>À vérifier</t>
        </is>
      </c>
      <c r="I4864" s="51" t="inlineStr">
        <is>
          <t>Successeur déjà publié : RNCP42150 (Assistant réalisateur) — préparer la bascule de l'offre CPF | Échéance le 19/07/2026 (dans 1 j)</t>
        </is>
      </c>
      <c r="J4864" s="51" t="inlineStr">
        <is>
          <t>RNCP42150</t>
        </is>
      </c>
      <c r="K4864" s="51" t="inlineStr">
        <is>
          <t>Assistant réalisateur</t>
        </is>
      </c>
      <c r="L4864" s="51" t="inlineStr">
        <is>
          <t>19/07/2026</t>
        </is>
      </c>
      <c r="M4864" s="51" t="inlineStr">
        <is>
          <t>46274 (Cinéma) ; 46275 (Film documentaire) ; 46282 (Régie cinéma télévision) ; 46245 (Radio télévision)</t>
        </is>
      </c>
      <c r="N4864" s="62" t="inlineStr">
        <is>
          <t>NON</t>
        </is>
      </c>
      <c r="O4864" s="51" t="inlineStr"/>
    </row>
    <row r="4865" customFormat="1" s="3">
      <c r="A4865" s="45" t="n"/>
      <c r="B4865" s="46" t="inlineStr">
        <is>
          <t>46274</t>
        </is>
      </c>
      <c r="C4865" s="46">
        <f>LEFT(Tableau1[[#This Row],[Formacode]],3)</f>
        <v/>
      </c>
      <c r="D4865" s="47" t="n">
        <v>39749</v>
      </c>
      <c r="E4865" s="48">
        <f>"RNCP"&amp;D4865</f>
        <v/>
      </c>
      <c r="F4865" s="48" t="inlineStr">
        <is>
          <t>Adjoint à la réalisation d'oeuvres cinématographiques ou audiovisuelles</t>
        </is>
      </c>
      <c r="G4865" s="49">
        <f>E4865&amp;" - "&amp;F4865</f>
        <v/>
      </c>
      <c r="H4865" s="36" t="inlineStr">
        <is>
          <t>RAS</t>
        </is>
      </c>
      <c r="I4865" s="45" t="inlineStr"/>
      <c r="J4865" s="45" t="inlineStr">
        <is>
          <t>RNCP39749</t>
        </is>
      </c>
      <c r="K4865" s="45" t="inlineStr">
        <is>
          <t>Adjoint à la réalisation d'oeuvres cinématographiques ou audiovisuelles</t>
        </is>
      </c>
      <c r="L4865" s="45" t="inlineStr">
        <is>
          <t>31/10/2029</t>
        </is>
      </c>
      <c r="M4865" s="45" t="inlineStr">
        <is>
          <t>46274 (Cinéma) ; 46264 (Conception réalisation audiovisuelle)</t>
        </is>
      </c>
      <c r="N4865" s="50" t="inlineStr">
        <is>
          <t>NON</t>
        </is>
      </c>
      <c r="O4865" s="45" t="inlineStr"/>
    </row>
    <row r="4866" customFormat="1" s="3">
      <c r="A4866" s="45" t="n"/>
      <c r="B4866" s="46" t="inlineStr">
        <is>
          <t>46274</t>
        </is>
      </c>
      <c r="C4866" s="46">
        <f>LEFT(Tableau1[[#This Row],[Formacode]],3)</f>
        <v/>
      </c>
      <c r="D4866" s="47" t="n">
        <v>40565</v>
      </c>
      <c r="E4866" s="48">
        <f>"RNCP"&amp;D4866</f>
        <v/>
      </c>
      <c r="F4866" s="48" t="inlineStr">
        <is>
          <t>CQP Administrateur de production cinéma - audiovisuel</t>
        </is>
      </c>
      <c r="G4866" s="49">
        <f>E4866&amp;" - "&amp;F4866</f>
        <v/>
      </c>
      <c r="H4866" s="36" t="inlineStr">
        <is>
          <t>RAS</t>
        </is>
      </c>
      <c r="I4866" s="45" t="inlineStr"/>
      <c r="J4866" s="45" t="inlineStr">
        <is>
          <t>RNCP40565</t>
        </is>
      </c>
      <c r="K4866" s="45" t="inlineStr">
        <is>
          <t>CQP Administrateur de production cinéma - audiovisuel</t>
        </is>
      </c>
      <c r="L4866" s="45" t="inlineStr">
        <is>
          <t>30/04/2030</t>
        </is>
      </c>
      <c r="M4866" s="45" t="inlineStr">
        <is>
          <t>46264 (Conception réalisation audiovisuelle) ; 46274 (Cinéma) ; 32654 (Gestion financière comptabilité)</t>
        </is>
      </c>
      <c r="N4866" s="50" t="inlineStr">
        <is>
          <t>NON</t>
        </is>
      </c>
      <c r="O4866" s="45" t="inlineStr"/>
    </row>
    <row r="4867" customFormat="1" s="3">
      <c r="A4867" s="45" t="n"/>
      <c r="B4867" s="46" t="inlineStr">
        <is>
          <t>46274</t>
        </is>
      </c>
      <c r="C4867" s="46">
        <f>LEFT(Tableau1[[#This Row],[Formacode]],3)</f>
        <v/>
      </c>
      <c r="D4867" s="47" t="n">
        <v>40642</v>
      </c>
      <c r="E4867" s="48">
        <f>"RNCP"&amp;D4867</f>
        <v/>
      </c>
      <c r="F4867" s="48" t="inlineStr">
        <is>
          <t>Assistant de production cinéma, audiovisuel et contenus numériques</t>
        </is>
      </c>
      <c r="G4867" s="49">
        <f>E4867&amp;" - "&amp;F4867</f>
        <v/>
      </c>
      <c r="H4867" s="36" t="inlineStr">
        <is>
          <t>RAS</t>
        </is>
      </c>
      <c r="I4867" s="45" t="inlineStr"/>
      <c r="J4867" s="45" t="inlineStr">
        <is>
          <t>RNCP40642</t>
        </is>
      </c>
      <c r="K4867" s="45" t="inlineStr">
        <is>
          <t>Assistant de production cinéma, audiovisuel et contenus numériques</t>
        </is>
      </c>
      <c r="L4867" s="45" t="inlineStr">
        <is>
          <t>23/05/2030</t>
        </is>
      </c>
      <c r="M4867" s="45" t="inlineStr">
        <is>
          <t>46274 (Cinéma) ; 46244 (Gestion production audiovisuelle) ; 46217 (Conception réalisation transmédia) ; 46339 (Conduite projet numérique)</t>
        </is>
      </c>
      <c r="N4867" s="50" t="inlineStr">
        <is>
          <t>NON</t>
        </is>
      </c>
      <c r="O4867" s="45" t="inlineStr"/>
    </row>
    <row r="4868" customFormat="1" s="3">
      <c r="A4868" s="45" t="n"/>
      <c r="B4868" s="46" t="inlineStr">
        <is>
          <t>46274</t>
        </is>
      </c>
      <c r="C4868" s="46">
        <f>LEFT(Tableau1[[#This Row],[Formacode]],3)</f>
        <v/>
      </c>
      <c r="D4868" s="47" t="n">
        <v>41481</v>
      </c>
      <c r="E4868" s="48">
        <f>"RNCP"&amp;D4868</f>
        <v/>
      </c>
      <c r="F4868" s="48" t="inlineStr">
        <is>
          <t>Assistant de réalisation cinéma, audiovisuel et contenus numériques</t>
        </is>
      </c>
      <c r="G4868" s="49">
        <f>E4868&amp;" - "&amp;F4868</f>
        <v/>
      </c>
      <c r="H4868" s="36" t="inlineStr">
        <is>
          <t>RAS</t>
        </is>
      </c>
      <c r="I4868" s="45" t="inlineStr"/>
      <c r="J4868" s="45" t="inlineStr">
        <is>
          <t>RNCP41481</t>
        </is>
      </c>
      <c r="K4868" s="45" t="inlineStr">
        <is>
          <t>Assistant de réalisation cinéma, audiovisuel et contenus numériques</t>
        </is>
      </c>
      <c r="L4868" s="45" t="inlineStr">
        <is>
          <t>27/10/2030</t>
        </is>
      </c>
      <c r="M4868" s="45" t="inlineStr">
        <is>
          <t>46274 (Cinéma) ; 46282 (Régie cinéma télévision) ; 46217 (Conception réalisation transmédia)</t>
        </is>
      </c>
      <c r="N4868" s="50" t="inlineStr">
        <is>
          <t>NON</t>
        </is>
      </c>
      <c r="O4868" s="45" t="inlineStr"/>
    </row>
    <row r="4869" customFormat="1" s="3">
      <c r="A4869" s="45" t="n"/>
      <c r="B4869" s="46" t="inlineStr">
        <is>
          <t>46278</t>
        </is>
      </c>
      <c r="C4869" s="46">
        <f>LEFT(Tableau1[[#This Row],[Formacode]],3)</f>
        <v/>
      </c>
      <c r="D4869" s="47" t="n">
        <v>36970</v>
      </c>
      <c r="E4869" s="48">
        <f>"RNCP"&amp;D4869</f>
        <v/>
      </c>
      <c r="F4869" s="48" t="inlineStr">
        <is>
          <t>BTS - Photographie</t>
        </is>
      </c>
      <c r="G4869" s="49">
        <f>E4869&amp;" - "&amp;F4869</f>
        <v/>
      </c>
      <c r="H4869" s="36" t="inlineStr">
        <is>
          <t>RAS</t>
        </is>
      </c>
      <c r="I4869" s="45" t="inlineStr"/>
      <c r="J4869" s="45" t="inlineStr">
        <is>
          <t>RNCP36970</t>
        </is>
      </c>
      <c r="K4869" s="45" t="inlineStr">
        <is>
          <t>Photographie</t>
        </is>
      </c>
      <c r="L4869" s="45" t="inlineStr">
        <is>
          <t>31/08/2027</t>
        </is>
      </c>
      <c r="M4869" s="45" t="inlineStr">
        <is>
          <t>46278 (Photographie)</t>
        </is>
      </c>
      <c r="N4869" s="50" t="inlineStr">
        <is>
          <t>NON</t>
        </is>
      </c>
      <c r="O4869" s="45" t="inlineStr"/>
    </row>
    <row r="4870" customFormat="1" s="3">
      <c r="A4870" s="63" t="n"/>
      <c r="B4870" s="64" t="inlineStr">
        <is>
          <t>46278</t>
        </is>
      </c>
      <c r="C4870" s="64">
        <f>LEFT(Tableau1[[#This Row],[Formacode]],3)</f>
        <v/>
      </c>
      <c r="D4870" s="65" t="n">
        <v>37333</v>
      </c>
      <c r="E4870" s="66">
        <f>"RNCP"&amp;D4870</f>
        <v/>
      </c>
      <c r="F4870" s="66" t="inlineStr">
        <is>
          <t>Photographe</t>
        </is>
      </c>
      <c r="G4870" s="67">
        <f>E4870&amp;" - "&amp;F4870</f>
        <v/>
      </c>
      <c r="H4870" s="38" t="inlineStr">
        <is>
          <t>Expiré / remplacé</t>
        </is>
      </c>
      <c r="I4870" s="63" t="inlineStr">
        <is>
          <t>Fiche inactive (échéance 17/02/2026) — aucun successeur publié</t>
        </is>
      </c>
      <c r="J4870" s="63" t="inlineStr">
        <is>
          <t>RNCP37333</t>
        </is>
      </c>
      <c r="K4870" s="63" t="inlineStr">
        <is>
          <t>Photographe</t>
        </is>
      </c>
      <c r="L4870" s="63" t="inlineStr">
        <is>
          <t>17/02/2026</t>
        </is>
      </c>
      <c r="M4870" s="63" t="inlineStr">
        <is>
          <t>46006 (Acquisition traitement image) ; 46283 (Prise de vue photographie) ; 46392 (Photothèque)</t>
        </is>
      </c>
      <c r="N4870" s="68" t="inlineStr">
        <is>
          <t>NON</t>
        </is>
      </c>
      <c r="O4870" s="63" t="inlineStr"/>
    </row>
    <row r="4871" customFormat="1" s="3">
      <c r="A4871" s="45" t="n"/>
      <c r="B4871" s="46" t="inlineStr">
        <is>
          <t>46278</t>
        </is>
      </c>
      <c r="C4871" s="46">
        <f>LEFT(Tableau1[[#This Row],[Formacode]],3)</f>
        <v/>
      </c>
      <c r="D4871" s="47" t="n">
        <v>39980</v>
      </c>
      <c r="E4871" s="48">
        <f>"RNCP"&amp;D4871</f>
        <v/>
      </c>
      <c r="F4871" s="48" t="inlineStr">
        <is>
          <t>Photographe</t>
        </is>
      </c>
      <c r="G4871" s="49">
        <f>E4871&amp;" - "&amp;F4871</f>
        <v/>
      </c>
      <c r="H4871" s="36" t="inlineStr">
        <is>
          <t>RAS</t>
        </is>
      </c>
      <c r="I4871" s="45" t="inlineStr"/>
      <c r="J4871" s="45" t="inlineStr">
        <is>
          <t>RNCP39980</t>
        </is>
      </c>
      <c r="K4871" s="45" t="inlineStr">
        <is>
          <t>Photographe</t>
        </is>
      </c>
      <c r="L4871" s="45" t="inlineStr">
        <is>
          <t>18/12/2029</t>
        </is>
      </c>
      <c r="M4871" s="45" t="inlineStr">
        <is>
          <t>46278 (Photographie) ; 46006 (Acquisition traitement image) ; 46392 (Photothèque)</t>
        </is>
      </c>
      <c r="N4871" s="50" t="inlineStr">
        <is>
          <t>NON</t>
        </is>
      </c>
      <c r="O4871" s="45" t="inlineStr"/>
    </row>
    <row r="4872" customFormat="1" s="3">
      <c r="A4872" s="45" t="n"/>
      <c r="B4872" s="46" t="inlineStr">
        <is>
          <t>46278</t>
        </is>
      </c>
      <c r="C4872" s="46">
        <f>LEFT(Tableau1[[#This Row],[Formacode]],3)</f>
        <v/>
      </c>
      <c r="D4872" s="47" t="n">
        <v>40173</v>
      </c>
      <c r="E4872" s="48">
        <f>"RNCP"&amp;D4872</f>
        <v/>
      </c>
      <c r="F4872" s="48" t="inlineStr">
        <is>
          <t>Photographe vidéaste</t>
        </is>
      </c>
      <c r="G4872" s="49">
        <f>E4872&amp;" - "&amp;F4872</f>
        <v/>
      </c>
      <c r="H4872" s="36" t="inlineStr">
        <is>
          <t>RAS</t>
        </is>
      </c>
      <c r="I4872" s="45" t="inlineStr"/>
      <c r="J4872" s="45" t="inlineStr">
        <is>
          <t>RNCP40173</t>
        </is>
      </c>
      <c r="K4872" s="45" t="inlineStr">
        <is>
          <t>Photographe vidéaste</t>
        </is>
      </c>
      <c r="L4872" s="45" t="inlineStr">
        <is>
          <t>31/01/2030</t>
        </is>
      </c>
      <c r="M4872" s="45" t="inlineStr">
        <is>
          <t>46278 (Photographie) ; 46264 (Conception réalisation audiovisuelle)</t>
        </is>
      </c>
      <c r="N4872" s="50" t="inlineStr">
        <is>
          <t>NON</t>
        </is>
      </c>
      <c r="O4872" s="45" t="inlineStr"/>
    </row>
    <row r="4873" customFormat="1" s="3">
      <c r="A4873" s="51" t="n"/>
      <c r="B4873" s="52" t="inlineStr">
        <is>
          <t>46301</t>
        </is>
      </c>
      <c r="C4873" s="52">
        <f>LEFT(Tableau1[[#This Row],[Formacode]],3)</f>
        <v/>
      </c>
      <c r="D4873" s="53" t="n">
        <v>35959</v>
      </c>
      <c r="E4873" s="54">
        <f>"RNCP"&amp;D4873</f>
        <v/>
      </c>
      <c r="F4873" s="54" t="inlineStr">
        <is>
          <t>Développeur web</t>
        </is>
      </c>
      <c r="G4873" s="55">
        <f>E4873&amp;" - "&amp;F4873</f>
        <v/>
      </c>
      <c r="H4873" s="37" t="inlineStr">
        <is>
          <t>À vérifier</t>
        </is>
      </c>
      <c r="I4873" s="51" t="inlineStr">
        <is>
          <t>Échéance le 15/10/2026 (dans 89 j)</t>
        </is>
      </c>
      <c r="J4873" s="51" t="inlineStr">
        <is>
          <t>RNCP35959</t>
        </is>
      </c>
      <c r="K4873" s="51" t="inlineStr">
        <is>
          <t>Développeur web</t>
        </is>
      </c>
      <c r="L4873" s="51" t="inlineStr">
        <is>
          <t>15/10/2026</t>
        </is>
      </c>
      <c r="M4873" s="51" t="inlineStr">
        <is>
          <t>31090 (Développement web) ; 46341 (Communication externe) ; 46359 (Réseau social) ; 30805 (Langage PHP)</t>
        </is>
      </c>
      <c r="N4873" s="62" t="inlineStr">
        <is>
          <t>NON</t>
        </is>
      </c>
      <c r="O4873" s="51" t="inlineStr"/>
    </row>
    <row r="4874" customFormat="1" s="3">
      <c r="A4874" s="45" t="n"/>
      <c r="B4874" s="46" t="inlineStr">
        <is>
          <t>46301</t>
        </is>
      </c>
      <c r="C4874" s="46">
        <f>LEFT(Tableau1[[#This Row],[Formacode]],3)</f>
        <v/>
      </c>
      <c r="D4874" s="47" t="n">
        <v>36650</v>
      </c>
      <c r="E4874" s="48">
        <f>"RNCP"&amp;D4874</f>
        <v/>
      </c>
      <c r="F4874" s="48" t="inlineStr">
        <is>
          <t>Responsable de communication</t>
        </is>
      </c>
      <c r="G4874" s="49">
        <f>E4874&amp;" - "&amp;F4874</f>
        <v/>
      </c>
      <c r="H4874" s="36" t="inlineStr">
        <is>
          <t>RAS</t>
        </is>
      </c>
      <c r="I4874" s="45" t="inlineStr"/>
      <c r="J4874" s="45" t="inlineStr">
        <is>
          <t>RNCP36650</t>
        </is>
      </c>
      <c r="K4874" s="45" t="inlineStr">
        <is>
          <t>Responsable de communication</t>
        </is>
      </c>
      <c r="L4874" s="45" t="inlineStr">
        <is>
          <t>01/07/2027</t>
        </is>
      </c>
      <c r="M4874" s="45" t="inlineStr">
        <is>
          <t>15004 (Communication professionnelle) ; 46340 (Communication événementielle) ; 46341 (Communication externe) ; 46347 (Stratégie communication numérique)</t>
        </is>
      </c>
      <c r="N4874" s="50" t="inlineStr">
        <is>
          <t>NON</t>
        </is>
      </c>
      <c r="O4874" s="45" t="inlineStr"/>
    </row>
    <row r="4875" customFormat="1" s="3">
      <c r="A4875" s="45" t="n"/>
      <c r="B4875" s="46" t="inlineStr">
        <is>
          <t>46301</t>
        </is>
      </c>
      <c r="C4875" s="46">
        <f>LEFT(Tableau1[[#This Row],[Formacode]],3)</f>
        <v/>
      </c>
      <c r="D4875" s="47" t="n">
        <v>36991</v>
      </c>
      <c r="E4875" s="48">
        <f>"RNCP"&amp;D4875</f>
        <v/>
      </c>
      <c r="F4875" s="48" t="inlineStr">
        <is>
          <t>Manager de la communication</t>
        </is>
      </c>
      <c r="G4875" s="49">
        <f>E4875&amp;" - "&amp;F4875</f>
        <v/>
      </c>
      <c r="H4875" s="36" t="inlineStr">
        <is>
          <t>RAS</t>
        </is>
      </c>
      <c r="I4875" s="45" t="inlineStr"/>
      <c r="J4875" s="45" t="inlineStr">
        <is>
          <t>RNCP36991</t>
        </is>
      </c>
      <c r="K4875" s="45" t="inlineStr">
        <is>
          <t>Manager de la communication</t>
        </is>
      </c>
      <c r="L4875" s="45" t="inlineStr">
        <is>
          <t>24/10/2027</t>
        </is>
      </c>
      <c r="M4875" s="45" t="inlineStr">
        <is>
          <t>46330 (E-réputation) ; 34260 (Marketing international) ; 34074 (Publicité) ; 32025 (Stratégie entreprise) ; 46341 (Communication externe)</t>
        </is>
      </c>
      <c r="N4875" s="50" t="inlineStr">
        <is>
          <t>NON</t>
        </is>
      </c>
      <c r="O4875" s="45" t="inlineStr"/>
    </row>
    <row r="4876" customFormat="1" s="3">
      <c r="A4876" s="45" t="n"/>
      <c r="B4876" s="46" t="inlineStr">
        <is>
          <t>46301</t>
        </is>
      </c>
      <c r="C4876" s="46">
        <f>LEFT(Tableau1[[#This Row],[Formacode]],3)</f>
        <v/>
      </c>
      <c r="D4876" s="47" t="n">
        <v>37198</v>
      </c>
      <c r="E4876" s="48">
        <f>"RNCP"&amp;D4876</f>
        <v/>
      </c>
      <c r="F4876" s="48" t="inlineStr">
        <is>
          <t>Brevet de technicien supérieur - Communication</t>
        </is>
      </c>
      <c r="G4876" s="49">
        <f>E4876&amp;" - "&amp;F4876</f>
        <v/>
      </c>
      <c r="H4876" s="36" t="inlineStr">
        <is>
          <t>RAS</t>
        </is>
      </c>
      <c r="I4876" s="45" t="inlineStr"/>
      <c r="J4876" s="45" t="inlineStr">
        <is>
          <t>RNCP37198</t>
        </is>
      </c>
      <c r="K4876" s="45" t="inlineStr">
        <is>
          <t>Communication</t>
        </is>
      </c>
      <c r="L4876" s="45" t="inlineStr">
        <is>
          <t>31/08/2028</t>
        </is>
      </c>
      <c r="M4876" s="45" t="inlineStr">
        <is>
          <t>46301 (Communication entreprise) ; 34074 (Publicité)</t>
        </is>
      </c>
      <c r="N4876" s="50" t="inlineStr">
        <is>
          <t>NON</t>
        </is>
      </c>
      <c r="O4876" s="45" t="inlineStr"/>
    </row>
    <row r="4877" customFormat="1" s="3">
      <c r="A4877" s="63" t="n"/>
      <c r="B4877" s="64" t="inlineStr">
        <is>
          <t>46301</t>
        </is>
      </c>
      <c r="C4877" s="64">
        <f>LEFT(Tableau1[[#This Row],[Formacode]],3)</f>
        <v/>
      </c>
      <c r="D4877" s="65" t="n">
        <v>37611</v>
      </c>
      <c r="E4877" s="66">
        <f>"RNCP"&amp;D4877</f>
        <v/>
      </c>
      <c r="F4877" s="66" t="inlineStr">
        <is>
          <t>Régisseur général du spectacle et de l'évènementiel</t>
        </is>
      </c>
      <c r="G4877" s="67">
        <f>E4877&amp;" - "&amp;F4877</f>
        <v/>
      </c>
      <c r="H4877" s="38" t="inlineStr">
        <is>
          <t>Expiré / remplacé</t>
        </is>
      </c>
      <c r="I4877" s="63" t="inlineStr">
        <is>
          <t>Fiche inactive — remplacée par RNCP42043 (Régisseur général du spectacle et de l'évènementiel)</t>
        </is>
      </c>
      <c r="J4877" s="63" t="inlineStr">
        <is>
          <t>RNCP42043</t>
        </is>
      </c>
      <c r="K4877" s="63" t="inlineStr">
        <is>
          <t>Régisseur général du spectacle et de l'évènementiel</t>
        </is>
      </c>
      <c r="L4877" s="63" t="inlineStr">
        <is>
          <t>31/05/2026</t>
        </is>
      </c>
      <c r="M4877" s="63" t="inlineStr">
        <is>
          <t>45052 (Production spectacle) ; 45060 (Régie spectacle) ; 45011 (Sécurité spectacle)</t>
        </is>
      </c>
      <c r="N4877" s="68" t="inlineStr">
        <is>
          <t>NON</t>
        </is>
      </c>
      <c r="O4877" s="63" t="inlineStr"/>
    </row>
    <row r="4878" customFormat="1" s="3">
      <c r="A4878" s="63" t="n"/>
      <c r="B4878" s="64" t="inlineStr">
        <is>
          <t>46301</t>
        </is>
      </c>
      <c r="C4878" s="64">
        <f>LEFT(Tableau1[[#This Row],[Formacode]],3)</f>
        <v/>
      </c>
      <c r="D4878" s="65" t="n">
        <v>37658</v>
      </c>
      <c r="E4878" s="66">
        <f>"RNCP"&amp;D4878</f>
        <v/>
      </c>
      <c r="F4878" s="66" t="inlineStr">
        <is>
          <t>Manager de la communication</t>
        </is>
      </c>
      <c r="G4878" s="67">
        <f>E4878&amp;" - "&amp;F4878</f>
        <v/>
      </c>
      <c r="H4878" s="38" t="inlineStr">
        <is>
          <t>Expiré / remplacé</t>
        </is>
      </c>
      <c r="I4878" s="63" t="inlineStr">
        <is>
          <t>Fiche inactive — remplacée par RNCP42474 (Manager de la communication)</t>
        </is>
      </c>
      <c r="J4878" s="63" t="inlineStr">
        <is>
          <t>RNCP42474</t>
        </is>
      </c>
      <c r="K4878" s="63" t="inlineStr">
        <is>
          <t>Manager de la communication</t>
        </is>
      </c>
      <c r="L4878" s="63" t="inlineStr">
        <is>
          <t>31/05/2026</t>
        </is>
      </c>
      <c r="M4878" s="63" t="inlineStr">
        <is>
          <t>46301 (Communication entreprise) ; 32037 (Gestion communication crise) ; 34074 (Publicité)</t>
        </is>
      </c>
      <c r="N4878" s="68" t="inlineStr">
        <is>
          <t>NON</t>
        </is>
      </c>
      <c r="O4878" s="63" t="inlineStr"/>
    </row>
    <row r="4879" customFormat="1" s="3">
      <c r="A4879" s="45" t="n"/>
      <c r="B4879" s="46" t="inlineStr">
        <is>
          <t>46301</t>
        </is>
      </c>
      <c r="C4879" s="46">
        <f>LEFT(Tableau1[[#This Row],[Formacode]],3)</f>
        <v/>
      </c>
      <c r="D4879" s="47" t="n">
        <v>37662</v>
      </c>
      <c r="E4879" s="48">
        <f>"RNCP"&amp;D4879</f>
        <v/>
      </c>
      <c r="F4879" s="48" t="inlineStr">
        <is>
          <t>Directeur artistique multimédia</t>
        </is>
      </c>
      <c r="G4879" s="49">
        <f>E4879&amp;" - "&amp;F4879</f>
        <v/>
      </c>
      <c r="H4879" s="36" t="inlineStr">
        <is>
          <t>RAS</t>
        </is>
      </c>
      <c r="I4879" s="45" t="inlineStr"/>
      <c r="J4879" s="45" t="inlineStr">
        <is>
          <t>RNCP37662</t>
        </is>
      </c>
      <c r="K4879" s="45" t="inlineStr">
        <is>
          <t>Directeur artistique multimédia</t>
        </is>
      </c>
      <c r="L4879" s="45" t="inlineStr">
        <is>
          <t>31/05/2028</t>
        </is>
      </c>
      <c r="M4879" s="45" t="inlineStr">
        <is>
          <t>34074 (Publicité) ; 46301 (Communication entreprise) ; 46354 (Information - Communication numérique) ; 46347 (Stratégie communication numérique)</t>
        </is>
      </c>
      <c r="N4879" s="50" t="inlineStr">
        <is>
          <t>NON</t>
        </is>
      </c>
      <c r="O4879" s="45" t="inlineStr"/>
    </row>
    <row r="4880" customFormat="1" s="3">
      <c r="A4880" s="51" t="n"/>
      <c r="B4880" s="52" t="inlineStr">
        <is>
          <t>46301</t>
        </is>
      </c>
      <c r="C4880" s="52">
        <f>LEFT(Tableau1[[#This Row],[Formacode]],3)</f>
        <v/>
      </c>
      <c r="D4880" s="53" t="n">
        <v>37775</v>
      </c>
      <c r="E4880" s="54">
        <f>"RNCP"&amp;D4880</f>
        <v/>
      </c>
      <c r="F4880" s="54" t="inlineStr">
        <is>
          <t>Manager de la communication de marque</t>
        </is>
      </c>
      <c r="G4880" s="55">
        <f>E4880&amp;" - "&amp;F4880</f>
        <v/>
      </c>
      <c r="H4880" s="37" t="inlineStr">
        <is>
          <t>À vérifier</t>
        </is>
      </c>
      <c r="I4880" s="51" t="inlineStr">
        <is>
          <t>Successeur déjà publié : RNCP42485 (Manager de la communication de marque) — préparer la bascule de l'offre CPF | Échéance le 19/07/2026 (dans 1 j)</t>
        </is>
      </c>
      <c r="J4880" s="51" t="inlineStr">
        <is>
          <t>RNCP42485</t>
        </is>
      </c>
      <c r="K4880" s="51" t="inlineStr">
        <is>
          <t>Manager de la communication de marque</t>
        </is>
      </c>
      <c r="L4880" s="51" t="inlineStr">
        <is>
          <t>19/07/2026</t>
        </is>
      </c>
      <c r="M4880" s="51" t="inlineStr">
        <is>
          <t>34074 (Publicité) ; 46302 (Gestion entreprise communication information)</t>
        </is>
      </c>
      <c r="N4880" s="62" t="inlineStr">
        <is>
          <t>NON</t>
        </is>
      </c>
      <c r="O4880" s="51" t="inlineStr"/>
    </row>
    <row r="4881" customFormat="1" s="3">
      <c r="A4881" s="51" t="n"/>
      <c r="B4881" s="52" t="inlineStr">
        <is>
          <t>46301</t>
        </is>
      </c>
      <c r="C4881" s="52">
        <f>LEFT(Tableau1[[#This Row],[Formacode]],3)</f>
        <v/>
      </c>
      <c r="D4881" s="53" t="n">
        <v>37776</v>
      </c>
      <c r="E4881" s="54">
        <f>"RNCP"&amp;D4881</f>
        <v/>
      </c>
      <c r="F4881" s="54" t="inlineStr">
        <is>
          <t>Manager du contenu - content manager</t>
        </is>
      </c>
      <c r="G4881" s="55">
        <f>E4881&amp;" - "&amp;F4881</f>
        <v/>
      </c>
      <c r="H4881" s="37" t="inlineStr">
        <is>
          <t>À vérifier</t>
        </is>
      </c>
      <c r="I4881" s="51" t="inlineStr">
        <is>
          <t>Successeur déjà publié : RNCP41795 (Manager du contenu - Content manager) — préparer la bascule de l'offre CPF | Échéance le 19/07/2026 (dans 1 j)</t>
        </is>
      </c>
      <c r="J4881" s="51" t="inlineStr">
        <is>
          <t>RNCP41795</t>
        </is>
      </c>
      <c r="K4881" s="51" t="inlineStr">
        <is>
          <t>Manager du contenu - Content manager</t>
        </is>
      </c>
      <c r="L4881" s="51" t="inlineStr">
        <is>
          <t>19/07/2026</t>
        </is>
      </c>
      <c r="M4881" s="51" t="inlineStr">
        <is>
          <t>46301 (Communication entreprise) ; 46347 (Stratégie communication numérique)</t>
        </is>
      </c>
      <c r="N4881" s="62" t="inlineStr">
        <is>
          <t>NON</t>
        </is>
      </c>
      <c r="O4881" s="51" t="inlineStr"/>
    </row>
    <row r="4882" customFormat="1" s="3">
      <c r="A4882" s="51" t="n"/>
      <c r="B4882" s="52" t="inlineStr">
        <is>
          <t>46301</t>
        </is>
      </c>
      <c r="C4882" s="52">
        <f>LEFT(Tableau1[[#This Row],[Formacode]],3)</f>
        <v/>
      </c>
      <c r="D4882" s="53" t="n">
        <v>37777</v>
      </c>
      <c r="E4882" s="54">
        <f>"RNCP"&amp;D4882</f>
        <v/>
      </c>
      <c r="F4882" s="54" t="inlineStr">
        <is>
          <t>Responsable de communication</t>
        </is>
      </c>
      <c r="G4882" s="55">
        <f>E4882&amp;" - "&amp;F4882</f>
        <v/>
      </c>
      <c r="H4882" s="37" t="inlineStr">
        <is>
          <t>À vérifier</t>
        </is>
      </c>
      <c r="I4882" s="51" t="inlineStr">
        <is>
          <t>Échéance le 19/07/2026 (dans 1 j)</t>
        </is>
      </c>
      <c r="J4882" s="51" t="inlineStr">
        <is>
          <t>RNCP37777</t>
        </is>
      </c>
      <c r="K4882" s="51" t="inlineStr">
        <is>
          <t>Responsable de communication</t>
        </is>
      </c>
      <c r="L4882" s="51" t="inlineStr">
        <is>
          <t>19/07/2026</t>
        </is>
      </c>
      <c r="M4882" s="51" t="inlineStr">
        <is>
          <t>46341 (Communication externe) ; 46311 (Communication interne) ; 46347 (Stratégie communication numérique) ; 46340 (Communication événementielle)</t>
        </is>
      </c>
      <c r="N4882" s="62" t="inlineStr">
        <is>
          <t>NON</t>
        </is>
      </c>
      <c r="O4882" s="51" t="inlineStr"/>
    </row>
    <row r="4883" customFormat="1" s="3">
      <c r="A4883" s="51" t="n"/>
      <c r="B4883" s="52" t="inlineStr">
        <is>
          <t>46301</t>
        </is>
      </c>
      <c r="C4883" s="52">
        <f>LEFT(Tableau1[[#This Row],[Formacode]],3)</f>
        <v/>
      </c>
      <c r="D4883" s="53" t="n">
        <v>37786</v>
      </c>
      <c r="E4883" s="54">
        <f>"RNCP"&amp;D4883</f>
        <v/>
      </c>
      <c r="F4883" s="54" t="inlineStr">
        <is>
          <t>Chargé de marketing et communication</t>
        </is>
      </c>
      <c r="G4883" s="55">
        <f>E4883&amp;" - "&amp;F4883</f>
        <v/>
      </c>
      <c r="H4883" s="37" t="inlineStr">
        <is>
          <t>À vérifier</t>
        </is>
      </c>
      <c r="I4883" s="51" t="inlineStr">
        <is>
          <t>Successeur déjà publié : RNCP41736 (Chargé de marketing et communication) — préparer la bascule de l'offre CPF | Échéance le 19/07/2026 (dans 1 j)</t>
        </is>
      </c>
      <c r="J4883" s="51" t="inlineStr">
        <is>
          <t>RNCP41736</t>
        </is>
      </c>
      <c r="K4883" s="51" t="inlineStr">
        <is>
          <t>Chargé de marketing et communication</t>
        </is>
      </c>
      <c r="L4883" s="51" t="inlineStr">
        <is>
          <t>19/07/2026</t>
        </is>
      </c>
      <c r="M4883" s="51" t="inlineStr">
        <is>
          <t>34093 (Marketing digital) ; 46301 (Communication entreprise) ; 34085 (Stratégie commerciale) ; 32135 (Conduite projet)</t>
        </is>
      </c>
      <c r="N4883" s="62" t="inlineStr">
        <is>
          <t>NON</t>
        </is>
      </c>
      <c r="O4883" s="51" t="inlineStr"/>
    </row>
    <row r="4884" customFormat="1" s="3">
      <c r="A4884" s="51" t="n"/>
      <c r="B4884" s="52" t="inlineStr">
        <is>
          <t>46301</t>
        </is>
      </c>
      <c r="C4884" s="52">
        <f>LEFT(Tableau1[[#This Row],[Formacode]],3)</f>
        <v/>
      </c>
      <c r="D4884" s="53" t="n">
        <v>38125</v>
      </c>
      <c r="E4884" s="54">
        <f>"RNCP"&amp;D4884</f>
        <v/>
      </c>
      <c r="F4884" s="54" t="inlineStr">
        <is>
          <t>Responsable projet communication</t>
        </is>
      </c>
      <c r="G4884" s="55">
        <f>E4884&amp;" - "&amp;F4884</f>
        <v/>
      </c>
      <c r="H4884" s="37" t="inlineStr">
        <is>
          <t>À vérifier</t>
        </is>
      </c>
      <c r="I4884" s="51" t="inlineStr">
        <is>
          <t>Échéance le 18/10/2026 (dans 92 j)</t>
        </is>
      </c>
      <c r="J4884" s="51" t="inlineStr">
        <is>
          <t>RNCP38125</t>
        </is>
      </c>
      <c r="K4884" s="51" t="inlineStr">
        <is>
          <t>Responsable projet communication</t>
        </is>
      </c>
      <c r="L4884" s="51" t="inlineStr">
        <is>
          <t>18/10/2026</t>
        </is>
      </c>
      <c r="M4884" s="51" t="inlineStr">
        <is>
          <t>46311 (Communication interne) ; 46347 (Stratégie communication numérique) ; 46340 (Communication événementielle) ; 46341 (Communication externe)</t>
        </is>
      </c>
      <c r="N4884" s="62" t="inlineStr">
        <is>
          <t>NON</t>
        </is>
      </c>
      <c r="O4884" s="51" t="inlineStr"/>
    </row>
    <row r="4885" customFormat="1" s="3">
      <c r="A4885" s="45" t="n"/>
      <c r="B4885" s="46" t="inlineStr">
        <is>
          <t>46301</t>
        </is>
      </c>
      <c r="C4885" s="46">
        <f>LEFT(Tableau1[[#This Row],[Formacode]],3)</f>
        <v/>
      </c>
      <c r="D4885" s="47" t="n">
        <v>38498</v>
      </c>
      <c r="E4885" s="48">
        <f>"RNCP"&amp;D4885</f>
        <v/>
      </c>
      <c r="F4885" s="48" t="inlineStr">
        <is>
          <t>Manager de la communication</t>
        </is>
      </c>
      <c r="G4885" s="49">
        <f>E4885&amp;" - "&amp;F4885</f>
        <v/>
      </c>
      <c r="H4885" s="36" t="inlineStr">
        <is>
          <t>RAS</t>
        </is>
      </c>
      <c r="I4885" s="45" t="inlineStr"/>
      <c r="J4885" s="45" t="inlineStr">
        <is>
          <t>RNCP38498</t>
        </is>
      </c>
      <c r="K4885" s="45" t="inlineStr">
        <is>
          <t>Manager de la communication</t>
        </is>
      </c>
      <c r="L4885" s="45" t="inlineStr">
        <is>
          <t>21/12/2028</t>
        </is>
      </c>
      <c r="M4885" s="45" t="inlineStr">
        <is>
          <t>46341 (Communication externe) ; 46311 (Communication interne)</t>
        </is>
      </c>
      <c r="N4885" s="50" t="inlineStr">
        <is>
          <t>NON</t>
        </is>
      </c>
      <c r="O4885" s="45" t="inlineStr"/>
    </row>
    <row r="4886" customFormat="1" s="3">
      <c r="A4886" s="45" t="n"/>
      <c r="B4886" s="46" t="inlineStr">
        <is>
          <t>46301</t>
        </is>
      </c>
      <c r="C4886" s="46">
        <f>LEFT(Tableau1[[#This Row],[Formacode]],3)</f>
        <v/>
      </c>
      <c r="D4886" s="47" t="n">
        <v>38605</v>
      </c>
      <c r="E4886" s="48">
        <f>"RNCP"&amp;D4886</f>
        <v/>
      </c>
      <c r="F4886" s="48" t="inlineStr">
        <is>
          <t>Responsable de projet marketing communication</t>
        </is>
      </c>
      <c r="G4886" s="49">
        <f>E4886&amp;" - "&amp;F4886</f>
        <v/>
      </c>
      <c r="H4886" s="36" t="inlineStr">
        <is>
          <t>RAS</t>
        </is>
      </c>
      <c r="I4886" s="45" t="inlineStr"/>
      <c r="J4886" s="45" t="inlineStr">
        <is>
          <t>RNCP38605</t>
        </is>
      </c>
      <c r="K4886" s="45" t="inlineStr">
        <is>
          <t>Responsable de projet marketing communication</t>
        </is>
      </c>
      <c r="L4886" s="45" t="inlineStr">
        <is>
          <t>09/02/2027</t>
        </is>
      </c>
      <c r="M4886" s="45" t="inlineStr">
        <is>
          <t>34093 (Marketing digital) ; 46301 (Communication entreprise)</t>
        </is>
      </c>
      <c r="N4886" s="50" t="inlineStr">
        <is>
          <t>NON</t>
        </is>
      </c>
      <c r="O4886" s="45" t="inlineStr"/>
    </row>
    <row r="4887" customFormat="1" s="3">
      <c r="A4887" s="45" t="n"/>
      <c r="B4887" s="46" t="inlineStr">
        <is>
          <t>46301</t>
        </is>
      </c>
      <c r="C4887" s="46">
        <f>LEFT(Tableau1[[#This Row],[Formacode]],3)</f>
        <v/>
      </c>
      <c r="D4887" s="47" t="n">
        <v>38832</v>
      </c>
      <c r="E4887" s="48">
        <f>"RNCP"&amp;D4887</f>
        <v/>
      </c>
      <c r="F4887" s="48" t="inlineStr">
        <is>
          <t>Chargé de production dans les industries créatives et culturelles</t>
        </is>
      </c>
      <c r="G4887" s="49">
        <f>E4887&amp;" - "&amp;F4887</f>
        <v/>
      </c>
      <c r="H4887" s="36" t="inlineStr">
        <is>
          <t>RAS</t>
        </is>
      </c>
      <c r="I4887" s="45" t="inlineStr"/>
      <c r="J4887" s="45" t="inlineStr">
        <is>
          <t>RNCP38832</t>
        </is>
      </c>
      <c r="K4887" s="45" t="inlineStr">
        <is>
          <t>Chargé de production dans les industries créatives et culturelles</t>
        </is>
      </c>
      <c r="L4887" s="45" t="inlineStr">
        <is>
          <t>27/03/2027</t>
        </is>
      </c>
      <c r="M4887" s="45" t="inlineStr">
        <is>
          <t>46244 (Gestion production audiovisuelle) ; 45052 (Production spectacle) ; 46274 (Cinéma) ; 45060 (Régie spectacle) ; 46340 (Communication événementielle)</t>
        </is>
      </c>
      <c r="N4887" s="50" t="inlineStr">
        <is>
          <t>NON</t>
        </is>
      </c>
      <c r="O4887" s="45" t="inlineStr"/>
    </row>
    <row r="4888" customFormat="1" s="3">
      <c r="A4888" s="45" t="n"/>
      <c r="B4888" s="46" t="inlineStr">
        <is>
          <t>46301</t>
        </is>
      </c>
      <c r="C4888" s="46">
        <f>LEFT(Tableau1[[#This Row],[Formacode]],3)</f>
        <v/>
      </c>
      <c r="D4888" s="47" t="n">
        <v>39136</v>
      </c>
      <c r="E4888" s="48">
        <f>"RNCP"&amp;D4888</f>
        <v/>
      </c>
      <c r="F4888" s="48" t="inlineStr">
        <is>
          <t>Grade_Master - Diplôme des Instituts d’Études Politiques – Sciences Po</t>
        </is>
      </c>
      <c r="G4888" s="49">
        <f>E4888&amp;" - "&amp;F4888</f>
        <v/>
      </c>
      <c r="H4888" s="36" t="inlineStr">
        <is>
          <t>RAS</t>
        </is>
      </c>
      <c r="I4888" s="45" t="inlineStr"/>
      <c r="J4888" s="45" t="inlineStr">
        <is>
          <t>RNCP39136</t>
        </is>
      </c>
      <c r="K4888" s="45" t="inlineStr">
        <is>
          <t>Diplôme des Instituts d’Études Politiques – Sciences Po</t>
        </is>
      </c>
      <c r="L4888" s="45" t="inlineStr">
        <is>
          <t>14/04/2029</t>
        </is>
      </c>
      <c r="M4888" s="45" t="inlineStr">
        <is>
          <t>13154 (Économie) ; 13054 (Science politique) ; 46354 (Information - Communication numérique) ; 32154 (Encadrement management) ; 13254 (Droit)</t>
        </is>
      </c>
      <c r="N4888" s="50" t="inlineStr">
        <is>
          <t>NON</t>
        </is>
      </c>
      <c r="O4888" s="45" t="inlineStr"/>
    </row>
    <row r="4889" customFormat="1" s="3">
      <c r="A4889" s="45" t="n"/>
      <c r="B4889" s="46" t="inlineStr">
        <is>
          <t>46301</t>
        </is>
      </c>
      <c r="C4889" s="46">
        <f>LEFT(Tableau1[[#This Row],[Formacode]],3)</f>
        <v/>
      </c>
      <c r="D4889" s="47" t="n">
        <v>39249</v>
      </c>
      <c r="E4889" s="48">
        <f>"RNCP"&amp;D4889</f>
        <v/>
      </c>
      <c r="F4889" s="48" t="inlineStr">
        <is>
          <t>Responsable communication</t>
        </is>
      </c>
      <c r="G4889" s="49">
        <f>E4889&amp;" - "&amp;F4889</f>
        <v/>
      </c>
      <c r="H4889" s="36" t="inlineStr">
        <is>
          <t>RAS</t>
        </is>
      </c>
      <c r="I4889" s="45" t="inlineStr"/>
      <c r="J4889" s="45" t="inlineStr">
        <is>
          <t>RNCP39249</t>
        </is>
      </c>
      <c r="K4889" s="45" t="inlineStr">
        <is>
          <t>Responsable communication</t>
        </is>
      </c>
      <c r="L4889" s="45" t="inlineStr">
        <is>
          <t>27/06/2029</t>
        </is>
      </c>
      <c r="M4889" s="45" t="inlineStr">
        <is>
          <t>46340 (Communication événementielle) ; 46341 (Communication externe) ; 46347 (Stratégie communication numérique)</t>
        </is>
      </c>
      <c r="N4889" s="50" t="inlineStr">
        <is>
          <t>NON</t>
        </is>
      </c>
      <c r="O4889" s="45" t="inlineStr"/>
    </row>
    <row r="4890" customFormat="1" s="3">
      <c r="A4890" s="45" t="n"/>
      <c r="B4890" s="46" t="inlineStr">
        <is>
          <t>46301</t>
        </is>
      </c>
      <c r="C4890" s="46">
        <f>LEFT(Tableau1[[#This Row],[Formacode]],3)</f>
        <v/>
      </c>
      <c r="D4890" s="47" t="n">
        <v>39741</v>
      </c>
      <c r="E4890" s="48">
        <f>"RNCP"&amp;D4890</f>
        <v/>
      </c>
      <c r="F4890" s="48" t="inlineStr">
        <is>
          <t>Chargé de communication</t>
        </is>
      </c>
      <c r="G4890" s="49">
        <f>E4890&amp;" - "&amp;F4890</f>
        <v/>
      </c>
      <c r="H4890" s="36" t="inlineStr">
        <is>
          <t>RAS</t>
        </is>
      </c>
      <c r="I4890" s="45" t="inlineStr"/>
      <c r="J4890" s="45" t="inlineStr">
        <is>
          <t>RNCP39741</t>
        </is>
      </c>
      <c r="K4890" s="45" t="inlineStr">
        <is>
          <t>Chargé de communication</t>
        </is>
      </c>
      <c r="L4890" s="45" t="inlineStr">
        <is>
          <t>31/10/2027</t>
        </is>
      </c>
      <c r="M4890" s="45" t="inlineStr">
        <is>
          <t>46354 (Information - Communication numérique)</t>
        </is>
      </c>
      <c r="N4890" s="50" t="inlineStr">
        <is>
          <t>NON</t>
        </is>
      </c>
      <c r="O4890" s="45" t="inlineStr"/>
    </row>
    <row r="4891" customFormat="1" s="3">
      <c r="A4891" s="45" t="n"/>
      <c r="B4891" s="46" t="inlineStr">
        <is>
          <t>46301</t>
        </is>
      </c>
      <c r="C4891" s="46">
        <f>LEFT(Tableau1[[#This Row],[Formacode]],3)</f>
        <v/>
      </c>
      <c r="D4891" s="47" t="n">
        <v>39767</v>
      </c>
      <c r="E4891" s="48">
        <f>"RNCP"&amp;D4891</f>
        <v/>
      </c>
      <c r="F4891" s="48" t="inlineStr">
        <is>
          <t>Chargé de communication multicanale</t>
        </is>
      </c>
      <c r="G4891" s="49">
        <f>E4891&amp;" - "&amp;F4891</f>
        <v/>
      </c>
      <c r="H4891" s="36" t="inlineStr">
        <is>
          <t>RAS</t>
        </is>
      </c>
      <c r="I4891" s="45" t="inlineStr"/>
      <c r="J4891" s="45" t="inlineStr">
        <is>
          <t>RNCP39767</t>
        </is>
      </c>
      <c r="K4891" s="45" t="inlineStr">
        <is>
          <t>Chargé de communication multicanale</t>
        </is>
      </c>
      <c r="L4891" s="45" t="inlineStr">
        <is>
          <t>31/10/2027</t>
        </is>
      </c>
      <c r="M4891" s="45" t="inlineStr">
        <is>
          <t>46301 (Communication entreprise) ; 46359 (Réseau social)</t>
        </is>
      </c>
      <c r="N4891" s="50" t="inlineStr">
        <is>
          <t>NON</t>
        </is>
      </c>
      <c r="O4891" s="45" t="inlineStr"/>
    </row>
    <row r="4892" customFormat="1" s="3">
      <c r="A4892" s="45" t="n"/>
      <c r="B4892" s="46" t="inlineStr">
        <is>
          <t>46301</t>
        </is>
      </c>
      <c r="C4892" s="46">
        <f>LEFT(Tableau1[[#This Row],[Formacode]],3)</f>
        <v/>
      </c>
      <c r="D4892" s="47" t="n">
        <v>39879</v>
      </c>
      <c r="E4892" s="48">
        <f>"RNCP"&amp;D4892</f>
        <v/>
      </c>
      <c r="F4892" s="48" t="inlineStr">
        <is>
          <t>Manager des institutions et des affaires publiques</t>
        </is>
      </c>
      <c r="G4892" s="49">
        <f>E4892&amp;" - "&amp;F4892</f>
        <v/>
      </c>
      <c r="H4892" s="36" t="inlineStr">
        <is>
          <t>RAS</t>
        </is>
      </c>
      <c r="I4892" s="45" t="inlineStr"/>
      <c r="J4892" s="45" t="inlineStr">
        <is>
          <t>RNCP39879</t>
        </is>
      </c>
      <c r="K4892" s="45" t="inlineStr">
        <is>
          <t>Manager des institutions et des affaires publiques</t>
        </is>
      </c>
      <c r="L4892" s="45" t="inlineStr">
        <is>
          <t>28/11/2029</t>
        </is>
      </c>
      <c r="M4892" s="45" t="inlineStr">
        <is>
          <t>13121 (Gestion publique) ; 13027 (Politique publique) ; 46355 (Relations publiques) ; 32136 (Conduite projet international)</t>
        </is>
      </c>
      <c r="N4892" s="50" t="inlineStr">
        <is>
          <t>NON</t>
        </is>
      </c>
      <c r="O4892" s="45" t="inlineStr"/>
    </row>
    <row r="4893" customFormat="1" s="3">
      <c r="A4893" s="45" t="n"/>
      <c r="B4893" s="46" t="inlineStr">
        <is>
          <t>46301</t>
        </is>
      </c>
      <c r="C4893" s="46">
        <f>LEFT(Tableau1[[#This Row],[Formacode]],3)</f>
        <v/>
      </c>
      <c r="D4893" s="47" t="n">
        <v>40661</v>
      </c>
      <c r="E4893" s="48">
        <f>"RNCP"&amp;D4893</f>
        <v/>
      </c>
      <c r="F4893" s="48" t="inlineStr">
        <is>
          <t>Chargé de projets artistiques et culturels</t>
        </is>
      </c>
      <c r="G4893" s="49">
        <f>E4893&amp;" - "&amp;F4893</f>
        <v/>
      </c>
      <c r="H4893" s="36" t="inlineStr">
        <is>
          <t>RAS</t>
        </is>
      </c>
      <c r="I4893" s="45" t="inlineStr"/>
      <c r="J4893" s="45" t="inlineStr">
        <is>
          <t>RNCP40661</t>
        </is>
      </c>
      <c r="K4893" s="45" t="inlineStr">
        <is>
          <t>Chargé de projets artistiques et culturels</t>
        </is>
      </c>
      <c r="L4893" s="45" t="inlineStr">
        <is>
          <t>23/05/2030</t>
        </is>
      </c>
      <c r="M4893" s="45" t="inlineStr">
        <is>
          <t>45052 (Production spectacle) ; 44035 (Médiation socioculturelle) ; 45075 (Commerce art) ; 46340 (Communication événementielle)</t>
        </is>
      </c>
      <c r="N4893" s="50" t="inlineStr">
        <is>
          <t>NON</t>
        </is>
      </c>
      <c r="O4893" s="45" t="inlineStr"/>
    </row>
    <row r="4894" customFormat="1" s="3">
      <c r="A4894" s="45" t="n"/>
      <c r="B4894" s="46" t="inlineStr">
        <is>
          <t>46301</t>
        </is>
      </c>
      <c r="C4894" s="46">
        <f>LEFT(Tableau1[[#This Row],[Formacode]],3)</f>
        <v/>
      </c>
      <c r="D4894" s="47" t="n">
        <v>40674</v>
      </c>
      <c r="E4894" s="48">
        <f>"RNCP"&amp;D4894</f>
        <v/>
      </c>
      <c r="F4894" s="48" t="inlineStr">
        <is>
          <t>Manager de l'ingénierie culturelle</t>
        </is>
      </c>
      <c r="G4894" s="49">
        <f>E4894&amp;" - "&amp;F4894</f>
        <v/>
      </c>
      <c r="H4894" s="36" t="inlineStr">
        <is>
          <t>RAS</t>
        </is>
      </c>
      <c r="I4894" s="45" t="inlineStr"/>
      <c r="J4894" s="45" t="inlineStr">
        <is>
          <t>RNCP40674</t>
        </is>
      </c>
      <c r="K4894" s="45" t="inlineStr">
        <is>
          <t>Manager de l'ingénierie culturelle</t>
        </is>
      </c>
      <c r="L4894" s="45" t="inlineStr">
        <is>
          <t>23/05/2030</t>
        </is>
      </c>
      <c r="M4894" s="45" t="inlineStr">
        <is>
          <t>45052 (Production spectacle) ; 13096 (Politique culturelle) ; 44035 (Médiation socioculturelle) ; 46340 (Communication événementielle)</t>
        </is>
      </c>
      <c r="N4894" s="50" t="inlineStr">
        <is>
          <t>NON</t>
        </is>
      </c>
      <c r="O4894" s="45" t="inlineStr"/>
    </row>
    <row r="4895" customFormat="1" s="3">
      <c r="A4895" s="45" t="n"/>
      <c r="B4895" s="46" t="inlineStr">
        <is>
          <t>46301</t>
        </is>
      </c>
      <c r="C4895" s="46">
        <f>LEFT(Tableau1[[#This Row],[Formacode]],3)</f>
        <v/>
      </c>
      <c r="D4895" s="47" t="n">
        <v>40860</v>
      </c>
      <c r="E4895" s="48">
        <f>"RNCP"&amp;D4895</f>
        <v/>
      </c>
      <c r="F4895" s="48" t="inlineStr">
        <is>
          <t>Manager marketing digital et communication</t>
        </is>
      </c>
      <c r="G4895" s="49">
        <f>E4895&amp;" - "&amp;F4895</f>
        <v/>
      </c>
      <c r="H4895" s="36" t="inlineStr">
        <is>
          <t>RAS</t>
        </is>
      </c>
      <c r="I4895" s="45" t="inlineStr"/>
      <c r="J4895" s="45" t="inlineStr">
        <is>
          <t>RNCP40860</t>
        </is>
      </c>
      <c r="K4895" s="45" t="inlineStr">
        <is>
          <t>Manager marketing digital et communication</t>
        </is>
      </c>
      <c r="L4895" s="45" t="inlineStr">
        <is>
          <t>25/06/2028</t>
        </is>
      </c>
      <c r="M4895" s="45" t="inlineStr">
        <is>
          <t>34093 (Marketing digital) ; 46347 (Stratégie communication numérique) ; 46301 (Communication entreprise) ; 34076 (Gestion relation client)</t>
        </is>
      </c>
      <c r="N4895" s="50" t="inlineStr">
        <is>
          <t>NON</t>
        </is>
      </c>
      <c r="O4895" s="45" t="inlineStr"/>
    </row>
    <row r="4896" customFormat="1" s="3">
      <c r="A4896" s="45" t="n"/>
      <c r="B4896" s="46" t="inlineStr">
        <is>
          <t>46301</t>
        </is>
      </c>
      <c r="C4896" s="46">
        <f>LEFT(Tableau1[[#This Row],[Formacode]],3)</f>
        <v/>
      </c>
      <c r="D4896" s="47" t="n">
        <v>40866</v>
      </c>
      <c r="E4896" s="48">
        <f>"RNCP"&amp;D4896</f>
        <v/>
      </c>
      <c r="F4896" s="48" t="inlineStr">
        <is>
          <t>Chargé de communication et du marketing</t>
        </is>
      </c>
      <c r="G4896" s="49">
        <f>E4896&amp;" - "&amp;F4896</f>
        <v/>
      </c>
      <c r="H4896" s="36" t="inlineStr">
        <is>
          <t>RAS</t>
        </is>
      </c>
      <c r="I4896" s="45" t="inlineStr"/>
      <c r="J4896" s="45" t="inlineStr">
        <is>
          <t>RNCP40866</t>
        </is>
      </c>
      <c r="K4896" s="45" t="inlineStr">
        <is>
          <t>Chargé de communication et du marketing</t>
        </is>
      </c>
      <c r="L4896" s="45" t="inlineStr">
        <is>
          <t>25/06/2027</t>
        </is>
      </c>
      <c r="M4896" s="45" t="inlineStr">
        <is>
          <t>46301 (Communication entreprise) ; 34093 (Marketing digital) ; 34031 (Marketing mix)</t>
        </is>
      </c>
      <c r="N4896" s="50" t="inlineStr">
        <is>
          <t>NON</t>
        </is>
      </c>
      <c r="O4896" s="45" t="inlineStr"/>
    </row>
    <row r="4897" customFormat="1" s="3">
      <c r="A4897" s="45" t="n"/>
      <c r="B4897" s="46" t="inlineStr">
        <is>
          <t>46301</t>
        </is>
      </c>
      <c r="C4897" s="46">
        <f>LEFT(Tableau1[[#This Row],[Formacode]],3)</f>
        <v/>
      </c>
      <c r="D4897" s="47" t="n">
        <v>40893</v>
      </c>
      <c r="E4897" s="48">
        <f>"RNCP"&amp;D4897</f>
        <v/>
      </c>
      <c r="F4897" s="48" t="inlineStr">
        <is>
          <t>Chef de projets marketing et communication</t>
        </is>
      </c>
      <c r="G4897" s="49">
        <f>E4897&amp;" - "&amp;F4897</f>
        <v/>
      </c>
      <c r="H4897" s="36" t="inlineStr">
        <is>
          <t>RAS</t>
        </is>
      </c>
      <c r="I4897" s="45" t="inlineStr"/>
      <c r="J4897" s="45" t="inlineStr">
        <is>
          <t>RNCP40893</t>
        </is>
      </c>
      <c r="K4897" s="45" t="inlineStr">
        <is>
          <t>Chef de projets marketing et communication</t>
        </is>
      </c>
      <c r="L4897" s="45" t="inlineStr">
        <is>
          <t>25/06/2028</t>
        </is>
      </c>
      <c r="M4897" s="45" t="inlineStr">
        <is>
          <t>34093 (Marketing digital) ; 46347 (Stratégie communication numérique) ; 46301 (Communication entreprise)</t>
        </is>
      </c>
      <c r="N4897" s="50" t="inlineStr">
        <is>
          <t>NON</t>
        </is>
      </c>
      <c r="O4897" s="45" t="inlineStr"/>
    </row>
    <row r="4898" customFormat="1" s="3">
      <c r="A4898" s="45" t="n"/>
      <c r="B4898" s="46" t="inlineStr">
        <is>
          <t>46301</t>
        </is>
      </c>
      <c r="C4898" s="46">
        <f>LEFT(Tableau1[[#This Row],[Formacode]],3)</f>
        <v/>
      </c>
      <c r="D4898" s="47" t="n">
        <v>40924</v>
      </c>
      <c r="E4898" s="48">
        <f>"RNCP"&amp;D4898</f>
        <v/>
      </c>
      <c r="F4898" s="48" t="inlineStr">
        <is>
          <t>Concepteur en création visuelle</t>
        </is>
      </c>
      <c r="G4898" s="49">
        <f>E4898&amp;" - "&amp;F4898</f>
        <v/>
      </c>
      <c r="H4898" s="36" t="inlineStr">
        <is>
          <t>RAS</t>
        </is>
      </c>
      <c r="I4898" s="45" t="inlineStr"/>
      <c r="J4898" s="45" t="inlineStr">
        <is>
          <t>RNCP40924</t>
        </is>
      </c>
      <c r="K4898" s="45" t="inlineStr">
        <is>
          <t>Concepteur en création visuelle</t>
        </is>
      </c>
      <c r="L4898" s="45" t="inlineStr">
        <is>
          <t>25/06/2028</t>
        </is>
      </c>
      <c r="M4898" s="45" t="inlineStr">
        <is>
          <t>46081 (Création graphique) ; 46276 (Film animation) ; 46244 (Gestion production audiovisuelle) ; 46354 (Information - Communication numérique)</t>
        </is>
      </c>
      <c r="N4898" s="50" t="inlineStr">
        <is>
          <t>NON</t>
        </is>
      </c>
      <c r="O4898" s="45" t="inlineStr"/>
    </row>
    <row r="4899" customFormat="1" s="3">
      <c r="A4899" s="45" t="n"/>
      <c r="B4899" s="46" t="inlineStr">
        <is>
          <t>46301</t>
        </is>
      </c>
      <c r="C4899" s="46">
        <f>LEFT(Tableau1[[#This Row],[Formacode]],3)</f>
        <v/>
      </c>
      <c r="D4899" s="47" t="n">
        <v>41125</v>
      </c>
      <c r="E4899" s="48">
        <f>"RNCP"&amp;D4899</f>
        <v/>
      </c>
      <c r="F4899" s="48" t="inlineStr">
        <is>
          <t>Chargé de communication</t>
        </is>
      </c>
      <c r="G4899" s="49">
        <f>E4899&amp;" - "&amp;F4899</f>
        <v/>
      </c>
      <c r="H4899" s="36" t="inlineStr">
        <is>
          <t>RAS</t>
        </is>
      </c>
      <c r="I4899" s="45" t="inlineStr"/>
      <c r="J4899" s="45" t="inlineStr">
        <is>
          <t>RNCP41125</t>
        </is>
      </c>
      <c r="K4899" s="45" t="inlineStr">
        <is>
          <t>Chargé de communication</t>
        </is>
      </c>
      <c r="L4899" s="45" t="inlineStr">
        <is>
          <t>18/07/2030</t>
        </is>
      </c>
      <c r="M4899" s="45" t="inlineStr">
        <is>
          <t>46301 (Communication entreprise) ; 46347 (Stratégie communication numérique) ; 46081 (Création graphique)</t>
        </is>
      </c>
      <c r="N4899" s="50" t="inlineStr">
        <is>
          <t>NON</t>
        </is>
      </c>
      <c r="O4899" s="45" t="inlineStr"/>
    </row>
    <row r="4900" customFormat="1" s="3">
      <c r="A4900" s="45" t="n"/>
      <c r="B4900" s="46" t="inlineStr">
        <is>
          <t>46301</t>
        </is>
      </c>
      <c r="C4900" s="46">
        <f>LEFT(Tableau1[[#This Row],[Formacode]],3)</f>
        <v/>
      </c>
      <c r="D4900" s="47" t="n">
        <v>41407</v>
      </c>
      <c r="E4900" s="48">
        <f>"RNCP"&amp;D4900</f>
        <v/>
      </c>
      <c r="F4900" s="48" t="inlineStr">
        <is>
          <t>Chargé de communication</t>
        </is>
      </c>
      <c r="G4900" s="49">
        <f>E4900&amp;" - "&amp;F4900</f>
        <v/>
      </c>
      <c r="H4900" s="36" t="inlineStr">
        <is>
          <t>RAS</t>
        </is>
      </c>
      <c r="I4900" s="45" t="inlineStr"/>
      <c r="J4900" s="45" t="inlineStr">
        <is>
          <t>RNCP41407</t>
        </is>
      </c>
      <c r="K4900" s="45" t="inlineStr">
        <is>
          <t>Chargé de communication</t>
        </is>
      </c>
      <c r="L4900" s="45" t="inlineStr">
        <is>
          <t>27/10/2027</t>
        </is>
      </c>
      <c r="M4900" s="45" t="inlineStr">
        <is>
          <t>46301 (Communication entreprise) ; 46329 (Communication numérique)</t>
        </is>
      </c>
      <c r="N4900" s="50" t="inlineStr">
        <is>
          <t>NON</t>
        </is>
      </c>
      <c r="O4900" s="45" t="inlineStr"/>
    </row>
    <row r="4901" customFormat="1" s="3">
      <c r="A4901" s="45" t="n"/>
      <c r="B4901" s="46" t="inlineStr">
        <is>
          <t>46301</t>
        </is>
      </c>
      <c r="C4901" s="46">
        <f>LEFT(Tableau1[[#This Row],[Formacode]],3)</f>
        <v/>
      </c>
      <c r="D4901" s="47" t="n">
        <v>41703</v>
      </c>
      <c r="E4901" s="48">
        <f>"RNCP"&amp;D4901</f>
        <v/>
      </c>
      <c r="F4901" s="48" t="inlineStr">
        <is>
          <t>Manager de la communication</t>
        </is>
      </c>
      <c r="G4901" s="49">
        <f>E4901&amp;" - "&amp;F4901</f>
        <v/>
      </c>
      <c r="H4901" s="36" t="inlineStr">
        <is>
          <t>RAS</t>
        </is>
      </c>
      <c r="I4901" s="45" t="inlineStr"/>
      <c r="J4901" s="45" t="inlineStr">
        <is>
          <t>RNCP41703</t>
        </is>
      </c>
      <c r="K4901" s="45" t="inlineStr">
        <is>
          <t>Manager de la communication</t>
        </is>
      </c>
      <c r="L4901" s="45" t="inlineStr">
        <is>
          <t>27/11/2030</t>
        </is>
      </c>
      <c r="M4901" s="45" t="inlineStr">
        <is>
          <t>46347 (Stratégie communication numérique) ; 46341 (Communication externe) ; 46311 (Communication interne)</t>
        </is>
      </c>
      <c r="N4901" s="50" t="inlineStr">
        <is>
          <t>NON</t>
        </is>
      </c>
      <c r="O4901" s="45" t="inlineStr"/>
    </row>
    <row r="4902" customFormat="1" s="3">
      <c r="A4902" s="45" t="n"/>
      <c r="B4902" s="46" t="inlineStr">
        <is>
          <t>46301</t>
        </is>
      </c>
      <c r="C4902" s="46">
        <f>LEFT(Tableau1[[#This Row],[Formacode]],3)</f>
        <v/>
      </c>
      <c r="D4902" s="47" t="n">
        <v>41795</v>
      </c>
      <c r="E4902" s="48">
        <f>"RNCP"&amp;D4902</f>
        <v/>
      </c>
      <c r="F4902" s="48" t="inlineStr">
        <is>
          <t>Manager du contenu - Content manager</t>
        </is>
      </c>
      <c r="G4902" s="49">
        <f>E4902&amp;" - "&amp;F4902</f>
        <v/>
      </c>
      <c r="H4902" s="36" t="inlineStr">
        <is>
          <t>RAS</t>
        </is>
      </c>
      <c r="I4902" s="45" t="inlineStr"/>
      <c r="J4902" s="45" t="inlineStr">
        <is>
          <t>RNCP41795</t>
        </is>
      </c>
      <c r="K4902" s="45" t="inlineStr">
        <is>
          <t>Manager du contenu - Content manager</t>
        </is>
      </c>
      <c r="L4902" s="45" t="inlineStr">
        <is>
          <t>18/12/2030</t>
        </is>
      </c>
      <c r="M4902" s="45" t="inlineStr">
        <is>
          <t>46301 (Communication entreprise) ; 46347 (Stratégie communication numérique)</t>
        </is>
      </c>
      <c r="N4902" s="50" t="inlineStr">
        <is>
          <t>NON</t>
        </is>
      </c>
      <c r="O4902" s="45" t="inlineStr"/>
    </row>
    <row r="4903" customFormat="1" s="3">
      <c r="A4903" s="45" t="n"/>
      <c r="B4903" s="46" t="inlineStr">
        <is>
          <t>46301</t>
        </is>
      </c>
      <c r="C4903" s="46">
        <f>LEFT(Tableau1[[#This Row],[Formacode]],3)</f>
        <v/>
      </c>
      <c r="D4903" s="47" t="n">
        <v>41802</v>
      </c>
      <c r="E4903" s="48">
        <f>"RNCP"&amp;D4903</f>
        <v/>
      </c>
      <c r="F4903" s="48" t="inlineStr">
        <is>
          <t>Chargé de marketing et de communication digitale</t>
        </is>
      </c>
      <c r="G4903" s="49">
        <f>E4903&amp;" - "&amp;F4903</f>
        <v/>
      </c>
      <c r="H4903" s="36" t="inlineStr">
        <is>
          <t>RAS</t>
        </is>
      </c>
      <c r="I4903" s="45" t="inlineStr"/>
      <c r="J4903" s="45" t="inlineStr">
        <is>
          <t>RNCP41802</t>
        </is>
      </c>
      <c r="K4903" s="45" t="inlineStr">
        <is>
          <t>Chargé de marketing et de communication digitale</t>
        </is>
      </c>
      <c r="L4903" s="45" t="inlineStr">
        <is>
          <t>18/12/2028</t>
        </is>
      </c>
      <c r="M4903" s="45" t="inlineStr">
        <is>
          <t>34093 (Marketing digital) ; 46301 (Communication entreprise) ; 46339 (Conduite projet numérique) ; 46333 (Gestion contenu site web) ; 46347 (Stratégie communication numérique)</t>
        </is>
      </c>
      <c r="N4903" s="50" t="inlineStr">
        <is>
          <t>NON</t>
        </is>
      </c>
      <c r="O4903" s="45" t="inlineStr"/>
    </row>
    <row r="4904" customFormat="1" s="3">
      <c r="A4904" s="45" t="n"/>
      <c r="B4904" s="46" t="inlineStr">
        <is>
          <t>46301</t>
        </is>
      </c>
      <c r="C4904" s="46">
        <f>LEFT(Tableau1[[#This Row],[Formacode]],3)</f>
        <v/>
      </c>
      <c r="D4904" s="47" t="n">
        <v>41809</v>
      </c>
      <c r="E4904" s="48">
        <f>"RNCP"&amp;D4904</f>
        <v/>
      </c>
      <c r="F4904" s="48" t="inlineStr">
        <is>
          <t>Manager de la stratégie marketing digital</t>
        </is>
      </c>
      <c r="G4904" s="49">
        <f>E4904&amp;" - "&amp;F4904</f>
        <v/>
      </c>
      <c r="H4904" s="36" t="inlineStr">
        <is>
          <t>RAS</t>
        </is>
      </c>
      <c r="I4904" s="45" t="inlineStr"/>
      <c r="J4904" s="45" t="inlineStr">
        <is>
          <t>RNCP41809</t>
        </is>
      </c>
      <c r="K4904" s="45" t="inlineStr">
        <is>
          <t>Manager de la stratégie marketing digital</t>
        </is>
      </c>
      <c r="L4904" s="45" t="inlineStr">
        <is>
          <t>18/12/2028</t>
        </is>
      </c>
      <c r="M4904" s="45" t="inlineStr">
        <is>
          <t>46301 (Communication entreprise) ; 15004 (Communication professionnelle) ; 32154 (Encadrement management) ; 34052 (Marketing)</t>
        </is>
      </c>
      <c r="N4904" s="50" t="inlineStr">
        <is>
          <t>NON</t>
        </is>
      </c>
      <c r="O4904" s="45" t="inlineStr"/>
    </row>
    <row r="4905" customFormat="1" s="3">
      <c r="A4905" s="45" t="n"/>
      <c r="B4905" s="46" t="inlineStr">
        <is>
          <t>46302</t>
        </is>
      </c>
      <c r="C4905" s="46">
        <f>LEFT(Tableau1[[#This Row],[Formacode]],3)</f>
        <v/>
      </c>
      <c r="D4905" s="47" t="n">
        <v>37662</v>
      </c>
      <c r="E4905" s="48">
        <f>"RNCP"&amp;D4905</f>
        <v/>
      </c>
      <c r="F4905" s="48" t="inlineStr">
        <is>
          <t>Directeur artistique multimédia</t>
        </is>
      </c>
      <c r="G4905" s="49">
        <f>E4905&amp;" - "&amp;F4905</f>
        <v/>
      </c>
      <c r="H4905" s="36" t="inlineStr">
        <is>
          <t>RAS</t>
        </is>
      </c>
      <c r="I4905" s="45" t="inlineStr"/>
      <c r="J4905" s="45" t="inlineStr">
        <is>
          <t>RNCP37662</t>
        </is>
      </c>
      <c r="K4905" s="45" t="inlineStr">
        <is>
          <t>Directeur artistique multimédia</t>
        </is>
      </c>
      <c r="L4905" s="45" t="inlineStr">
        <is>
          <t>31/05/2028</t>
        </is>
      </c>
      <c r="M4905" s="45" t="inlineStr">
        <is>
          <t>34074 (Publicité) ; 46301 (Communication entreprise) ; 46354 (Information - Communication numérique) ; 46347 (Stratégie communication numérique)</t>
        </is>
      </c>
      <c r="N4905" s="50" t="inlineStr">
        <is>
          <t>NON</t>
        </is>
      </c>
      <c r="O4905" s="45" t="inlineStr"/>
    </row>
    <row r="4906" ht="28.8" customFormat="1" customHeight="1" s="3">
      <c r="A4906" s="45" t="n"/>
      <c r="B4906" s="46" t="inlineStr">
        <is>
          <t>46302</t>
        </is>
      </c>
      <c r="C4906" s="46">
        <f>LEFT(Tableau1[[#This Row],[Formacode]],3)</f>
        <v/>
      </c>
      <c r="D4906" s="47" t="n">
        <v>38421</v>
      </c>
      <c r="E4906" s="48">
        <f>"RNCP"&amp;D4906</f>
        <v/>
      </c>
      <c r="F4906" s="48" t="inlineStr">
        <is>
          <t>BTS - Etudes de réalisation d'un projet de communication - Option A : Études de réalisation de produits plurimédia et B : Études de réalisation de produits imprimés</t>
        </is>
      </c>
      <c r="G4906" s="49">
        <f>E4906&amp;" - "&amp;F4906</f>
        <v/>
      </c>
      <c r="H4906" s="36" t="inlineStr">
        <is>
          <t>RAS</t>
        </is>
      </c>
      <c r="I4906" s="45" t="inlineStr"/>
      <c r="J4906" s="45" t="inlineStr">
        <is>
          <t>RNCP38421</t>
        </is>
      </c>
      <c r="K4906" s="45" t="inlineStr">
        <is>
          <t>Etudes de réalisation d'un projet de communication - Option A : Études de réalisation de produits plurimédia et B : Études de réalisation de produits imprimés</t>
        </is>
      </c>
      <c r="L4906" s="45" t="inlineStr">
        <is>
          <t>31/12/2028</t>
        </is>
      </c>
      <c r="M4906" s="45" t="inlineStr">
        <is>
          <t>46054 (Industrie graphique imprimerie) ; 46302 (Gestion entreprise communication information)</t>
        </is>
      </c>
      <c r="N4906" s="50" t="inlineStr">
        <is>
          <t>NON</t>
        </is>
      </c>
      <c r="O4906" s="45" t="inlineStr"/>
    </row>
    <row r="4907" customFormat="1" s="3">
      <c r="A4907" s="45" t="n"/>
      <c r="B4907" s="46" t="inlineStr">
        <is>
          <t>46302</t>
        </is>
      </c>
      <c r="C4907" s="46">
        <f>LEFT(Tableau1[[#This Row],[Formacode]],3)</f>
        <v/>
      </c>
      <c r="D4907" s="47" t="n">
        <v>39136</v>
      </c>
      <c r="E4907" s="48">
        <f>"RNCP"&amp;D4907</f>
        <v/>
      </c>
      <c r="F4907" s="48" t="inlineStr">
        <is>
          <t>Grade_Master - Diplôme des Instituts d’Études Politiques – Sciences Po</t>
        </is>
      </c>
      <c r="G4907" s="49">
        <f>E4907&amp;" - "&amp;F4907</f>
        <v/>
      </c>
      <c r="H4907" s="36" t="inlineStr">
        <is>
          <t>RAS</t>
        </is>
      </c>
      <c r="I4907" s="45" t="inlineStr"/>
      <c r="J4907" s="45" t="inlineStr">
        <is>
          <t>RNCP39136</t>
        </is>
      </c>
      <c r="K4907" s="45" t="inlineStr">
        <is>
          <t>Diplôme des Instituts d’Études Politiques – Sciences Po</t>
        </is>
      </c>
      <c r="L4907" s="45" t="inlineStr">
        <is>
          <t>14/04/2029</t>
        </is>
      </c>
      <c r="M4907" s="45" t="inlineStr">
        <is>
          <t>13154 (Économie) ; 13054 (Science politique) ; 46354 (Information - Communication numérique) ; 32154 (Encadrement management) ; 13254 (Droit)</t>
        </is>
      </c>
      <c r="N4907" s="50" t="inlineStr">
        <is>
          <t>NON</t>
        </is>
      </c>
      <c r="O4907" s="45" t="inlineStr"/>
    </row>
    <row r="4908" customFormat="1" s="3">
      <c r="A4908" s="45" t="n"/>
      <c r="B4908" s="46" t="inlineStr">
        <is>
          <t>46302</t>
        </is>
      </c>
      <c r="C4908" s="46">
        <f>LEFT(Tableau1[[#This Row],[Formacode]],3)</f>
        <v/>
      </c>
      <c r="D4908" s="47" t="n">
        <v>39741</v>
      </c>
      <c r="E4908" s="48">
        <f>"RNCP"&amp;D4908</f>
        <v/>
      </c>
      <c r="F4908" s="48" t="inlineStr">
        <is>
          <t>Chargé de communication</t>
        </is>
      </c>
      <c r="G4908" s="49">
        <f>E4908&amp;" - "&amp;F4908</f>
        <v/>
      </c>
      <c r="H4908" s="36" t="inlineStr">
        <is>
          <t>RAS</t>
        </is>
      </c>
      <c r="I4908" s="45" t="inlineStr"/>
      <c r="J4908" s="45" t="inlineStr">
        <is>
          <t>RNCP39741</t>
        </is>
      </c>
      <c r="K4908" s="45" t="inlineStr">
        <is>
          <t>Chargé de communication</t>
        </is>
      </c>
      <c r="L4908" s="45" t="inlineStr">
        <is>
          <t>31/10/2027</t>
        </is>
      </c>
      <c r="M4908" s="45" t="inlineStr">
        <is>
          <t>46354 (Information - Communication numérique)</t>
        </is>
      </c>
      <c r="N4908" s="50" t="inlineStr">
        <is>
          <t>NON</t>
        </is>
      </c>
      <c r="O4908" s="45" t="inlineStr"/>
    </row>
    <row r="4909" customFormat="1" s="3">
      <c r="A4909" s="45" t="n"/>
      <c r="B4909" s="46" t="inlineStr">
        <is>
          <t>46302</t>
        </is>
      </c>
      <c r="C4909" s="46">
        <f>LEFT(Tableau1[[#This Row],[Formacode]],3)</f>
        <v/>
      </c>
      <c r="D4909" s="47" t="n">
        <v>40924</v>
      </c>
      <c r="E4909" s="48">
        <f>"RNCP"&amp;D4909</f>
        <v/>
      </c>
      <c r="F4909" s="48" t="inlineStr">
        <is>
          <t>Concepteur en création visuelle</t>
        </is>
      </c>
      <c r="G4909" s="49">
        <f>E4909&amp;" - "&amp;F4909</f>
        <v/>
      </c>
      <c r="H4909" s="36" t="inlineStr">
        <is>
          <t>RAS</t>
        </is>
      </c>
      <c r="I4909" s="45" t="inlineStr"/>
      <c r="J4909" s="45" t="inlineStr">
        <is>
          <t>RNCP40924</t>
        </is>
      </c>
      <c r="K4909" s="45" t="inlineStr">
        <is>
          <t>Concepteur en création visuelle</t>
        </is>
      </c>
      <c r="L4909" s="45" t="inlineStr">
        <is>
          <t>25/06/2028</t>
        </is>
      </c>
      <c r="M4909" s="45" t="inlineStr">
        <is>
          <t>46081 (Création graphique) ; 46276 (Film animation) ; 46244 (Gestion production audiovisuelle) ; 46354 (Information - Communication numérique)</t>
        </is>
      </c>
      <c r="N4909" s="50" t="inlineStr">
        <is>
          <t>NON</t>
        </is>
      </c>
      <c r="O4909" s="45" t="inlineStr"/>
    </row>
    <row r="4910" customFormat="1" s="3">
      <c r="A4910" s="45" t="n"/>
      <c r="B4910" s="46" t="inlineStr">
        <is>
          <t>46304</t>
        </is>
      </c>
      <c r="C4910" s="46">
        <f>LEFT(Tableau1[[#This Row],[Formacode]],3)</f>
        <v/>
      </c>
      <c r="D4910" s="47" t="n">
        <v>37662</v>
      </c>
      <c r="E4910" s="48">
        <f>"RNCP"&amp;D4910</f>
        <v/>
      </c>
      <c r="F4910" s="48" t="inlineStr">
        <is>
          <t>Directeur artistique multimédia</t>
        </is>
      </c>
      <c r="G4910" s="49">
        <f>E4910&amp;" - "&amp;F4910</f>
        <v/>
      </c>
      <c r="H4910" s="36" t="inlineStr">
        <is>
          <t>RAS</t>
        </is>
      </c>
      <c r="I4910" s="45" t="inlineStr"/>
      <c r="J4910" s="45" t="inlineStr">
        <is>
          <t>RNCP37662</t>
        </is>
      </c>
      <c r="K4910" s="45" t="inlineStr">
        <is>
          <t>Directeur artistique multimédia</t>
        </is>
      </c>
      <c r="L4910" s="45" t="inlineStr">
        <is>
          <t>31/05/2028</t>
        </is>
      </c>
      <c r="M4910" s="45" t="inlineStr">
        <is>
          <t>34074 (Publicité) ; 46301 (Communication entreprise) ; 46354 (Information - Communication numérique) ; 46347 (Stratégie communication numérique)</t>
        </is>
      </c>
      <c r="N4910" s="50" t="inlineStr">
        <is>
          <t>NON</t>
        </is>
      </c>
      <c r="O4910" s="45" t="inlineStr"/>
    </row>
    <row r="4911" customFormat="1" s="3">
      <c r="A4911" s="45" t="n"/>
      <c r="B4911" s="46" t="inlineStr">
        <is>
          <t>46304</t>
        </is>
      </c>
      <c r="C4911" s="46">
        <f>LEFT(Tableau1[[#This Row],[Formacode]],3)</f>
        <v/>
      </c>
      <c r="D4911" s="47" t="n">
        <v>39136</v>
      </c>
      <c r="E4911" s="48">
        <f>"RNCP"&amp;D4911</f>
        <v/>
      </c>
      <c r="F4911" s="48" t="inlineStr">
        <is>
          <t>Grade_Master - Diplôme des Instituts d’Études Politiques – Sciences Po</t>
        </is>
      </c>
      <c r="G4911" s="49">
        <f>E4911&amp;" - "&amp;F4911</f>
        <v/>
      </c>
      <c r="H4911" s="36" t="inlineStr">
        <is>
          <t>RAS</t>
        </is>
      </c>
      <c r="I4911" s="45" t="inlineStr"/>
      <c r="J4911" s="45" t="inlineStr">
        <is>
          <t>RNCP39136</t>
        </is>
      </c>
      <c r="K4911" s="45" t="inlineStr">
        <is>
          <t>Diplôme des Instituts d’Études Politiques – Sciences Po</t>
        </is>
      </c>
      <c r="L4911" s="45" t="inlineStr">
        <is>
          <t>14/04/2029</t>
        </is>
      </c>
      <c r="M4911" s="45" t="inlineStr">
        <is>
          <t>13154 (Économie) ; 13054 (Science politique) ; 46354 (Information - Communication numérique) ; 32154 (Encadrement management) ; 13254 (Droit)</t>
        </is>
      </c>
      <c r="N4911" s="50" t="inlineStr">
        <is>
          <t>NON</t>
        </is>
      </c>
      <c r="O4911" s="45" t="inlineStr"/>
    </row>
    <row r="4912" customFormat="1" s="3">
      <c r="A4912" s="45" t="n"/>
      <c r="B4912" s="46" t="inlineStr">
        <is>
          <t>46304</t>
        </is>
      </c>
      <c r="C4912" s="46">
        <f>LEFT(Tableau1[[#This Row],[Formacode]],3)</f>
        <v/>
      </c>
      <c r="D4912" s="47" t="n">
        <v>39741</v>
      </c>
      <c r="E4912" s="48">
        <f>"RNCP"&amp;D4912</f>
        <v/>
      </c>
      <c r="F4912" s="48" t="inlineStr">
        <is>
          <t>Chargé de communication</t>
        </is>
      </c>
      <c r="G4912" s="49">
        <f>E4912&amp;" - "&amp;F4912</f>
        <v/>
      </c>
      <c r="H4912" s="36" t="inlineStr">
        <is>
          <t>RAS</t>
        </is>
      </c>
      <c r="I4912" s="45" t="inlineStr"/>
      <c r="J4912" s="45" t="inlineStr">
        <is>
          <t>RNCP39741</t>
        </is>
      </c>
      <c r="K4912" s="45" t="inlineStr">
        <is>
          <t>Chargé de communication</t>
        </is>
      </c>
      <c r="L4912" s="45" t="inlineStr">
        <is>
          <t>31/10/2027</t>
        </is>
      </c>
      <c r="M4912" s="45" t="inlineStr">
        <is>
          <t>46354 (Information - Communication numérique)</t>
        </is>
      </c>
      <c r="N4912" s="50" t="inlineStr">
        <is>
          <t>NON</t>
        </is>
      </c>
      <c r="O4912" s="45" t="inlineStr"/>
    </row>
    <row r="4913" customFormat="1" s="3">
      <c r="A4913" s="45" t="n"/>
      <c r="B4913" s="46" t="inlineStr">
        <is>
          <t>46304</t>
        </is>
      </c>
      <c r="C4913" s="46">
        <f>LEFT(Tableau1[[#This Row],[Formacode]],3)</f>
        <v/>
      </c>
      <c r="D4913" s="47" t="n">
        <v>40924</v>
      </c>
      <c r="E4913" s="48">
        <f>"RNCP"&amp;D4913</f>
        <v/>
      </c>
      <c r="F4913" s="48" t="inlineStr">
        <is>
          <t>Concepteur en création visuelle</t>
        </is>
      </c>
      <c r="G4913" s="49">
        <f>E4913&amp;" - "&amp;F4913</f>
        <v/>
      </c>
      <c r="H4913" s="36" t="inlineStr">
        <is>
          <t>RAS</t>
        </is>
      </c>
      <c r="I4913" s="45" t="inlineStr"/>
      <c r="J4913" s="45" t="inlineStr">
        <is>
          <t>RNCP40924</t>
        </is>
      </c>
      <c r="K4913" s="45" t="inlineStr">
        <is>
          <t>Concepteur en création visuelle</t>
        </is>
      </c>
      <c r="L4913" s="45" t="inlineStr">
        <is>
          <t>25/06/2028</t>
        </is>
      </c>
      <c r="M4913" s="45" t="inlineStr">
        <is>
          <t>46081 (Création graphique) ; 46276 (Film animation) ; 46244 (Gestion production audiovisuelle) ; 46354 (Information - Communication numérique)</t>
        </is>
      </c>
      <c r="N4913" s="50" t="inlineStr">
        <is>
          <t>NON</t>
        </is>
      </c>
      <c r="O4913" s="45" t="inlineStr"/>
    </row>
    <row r="4914" customFormat="1" s="3">
      <c r="A4914" s="45" t="n"/>
      <c r="B4914" s="46" t="inlineStr">
        <is>
          <t>46305</t>
        </is>
      </c>
      <c r="C4914" s="46">
        <f>LEFT(Tableau1[[#This Row],[Formacode]],3)</f>
        <v/>
      </c>
      <c r="D4914" s="47" t="n">
        <v>37662</v>
      </c>
      <c r="E4914" s="48">
        <f>"RNCP"&amp;D4914</f>
        <v/>
      </c>
      <c r="F4914" s="48" t="inlineStr">
        <is>
          <t>Directeur artistique multimédia</t>
        </is>
      </c>
      <c r="G4914" s="49">
        <f>E4914&amp;" - "&amp;F4914</f>
        <v/>
      </c>
      <c r="H4914" s="36" t="inlineStr">
        <is>
          <t>RAS</t>
        </is>
      </c>
      <c r="I4914" s="45" t="inlineStr"/>
      <c r="J4914" s="45" t="inlineStr">
        <is>
          <t>RNCP37662</t>
        </is>
      </c>
      <c r="K4914" s="45" t="inlineStr">
        <is>
          <t>Directeur artistique multimédia</t>
        </is>
      </c>
      <c r="L4914" s="45" t="inlineStr">
        <is>
          <t>31/05/2028</t>
        </is>
      </c>
      <c r="M4914" s="45" t="inlineStr">
        <is>
          <t>34074 (Publicité) ; 46301 (Communication entreprise) ; 46354 (Information - Communication numérique) ; 46347 (Stratégie communication numérique)</t>
        </is>
      </c>
      <c r="N4914" s="50" t="inlineStr">
        <is>
          <t>NON</t>
        </is>
      </c>
      <c r="O4914" s="45" t="inlineStr"/>
    </row>
    <row r="4915" customFormat="1" s="3">
      <c r="A4915" s="45" t="n"/>
      <c r="B4915" s="46" t="inlineStr">
        <is>
          <t>46305</t>
        </is>
      </c>
      <c r="C4915" s="46">
        <f>LEFT(Tableau1[[#This Row],[Formacode]],3)</f>
        <v/>
      </c>
      <c r="D4915" s="47" t="n">
        <v>39136</v>
      </c>
      <c r="E4915" s="48">
        <f>"RNCP"&amp;D4915</f>
        <v/>
      </c>
      <c r="F4915" s="48" t="inlineStr">
        <is>
          <t>Grade_Master - Diplôme des Instituts d’Études Politiques – Sciences Po</t>
        </is>
      </c>
      <c r="G4915" s="49">
        <f>E4915&amp;" - "&amp;F4915</f>
        <v/>
      </c>
      <c r="H4915" s="36" t="inlineStr">
        <is>
          <t>RAS</t>
        </is>
      </c>
      <c r="I4915" s="45" t="inlineStr"/>
      <c r="J4915" s="45" t="inlineStr">
        <is>
          <t>RNCP39136</t>
        </is>
      </c>
      <c r="K4915" s="45" t="inlineStr">
        <is>
          <t>Diplôme des Instituts d’Études Politiques – Sciences Po</t>
        </is>
      </c>
      <c r="L4915" s="45" t="inlineStr">
        <is>
          <t>14/04/2029</t>
        </is>
      </c>
      <c r="M4915" s="45" t="inlineStr">
        <is>
          <t>13154 (Économie) ; 13054 (Science politique) ; 46354 (Information - Communication numérique) ; 32154 (Encadrement management) ; 13254 (Droit)</t>
        </is>
      </c>
      <c r="N4915" s="50" t="inlineStr">
        <is>
          <t>NON</t>
        </is>
      </c>
      <c r="O4915" s="45" t="inlineStr"/>
    </row>
    <row r="4916" customFormat="1" s="3">
      <c r="A4916" s="45" t="n"/>
      <c r="B4916" s="46" t="inlineStr">
        <is>
          <t>46305</t>
        </is>
      </c>
      <c r="C4916" s="46">
        <f>LEFT(Tableau1[[#This Row],[Formacode]],3)</f>
        <v/>
      </c>
      <c r="D4916" s="47" t="n">
        <v>39741</v>
      </c>
      <c r="E4916" s="48">
        <f>"RNCP"&amp;D4916</f>
        <v/>
      </c>
      <c r="F4916" s="48" t="inlineStr">
        <is>
          <t>Chargé de communication</t>
        </is>
      </c>
      <c r="G4916" s="49">
        <f>E4916&amp;" - "&amp;F4916</f>
        <v/>
      </c>
      <c r="H4916" s="36" t="inlineStr">
        <is>
          <t>RAS</t>
        </is>
      </c>
      <c r="I4916" s="45" t="inlineStr"/>
      <c r="J4916" s="45" t="inlineStr">
        <is>
          <t>RNCP39741</t>
        </is>
      </c>
      <c r="K4916" s="45" t="inlineStr">
        <is>
          <t>Chargé de communication</t>
        </is>
      </c>
      <c r="L4916" s="45" t="inlineStr">
        <is>
          <t>31/10/2027</t>
        </is>
      </c>
      <c r="M4916" s="45" t="inlineStr">
        <is>
          <t>46354 (Information - Communication numérique)</t>
        </is>
      </c>
      <c r="N4916" s="50" t="inlineStr">
        <is>
          <t>NON</t>
        </is>
      </c>
      <c r="O4916" s="45" t="inlineStr"/>
    </row>
    <row r="4917" customFormat="1" s="3">
      <c r="A4917" s="45" t="n"/>
      <c r="B4917" s="46" t="inlineStr">
        <is>
          <t>46305</t>
        </is>
      </c>
      <c r="C4917" s="46">
        <f>LEFT(Tableau1[[#This Row],[Formacode]],3)</f>
        <v/>
      </c>
      <c r="D4917" s="47" t="n">
        <v>40695</v>
      </c>
      <c r="E4917" s="48">
        <f>"RNCP"&amp;D4917</f>
        <v/>
      </c>
      <c r="F4917" s="48" t="inlineStr">
        <is>
          <t>TP - Médiateur numérique</t>
        </is>
      </c>
      <c r="G4917" s="49">
        <f>E4917&amp;" - "&amp;F4917</f>
        <v/>
      </c>
      <c r="H4917" s="36" t="inlineStr">
        <is>
          <t>RAS</t>
        </is>
      </c>
      <c r="I4917" s="45" t="inlineStr"/>
      <c r="J4917" s="45" t="inlineStr">
        <is>
          <t>RNCP40695</t>
        </is>
      </c>
      <c r="K4917" s="45" t="inlineStr">
        <is>
          <t>Médiateur numérique</t>
        </is>
      </c>
      <c r="L4917" s="45" t="inlineStr">
        <is>
          <t>12/07/2030</t>
        </is>
      </c>
      <c r="M4917" s="45" t="inlineStr">
        <is>
          <t>44527 (Médiation numérique) ; 15050 (Mise à niveau numérique) ; 44067 (Animation socioculturelle) ; 44521 (Pédagogie public spécifique) ; 46305 (Sensibilisation médias)</t>
        </is>
      </c>
      <c r="N4917" s="50" t="inlineStr">
        <is>
          <t>NON</t>
        </is>
      </c>
      <c r="O4917" s="45" t="inlineStr"/>
    </row>
    <row r="4918" customFormat="1" s="3">
      <c r="A4918" s="45" t="n"/>
      <c r="B4918" s="46" t="inlineStr">
        <is>
          <t>46305</t>
        </is>
      </c>
      <c r="C4918" s="46">
        <f>LEFT(Tableau1[[#This Row],[Formacode]],3)</f>
        <v/>
      </c>
      <c r="D4918" s="47" t="n">
        <v>40924</v>
      </c>
      <c r="E4918" s="48">
        <f>"RNCP"&amp;D4918</f>
        <v/>
      </c>
      <c r="F4918" s="48" t="inlineStr">
        <is>
          <t>Concepteur en création visuelle</t>
        </is>
      </c>
      <c r="G4918" s="49">
        <f>E4918&amp;" - "&amp;F4918</f>
        <v/>
      </c>
      <c r="H4918" s="36" t="inlineStr">
        <is>
          <t>RAS</t>
        </is>
      </c>
      <c r="I4918" s="45" t="inlineStr"/>
      <c r="J4918" s="45" t="inlineStr">
        <is>
          <t>RNCP40924</t>
        </is>
      </c>
      <c r="K4918" s="45" t="inlineStr">
        <is>
          <t>Concepteur en création visuelle</t>
        </is>
      </c>
      <c r="L4918" s="45" t="inlineStr">
        <is>
          <t>25/06/2028</t>
        </is>
      </c>
      <c r="M4918" s="45" t="inlineStr">
        <is>
          <t>46081 (Création graphique) ; 46276 (Film animation) ; 46244 (Gestion production audiovisuelle) ; 46354 (Information - Communication numérique)</t>
        </is>
      </c>
      <c r="N4918" s="50" t="inlineStr">
        <is>
          <t>NON</t>
        </is>
      </c>
      <c r="O4918" s="45" t="inlineStr"/>
    </row>
    <row r="4919" customFormat="1" s="3">
      <c r="A4919" s="45" t="n"/>
      <c r="B4919" s="46" t="inlineStr">
        <is>
          <t>46309</t>
        </is>
      </c>
      <c r="C4919" s="46">
        <f>LEFT(Tableau1[[#This Row],[Formacode]],3)</f>
        <v/>
      </c>
      <c r="D4919" s="47" t="n">
        <v>37662</v>
      </c>
      <c r="E4919" s="48">
        <f>"RNCP"&amp;D4919</f>
        <v/>
      </c>
      <c r="F4919" s="48" t="inlineStr">
        <is>
          <t>Directeur artistique multimédia</t>
        </is>
      </c>
      <c r="G4919" s="49">
        <f>E4919&amp;" - "&amp;F4919</f>
        <v/>
      </c>
      <c r="H4919" s="36" t="inlineStr">
        <is>
          <t>RAS</t>
        </is>
      </c>
      <c r="I4919" s="45" t="inlineStr"/>
      <c r="J4919" s="45" t="inlineStr">
        <is>
          <t>RNCP37662</t>
        </is>
      </c>
      <c r="K4919" s="45" t="inlineStr">
        <is>
          <t>Directeur artistique multimédia</t>
        </is>
      </c>
      <c r="L4919" s="45" t="inlineStr">
        <is>
          <t>31/05/2028</t>
        </is>
      </c>
      <c r="M4919" s="45" t="inlineStr">
        <is>
          <t>34074 (Publicité) ; 46301 (Communication entreprise) ; 46354 (Information - Communication numérique) ; 46347 (Stratégie communication numérique)</t>
        </is>
      </c>
      <c r="N4919" s="50" t="inlineStr">
        <is>
          <t>NON</t>
        </is>
      </c>
      <c r="O4919" s="45" t="inlineStr"/>
    </row>
    <row r="4920" customFormat="1" s="3">
      <c r="A4920" s="45" t="n"/>
      <c r="B4920" s="46" t="inlineStr">
        <is>
          <t>46309</t>
        </is>
      </c>
      <c r="C4920" s="46">
        <f>LEFT(Tableau1[[#This Row],[Formacode]],3)</f>
        <v/>
      </c>
      <c r="D4920" s="47" t="n">
        <v>39136</v>
      </c>
      <c r="E4920" s="48">
        <f>"RNCP"&amp;D4920</f>
        <v/>
      </c>
      <c r="F4920" s="48" t="inlineStr">
        <is>
          <t>Grade_Master - Diplôme des Instituts d’Études Politiques – Sciences Po</t>
        </is>
      </c>
      <c r="G4920" s="49">
        <f>E4920&amp;" - "&amp;F4920</f>
        <v/>
      </c>
      <c r="H4920" s="36" t="inlineStr">
        <is>
          <t>RAS</t>
        </is>
      </c>
      <c r="I4920" s="45" t="inlineStr"/>
      <c r="J4920" s="45" t="inlineStr">
        <is>
          <t>RNCP39136</t>
        </is>
      </c>
      <c r="K4920" s="45" t="inlineStr">
        <is>
          <t>Diplôme des Instituts d’Études Politiques – Sciences Po</t>
        </is>
      </c>
      <c r="L4920" s="45" t="inlineStr">
        <is>
          <t>14/04/2029</t>
        </is>
      </c>
      <c r="M4920" s="45" t="inlineStr">
        <is>
          <t>13154 (Économie) ; 13054 (Science politique) ; 46354 (Information - Communication numérique) ; 32154 (Encadrement management) ; 13254 (Droit)</t>
        </is>
      </c>
      <c r="N4920" s="50" t="inlineStr">
        <is>
          <t>NON</t>
        </is>
      </c>
      <c r="O4920" s="45" t="inlineStr"/>
    </row>
    <row r="4921" customFormat="1" s="3">
      <c r="A4921" s="45" t="n"/>
      <c r="B4921" s="46" t="inlineStr">
        <is>
          <t>46309</t>
        </is>
      </c>
      <c r="C4921" s="46">
        <f>LEFT(Tableau1[[#This Row],[Formacode]],3)</f>
        <v/>
      </c>
      <c r="D4921" s="47" t="n">
        <v>39741</v>
      </c>
      <c r="E4921" s="48">
        <f>"RNCP"&amp;D4921</f>
        <v/>
      </c>
      <c r="F4921" s="48" t="inlineStr">
        <is>
          <t>Chargé de communication</t>
        </is>
      </c>
      <c r="G4921" s="49">
        <f>E4921&amp;" - "&amp;F4921</f>
        <v/>
      </c>
      <c r="H4921" s="36" t="inlineStr">
        <is>
          <t>RAS</t>
        </is>
      </c>
      <c r="I4921" s="45" t="inlineStr"/>
      <c r="J4921" s="45" t="inlineStr">
        <is>
          <t>RNCP39741</t>
        </is>
      </c>
      <c r="K4921" s="45" t="inlineStr">
        <is>
          <t>Chargé de communication</t>
        </is>
      </c>
      <c r="L4921" s="45" t="inlineStr">
        <is>
          <t>31/10/2027</t>
        </is>
      </c>
      <c r="M4921" s="45" t="inlineStr">
        <is>
          <t>46354 (Information - Communication numérique)</t>
        </is>
      </c>
      <c r="N4921" s="50" t="inlineStr">
        <is>
          <t>NON</t>
        </is>
      </c>
      <c r="O4921" s="45" t="inlineStr"/>
    </row>
    <row r="4922" customFormat="1" s="3">
      <c r="A4922" s="45" t="n"/>
      <c r="B4922" s="46" t="inlineStr">
        <is>
          <t>46309</t>
        </is>
      </c>
      <c r="C4922" s="46">
        <f>LEFT(Tableau1[[#This Row],[Formacode]],3)</f>
        <v/>
      </c>
      <c r="D4922" s="47" t="n">
        <v>40924</v>
      </c>
      <c r="E4922" s="48">
        <f>"RNCP"&amp;D4922</f>
        <v/>
      </c>
      <c r="F4922" s="48" t="inlineStr">
        <is>
          <t>Concepteur en création visuelle</t>
        </is>
      </c>
      <c r="G4922" s="49">
        <f>E4922&amp;" - "&amp;F4922</f>
        <v/>
      </c>
      <c r="H4922" s="36" t="inlineStr">
        <is>
          <t>RAS</t>
        </is>
      </c>
      <c r="I4922" s="45" t="inlineStr"/>
      <c r="J4922" s="45" t="inlineStr">
        <is>
          <t>RNCP40924</t>
        </is>
      </c>
      <c r="K4922" s="45" t="inlineStr">
        <is>
          <t>Concepteur en création visuelle</t>
        </is>
      </c>
      <c r="L4922" s="45" t="inlineStr">
        <is>
          <t>25/06/2028</t>
        </is>
      </c>
      <c r="M4922" s="45" t="inlineStr">
        <is>
          <t>46081 (Création graphique) ; 46276 (Film animation) ; 46244 (Gestion production audiovisuelle) ; 46354 (Information - Communication numérique)</t>
        </is>
      </c>
      <c r="N4922" s="50" t="inlineStr">
        <is>
          <t>NON</t>
        </is>
      </c>
      <c r="O4922" s="45" t="inlineStr"/>
    </row>
    <row r="4923" customFormat="1" s="3">
      <c r="A4923" s="45" t="n"/>
      <c r="B4923" s="46" t="inlineStr">
        <is>
          <t>46324</t>
        </is>
      </c>
      <c r="C4923" s="46">
        <f>LEFT(Tableau1[[#This Row],[Formacode]],3)</f>
        <v/>
      </c>
      <c r="D4923" s="47" t="n">
        <v>36965</v>
      </c>
      <c r="E4923" s="48">
        <f>"RNCP"&amp;D4923</f>
        <v/>
      </c>
      <c r="F4923" s="48" t="inlineStr">
        <is>
          <t>BTS - Edition</t>
        </is>
      </c>
      <c r="G4923" s="49">
        <f>E4923&amp;" - "&amp;F4923</f>
        <v/>
      </c>
      <c r="H4923" s="36" t="inlineStr">
        <is>
          <t>RAS</t>
        </is>
      </c>
      <c r="I4923" s="45" t="inlineStr"/>
      <c r="J4923" s="45" t="inlineStr">
        <is>
          <t>RNCP36965</t>
        </is>
      </c>
      <c r="K4923" s="45" t="inlineStr">
        <is>
          <t>Edition</t>
        </is>
      </c>
      <c r="L4923" s="45" t="inlineStr">
        <is>
          <t>31/08/2027</t>
        </is>
      </c>
      <c r="M4923" s="45" t="inlineStr">
        <is>
          <t>46324 (Édition)</t>
        </is>
      </c>
      <c r="N4923" s="50" t="inlineStr">
        <is>
          <t>NON</t>
        </is>
      </c>
      <c r="O4923" s="45" t="inlineStr"/>
    </row>
    <row r="4924" customFormat="1" s="3">
      <c r="A4924" s="45" t="n"/>
      <c r="B4924" s="46" t="inlineStr">
        <is>
          <t>46324</t>
        </is>
      </c>
      <c r="C4924" s="46">
        <f>LEFT(Tableau1[[#This Row],[Formacode]],3)</f>
        <v/>
      </c>
      <c r="D4924" s="47" t="n">
        <v>37662</v>
      </c>
      <c r="E4924" s="48">
        <f>"RNCP"&amp;D4924</f>
        <v/>
      </c>
      <c r="F4924" s="48" t="inlineStr">
        <is>
          <t>Directeur artistique multimédia</t>
        </is>
      </c>
      <c r="G4924" s="49">
        <f>E4924&amp;" - "&amp;F4924</f>
        <v/>
      </c>
      <c r="H4924" s="36" t="inlineStr">
        <is>
          <t>RAS</t>
        </is>
      </c>
      <c r="I4924" s="45" t="inlineStr"/>
      <c r="J4924" s="45" t="inlineStr">
        <is>
          <t>RNCP37662</t>
        </is>
      </c>
      <c r="K4924" s="45" t="inlineStr">
        <is>
          <t>Directeur artistique multimédia</t>
        </is>
      </c>
      <c r="L4924" s="45" t="inlineStr">
        <is>
          <t>31/05/2028</t>
        </is>
      </c>
      <c r="M4924" s="45" t="inlineStr">
        <is>
          <t>34074 (Publicité) ; 46301 (Communication entreprise) ; 46354 (Information - Communication numérique) ; 46347 (Stratégie communication numérique)</t>
        </is>
      </c>
      <c r="N4924" s="50" t="inlineStr">
        <is>
          <t>NON</t>
        </is>
      </c>
      <c r="O4924" s="45" t="inlineStr"/>
    </row>
    <row r="4925" customFormat="1" s="3">
      <c r="A4925" s="51" t="n"/>
      <c r="B4925" s="52" t="inlineStr">
        <is>
          <t>46324</t>
        </is>
      </c>
      <c r="C4925" s="52">
        <f>LEFT(Tableau1[[#This Row],[Formacode]],3)</f>
        <v/>
      </c>
      <c r="D4925" s="53" t="n">
        <v>38301</v>
      </c>
      <c r="E4925" s="54">
        <f>"RNCP"&amp;D4925</f>
        <v/>
      </c>
      <c r="F4925" s="54" t="inlineStr">
        <is>
          <t>Brevet professionnel - Libraire</t>
        </is>
      </c>
      <c r="G4925" s="55">
        <f>E4925&amp;" - "&amp;F4925</f>
        <v/>
      </c>
      <c r="H4925" s="37" t="inlineStr">
        <is>
          <t>À vérifier</t>
        </is>
      </c>
      <c r="I4925" s="51" t="inlineStr">
        <is>
          <t>Successeur déjà publié : RNCP41840 (Libraire) — préparer la bascule de l'offre CPF | Échéance le 31/08/2026 (dans 44 j)</t>
        </is>
      </c>
      <c r="J4925" s="51" t="inlineStr">
        <is>
          <t>RNCP41840</t>
        </is>
      </c>
      <c r="K4925" s="51" t="inlineStr">
        <is>
          <t>Libraire</t>
        </is>
      </c>
      <c r="L4925" s="51" t="inlineStr">
        <is>
          <t>31/08/2026</t>
        </is>
      </c>
      <c r="M4925" s="51" t="inlineStr">
        <is>
          <t>46328 (Librairie)</t>
        </is>
      </c>
      <c r="N4925" s="62" t="inlineStr">
        <is>
          <t>NON</t>
        </is>
      </c>
      <c r="O4925" s="51" t="inlineStr"/>
    </row>
    <row r="4926" customFormat="1" s="3">
      <c r="A4926" s="45" t="n"/>
      <c r="B4926" s="46" t="inlineStr">
        <is>
          <t>46324</t>
        </is>
      </c>
      <c r="C4926" s="46">
        <f>LEFT(Tableau1[[#This Row],[Formacode]],3)</f>
        <v/>
      </c>
      <c r="D4926" s="47" t="n">
        <v>39136</v>
      </c>
      <c r="E4926" s="48">
        <f>"RNCP"&amp;D4926</f>
        <v/>
      </c>
      <c r="F4926" s="48" t="inlineStr">
        <is>
          <t>Grade_Master - Diplôme des Instituts d’Études Politiques – Sciences Po</t>
        </is>
      </c>
      <c r="G4926" s="49">
        <f>E4926&amp;" - "&amp;F4926</f>
        <v/>
      </c>
      <c r="H4926" s="36" t="inlineStr">
        <is>
          <t>RAS</t>
        </is>
      </c>
      <c r="I4926" s="45" t="inlineStr"/>
      <c r="J4926" s="45" t="inlineStr">
        <is>
          <t>RNCP39136</t>
        </is>
      </c>
      <c r="K4926" s="45" t="inlineStr">
        <is>
          <t>Diplôme des Instituts d’Études Politiques – Sciences Po</t>
        </is>
      </c>
      <c r="L4926" s="45" t="inlineStr">
        <is>
          <t>14/04/2029</t>
        </is>
      </c>
      <c r="M4926" s="45" t="inlineStr">
        <is>
          <t>13154 (Économie) ; 13054 (Science politique) ; 46354 (Information - Communication numérique) ; 32154 (Encadrement management) ; 13254 (Droit)</t>
        </is>
      </c>
      <c r="N4926" s="50" t="inlineStr">
        <is>
          <t>NON</t>
        </is>
      </c>
      <c r="O4926" s="45" t="inlineStr"/>
    </row>
    <row r="4927" customFormat="1" s="3">
      <c r="A4927" s="45" t="n"/>
      <c r="B4927" s="46" t="inlineStr">
        <is>
          <t>46324</t>
        </is>
      </c>
      <c r="C4927" s="46">
        <f>LEFT(Tableau1[[#This Row],[Formacode]],3)</f>
        <v/>
      </c>
      <c r="D4927" s="47" t="n">
        <v>39741</v>
      </c>
      <c r="E4927" s="48">
        <f>"RNCP"&amp;D4927</f>
        <v/>
      </c>
      <c r="F4927" s="48" t="inlineStr">
        <is>
          <t>Chargé de communication</t>
        </is>
      </c>
      <c r="G4927" s="49">
        <f>E4927&amp;" - "&amp;F4927</f>
        <v/>
      </c>
      <c r="H4927" s="36" t="inlineStr">
        <is>
          <t>RAS</t>
        </is>
      </c>
      <c r="I4927" s="45" t="inlineStr"/>
      <c r="J4927" s="45" t="inlineStr">
        <is>
          <t>RNCP39741</t>
        </is>
      </c>
      <c r="K4927" s="45" t="inlineStr">
        <is>
          <t>Chargé de communication</t>
        </is>
      </c>
      <c r="L4927" s="45" t="inlineStr">
        <is>
          <t>31/10/2027</t>
        </is>
      </c>
      <c r="M4927" s="45" t="inlineStr">
        <is>
          <t>46354 (Information - Communication numérique)</t>
        </is>
      </c>
      <c r="N4927" s="50" t="inlineStr">
        <is>
          <t>NON</t>
        </is>
      </c>
      <c r="O4927" s="45" t="inlineStr"/>
    </row>
    <row r="4928" customFormat="1" s="3">
      <c r="A4928" s="45" t="n"/>
      <c r="B4928" s="46" t="inlineStr">
        <is>
          <t>46324</t>
        </is>
      </c>
      <c r="C4928" s="46">
        <f>LEFT(Tableau1[[#This Row],[Formacode]],3)</f>
        <v/>
      </c>
      <c r="D4928" s="47" t="n">
        <v>40924</v>
      </c>
      <c r="E4928" s="48">
        <f>"RNCP"&amp;D4928</f>
        <v/>
      </c>
      <c r="F4928" s="48" t="inlineStr">
        <is>
          <t>Concepteur en création visuelle</t>
        </is>
      </c>
      <c r="G4928" s="49">
        <f>E4928&amp;" - "&amp;F4928</f>
        <v/>
      </c>
      <c r="H4928" s="36" t="inlineStr">
        <is>
          <t>RAS</t>
        </is>
      </c>
      <c r="I4928" s="45" t="inlineStr"/>
      <c r="J4928" s="45" t="inlineStr">
        <is>
          <t>RNCP40924</t>
        </is>
      </c>
      <c r="K4928" s="45" t="inlineStr">
        <is>
          <t>Concepteur en création visuelle</t>
        </is>
      </c>
      <c r="L4928" s="45" t="inlineStr">
        <is>
          <t>25/06/2028</t>
        </is>
      </c>
      <c r="M4928" s="45" t="inlineStr">
        <is>
          <t>46081 (Création graphique) ; 46276 (Film animation) ; 46244 (Gestion production audiovisuelle) ; 46354 (Information - Communication numérique)</t>
        </is>
      </c>
      <c r="N4928" s="50" t="inlineStr">
        <is>
          <t>NON</t>
        </is>
      </c>
      <c r="O4928" s="45" t="inlineStr"/>
    </row>
    <row r="4929" customFormat="1" s="3">
      <c r="A4929" s="45" t="n"/>
      <c r="B4929" s="46" t="inlineStr">
        <is>
          <t>46325</t>
        </is>
      </c>
      <c r="C4929" s="46">
        <f>LEFT(Tableau1[[#This Row],[Formacode]],3)</f>
        <v/>
      </c>
      <c r="D4929" s="47" t="n">
        <v>37662</v>
      </c>
      <c r="E4929" s="48">
        <f>"RNCP"&amp;D4929</f>
        <v/>
      </c>
      <c r="F4929" s="48" t="inlineStr">
        <is>
          <t>Directeur artistique multimédia</t>
        </is>
      </c>
      <c r="G4929" s="49">
        <f>E4929&amp;" - "&amp;F4929</f>
        <v/>
      </c>
      <c r="H4929" s="36" t="inlineStr">
        <is>
          <t>RAS</t>
        </is>
      </c>
      <c r="I4929" s="45" t="inlineStr"/>
      <c r="J4929" s="45" t="inlineStr">
        <is>
          <t>RNCP37662</t>
        </is>
      </c>
      <c r="K4929" s="45" t="inlineStr">
        <is>
          <t>Directeur artistique multimédia</t>
        </is>
      </c>
      <c r="L4929" s="45" t="inlineStr">
        <is>
          <t>31/05/2028</t>
        </is>
      </c>
      <c r="M4929" s="45" t="inlineStr">
        <is>
          <t>34074 (Publicité) ; 46301 (Communication entreprise) ; 46354 (Information - Communication numérique) ; 46347 (Stratégie communication numérique)</t>
        </is>
      </c>
      <c r="N4929" s="50" t="inlineStr">
        <is>
          <t>NON</t>
        </is>
      </c>
      <c r="O4929" s="45" t="inlineStr"/>
    </row>
    <row r="4930" customFormat="1" s="3">
      <c r="A4930" s="45" t="n"/>
      <c r="B4930" s="46" t="inlineStr">
        <is>
          <t>46325</t>
        </is>
      </c>
      <c r="C4930" s="46">
        <f>LEFT(Tableau1[[#This Row],[Formacode]],3)</f>
        <v/>
      </c>
      <c r="D4930" s="47" t="n">
        <v>38950</v>
      </c>
      <c r="E4930" s="48">
        <f>"RNCP"&amp;D4930</f>
        <v/>
      </c>
      <c r="F4930" s="48" t="inlineStr">
        <is>
          <t>Journaliste</t>
        </is>
      </c>
      <c r="G4930" s="49">
        <f>E4930&amp;" - "&amp;F4930</f>
        <v/>
      </c>
      <c r="H4930" s="36" t="inlineStr">
        <is>
          <t>RAS</t>
        </is>
      </c>
      <c r="I4930" s="45" t="inlineStr"/>
      <c r="J4930" s="45" t="inlineStr">
        <is>
          <t>RNCP38950</t>
        </is>
      </c>
      <c r="K4930" s="45" t="inlineStr">
        <is>
          <t>Journaliste</t>
        </is>
      </c>
      <c r="L4930" s="45" t="inlineStr">
        <is>
          <t>26/04/2027</t>
        </is>
      </c>
      <c r="M4930" s="45" t="inlineStr">
        <is>
          <t>46325 (Journalisme)</t>
        </is>
      </c>
      <c r="N4930" s="50" t="inlineStr">
        <is>
          <t>NON</t>
        </is>
      </c>
      <c r="O4930" s="45" t="inlineStr"/>
    </row>
    <row r="4931" customFormat="1" s="3">
      <c r="A4931" s="45" t="n"/>
      <c r="B4931" s="46" t="inlineStr">
        <is>
          <t>46325</t>
        </is>
      </c>
      <c r="C4931" s="46">
        <f>LEFT(Tableau1[[#This Row],[Formacode]],3)</f>
        <v/>
      </c>
      <c r="D4931" s="47" t="n">
        <v>39136</v>
      </c>
      <c r="E4931" s="48">
        <f>"RNCP"&amp;D4931</f>
        <v/>
      </c>
      <c r="F4931" s="48" t="inlineStr">
        <is>
          <t>Grade_Master - Diplôme des Instituts d’Études Politiques – Sciences Po</t>
        </is>
      </c>
      <c r="G4931" s="49">
        <f>E4931&amp;" - "&amp;F4931</f>
        <v/>
      </c>
      <c r="H4931" s="36" t="inlineStr">
        <is>
          <t>RAS</t>
        </is>
      </c>
      <c r="I4931" s="45" t="inlineStr"/>
      <c r="J4931" s="45" t="inlineStr">
        <is>
          <t>RNCP39136</t>
        </is>
      </c>
      <c r="K4931" s="45" t="inlineStr">
        <is>
          <t>Diplôme des Instituts d’Études Politiques – Sciences Po</t>
        </is>
      </c>
      <c r="L4931" s="45" t="inlineStr">
        <is>
          <t>14/04/2029</t>
        </is>
      </c>
      <c r="M4931" s="45" t="inlineStr">
        <is>
          <t>13154 (Économie) ; 13054 (Science politique) ; 46354 (Information - Communication numérique) ; 32154 (Encadrement management) ; 13254 (Droit)</t>
        </is>
      </c>
      <c r="N4931" s="50" t="inlineStr">
        <is>
          <t>NON</t>
        </is>
      </c>
      <c r="O4931" s="45" t="inlineStr"/>
    </row>
    <row r="4932" customFormat="1" s="3">
      <c r="A4932" s="45" t="n"/>
      <c r="B4932" s="46" t="inlineStr">
        <is>
          <t>46325</t>
        </is>
      </c>
      <c r="C4932" s="46">
        <f>LEFT(Tableau1[[#This Row],[Formacode]],3)</f>
        <v/>
      </c>
      <c r="D4932" s="47" t="n">
        <v>39741</v>
      </c>
      <c r="E4932" s="48">
        <f>"RNCP"&amp;D4932</f>
        <v/>
      </c>
      <c r="F4932" s="48" t="inlineStr">
        <is>
          <t>Chargé de communication</t>
        </is>
      </c>
      <c r="G4932" s="49">
        <f>E4932&amp;" - "&amp;F4932</f>
        <v/>
      </c>
      <c r="H4932" s="36" t="inlineStr">
        <is>
          <t>RAS</t>
        </is>
      </c>
      <c r="I4932" s="45" t="inlineStr"/>
      <c r="J4932" s="45" t="inlineStr">
        <is>
          <t>RNCP39741</t>
        </is>
      </c>
      <c r="K4932" s="45" t="inlineStr">
        <is>
          <t>Chargé de communication</t>
        </is>
      </c>
      <c r="L4932" s="45" t="inlineStr">
        <is>
          <t>31/10/2027</t>
        </is>
      </c>
      <c r="M4932" s="45" t="inlineStr">
        <is>
          <t>46354 (Information - Communication numérique)</t>
        </is>
      </c>
      <c r="N4932" s="50" t="inlineStr">
        <is>
          <t>NON</t>
        </is>
      </c>
      <c r="O4932" s="45" t="inlineStr"/>
    </row>
    <row r="4933" customFormat="1" s="3">
      <c r="A4933" s="45" t="n"/>
      <c r="B4933" s="46" t="inlineStr">
        <is>
          <t>46325</t>
        </is>
      </c>
      <c r="C4933" s="46">
        <f>LEFT(Tableau1[[#This Row],[Formacode]],3)</f>
        <v/>
      </c>
      <c r="D4933" s="47" t="n">
        <v>39872</v>
      </c>
      <c r="E4933" s="48">
        <f>"RNCP"&amp;D4933</f>
        <v/>
      </c>
      <c r="F4933" s="48" t="inlineStr">
        <is>
          <t>Journaliste plurimédia</t>
        </is>
      </c>
      <c r="G4933" s="49">
        <f>E4933&amp;" - "&amp;F4933</f>
        <v/>
      </c>
      <c r="H4933" s="36" t="inlineStr">
        <is>
          <t>RAS</t>
        </is>
      </c>
      <c r="I4933" s="45" t="inlineStr"/>
      <c r="J4933" s="45" t="inlineStr">
        <is>
          <t>RNCP39872</t>
        </is>
      </c>
      <c r="K4933" s="45" t="inlineStr">
        <is>
          <t>Journaliste plurimédia</t>
        </is>
      </c>
      <c r="L4933" s="45" t="inlineStr">
        <is>
          <t>28/11/2027</t>
        </is>
      </c>
      <c r="M4933" s="45" t="inlineStr">
        <is>
          <t>46323 (Journalisme multimédia) ; 46306 (Journalisme audiovisuel) ; 46326 (Journalisme presse écrite) ; 46303 (Journalisme spécialisé)</t>
        </is>
      </c>
      <c r="N4933" s="50" t="inlineStr">
        <is>
          <t>NON</t>
        </is>
      </c>
      <c r="O4933" s="45" t="inlineStr"/>
    </row>
    <row r="4934" customFormat="1" s="3">
      <c r="A4934" s="45" t="n"/>
      <c r="B4934" s="46" t="inlineStr">
        <is>
          <t>46325</t>
        </is>
      </c>
      <c r="C4934" s="46">
        <f>LEFT(Tableau1[[#This Row],[Formacode]],3)</f>
        <v/>
      </c>
      <c r="D4934" s="47" t="n">
        <v>40924</v>
      </c>
      <c r="E4934" s="48">
        <f>"RNCP"&amp;D4934</f>
        <v/>
      </c>
      <c r="F4934" s="48" t="inlineStr">
        <is>
          <t>Concepteur en création visuelle</t>
        </is>
      </c>
      <c r="G4934" s="49">
        <f>E4934&amp;" - "&amp;F4934</f>
        <v/>
      </c>
      <c r="H4934" s="36" t="inlineStr">
        <is>
          <t>RAS</t>
        </is>
      </c>
      <c r="I4934" s="45" t="inlineStr"/>
      <c r="J4934" s="45" t="inlineStr">
        <is>
          <t>RNCP40924</t>
        </is>
      </c>
      <c r="K4934" s="45" t="inlineStr">
        <is>
          <t>Concepteur en création visuelle</t>
        </is>
      </c>
      <c r="L4934" s="45" t="inlineStr">
        <is>
          <t>25/06/2028</t>
        </is>
      </c>
      <c r="M4934" s="45" t="inlineStr">
        <is>
          <t>46081 (Création graphique) ; 46276 (Film animation) ; 46244 (Gestion production audiovisuelle) ; 46354 (Information - Communication numérique)</t>
        </is>
      </c>
      <c r="N4934" s="50" t="inlineStr">
        <is>
          <t>NON</t>
        </is>
      </c>
      <c r="O4934" s="45" t="inlineStr"/>
    </row>
    <row r="4935" customFormat="1" s="3">
      <c r="A4935" s="63" t="n"/>
      <c r="B4935" s="64" t="inlineStr">
        <is>
          <t>46329</t>
        </is>
      </c>
      <c r="C4935" s="64">
        <f>LEFT(Tableau1[[#This Row],[Formacode]],3)</f>
        <v/>
      </c>
      <c r="D4935" s="65" t="n">
        <v>35593</v>
      </c>
      <c r="E4935" s="66">
        <f>"RNCP"&amp;D4935</f>
        <v/>
      </c>
      <c r="F4935" s="66" t="inlineStr">
        <is>
          <t>Directeur de projets image et communication</t>
        </is>
      </c>
      <c r="G4935" s="67">
        <f>E4935&amp;" - "&amp;F4935</f>
        <v/>
      </c>
      <c r="H4935" s="38" t="inlineStr">
        <is>
          <t>Expiré / remplacé</t>
        </is>
      </c>
      <c r="I4935" s="63" t="inlineStr">
        <is>
          <t>Fiche inactive — remplacée par RNCP42186 (Manager de la communication omnicanal)</t>
        </is>
      </c>
      <c r="J4935" s="63" t="inlineStr">
        <is>
          <t>RNCP42186</t>
        </is>
      </c>
      <c r="K4935" s="63" t="inlineStr">
        <is>
          <t>Manager de la communication omnicanal</t>
        </is>
      </c>
      <c r="L4935" s="63" t="inlineStr">
        <is>
          <t>19/05/2026</t>
        </is>
      </c>
      <c r="M4935" s="63" t="inlineStr">
        <is>
          <t>46301 (Communication entreprise) ; 46302 (Gestion entreprise communication information) ; 46347 (Stratégie communication numérique)</t>
        </is>
      </c>
      <c r="N4935" s="68" t="inlineStr">
        <is>
          <t>NON</t>
        </is>
      </c>
      <c r="O4935" s="63" t="inlineStr"/>
    </row>
    <row r="4936" customFormat="1" s="3">
      <c r="A4936" s="63" t="n"/>
      <c r="B4936" s="64" t="inlineStr">
        <is>
          <t>46329</t>
        </is>
      </c>
      <c r="C4936" s="64">
        <f>LEFT(Tableau1[[#This Row],[Formacode]],3)</f>
        <v/>
      </c>
      <c r="D4936" s="65" t="n">
        <v>35634</v>
      </c>
      <c r="E4936" s="66">
        <f>"RNCP"&amp;D4936</f>
        <v/>
      </c>
      <c r="F4936" s="66" t="inlineStr">
        <is>
          <t>TP - Concepteur designer UI</t>
        </is>
      </c>
      <c r="G4936" s="67">
        <f>E4936&amp;" - "&amp;F4936</f>
        <v/>
      </c>
      <c r="H4936" s="38" t="inlineStr">
        <is>
          <t>Expiré / remplacé</t>
        </is>
      </c>
      <c r="I4936" s="63" t="inlineStr">
        <is>
          <t>Fiche inactive — remplacée par RNCP42140 (Concepteur designer User Interface)</t>
        </is>
      </c>
      <c r="J4936" s="63" t="inlineStr">
        <is>
          <t>RNCP42140</t>
        </is>
      </c>
      <c r="K4936" s="63" t="inlineStr">
        <is>
          <t>Concepteur designer User Interface</t>
        </is>
      </c>
      <c r="L4936" s="63" t="inlineStr">
        <is>
          <t>13/07/2026</t>
        </is>
      </c>
      <c r="M4936" s="63" t="inlineStr">
        <is>
          <t>46372 (Design interface utilisateur) ; 46072 (Art graphique) ; 31090 (Développement web)</t>
        </is>
      </c>
      <c r="N4936" s="68" t="inlineStr">
        <is>
          <t>NON</t>
        </is>
      </c>
      <c r="O4936" s="63" t="inlineStr"/>
    </row>
    <row r="4937" customFormat="1" s="3">
      <c r="A4937" s="51" t="n"/>
      <c r="B4937" s="52" t="inlineStr">
        <is>
          <t>46329</t>
        </is>
      </c>
      <c r="C4937" s="52">
        <f>LEFT(Tableau1[[#This Row],[Formacode]],3)</f>
        <v/>
      </c>
      <c r="D4937" s="53" t="n">
        <v>35864</v>
      </c>
      <c r="E4937" s="54">
        <f>"RNCP"&amp;D4937</f>
        <v/>
      </c>
      <c r="F4937" s="54" t="inlineStr">
        <is>
          <t>Manager/Designer de produits et services numériques</t>
        </is>
      </c>
      <c r="G4937" s="55">
        <f>E4937&amp;" - "&amp;F4937</f>
        <v/>
      </c>
      <c r="H4937" s="37" t="inlineStr">
        <is>
          <t>À vérifier</t>
        </is>
      </c>
      <c r="I4937" s="51" t="inlineStr">
        <is>
          <t>Échéance le 15/09/2026 (dans 59 j)</t>
        </is>
      </c>
      <c r="J4937" s="51" t="inlineStr">
        <is>
          <t>RNCP35864</t>
        </is>
      </c>
      <c r="K4937" s="51" t="inlineStr">
        <is>
          <t>Manager/Designer de produits et services numériques</t>
        </is>
      </c>
      <c r="L4937" s="51" t="inlineStr">
        <is>
          <t>15/09/2026</t>
        </is>
      </c>
      <c r="M4937" s="51" t="inlineStr">
        <is>
          <t>46347 (Stratégie communication numérique) ; 46370 (Design expérience utilisateur) ; 46339 (Conduite projet numérique)</t>
        </is>
      </c>
      <c r="N4937" s="62" t="inlineStr">
        <is>
          <t>NON</t>
        </is>
      </c>
      <c r="O4937" s="51" t="inlineStr"/>
    </row>
    <row r="4938" customFormat="1" s="3">
      <c r="A4938" s="51" t="n"/>
      <c r="B4938" s="52" t="inlineStr">
        <is>
          <t>46329</t>
        </is>
      </c>
      <c r="C4938" s="52">
        <f>LEFT(Tableau1[[#This Row],[Formacode]],3)</f>
        <v/>
      </c>
      <c r="D4938" s="53" t="n">
        <v>35959</v>
      </c>
      <c r="E4938" s="54">
        <f>"RNCP"&amp;D4938</f>
        <v/>
      </c>
      <c r="F4938" s="54" t="inlineStr">
        <is>
          <t>Développeur web</t>
        </is>
      </c>
      <c r="G4938" s="55">
        <f>E4938&amp;" - "&amp;F4938</f>
        <v/>
      </c>
      <c r="H4938" s="37" t="inlineStr">
        <is>
          <t>À vérifier</t>
        </is>
      </c>
      <c r="I4938" s="51" t="inlineStr">
        <is>
          <t>Échéance le 15/10/2026 (dans 89 j)</t>
        </is>
      </c>
      <c r="J4938" s="51" t="inlineStr">
        <is>
          <t>RNCP35959</t>
        </is>
      </c>
      <c r="K4938" s="51" t="inlineStr">
        <is>
          <t>Développeur web</t>
        </is>
      </c>
      <c r="L4938" s="51" t="inlineStr">
        <is>
          <t>15/10/2026</t>
        </is>
      </c>
      <c r="M4938" s="51" t="inlineStr">
        <is>
          <t>31090 (Développement web) ; 46341 (Communication externe) ; 46359 (Réseau social) ; 30805 (Langage PHP)</t>
        </is>
      </c>
      <c r="N4938" s="62" t="inlineStr">
        <is>
          <t>NON</t>
        </is>
      </c>
      <c r="O4938" s="51" t="inlineStr"/>
    </row>
    <row r="4939" customFormat="1" s="3">
      <c r="A4939" s="45" t="n"/>
      <c r="B4939" s="46" t="inlineStr">
        <is>
          <t>46329</t>
        </is>
      </c>
      <c r="C4939" s="46">
        <f>LEFT(Tableau1[[#This Row],[Formacode]],3)</f>
        <v/>
      </c>
      <c r="D4939" s="47" t="n">
        <v>36119</v>
      </c>
      <c r="E4939" s="48">
        <f>"RNCP"&amp;D4939</f>
        <v/>
      </c>
      <c r="F4939" s="48" t="inlineStr">
        <is>
          <t>Manager du marketing et de la transformation digitale</t>
        </is>
      </c>
      <c r="G4939" s="49">
        <f>E4939&amp;" - "&amp;F4939</f>
        <v/>
      </c>
      <c r="H4939" s="36" t="inlineStr">
        <is>
          <t>RAS</t>
        </is>
      </c>
      <c r="I4939" s="45" t="inlineStr"/>
      <c r="J4939" s="45" t="inlineStr">
        <is>
          <t>RNCP36119</t>
        </is>
      </c>
      <c r="K4939" s="45" t="inlineStr">
        <is>
          <t>Manager du marketing et de la transformation digitale</t>
        </is>
      </c>
      <c r="L4939" s="45" t="inlineStr">
        <is>
          <t>26/01/2027</t>
        </is>
      </c>
      <c r="M4939" s="45" t="inlineStr">
        <is>
          <t>34530 (E-commerce) ; 46347 (Stratégie communication numérique) ; 34093 (Marketing digital)</t>
        </is>
      </c>
      <c r="N4939" s="50" t="inlineStr">
        <is>
          <t>NON</t>
        </is>
      </c>
      <c r="O4939" s="45" t="inlineStr"/>
    </row>
    <row r="4940" customFormat="1" s="3">
      <c r="A4940" s="45" t="n"/>
      <c r="B4940" s="46" t="inlineStr">
        <is>
          <t>46329</t>
        </is>
      </c>
      <c r="C4940" s="46">
        <f>LEFT(Tableau1[[#This Row],[Formacode]],3)</f>
        <v/>
      </c>
      <c r="D4940" s="47" t="n">
        <v>36465</v>
      </c>
      <c r="E4940" s="48">
        <f>"RNCP"&amp;D4940</f>
        <v/>
      </c>
      <c r="F4940" s="48" t="inlineStr">
        <is>
          <t>Expert en création numérique interactive</t>
        </is>
      </c>
      <c r="G4940" s="49">
        <f>E4940&amp;" - "&amp;F4940</f>
        <v/>
      </c>
      <c r="H4940" s="36" t="inlineStr">
        <is>
          <t>RAS</t>
        </is>
      </c>
      <c r="I4940" s="45" t="inlineStr"/>
      <c r="J4940" s="45" t="inlineStr">
        <is>
          <t>RNCP36465</t>
        </is>
      </c>
      <c r="K4940" s="45" t="inlineStr">
        <is>
          <t>Expert en création numérique interactive</t>
        </is>
      </c>
      <c r="L4940" s="45" t="inlineStr">
        <is>
          <t>01/06/2027</t>
        </is>
      </c>
      <c r="M4940" s="45" t="inlineStr">
        <is>
          <t>31090 (Développement web) ; 46003 (Infographie) ; 46347 (Stratégie communication numérique)</t>
        </is>
      </c>
      <c r="N4940" s="50" t="inlineStr">
        <is>
          <t>NON</t>
        </is>
      </c>
      <c r="O4940" s="45" t="inlineStr"/>
    </row>
    <row r="4941" customFormat="1" s="3">
      <c r="A4941" s="45" t="n"/>
      <c r="B4941" s="46" t="inlineStr">
        <is>
          <t>46329</t>
        </is>
      </c>
      <c r="C4941" s="46">
        <f>LEFT(Tableau1[[#This Row],[Formacode]],3)</f>
        <v/>
      </c>
      <c r="D4941" s="47" t="n">
        <v>36650</v>
      </c>
      <c r="E4941" s="48">
        <f>"RNCP"&amp;D4941</f>
        <v/>
      </c>
      <c r="F4941" s="48" t="inlineStr">
        <is>
          <t>Responsable de communication</t>
        </is>
      </c>
      <c r="G4941" s="49">
        <f>E4941&amp;" - "&amp;F4941</f>
        <v/>
      </c>
      <c r="H4941" s="36" t="inlineStr">
        <is>
          <t>RAS</t>
        </is>
      </c>
      <c r="I4941" s="45" t="inlineStr"/>
      <c r="J4941" s="45" t="inlineStr">
        <is>
          <t>RNCP36650</t>
        </is>
      </c>
      <c r="K4941" s="45" t="inlineStr">
        <is>
          <t>Responsable de communication</t>
        </is>
      </c>
      <c r="L4941" s="45" t="inlineStr">
        <is>
          <t>01/07/2027</t>
        </is>
      </c>
      <c r="M4941" s="45" t="inlineStr">
        <is>
          <t>15004 (Communication professionnelle) ; 46340 (Communication événementielle) ; 46341 (Communication externe) ; 46347 (Stratégie communication numérique)</t>
        </is>
      </c>
      <c r="N4941" s="50" t="inlineStr">
        <is>
          <t>NON</t>
        </is>
      </c>
      <c r="O4941" s="45" t="inlineStr"/>
    </row>
    <row r="4942" customFormat="1" s="3">
      <c r="A4942" s="45" t="n"/>
      <c r="B4942" s="46" t="inlineStr">
        <is>
          <t>46329</t>
        </is>
      </c>
      <c r="C4942" s="46">
        <f>LEFT(Tableau1[[#This Row],[Formacode]],3)</f>
        <v/>
      </c>
      <c r="D4942" s="47" t="n">
        <v>36864</v>
      </c>
      <c r="E4942" s="48">
        <f>"RNCP"&amp;D4942</f>
        <v/>
      </c>
      <c r="F4942" s="48" t="inlineStr">
        <is>
          <t>Manager de la stratégie et de la transformation digitale (MS)</t>
        </is>
      </c>
      <c r="G4942" s="49">
        <f>E4942&amp;" - "&amp;F4942</f>
        <v/>
      </c>
      <c r="H4942" s="36" t="inlineStr">
        <is>
          <t>RAS</t>
        </is>
      </c>
      <c r="I4942" s="45" t="inlineStr"/>
      <c r="J4942" s="45" t="inlineStr">
        <is>
          <t>RNCP36864</t>
        </is>
      </c>
      <c r="K4942" s="45" t="inlineStr">
        <is>
          <t>Manager de la stratégie et de la transformation digitale (MS)</t>
        </is>
      </c>
      <c r="L4942" s="45" t="inlineStr">
        <is>
          <t>29/09/2027</t>
        </is>
      </c>
      <c r="M4942" s="45" t="inlineStr">
        <is>
          <t>32066 (Transition numérique) ; 46347 (Stratégie communication numérique) ; 34093 (Marketing digital)</t>
        </is>
      </c>
      <c r="N4942" s="50" t="inlineStr">
        <is>
          <t>NON</t>
        </is>
      </c>
      <c r="O4942" s="45" t="inlineStr"/>
    </row>
    <row r="4943" customFormat="1" s="3">
      <c r="A4943" s="45" t="n"/>
      <c r="B4943" s="46" t="inlineStr">
        <is>
          <t>46329</t>
        </is>
      </c>
      <c r="C4943" s="46">
        <f>LEFT(Tableau1[[#This Row],[Formacode]],3)</f>
        <v/>
      </c>
      <c r="D4943" s="47" t="n">
        <v>36991</v>
      </c>
      <c r="E4943" s="48">
        <f>"RNCP"&amp;D4943</f>
        <v/>
      </c>
      <c r="F4943" s="48" t="inlineStr">
        <is>
          <t>Manager de la communication</t>
        </is>
      </c>
      <c r="G4943" s="49">
        <f>E4943&amp;" - "&amp;F4943</f>
        <v/>
      </c>
      <c r="H4943" s="36" t="inlineStr">
        <is>
          <t>RAS</t>
        </is>
      </c>
      <c r="I4943" s="45" t="inlineStr"/>
      <c r="J4943" s="45" t="inlineStr">
        <is>
          <t>RNCP36991</t>
        </is>
      </c>
      <c r="K4943" s="45" t="inlineStr">
        <is>
          <t>Manager de la communication</t>
        </is>
      </c>
      <c r="L4943" s="45" t="inlineStr">
        <is>
          <t>24/10/2027</t>
        </is>
      </c>
      <c r="M4943" s="45" t="inlineStr">
        <is>
          <t>46330 (E-réputation) ; 34260 (Marketing international) ; 34074 (Publicité) ; 32025 (Stratégie entreprise) ; 46341 (Communication externe)</t>
        </is>
      </c>
      <c r="N4943" s="50" t="inlineStr">
        <is>
          <t>NON</t>
        </is>
      </c>
      <c r="O4943" s="45" t="inlineStr"/>
    </row>
    <row r="4944" customFormat="1" s="3">
      <c r="A4944" s="45" t="n"/>
      <c r="B4944" s="46" t="inlineStr">
        <is>
          <t>46329</t>
        </is>
      </c>
      <c r="C4944" s="46">
        <f>LEFT(Tableau1[[#This Row],[Formacode]],3)</f>
        <v/>
      </c>
      <c r="D4944" s="47" t="n">
        <v>37662</v>
      </c>
      <c r="E4944" s="48">
        <f>"RNCP"&amp;D4944</f>
        <v/>
      </c>
      <c r="F4944" s="48" t="inlineStr">
        <is>
          <t>Directeur artistique multimédia</t>
        </is>
      </c>
      <c r="G4944" s="49">
        <f>E4944&amp;" - "&amp;F4944</f>
        <v/>
      </c>
      <c r="H4944" s="36" t="inlineStr">
        <is>
          <t>RAS</t>
        </is>
      </c>
      <c r="I4944" s="45" t="inlineStr"/>
      <c r="J4944" s="45" t="inlineStr">
        <is>
          <t>RNCP37662</t>
        </is>
      </c>
      <c r="K4944" s="45" t="inlineStr">
        <is>
          <t>Directeur artistique multimédia</t>
        </is>
      </c>
      <c r="L4944" s="45" t="inlineStr">
        <is>
          <t>31/05/2028</t>
        </is>
      </c>
      <c r="M4944" s="45" t="inlineStr">
        <is>
          <t>34074 (Publicité) ; 46301 (Communication entreprise) ; 46354 (Information - Communication numérique) ; 46347 (Stratégie communication numérique)</t>
        </is>
      </c>
      <c r="N4944" s="50" t="inlineStr">
        <is>
          <t>NON</t>
        </is>
      </c>
      <c r="O4944" s="45" t="inlineStr"/>
    </row>
    <row r="4945" customFormat="1" s="3">
      <c r="A4945" s="45" t="n"/>
      <c r="B4945" s="46" t="inlineStr">
        <is>
          <t>46329</t>
        </is>
      </c>
      <c r="C4945" s="46">
        <f>LEFT(Tableau1[[#This Row],[Formacode]],3)</f>
        <v/>
      </c>
      <c r="D4945" s="47" t="n">
        <v>37674</v>
      </c>
      <c r="E4945" s="48">
        <f>"RNCP"&amp;D4945</f>
        <v/>
      </c>
      <c r="F4945" s="48" t="inlineStr">
        <is>
          <t>TP - Développeur web et web mobile</t>
        </is>
      </c>
      <c r="G4945" s="49">
        <f>E4945&amp;" - "&amp;F4945</f>
        <v/>
      </c>
      <c r="H4945" s="36" t="inlineStr">
        <is>
          <t>RAS</t>
        </is>
      </c>
      <c r="I4945" s="45" t="inlineStr"/>
      <c r="J4945" s="45" t="inlineStr">
        <is>
          <t>RNCP37674</t>
        </is>
      </c>
      <c r="K4945" s="45" t="inlineStr">
        <is>
          <t>Développeur web et web mobile</t>
        </is>
      </c>
      <c r="L4945" s="45" t="inlineStr">
        <is>
          <t>01/09/2028</t>
        </is>
      </c>
      <c r="M4945" s="45" t="inlineStr">
        <is>
          <t>31090 (Développement web) ; 46357 (Qualité web) ; 31006 (Sécurité informatique) ; 70710 (Logiciel gestion de contenu e-commerce)</t>
        </is>
      </c>
      <c r="N4945" s="50" t="inlineStr">
        <is>
          <t>NON</t>
        </is>
      </c>
      <c r="O4945" s="45" t="inlineStr"/>
    </row>
    <row r="4946" customFormat="1" s="3">
      <c r="A4946" s="51" t="n"/>
      <c r="B4946" s="52" t="inlineStr">
        <is>
          <t>46329</t>
        </is>
      </c>
      <c r="C4946" s="52">
        <f>LEFT(Tableau1[[#This Row],[Formacode]],3)</f>
        <v/>
      </c>
      <c r="D4946" s="53" t="n">
        <v>37776</v>
      </c>
      <c r="E4946" s="54">
        <f>"RNCP"&amp;D4946</f>
        <v/>
      </c>
      <c r="F4946" s="54" t="inlineStr">
        <is>
          <t>Manager du contenu - content manager</t>
        </is>
      </c>
      <c r="G4946" s="55">
        <f>E4946&amp;" - "&amp;F4946</f>
        <v/>
      </c>
      <c r="H4946" s="37" t="inlineStr">
        <is>
          <t>À vérifier</t>
        </is>
      </c>
      <c r="I4946" s="51" t="inlineStr">
        <is>
          <t>Successeur déjà publié : RNCP41795 (Manager du contenu - Content manager) — préparer la bascule de l'offre CPF | Échéance le 19/07/2026 (dans 1 j)</t>
        </is>
      </c>
      <c r="J4946" s="51" t="inlineStr">
        <is>
          <t>RNCP41795</t>
        </is>
      </c>
      <c r="K4946" s="51" t="inlineStr">
        <is>
          <t>Manager du contenu - Content manager</t>
        </is>
      </c>
      <c r="L4946" s="51" t="inlineStr">
        <is>
          <t>19/07/2026</t>
        </is>
      </c>
      <c r="M4946" s="51" t="inlineStr">
        <is>
          <t>46301 (Communication entreprise) ; 46347 (Stratégie communication numérique)</t>
        </is>
      </c>
      <c r="N4946" s="62" t="inlineStr">
        <is>
          <t>NON</t>
        </is>
      </c>
      <c r="O4946" s="51" t="inlineStr"/>
    </row>
    <row r="4947" customFormat="1" s="3">
      <c r="A4947" s="51" t="n"/>
      <c r="B4947" s="52" t="inlineStr">
        <is>
          <t>46329</t>
        </is>
      </c>
      <c r="C4947" s="52">
        <f>LEFT(Tableau1[[#This Row],[Formacode]],3)</f>
        <v/>
      </c>
      <c r="D4947" s="53" t="n">
        <v>37777</v>
      </c>
      <c r="E4947" s="54">
        <f>"RNCP"&amp;D4947</f>
        <v/>
      </c>
      <c r="F4947" s="54" t="inlineStr">
        <is>
          <t>Responsable de communication</t>
        </is>
      </c>
      <c r="G4947" s="55">
        <f>E4947&amp;" - "&amp;F4947</f>
        <v/>
      </c>
      <c r="H4947" s="37" t="inlineStr">
        <is>
          <t>À vérifier</t>
        </is>
      </c>
      <c r="I4947" s="51" t="inlineStr">
        <is>
          <t>Échéance le 19/07/2026 (dans 1 j)</t>
        </is>
      </c>
      <c r="J4947" s="51" t="inlineStr">
        <is>
          <t>RNCP37777</t>
        </is>
      </c>
      <c r="K4947" s="51" t="inlineStr">
        <is>
          <t>Responsable de communication</t>
        </is>
      </c>
      <c r="L4947" s="51" t="inlineStr">
        <is>
          <t>19/07/2026</t>
        </is>
      </c>
      <c r="M4947" s="51" t="inlineStr">
        <is>
          <t>46341 (Communication externe) ; 46311 (Communication interne) ; 46347 (Stratégie communication numérique) ; 46340 (Communication événementielle)</t>
        </is>
      </c>
      <c r="N4947" s="62" t="inlineStr">
        <is>
          <t>NON</t>
        </is>
      </c>
      <c r="O4947" s="51" t="inlineStr"/>
    </row>
    <row r="4948" customFormat="1" s="3">
      <c r="A4948" s="51" t="n"/>
      <c r="B4948" s="52" t="inlineStr">
        <is>
          <t>46329</t>
        </is>
      </c>
      <c r="C4948" s="52">
        <f>LEFT(Tableau1[[#This Row],[Formacode]],3)</f>
        <v/>
      </c>
      <c r="D4948" s="53" t="n">
        <v>37793</v>
      </c>
      <c r="E4948" s="54">
        <f>"RNCP"&amp;D4948</f>
        <v/>
      </c>
      <c r="F4948" s="54" t="inlineStr">
        <is>
          <t>Manager de la stratégie digitale</t>
        </is>
      </c>
      <c r="G4948" s="55">
        <f>E4948&amp;" - "&amp;F4948</f>
        <v/>
      </c>
      <c r="H4948" s="37" t="inlineStr">
        <is>
          <t>À vérifier</t>
        </is>
      </c>
      <c r="I4948" s="51" t="inlineStr">
        <is>
          <t>Successeur déjà publié : RNCP42488 (Manager de la stratégie digitale) — préparer la bascule de l'offre CPF | Échéance le 19/07/2026 (dans 1 j)</t>
        </is>
      </c>
      <c r="J4948" s="51" t="inlineStr">
        <is>
          <t>RNCP42488</t>
        </is>
      </c>
      <c r="K4948" s="51" t="inlineStr">
        <is>
          <t>Manager de la stratégie digitale</t>
        </is>
      </c>
      <c r="L4948" s="51" t="inlineStr">
        <is>
          <t>19/07/2026</t>
        </is>
      </c>
      <c r="M4948" s="51" t="inlineStr">
        <is>
          <t>34093 (Marketing digital) ; 32066 (Transition numérique) ; 46347 (Stratégie communication numérique) ; 34057 (Marketing stratégique)</t>
        </is>
      </c>
      <c r="N4948" s="62" t="inlineStr">
        <is>
          <t>NON</t>
        </is>
      </c>
      <c r="O4948" s="51" t="inlineStr"/>
    </row>
    <row r="4949" customFormat="1" s="3">
      <c r="A4949" s="51" t="n"/>
      <c r="B4949" s="52" t="inlineStr">
        <is>
          <t>46329</t>
        </is>
      </c>
      <c r="C4949" s="52">
        <f>LEFT(Tableau1[[#This Row],[Formacode]],3)</f>
        <v/>
      </c>
      <c r="D4949" s="53" t="n">
        <v>38018</v>
      </c>
      <c r="E4949" s="54">
        <f>"RNCP"&amp;D4949</f>
        <v/>
      </c>
      <c r="F4949" s="54" t="inlineStr">
        <is>
          <t>Chef de projet digital</t>
        </is>
      </c>
      <c r="G4949" s="55">
        <f>E4949&amp;" - "&amp;F4949</f>
        <v/>
      </c>
      <c r="H4949" s="37" t="inlineStr">
        <is>
          <t>À vérifier</t>
        </is>
      </c>
      <c r="I4949" s="51" t="inlineStr">
        <is>
          <t>Échéance le 20/09/2026 (dans 64 j)</t>
        </is>
      </c>
      <c r="J4949" s="51" t="inlineStr">
        <is>
          <t>RNCP38018</t>
        </is>
      </c>
      <c r="K4949" s="51" t="inlineStr">
        <is>
          <t>Chef de projet digital</t>
        </is>
      </c>
      <c r="L4949" s="51" t="inlineStr">
        <is>
          <t>20/09/2026</t>
        </is>
      </c>
      <c r="M4949" s="51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4949" s="62" t="inlineStr">
        <is>
          <t>NON</t>
        </is>
      </c>
      <c r="O4949" s="51" t="inlineStr"/>
    </row>
    <row r="4950" customFormat="1" s="3">
      <c r="A4950" s="51" t="n"/>
      <c r="B4950" s="52" t="inlineStr">
        <is>
          <t>46329</t>
        </is>
      </c>
      <c r="C4950" s="52">
        <f>LEFT(Tableau1[[#This Row],[Formacode]],3)</f>
        <v/>
      </c>
      <c r="D4950" s="53" t="n">
        <v>38125</v>
      </c>
      <c r="E4950" s="54">
        <f>"RNCP"&amp;D4950</f>
        <v/>
      </c>
      <c r="F4950" s="54" t="inlineStr">
        <is>
          <t>Responsable projet communication</t>
        </is>
      </c>
      <c r="G4950" s="55">
        <f>E4950&amp;" - "&amp;F4950</f>
        <v/>
      </c>
      <c r="H4950" s="37" t="inlineStr">
        <is>
          <t>À vérifier</t>
        </is>
      </c>
      <c r="I4950" s="51" t="inlineStr">
        <is>
          <t>Échéance le 18/10/2026 (dans 92 j)</t>
        </is>
      </c>
      <c r="J4950" s="51" t="inlineStr">
        <is>
          <t>RNCP38125</t>
        </is>
      </c>
      <c r="K4950" s="51" t="inlineStr">
        <is>
          <t>Responsable projet communication</t>
        </is>
      </c>
      <c r="L4950" s="51" t="inlineStr">
        <is>
          <t>18/10/2026</t>
        </is>
      </c>
      <c r="M4950" s="51" t="inlineStr">
        <is>
          <t>46311 (Communication interne) ; 46347 (Stratégie communication numérique) ; 46340 (Communication événementielle) ; 46341 (Communication externe)</t>
        </is>
      </c>
      <c r="N4950" s="62" t="inlineStr">
        <is>
          <t>NON</t>
        </is>
      </c>
      <c r="O4950" s="51" t="inlineStr"/>
    </row>
    <row r="4951" customFormat="1" s="3">
      <c r="A4951" s="51" t="n"/>
      <c r="B4951" s="52" t="inlineStr">
        <is>
          <t>46329</t>
        </is>
      </c>
      <c r="C4951" s="52">
        <f>LEFT(Tableau1[[#This Row],[Formacode]],3)</f>
        <v/>
      </c>
      <c r="D4951" s="53" t="n">
        <v>38244</v>
      </c>
      <c r="E4951" s="54">
        <f>"RNCP"&amp;D4951</f>
        <v/>
      </c>
      <c r="F4951" s="54" t="inlineStr">
        <is>
          <t>Concepteur UI et webdesign</t>
        </is>
      </c>
      <c r="G4951" s="55">
        <f>E4951&amp;" - "&amp;F4951</f>
        <v/>
      </c>
      <c r="H4951" s="37" t="inlineStr">
        <is>
          <t>À vérifier</t>
        </is>
      </c>
      <c r="I4951" s="51" t="inlineStr">
        <is>
          <t>Échéance le 15/11/2026 (dans 120 j)</t>
        </is>
      </c>
      <c r="J4951" s="51" t="inlineStr">
        <is>
          <t>RNCP38244</t>
        </is>
      </c>
      <c r="K4951" s="51" t="inlineStr">
        <is>
          <t>Concepteur UI et webdesign</t>
        </is>
      </c>
      <c r="L4951" s="51" t="inlineStr">
        <is>
          <t>15/11/2026</t>
        </is>
      </c>
      <c r="M4951" s="51" t="inlineStr">
        <is>
          <t>46331 (Site web) ; 46003 (Infographie)</t>
        </is>
      </c>
      <c r="N4951" s="62" t="inlineStr">
        <is>
          <t>NON</t>
        </is>
      </c>
      <c r="O4951" s="51" t="inlineStr"/>
    </row>
    <row r="4952" customFormat="1" s="3">
      <c r="A4952" s="45" t="n"/>
      <c r="B4952" s="46" t="inlineStr">
        <is>
          <t>46329</t>
        </is>
      </c>
      <c r="C4952" s="46">
        <f>LEFT(Tableau1[[#This Row],[Formacode]],3)</f>
        <v/>
      </c>
      <c r="D4952" s="47" t="n">
        <v>38518</v>
      </c>
      <c r="E4952" s="48">
        <f>"RNCP"&amp;D4952</f>
        <v/>
      </c>
      <c r="F4952" s="48" t="inlineStr">
        <is>
          <t>Designer d'images animées et immersives</t>
        </is>
      </c>
      <c r="G4952" s="49">
        <f>E4952&amp;" - "&amp;F4952</f>
        <v/>
      </c>
      <c r="H4952" s="36" t="inlineStr">
        <is>
          <t>RAS</t>
        </is>
      </c>
      <c r="I4952" s="45" t="inlineStr"/>
      <c r="J4952" s="45" t="inlineStr">
        <is>
          <t>RNCP38518</t>
        </is>
      </c>
      <c r="K4952" s="45" t="inlineStr">
        <is>
          <t>Designer d'images animées et immersives</t>
        </is>
      </c>
      <c r="L4952" s="45" t="inlineStr">
        <is>
          <t>21/12/2027</t>
        </is>
      </c>
      <c r="M4952" s="45" t="inlineStr">
        <is>
          <t>46264 (Conception réalisation audiovisuelle) ; 46347 (Stratégie communication numérique) ; 46003 (Infographie)</t>
        </is>
      </c>
      <c r="N4952" s="50" t="inlineStr">
        <is>
          <t>NON</t>
        </is>
      </c>
      <c r="O4952" s="45" t="inlineStr"/>
    </row>
    <row r="4953" customFormat="1" s="3">
      <c r="A4953" s="45" t="n"/>
      <c r="B4953" s="46" t="inlineStr">
        <is>
          <t>46329</t>
        </is>
      </c>
      <c r="C4953" s="46">
        <f>LEFT(Tableau1[[#This Row],[Formacode]],3)</f>
        <v/>
      </c>
      <c r="D4953" s="47" t="n">
        <v>38586</v>
      </c>
      <c r="E4953" s="48">
        <f>"RNCP"&amp;D4953</f>
        <v/>
      </c>
      <c r="F4953" s="48" t="inlineStr">
        <is>
          <t>Manager de la stratégie marketing</t>
        </is>
      </c>
      <c r="G4953" s="49">
        <f>E4953&amp;" - "&amp;F4953</f>
        <v/>
      </c>
      <c r="H4953" s="36" t="inlineStr">
        <is>
          <t>RAS</t>
        </is>
      </c>
      <c r="I4953" s="45" t="inlineStr"/>
      <c r="J4953" s="45" t="inlineStr">
        <is>
          <t>RNCP38586</t>
        </is>
      </c>
      <c r="K4953" s="45" t="inlineStr">
        <is>
          <t>Manager de la stratégie marketing</t>
        </is>
      </c>
      <c r="L4953" s="45" t="inlineStr">
        <is>
          <t>09/02/2027</t>
        </is>
      </c>
      <c r="M4953" s="45" t="inlineStr">
        <is>
          <t>34093 (Marketing digital) ; 34057 (Marketing stratégique) ; 46359 (Réseau social)</t>
        </is>
      </c>
      <c r="N4953" s="50" t="inlineStr">
        <is>
          <t>NON</t>
        </is>
      </c>
      <c r="O4953" s="45" t="inlineStr"/>
    </row>
    <row r="4954" customFormat="1" s="3">
      <c r="A4954" s="45" t="n"/>
      <c r="B4954" s="46" t="inlineStr">
        <is>
          <t>46329</t>
        </is>
      </c>
      <c r="C4954" s="46">
        <f>LEFT(Tableau1[[#This Row],[Formacode]],3)</f>
        <v/>
      </c>
      <c r="D4954" s="47" t="n">
        <v>39136</v>
      </c>
      <c r="E4954" s="48">
        <f>"RNCP"&amp;D4954</f>
        <v/>
      </c>
      <c r="F4954" s="48" t="inlineStr">
        <is>
          <t>Grade_Master - Diplôme des Instituts d’Études Politiques – Sciences Po</t>
        </is>
      </c>
      <c r="G4954" s="49">
        <f>E4954&amp;" - "&amp;F4954</f>
        <v/>
      </c>
      <c r="H4954" s="36" t="inlineStr">
        <is>
          <t>RAS</t>
        </is>
      </c>
      <c r="I4954" s="45" t="inlineStr"/>
      <c r="J4954" s="45" t="inlineStr">
        <is>
          <t>RNCP39136</t>
        </is>
      </c>
      <c r="K4954" s="45" t="inlineStr">
        <is>
          <t>Diplôme des Instituts d’Études Politiques – Sciences Po</t>
        </is>
      </c>
      <c r="L4954" s="45" t="inlineStr">
        <is>
          <t>14/04/2029</t>
        </is>
      </c>
      <c r="M4954" s="45" t="inlineStr">
        <is>
          <t>13154 (Économie) ; 13054 (Science politique) ; 46354 (Information - Communication numérique) ; 32154 (Encadrement management) ; 13254 (Droit)</t>
        </is>
      </c>
      <c r="N4954" s="50" t="inlineStr">
        <is>
          <t>NON</t>
        </is>
      </c>
      <c r="O4954" s="45" t="inlineStr"/>
    </row>
    <row r="4955" customFormat="1" s="3">
      <c r="A4955" s="45" t="n"/>
      <c r="B4955" s="46" t="inlineStr">
        <is>
          <t>46329</t>
        </is>
      </c>
      <c r="C4955" s="46">
        <f>LEFT(Tableau1[[#This Row],[Formacode]],3)</f>
        <v/>
      </c>
      <c r="D4955" s="47" t="n">
        <v>39240</v>
      </c>
      <c r="E4955" s="48">
        <f>"RNCP"&amp;D4955</f>
        <v/>
      </c>
      <c r="F4955" s="48" t="inlineStr">
        <is>
          <t>Concepteur webdesigner</t>
        </is>
      </c>
      <c r="G4955" s="49">
        <f>E4955&amp;" - "&amp;F4955</f>
        <v/>
      </c>
      <c r="H4955" s="36" t="inlineStr">
        <is>
          <t>RAS</t>
        </is>
      </c>
      <c r="I4955" s="45" t="inlineStr"/>
      <c r="J4955" s="45" t="inlineStr">
        <is>
          <t>RNCP39240</t>
        </is>
      </c>
      <c r="K4955" s="45" t="inlineStr">
        <is>
          <t>Concepteur webdesigner</t>
        </is>
      </c>
      <c r="L4955" s="45" t="inlineStr">
        <is>
          <t>27/06/2027</t>
        </is>
      </c>
      <c r="M4955" s="45" t="inlineStr">
        <is>
          <t>46334 (Maquettage site web) ; 31090 (Développement web) ; 46003 (Infographie)</t>
        </is>
      </c>
      <c r="N4955" s="50" t="inlineStr">
        <is>
          <t>NON</t>
        </is>
      </c>
      <c r="O4955" s="45" t="inlineStr"/>
    </row>
    <row r="4956" customFormat="1" s="3">
      <c r="A4956" s="45" t="n"/>
      <c r="B4956" s="46" t="inlineStr">
        <is>
          <t>46329</t>
        </is>
      </c>
      <c r="C4956" s="46">
        <f>LEFT(Tableau1[[#This Row],[Formacode]],3)</f>
        <v/>
      </c>
      <c r="D4956" s="47" t="n">
        <v>39249</v>
      </c>
      <c r="E4956" s="48">
        <f>"RNCP"&amp;D4956</f>
        <v/>
      </c>
      <c r="F4956" s="48" t="inlineStr">
        <is>
          <t>Responsable communication</t>
        </is>
      </c>
      <c r="G4956" s="49">
        <f>E4956&amp;" - "&amp;F4956</f>
        <v/>
      </c>
      <c r="H4956" s="36" t="inlineStr">
        <is>
          <t>RAS</t>
        </is>
      </c>
      <c r="I4956" s="45" t="inlineStr"/>
      <c r="J4956" s="45" t="inlineStr">
        <is>
          <t>RNCP39249</t>
        </is>
      </c>
      <c r="K4956" s="45" t="inlineStr">
        <is>
          <t>Responsable communication</t>
        </is>
      </c>
      <c r="L4956" s="45" t="inlineStr">
        <is>
          <t>27/06/2029</t>
        </is>
      </c>
      <c r="M4956" s="45" t="inlineStr">
        <is>
          <t>46340 (Communication événementielle) ; 46341 (Communication externe) ; 46347 (Stratégie communication numérique)</t>
        </is>
      </c>
      <c r="N4956" s="50" t="inlineStr">
        <is>
          <t>NON</t>
        </is>
      </c>
      <c r="O4956" s="45" t="inlineStr"/>
    </row>
    <row r="4957" customFormat="1" s="3">
      <c r="A4957" s="45" t="n"/>
      <c r="B4957" s="46" t="inlineStr">
        <is>
          <t>46329</t>
        </is>
      </c>
      <c r="C4957" s="46">
        <f>LEFT(Tableau1[[#This Row],[Formacode]],3)</f>
        <v/>
      </c>
      <c r="D4957" s="47" t="n">
        <v>39592</v>
      </c>
      <c r="E4957" s="48">
        <f>"RNCP"&amp;D4957</f>
        <v/>
      </c>
      <c r="F4957" s="48" t="inlineStr">
        <is>
          <t>Manager de la communication et du marketing digital</t>
        </is>
      </c>
      <c r="G4957" s="49">
        <f>E4957&amp;" - "&amp;F4957</f>
        <v/>
      </c>
      <c r="H4957" s="36" t="inlineStr">
        <is>
          <t>RAS</t>
        </is>
      </c>
      <c r="I4957" s="45" t="inlineStr"/>
      <c r="J4957" s="45" t="inlineStr">
        <is>
          <t>RNCP39592</t>
        </is>
      </c>
      <c r="K4957" s="45" t="inlineStr">
        <is>
          <t>Manager de la communication et du marketing digital</t>
        </is>
      </c>
      <c r="L4957" s="45" t="inlineStr">
        <is>
          <t>01/10/2027</t>
        </is>
      </c>
      <c r="M4957" s="45" t="inlineStr">
        <is>
          <t>34093 (Marketing digital) ; 34057 (Marketing stratégique) ; 46347 (Stratégie communication numérique)</t>
        </is>
      </c>
      <c r="N4957" s="50" t="inlineStr">
        <is>
          <t>NON</t>
        </is>
      </c>
      <c r="O4957" s="45" t="inlineStr"/>
    </row>
    <row r="4958" customFormat="1" s="3">
      <c r="A4958" s="45" t="n"/>
      <c r="B4958" s="46" t="inlineStr">
        <is>
          <t>46329</t>
        </is>
      </c>
      <c r="C4958" s="46">
        <f>LEFT(Tableau1[[#This Row],[Formacode]],3)</f>
        <v/>
      </c>
      <c r="D4958" s="47" t="n">
        <v>39741</v>
      </c>
      <c r="E4958" s="48">
        <f>"RNCP"&amp;D4958</f>
        <v/>
      </c>
      <c r="F4958" s="48" t="inlineStr">
        <is>
          <t>Chargé de communication</t>
        </is>
      </c>
      <c r="G4958" s="49">
        <f>E4958&amp;" - "&amp;F4958</f>
        <v/>
      </c>
      <c r="H4958" s="36" t="inlineStr">
        <is>
          <t>RAS</t>
        </is>
      </c>
      <c r="I4958" s="45" t="inlineStr"/>
      <c r="J4958" s="45" t="inlineStr">
        <is>
          <t>RNCP39741</t>
        </is>
      </c>
      <c r="K4958" s="45" t="inlineStr">
        <is>
          <t>Chargé de communication</t>
        </is>
      </c>
      <c r="L4958" s="45" t="inlineStr">
        <is>
          <t>31/10/2027</t>
        </is>
      </c>
      <c r="M4958" s="45" t="inlineStr">
        <is>
          <t>46354 (Information - Communication numérique)</t>
        </is>
      </c>
      <c r="N4958" s="50" t="inlineStr">
        <is>
          <t>NON</t>
        </is>
      </c>
      <c r="O4958" s="45" t="inlineStr"/>
    </row>
    <row r="4959" customFormat="1" s="3">
      <c r="A4959" s="45" t="n"/>
      <c r="B4959" s="46" t="inlineStr">
        <is>
          <t>46329</t>
        </is>
      </c>
      <c r="C4959" s="46">
        <f>LEFT(Tableau1[[#This Row],[Formacode]],3)</f>
        <v/>
      </c>
      <c r="D4959" s="47" t="n">
        <v>39762</v>
      </c>
      <c r="E4959" s="48">
        <f>"RNCP"&amp;D4959</f>
        <v/>
      </c>
      <c r="F4959" s="48" t="inlineStr">
        <is>
          <t>Expert en transformation digitale et technologique no-code</t>
        </is>
      </c>
      <c r="G4959" s="49">
        <f>E4959&amp;" - "&amp;F4959</f>
        <v/>
      </c>
      <c r="H4959" s="36" t="inlineStr">
        <is>
          <t>RAS</t>
        </is>
      </c>
      <c r="I4959" s="45" t="inlineStr"/>
      <c r="J4959" s="45" t="inlineStr">
        <is>
          <t>RNCP39762</t>
        </is>
      </c>
      <c r="K4959" s="45" t="inlineStr">
        <is>
          <t>Expert en transformation digitale et technologique no-code</t>
        </is>
      </c>
      <c r="L4959" s="45" t="inlineStr">
        <is>
          <t>31/10/2027</t>
        </is>
      </c>
      <c r="M4959" s="45" t="inlineStr">
        <is>
          <t>31094 (Gestion projet informatique) ; 32016 (Conduite changement technologique) ; 46347 (Stratégie communication numérique)</t>
        </is>
      </c>
      <c r="N4959" s="50" t="inlineStr">
        <is>
          <t>NON</t>
        </is>
      </c>
      <c r="O4959" s="45" t="inlineStr"/>
    </row>
    <row r="4960" customFormat="1" s="3">
      <c r="A4960" s="45" t="n"/>
      <c r="B4960" s="46" t="inlineStr">
        <is>
          <t>46329</t>
        </is>
      </c>
      <c r="C4960" s="46">
        <f>LEFT(Tableau1[[#This Row],[Formacode]],3)</f>
        <v/>
      </c>
      <c r="D4960" s="47" t="n">
        <v>39767</v>
      </c>
      <c r="E4960" s="48">
        <f>"RNCP"&amp;D4960</f>
        <v/>
      </c>
      <c r="F4960" s="48" t="inlineStr">
        <is>
          <t>Chargé de communication multicanale</t>
        </is>
      </c>
      <c r="G4960" s="49">
        <f>E4960&amp;" - "&amp;F4960</f>
        <v/>
      </c>
      <c r="H4960" s="36" t="inlineStr">
        <is>
          <t>RAS</t>
        </is>
      </c>
      <c r="I4960" s="45" t="inlineStr"/>
      <c r="J4960" s="45" t="inlineStr">
        <is>
          <t>RNCP39767</t>
        </is>
      </c>
      <c r="K4960" s="45" t="inlineStr">
        <is>
          <t>Chargé de communication multicanale</t>
        </is>
      </c>
      <c r="L4960" s="45" t="inlineStr">
        <is>
          <t>31/10/2027</t>
        </is>
      </c>
      <c r="M4960" s="45" t="inlineStr">
        <is>
          <t>46301 (Communication entreprise) ; 46359 (Réseau social)</t>
        </is>
      </c>
      <c r="N4960" s="50" t="inlineStr">
        <is>
          <t>NON</t>
        </is>
      </c>
      <c r="O4960" s="45" t="inlineStr"/>
    </row>
    <row r="4961" customFormat="1" s="3">
      <c r="A4961" s="45" t="n"/>
      <c r="B4961" s="46" t="inlineStr">
        <is>
          <t>46329</t>
        </is>
      </c>
      <c r="C4961" s="46">
        <f>LEFT(Tableau1[[#This Row],[Formacode]],3)</f>
        <v/>
      </c>
      <c r="D4961" s="47" t="n">
        <v>40589</v>
      </c>
      <c r="E4961" s="48">
        <f>"RNCP"&amp;D4961</f>
        <v/>
      </c>
      <c r="F4961" s="48" t="inlineStr">
        <is>
          <t>Manager expert en transformation numérique</t>
        </is>
      </c>
      <c r="G4961" s="49">
        <f>E4961&amp;" - "&amp;F4961</f>
        <v/>
      </c>
      <c r="H4961" s="36" t="inlineStr">
        <is>
          <t>RAS</t>
        </is>
      </c>
      <c r="I4961" s="45" t="inlineStr"/>
      <c r="J4961" s="45" t="inlineStr">
        <is>
          <t>RNCP40589</t>
        </is>
      </c>
      <c r="K4961" s="45" t="inlineStr">
        <is>
          <t>Manager expert en transformation numérique</t>
        </is>
      </c>
      <c r="L4961" s="45" t="inlineStr">
        <is>
          <t>30/04/2030</t>
        </is>
      </c>
      <c r="M4961" s="45" t="inlineStr">
        <is>
          <t>32016 (Conduite changement technologique) ; 34093 (Marketing digital) ; 31025 (Analyse de données) ; 46347 (Stratégie communication numérique)</t>
        </is>
      </c>
      <c r="N4961" s="50" t="inlineStr">
        <is>
          <t>NON</t>
        </is>
      </c>
      <c r="O4961" s="45" t="inlineStr"/>
    </row>
    <row r="4962" customFormat="1" s="3">
      <c r="A4962" s="45" t="n"/>
      <c r="B4962" s="46" t="inlineStr">
        <is>
          <t>46329</t>
        </is>
      </c>
      <c r="C4962" s="46">
        <f>LEFT(Tableau1[[#This Row],[Formacode]],3)</f>
        <v/>
      </c>
      <c r="D4962" s="47" t="n">
        <v>40851</v>
      </c>
      <c r="E4962" s="48">
        <f>"RNCP"&amp;D4962</f>
        <v/>
      </c>
      <c r="F4962" s="48" t="inlineStr">
        <is>
          <t>Chef de projet webmarketing et e-commerce</t>
        </is>
      </c>
      <c r="G4962" s="49">
        <f>E4962&amp;" - "&amp;F4962</f>
        <v/>
      </c>
      <c r="H4962" s="36" t="inlineStr">
        <is>
          <t>RAS</t>
        </is>
      </c>
      <c r="I4962" s="45" t="inlineStr"/>
      <c r="J4962" s="45" t="inlineStr">
        <is>
          <t>RNCP40851</t>
        </is>
      </c>
      <c r="K4962" s="45" t="inlineStr">
        <is>
          <t>Chef de projet webmarketing et e-commerce</t>
        </is>
      </c>
      <c r="L4962" s="45" t="inlineStr">
        <is>
          <t>25/06/2028</t>
        </is>
      </c>
      <c r="M4962" s="45" t="inlineStr">
        <is>
          <t>34093 (Marketing digital) ; 46347 (Stratégie communication numérique) ; 34530 (E-commerce) ; 34053 (Marketing opérationnel)</t>
        </is>
      </c>
      <c r="N4962" s="50" t="inlineStr">
        <is>
          <t>NON</t>
        </is>
      </c>
      <c r="O4962" s="45" t="inlineStr"/>
    </row>
    <row r="4963" customFormat="1" s="3">
      <c r="A4963" s="45" t="n"/>
      <c r="B4963" s="46" t="inlineStr">
        <is>
          <t>46329</t>
        </is>
      </c>
      <c r="C4963" s="46">
        <f>LEFT(Tableau1[[#This Row],[Formacode]],3)</f>
        <v/>
      </c>
      <c r="D4963" s="47" t="n">
        <v>40860</v>
      </c>
      <c r="E4963" s="48">
        <f>"RNCP"&amp;D4963</f>
        <v/>
      </c>
      <c r="F4963" s="48" t="inlineStr">
        <is>
          <t>Manager marketing digital et communication</t>
        </is>
      </c>
      <c r="G4963" s="49">
        <f>E4963&amp;" - "&amp;F4963</f>
        <v/>
      </c>
      <c r="H4963" s="36" t="inlineStr">
        <is>
          <t>RAS</t>
        </is>
      </c>
      <c r="I4963" s="45" t="inlineStr"/>
      <c r="J4963" s="45" t="inlineStr">
        <is>
          <t>RNCP40860</t>
        </is>
      </c>
      <c r="K4963" s="45" t="inlineStr">
        <is>
          <t>Manager marketing digital et communication</t>
        </is>
      </c>
      <c r="L4963" s="45" t="inlineStr">
        <is>
          <t>25/06/2028</t>
        </is>
      </c>
      <c r="M4963" s="45" t="inlineStr">
        <is>
          <t>34093 (Marketing digital) ; 46347 (Stratégie communication numérique) ; 46301 (Communication entreprise) ; 34076 (Gestion relation client)</t>
        </is>
      </c>
      <c r="N4963" s="50" t="inlineStr">
        <is>
          <t>NON</t>
        </is>
      </c>
      <c r="O4963" s="45" t="inlineStr"/>
    </row>
    <row r="4964" customFormat="1" s="3">
      <c r="A4964" s="45" t="n"/>
      <c r="B4964" s="46" t="inlineStr">
        <is>
          <t>46329</t>
        </is>
      </c>
      <c r="C4964" s="46">
        <f>LEFT(Tableau1[[#This Row],[Formacode]],3)</f>
        <v/>
      </c>
      <c r="D4964" s="47" t="n">
        <v>40893</v>
      </c>
      <c r="E4964" s="48">
        <f>"RNCP"&amp;D4964</f>
        <v/>
      </c>
      <c r="F4964" s="48" t="inlineStr">
        <is>
          <t>Chef de projets marketing et communication</t>
        </is>
      </c>
      <c r="G4964" s="49">
        <f>E4964&amp;" - "&amp;F4964</f>
        <v/>
      </c>
      <c r="H4964" s="36" t="inlineStr">
        <is>
          <t>RAS</t>
        </is>
      </c>
      <c r="I4964" s="45" t="inlineStr"/>
      <c r="J4964" s="45" t="inlineStr">
        <is>
          <t>RNCP40893</t>
        </is>
      </c>
      <c r="K4964" s="45" t="inlineStr">
        <is>
          <t>Chef de projets marketing et communication</t>
        </is>
      </c>
      <c r="L4964" s="45" t="inlineStr">
        <is>
          <t>25/06/2028</t>
        </is>
      </c>
      <c r="M4964" s="45" t="inlineStr">
        <is>
          <t>34093 (Marketing digital) ; 46347 (Stratégie communication numérique) ; 46301 (Communication entreprise)</t>
        </is>
      </c>
      <c r="N4964" s="50" t="inlineStr">
        <is>
          <t>NON</t>
        </is>
      </c>
      <c r="O4964" s="45" t="inlineStr"/>
    </row>
    <row r="4965" customFormat="1" s="3">
      <c r="A4965" s="45" t="n"/>
      <c r="B4965" s="46" t="inlineStr">
        <is>
          <t>46329</t>
        </is>
      </c>
      <c r="C4965" s="46">
        <f>LEFT(Tableau1[[#This Row],[Formacode]],3)</f>
        <v/>
      </c>
      <c r="D4965" s="47" t="n">
        <v>40917</v>
      </c>
      <c r="E4965" s="48">
        <f>"RNCP"&amp;D4965</f>
        <v/>
      </c>
      <c r="F4965" s="48" t="inlineStr">
        <is>
          <t>UX/UI Designer</t>
        </is>
      </c>
      <c r="G4965" s="49">
        <f>E4965&amp;" - "&amp;F4965</f>
        <v/>
      </c>
      <c r="H4965" s="36" t="inlineStr">
        <is>
          <t>RAS</t>
        </is>
      </c>
      <c r="I4965" s="45" t="inlineStr"/>
      <c r="J4965" s="45" t="inlineStr">
        <is>
          <t>RNCP40917</t>
        </is>
      </c>
      <c r="K4965" s="45" t="inlineStr">
        <is>
          <t>UX/UI Designer</t>
        </is>
      </c>
      <c r="L4965" s="45" t="inlineStr">
        <is>
          <t>25/06/2030</t>
        </is>
      </c>
      <c r="M4965" s="45" t="inlineStr">
        <is>
          <t>46370 (Design expérience utilisateur) ; 46372 (Design interface utilisateur) ; 46347 (Stratégie communication numérique)</t>
        </is>
      </c>
      <c r="N4965" s="50" t="inlineStr">
        <is>
          <t>NON</t>
        </is>
      </c>
      <c r="O4965" s="45" t="inlineStr"/>
    </row>
    <row r="4966" customFormat="1" s="3">
      <c r="A4966" s="45" t="n"/>
      <c r="B4966" s="46" t="inlineStr">
        <is>
          <t>46329</t>
        </is>
      </c>
      <c r="C4966" s="46">
        <f>LEFT(Tableau1[[#This Row],[Formacode]],3)</f>
        <v/>
      </c>
      <c r="D4966" s="47" t="n">
        <v>40924</v>
      </c>
      <c r="E4966" s="48">
        <f>"RNCP"&amp;D4966</f>
        <v/>
      </c>
      <c r="F4966" s="48" t="inlineStr">
        <is>
          <t>Concepteur en création visuelle</t>
        </is>
      </c>
      <c r="G4966" s="49">
        <f>E4966&amp;" - "&amp;F4966</f>
        <v/>
      </c>
      <c r="H4966" s="36" t="inlineStr">
        <is>
          <t>RAS</t>
        </is>
      </c>
      <c r="I4966" s="45" t="inlineStr"/>
      <c r="J4966" s="45" t="inlineStr">
        <is>
          <t>RNCP40924</t>
        </is>
      </c>
      <c r="K4966" s="45" t="inlineStr">
        <is>
          <t>Concepteur en création visuelle</t>
        </is>
      </c>
      <c r="L4966" s="45" t="inlineStr">
        <is>
          <t>25/06/2028</t>
        </is>
      </c>
      <c r="M4966" s="45" t="inlineStr">
        <is>
          <t>46081 (Création graphique) ; 46276 (Film animation) ; 46244 (Gestion production audiovisuelle) ; 46354 (Information - Communication numérique)</t>
        </is>
      </c>
      <c r="N4966" s="50" t="inlineStr">
        <is>
          <t>NON</t>
        </is>
      </c>
      <c r="O4966" s="45" t="inlineStr"/>
    </row>
    <row r="4967" customFormat="1" s="3">
      <c r="A4967" s="45" t="n"/>
      <c r="B4967" s="46" t="inlineStr">
        <is>
          <t>46329</t>
        </is>
      </c>
      <c r="C4967" s="46">
        <f>LEFT(Tableau1[[#This Row],[Formacode]],3)</f>
        <v/>
      </c>
      <c r="D4967" s="47" t="n">
        <v>41123</v>
      </c>
      <c r="E4967" s="48">
        <f>"RNCP"&amp;D4967</f>
        <v/>
      </c>
      <c r="F4967" s="48" t="inlineStr">
        <is>
          <t>Expert en transformation digitale et technologique no code</t>
        </is>
      </c>
      <c r="G4967" s="49">
        <f>E4967&amp;" - "&amp;F4967</f>
        <v/>
      </c>
      <c r="H4967" s="36" t="inlineStr">
        <is>
          <t>RAS</t>
        </is>
      </c>
      <c r="I4967" s="45" t="inlineStr"/>
      <c r="J4967" s="45" t="inlineStr">
        <is>
          <t>RNCP41123</t>
        </is>
      </c>
      <c r="K4967" s="45" t="inlineStr">
        <is>
          <t>Expert en transformation digitale et technologique no code</t>
        </is>
      </c>
      <c r="L4967" s="45" t="inlineStr">
        <is>
          <t>18/07/2028</t>
        </is>
      </c>
      <c r="M4967" s="45" t="inlineStr">
        <is>
          <t>31094 (Gestion projet informatique) ; 32016 (Conduite changement technologique) ; 46347 (Stratégie communication numérique)</t>
        </is>
      </c>
      <c r="N4967" s="50" t="inlineStr">
        <is>
          <t>NON</t>
        </is>
      </c>
      <c r="O4967" s="45" t="inlineStr"/>
    </row>
    <row r="4968" customFormat="1" s="3">
      <c r="A4968" s="45" t="n"/>
      <c r="B4968" s="46" t="inlineStr">
        <is>
          <t>46329</t>
        </is>
      </c>
      <c r="C4968" s="46">
        <f>LEFT(Tableau1[[#This Row],[Formacode]],3)</f>
        <v/>
      </c>
      <c r="D4968" s="47" t="n">
        <v>41125</v>
      </c>
      <c r="E4968" s="48">
        <f>"RNCP"&amp;D4968</f>
        <v/>
      </c>
      <c r="F4968" s="48" t="inlineStr">
        <is>
          <t>Chargé de communication</t>
        </is>
      </c>
      <c r="G4968" s="49">
        <f>E4968&amp;" - "&amp;F4968</f>
        <v/>
      </c>
      <c r="H4968" s="36" t="inlineStr">
        <is>
          <t>RAS</t>
        </is>
      </c>
      <c r="I4968" s="45" t="inlineStr"/>
      <c r="J4968" s="45" t="inlineStr">
        <is>
          <t>RNCP41125</t>
        </is>
      </c>
      <c r="K4968" s="45" t="inlineStr">
        <is>
          <t>Chargé de communication</t>
        </is>
      </c>
      <c r="L4968" s="45" t="inlineStr">
        <is>
          <t>18/07/2030</t>
        </is>
      </c>
      <c r="M4968" s="45" t="inlineStr">
        <is>
          <t>46301 (Communication entreprise) ; 46347 (Stratégie communication numérique) ; 46081 (Création graphique)</t>
        </is>
      </c>
      <c r="N4968" s="50" t="inlineStr">
        <is>
          <t>NON</t>
        </is>
      </c>
      <c r="O4968" s="45" t="inlineStr"/>
    </row>
    <row r="4969" customFormat="1" s="3">
      <c r="A4969" s="45" t="n"/>
      <c r="B4969" s="46" t="inlineStr">
        <is>
          <t>46329</t>
        </is>
      </c>
      <c r="C4969" s="46">
        <f>LEFT(Tableau1[[#This Row],[Formacode]],3)</f>
        <v/>
      </c>
      <c r="D4969" s="47" t="n">
        <v>41407</v>
      </c>
      <c r="E4969" s="48">
        <f>"RNCP"&amp;D4969</f>
        <v/>
      </c>
      <c r="F4969" s="48" t="inlineStr">
        <is>
          <t>Chargé de communication</t>
        </is>
      </c>
      <c r="G4969" s="49">
        <f>E4969&amp;" - "&amp;F4969</f>
        <v/>
      </c>
      <c r="H4969" s="36" t="inlineStr">
        <is>
          <t>RAS</t>
        </is>
      </c>
      <c r="I4969" s="45" t="inlineStr"/>
      <c r="J4969" s="45" t="inlineStr">
        <is>
          <t>RNCP41407</t>
        </is>
      </c>
      <c r="K4969" s="45" t="inlineStr">
        <is>
          <t>Chargé de communication</t>
        </is>
      </c>
      <c r="L4969" s="45" t="inlineStr">
        <is>
          <t>27/10/2027</t>
        </is>
      </c>
      <c r="M4969" s="45" t="inlineStr">
        <is>
          <t>46301 (Communication entreprise) ; 46329 (Communication numérique)</t>
        </is>
      </c>
      <c r="N4969" s="50" t="inlineStr">
        <is>
          <t>NON</t>
        </is>
      </c>
      <c r="O4969" s="45" t="inlineStr"/>
    </row>
    <row r="4970" customFormat="1" s="3">
      <c r="A4970" s="45" t="n"/>
      <c r="B4970" s="46" t="inlineStr">
        <is>
          <t>46329</t>
        </is>
      </c>
      <c r="C4970" s="46">
        <f>LEFT(Tableau1[[#This Row],[Formacode]],3)</f>
        <v/>
      </c>
      <c r="D4970" s="47" t="n">
        <v>41459</v>
      </c>
      <c r="E4970" s="48">
        <f>"RNCP"&amp;D4970</f>
        <v/>
      </c>
      <c r="F4970" s="48" t="inlineStr">
        <is>
          <t>Product builder no-code</t>
        </is>
      </c>
      <c r="G4970" s="49">
        <f>E4970&amp;" - "&amp;F4970</f>
        <v/>
      </c>
      <c r="H4970" s="36" t="inlineStr">
        <is>
          <t>RAS</t>
        </is>
      </c>
      <c r="I4970" s="45" t="inlineStr"/>
      <c r="J4970" s="45" t="inlineStr">
        <is>
          <t>RNCP41459</t>
        </is>
      </c>
      <c r="K4970" s="45" t="inlineStr">
        <is>
          <t>Product builder no-code</t>
        </is>
      </c>
      <c r="L4970" s="45" t="inlineStr">
        <is>
          <t>27/10/2028</t>
        </is>
      </c>
      <c r="M4970" s="45" t="inlineStr">
        <is>
          <t>31086 (Développement Low Code - No Code) ; 46334 (Maquettage site web) ; 31094 (Gestion projet informatique) ; 72454 (Application) ; 13238 (Règlement général protection données)</t>
        </is>
      </c>
      <c r="N4970" s="50" t="inlineStr">
        <is>
          <t>NON</t>
        </is>
      </c>
      <c r="O4970" s="45" t="inlineStr"/>
    </row>
    <row r="4971" customFormat="1" s="3">
      <c r="A4971" s="45" t="n"/>
      <c r="B4971" s="46" t="inlineStr">
        <is>
          <t>46329</t>
        </is>
      </c>
      <c r="C4971" s="46">
        <f>LEFT(Tableau1[[#This Row],[Formacode]],3)</f>
        <v/>
      </c>
      <c r="D4971" s="47" t="n">
        <v>41703</v>
      </c>
      <c r="E4971" s="48">
        <f>"RNCP"&amp;D4971</f>
        <v/>
      </c>
      <c r="F4971" s="48" t="inlineStr">
        <is>
          <t>Manager de la communication</t>
        </is>
      </c>
      <c r="G4971" s="49">
        <f>E4971&amp;" - "&amp;F4971</f>
        <v/>
      </c>
      <c r="H4971" s="36" t="inlineStr">
        <is>
          <t>RAS</t>
        </is>
      </c>
      <c r="I4971" s="45" t="inlineStr"/>
      <c r="J4971" s="45" t="inlineStr">
        <is>
          <t>RNCP41703</t>
        </is>
      </c>
      <c r="K4971" s="45" t="inlineStr">
        <is>
          <t>Manager de la communication</t>
        </is>
      </c>
      <c r="L4971" s="45" t="inlineStr">
        <is>
          <t>27/11/2030</t>
        </is>
      </c>
      <c r="M4971" s="45" t="inlineStr">
        <is>
          <t>46347 (Stratégie communication numérique) ; 46341 (Communication externe) ; 46311 (Communication interne)</t>
        </is>
      </c>
      <c r="N4971" s="50" t="inlineStr">
        <is>
          <t>NON</t>
        </is>
      </c>
      <c r="O4971" s="45" t="inlineStr"/>
    </row>
    <row r="4972" customFormat="1" s="3">
      <c r="A4972" s="45" t="n"/>
      <c r="B4972" s="46" t="inlineStr">
        <is>
          <t>46329</t>
        </is>
      </c>
      <c r="C4972" s="46">
        <f>LEFT(Tableau1[[#This Row],[Formacode]],3)</f>
        <v/>
      </c>
      <c r="D4972" s="47" t="n">
        <v>41718</v>
      </c>
      <c r="E4972" s="48">
        <f>"RNCP"&amp;D4972</f>
        <v/>
      </c>
      <c r="F4972" s="48" t="inlineStr">
        <is>
          <t>Manager de la transformation digitale et technologique no code</t>
        </is>
      </c>
      <c r="G4972" s="49">
        <f>E4972&amp;" - "&amp;F4972</f>
        <v/>
      </c>
      <c r="H4972" s="36" t="inlineStr">
        <is>
          <t>RAS</t>
        </is>
      </c>
      <c r="I4972" s="45" t="inlineStr"/>
      <c r="J4972" s="45" t="inlineStr">
        <is>
          <t>RNCP41718</t>
        </is>
      </c>
      <c r="K4972" s="45" t="inlineStr">
        <is>
          <t>Manager de la transformation digitale et technologique no code</t>
        </is>
      </c>
      <c r="L4972" s="45" t="inlineStr">
        <is>
          <t>27/11/2028</t>
        </is>
      </c>
      <c r="M4972" s="45" t="inlineStr">
        <is>
          <t>31094 (Gestion projet informatique) ; 34093 (Marketing digital) ; 34530 (E-commerce) ; 46347 (Stratégie communication numérique)</t>
        </is>
      </c>
      <c r="N4972" s="50" t="inlineStr">
        <is>
          <t>NON</t>
        </is>
      </c>
      <c r="O4972" s="45" t="inlineStr"/>
    </row>
    <row r="4973" customFormat="1" s="3">
      <c r="A4973" s="45" t="n"/>
      <c r="B4973" s="46" t="inlineStr">
        <is>
          <t>46329</t>
        </is>
      </c>
      <c r="C4973" s="46">
        <f>LEFT(Tableau1[[#This Row],[Formacode]],3)</f>
        <v/>
      </c>
      <c r="D4973" s="47" t="n">
        <v>41795</v>
      </c>
      <c r="E4973" s="48">
        <f>"RNCP"&amp;D4973</f>
        <v/>
      </c>
      <c r="F4973" s="48" t="inlineStr">
        <is>
          <t>Manager du contenu - Content manager</t>
        </is>
      </c>
      <c r="G4973" s="49">
        <f>E4973&amp;" - "&amp;F4973</f>
        <v/>
      </c>
      <c r="H4973" s="36" t="inlineStr">
        <is>
          <t>RAS</t>
        </is>
      </c>
      <c r="I4973" s="45" t="inlineStr"/>
      <c r="J4973" s="45" t="inlineStr">
        <is>
          <t>RNCP41795</t>
        </is>
      </c>
      <c r="K4973" s="45" t="inlineStr">
        <is>
          <t>Manager du contenu - Content manager</t>
        </is>
      </c>
      <c r="L4973" s="45" t="inlineStr">
        <is>
          <t>18/12/2030</t>
        </is>
      </c>
      <c r="M4973" s="45" t="inlineStr">
        <is>
          <t>46301 (Communication entreprise) ; 46347 (Stratégie communication numérique)</t>
        </is>
      </c>
      <c r="N4973" s="50" t="inlineStr">
        <is>
          <t>NON</t>
        </is>
      </c>
      <c r="O4973" s="45" t="inlineStr"/>
    </row>
    <row r="4974" customFormat="1" s="3">
      <c r="A4974" s="45" t="n"/>
      <c r="B4974" s="46" t="inlineStr">
        <is>
          <t>46329</t>
        </is>
      </c>
      <c r="C4974" s="46">
        <f>LEFT(Tableau1[[#This Row],[Formacode]],3)</f>
        <v/>
      </c>
      <c r="D4974" s="47" t="n">
        <v>41802</v>
      </c>
      <c r="E4974" s="48">
        <f>"RNCP"&amp;D4974</f>
        <v/>
      </c>
      <c r="F4974" s="48" t="inlineStr">
        <is>
          <t>Chargé de marketing et de communication digitale</t>
        </is>
      </c>
      <c r="G4974" s="49">
        <f>E4974&amp;" - "&amp;F4974</f>
        <v/>
      </c>
      <c r="H4974" s="36" t="inlineStr">
        <is>
          <t>RAS</t>
        </is>
      </c>
      <c r="I4974" s="45" t="inlineStr"/>
      <c r="J4974" s="45" t="inlineStr">
        <is>
          <t>RNCP41802</t>
        </is>
      </c>
      <c r="K4974" s="45" t="inlineStr">
        <is>
          <t>Chargé de marketing et de communication digitale</t>
        </is>
      </c>
      <c r="L4974" s="45" t="inlineStr">
        <is>
          <t>18/12/2028</t>
        </is>
      </c>
      <c r="M4974" s="45" t="inlineStr">
        <is>
          <t>34093 (Marketing digital) ; 46301 (Communication entreprise) ; 46339 (Conduite projet numérique) ; 46333 (Gestion contenu site web) ; 46347 (Stratégie communication numérique)</t>
        </is>
      </c>
      <c r="N4974" s="50" t="inlineStr">
        <is>
          <t>NON</t>
        </is>
      </c>
      <c r="O4974" s="45" t="inlineStr"/>
    </row>
    <row r="4975" customFormat="1" s="3">
      <c r="A4975" s="51" t="n"/>
      <c r="B4975" s="52" t="inlineStr">
        <is>
          <t>46339</t>
        </is>
      </c>
      <c r="C4975" s="52">
        <f>LEFT(Tableau1[[#This Row],[Formacode]],3)</f>
        <v/>
      </c>
      <c r="D4975" s="53" t="n">
        <v>35864</v>
      </c>
      <c r="E4975" s="54">
        <f>"RNCP"&amp;D4975</f>
        <v/>
      </c>
      <c r="F4975" s="54" t="inlineStr">
        <is>
          <t>Manager/Designer de produits et services numériques</t>
        </is>
      </c>
      <c r="G4975" s="55">
        <f>E4975&amp;" - "&amp;F4975</f>
        <v/>
      </c>
      <c r="H4975" s="37" t="inlineStr">
        <is>
          <t>À vérifier</t>
        </is>
      </c>
      <c r="I4975" s="51" t="inlineStr">
        <is>
          <t>Échéance le 15/09/2026 (dans 59 j)</t>
        </is>
      </c>
      <c r="J4975" s="51" t="inlineStr">
        <is>
          <t>RNCP35864</t>
        </is>
      </c>
      <c r="K4975" s="51" t="inlineStr">
        <is>
          <t>Manager/Designer de produits et services numériques</t>
        </is>
      </c>
      <c r="L4975" s="51" t="inlineStr">
        <is>
          <t>15/09/2026</t>
        </is>
      </c>
      <c r="M4975" s="51" t="inlineStr">
        <is>
          <t>46347 (Stratégie communication numérique) ; 46370 (Design expérience utilisateur) ; 46339 (Conduite projet numérique)</t>
        </is>
      </c>
      <c r="N4975" s="62" t="inlineStr">
        <is>
          <t>NON</t>
        </is>
      </c>
      <c r="O4975" s="51" t="inlineStr"/>
    </row>
    <row r="4976" customFormat="1" s="3">
      <c r="A4976" s="45" t="n"/>
      <c r="B4976" s="46" t="inlineStr">
        <is>
          <t>46339</t>
        </is>
      </c>
      <c r="C4976" s="46">
        <f>LEFT(Tableau1[[#This Row],[Formacode]],3)</f>
        <v/>
      </c>
      <c r="D4976" s="47" t="n">
        <v>37662</v>
      </c>
      <c r="E4976" s="48">
        <f>"RNCP"&amp;D4976</f>
        <v/>
      </c>
      <c r="F4976" s="48" t="inlineStr">
        <is>
          <t>Directeur artistique multimédia</t>
        </is>
      </c>
      <c r="G4976" s="49">
        <f>E4976&amp;" - "&amp;F4976</f>
        <v/>
      </c>
      <c r="H4976" s="36" t="inlineStr">
        <is>
          <t>RAS</t>
        </is>
      </c>
      <c r="I4976" s="45" t="inlineStr"/>
      <c r="J4976" s="45" t="inlineStr">
        <is>
          <t>RNCP37662</t>
        </is>
      </c>
      <c r="K4976" s="45" t="inlineStr">
        <is>
          <t>Directeur artistique multimédia</t>
        </is>
      </c>
      <c r="L4976" s="45" t="inlineStr">
        <is>
          <t>31/05/2028</t>
        </is>
      </c>
      <c r="M4976" s="45" t="inlineStr">
        <is>
          <t>34074 (Publicité) ; 46301 (Communication entreprise) ; 46354 (Information - Communication numérique) ; 46347 (Stratégie communication numérique)</t>
        </is>
      </c>
      <c r="N4976" s="50" t="inlineStr">
        <is>
          <t>NON</t>
        </is>
      </c>
      <c r="O4976" s="45" t="inlineStr"/>
    </row>
    <row r="4977" customFormat="1" s="3">
      <c r="A4977" s="51" t="n"/>
      <c r="B4977" s="52" t="inlineStr">
        <is>
          <t>46339</t>
        </is>
      </c>
      <c r="C4977" s="52">
        <f>LEFT(Tableau1[[#This Row],[Formacode]],3)</f>
        <v/>
      </c>
      <c r="D4977" s="53" t="n">
        <v>37793</v>
      </c>
      <c r="E4977" s="54">
        <f>"RNCP"&amp;D4977</f>
        <v/>
      </c>
      <c r="F4977" s="54" t="inlineStr">
        <is>
          <t>Manager de la stratégie digitale</t>
        </is>
      </c>
      <c r="G4977" s="55">
        <f>E4977&amp;" - "&amp;F4977</f>
        <v/>
      </c>
      <c r="H4977" s="37" t="inlineStr">
        <is>
          <t>À vérifier</t>
        </is>
      </c>
      <c r="I4977" s="51" t="inlineStr">
        <is>
          <t>Successeur déjà publié : RNCP42488 (Manager de la stratégie digitale) — préparer la bascule de l'offre CPF | Échéance le 19/07/2026 (dans 1 j)</t>
        </is>
      </c>
      <c r="J4977" s="51" t="inlineStr">
        <is>
          <t>RNCP42488</t>
        </is>
      </c>
      <c r="K4977" s="51" t="inlineStr">
        <is>
          <t>Manager de la stratégie digitale</t>
        </is>
      </c>
      <c r="L4977" s="51" t="inlineStr">
        <is>
          <t>19/07/2026</t>
        </is>
      </c>
      <c r="M4977" s="51" t="inlineStr">
        <is>
          <t>34093 (Marketing digital) ; 32066 (Transition numérique) ; 46347 (Stratégie communication numérique) ; 34057 (Marketing stratégique)</t>
        </is>
      </c>
      <c r="N4977" s="62" t="inlineStr">
        <is>
          <t>NON</t>
        </is>
      </c>
      <c r="O4977" s="51" t="inlineStr"/>
    </row>
    <row r="4978" customFormat="1" s="3">
      <c r="A4978" s="51" t="n"/>
      <c r="B4978" s="52" t="inlineStr">
        <is>
          <t>46339</t>
        </is>
      </c>
      <c r="C4978" s="52">
        <f>LEFT(Tableau1[[#This Row],[Formacode]],3)</f>
        <v/>
      </c>
      <c r="D4978" s="53" t="n">
        <v>38018</v>
      </c>
      <c r="E4978" s="54">
        <f>"RNCP"&amp;D4978</f>
        <v/>
      </c>
      <c r="F4978" s="54" t="inlineStr">
        <is>
          <t>Chef de projet digital</t>
        </is>
      </c>
      <c r="G4978" s="55">
        <f>E4978&amp;" - "&amp;F4978</f>
        <v/>
      </c>
      <c r="H4978" s="37" t="inlineStr">
        <is>
          <t>À vérifier</t>
        </is>
      </c>
      <c r="I4978" s="51" t="inlineStr">
        <is>
          <t>Échéance le 20/09/2026 (dans 64 j)</t>
        </is>
      </c>
      <c r="J4978" s="51" t="inlineStr">
        <is>
          <t>RNCP38018</t>
        </is>
      </c>
      <c r="K4978" s="51" t="inlineStr">
        <is>
          <t>Chef de projet digital</t>
        </is>
      </c>
      <c r="L4978" s="51" t="inlineStr">
        <is>
          <t>20/09/2026</t>
        </is>
      </c>
      <c r="M4978" s="51" t="inlineStr">
        <is>
          <t>31054 (Informatique - Systèmes d’information et numérique) ; 34093 (Marketing digital) ; 46347 (Stratégie communication numérique) ; 46339 (Conduite projet numérique) ; 46333 (Gestion contenu site web)</t>
        </is>
      </c>
      <c r="N4978" s="62" t="inlineStr">
        <is>
          <t>NON</t>
        </is>
      </c>
      <c r="O4978" s="51" t="inlineStr"/>
    </row>
    <row r="4979" customFormat="1" s="3">
      <c r="A4979" s="45" t="n"/>
      <c r="B4979" s="46" t="inlineStr">
        <is>
          <t>46339</t>
        </is>
      </c>
      <c r="C4979" s="46">
        <f>LEFT(Tableau1[[#This Row],[Formacode]],3)</f>
        <v/>
      </c>
      <c r="D4979" s="47" t="n">
        <v>39092</v>
      </c>
      <c r="E4979" s="48">
        <f>"RNCP"&amp;D4979</f>
        <v/>
      </c>
      <c r="F4979" s="48" t="inlineStr">
        <is>
          <t>Expert en création digitale</t>
        </is>
      </c>
      <c r="G4979" s="49">
        <f>E4979&amp;" - "&amp;F4979</f>
        <v/>
      </c>
      <c r="H4979" s="36" t="inlineStr">
        <is>
          <t>RAS</t>
        </is>
      </c>
      <c r="I4979" s="45" t="inlineStr"/>
      <c r="J4979" s="45" t="inlineStr">
        <is>
          <t>RNCP39092</t>
        </is>
      </c>
      <c r="K4979" s="45" t="inlineStr">
        <is>
          <t>Expert en création digitale</t>
        </is>
      </c>
      <c r="L4979" s="45" t="inlineStr">
        <is>
          <t>31/05/2028</t>
        </is>
      </c>
      <c r="M4979" s="45" t="inlineStr">
        <is>
          <t>46339 (Conduite projet numérique) ; 46251 (Jeu vidéo) ; 46081 (Création graphique)</t>
        </is>
      </c>
      <c r="N4979" s="50" t="inlineStr">
        <is>
          <t>NON</t>
        </is>
      </c>
      <c r="O4979" s="45" t="inlineStr"/>
    </row>
    <row r="4980" customFormat="1" s="3">
      <c r="A4980" s="45" t="n"/>
      <c r="B4980" s="46" t="inlineStr">
        <is>
          <t>46339</t>
        </is>
      </c>
      <c r="C4980" s="46">
        <f>LEFT(Tableau1[[#This Row],[Formacode]],3)</f>
        <v/>
      </c>
      <c r="D4980" s="47" t="n">
        <v>39136</v>
      </c>
      <c r="E4980" s="48">
        <f>"RNCP"&amp;D4980</f>
        <v/>
      </c>
      <c r="F4980" s="48" t="inlineStr">
        <is>
          <t>Grade_Master - Diplôme des Instituts d’Études Politiques – Sciences Po</t>
        </is>
      </c>
      <c r="G4980" s="49">
        <f>E4980&amp;" - "&amp;F4980</f>
        <v/>
      </c>
      <c r="H4980" s="36" t="inlineStr">
        <is>
          <t>RAS</t>
        </is>
      </c>
      <c r="I4980" s="45" t="inlineStr"/>
      <c r="J4980" s="45" t="inlineStr">
        <is>
          <t>RNCP39136</t>
        </is>
      </c>
      <c r="K4980" s="45" t="inlineStr">
        <is>
          <t>Diplôme des Instituts d’Études Politiques – Sciences Po</t>
        </is>
      </c>
      <c r="L4980" s="45" t="inlineStr">
        <is>
          <t>14/04/2029</t>
        </is>
      </c>
      <c r="M4980" s="45" t="inlineStr">
        <is>
          <t>13154 (Économie) ; 13054 (Science politique) ; 46354 (Information - Communication numérique) ; 32154 (Encadrement management) ; 13254 (Droit)</t>
        </is>
      </c>
      <c r="N4980" s="50" t="inlineStr">
        <is>
          <t>NON</t>
        </is>
      </c>
      <c r="O4980" s="45" t="inlineStr"/>
    </row>
    <row r="4981" customFormat="1" s="3">
      <c r="A4981" s="45" t="n"/>
      <c r="B4981" s="46" t="inlineStr">
        <is>
          <t>46339</t>
        </is>
      </c>
      <c r="C4981" s="46">
        <f>LEFT(Tableau1[[#This Row],[Formacode]],3)</f>
        <v/>
      </c>
      <c r="D4981" s="47" t="n">
        <v>39609</v>
      </c>
      <c r="E4981" s="48">
        <f>"RNCP"&amp;D4981</f>
        <v/>
      </c>
      <c r="F4981" s="48" t="inlineStr">
        <is>
          <t>Concepteur développeur web full-stack</t>
        </is>
      </c>
      <c r="G4981" s="49">
        <f>E4981&amp;" - "&amp;F4981</f>
        <v/>
      </c>
      <c r="H4981" s="36" t="inlineStr">
        <is>
          <t>RAS</t>
        </is>
      </c>
      <c r="I4981" s="45" t="inlineStr"/>
      <c r="J4981" s="45" t="inlineStr">
        <is>
          <t>RNCP39609</t>
        </is>
      </c>
      <c r="K4981" s="45" t="inlineStr">
        <is>
          <t>Concepteur développeur web full-stack</t>
        </is>
      </c>
      <c r="L4981" s="45" t="inlineStr">
        <is>
          <t>01/10/2028</t>
        </is>
      </c>
      <c r="M4981" s="45" t="inlineStr">
        <is>
          <t>31090 (Développement web) ; 30854 (Langages informatiques) ; 46339 (Conduite projet numérique) ; 31006 (Sécurité informatique)</t>
        </is>
      </c>
      <c r="N4981" s="50" t="inlineStr">
        <is>
          <t>NON</t>
        </is>
      </c>
      <c r="O4981" s="45" t="inlineStr"/>
    </row>
    <row r="4982" customFormat="1" s="3">
      <c r="A4982" s="45" t="n"/>
      <c r="B4982" s="46" t="inlineStr">
        <is>
          <t>46339</t>
        </is>
      </c>
      <c r="C4982" s="46">
        <f>LEFT(Tableau1[[#This Row],[Formacode]],3)</f>
        <v/>
      </c>
      <c r="D4982" s="47" t="n">
        <v>39741</v>
      </c>
      <c r="E4982" s="48">
        <f>"RNCP"&amp;D4982</f>
        <v/>
      </c>
      <c r="F4982" s="48" t="inlineStr">
        <is>
          <t>Chargé de communication</t>
        </is>
      </c>
      <c r="G4982" s="49">
        <f>E4982&amp;" - "&amp;F4982</f>
        <v/>
      </c>
      <c r="H4982" s="36" t="inlineStr">
        <is>
          <t>RAS</t>
        </is>
      </c>
      <c r="I4982" s="45" t="inlineStr"/>
      <c r="J4982" s="45" t="inlineStr">
        <is>
          <t>RNCP39741</t>
        </is>
      </c>
      <c r="K4982" s="45" t="inlineStr">
        <is>
          <t>Chargé de communication</t>
        </is>
      </c>
      <c r="L4982" s="45" t="inlineStr">
        <is>
          <t>31/10/2027</t>
        </is>
      </c>
      <c r="M4982" s="45" t="inlineStr">
        <is>
          <t>46354 (Information - Communication numérique)</t>
        </is>
      </c>
      <c r="N4982" s="50" t="inlineStr">
        <is>
          <t>NON</t>
        </is>
      </c>
      <c r="O4982" s="45" t="inlineStr"/>
    </row>
    <row r="4983" customFormat="1" s="3">
      <c r="A4983" s="45" t="n"/>
      <c r="B4983" s="46" t="inlineStr">
        <is>
          <t>46339</t>
        </is>
      </c>
      <c r="C4983" s="46">
        <f>LEFT(Tableau1[[#This Row],[Formacode]],3)</f>
        <v/>
      </c>
      <c r="D4983" s="47" t="n">
        <v>40642</v>
      </c>
      <c r="E4983" s="48">
        <f>"RNCP"&amp;D4983</f>
        <v/>
      </c>
      <c r="F4983" s="48" t="inlineStr">
        <is>
          <t>Assistant de production cinéma, audiovisuel et contenus numériques</t>
        </is>
      </c>
      <c r="G4983" s="49">
        <f>E4983&amp;" - "&amp;F4983</f>
        <v/>
      </c>
      <c r="H4983" s="36" t="inlineStr">
        <is>
          <t>RAS</t>
        </is>
      </c>
      <c r="I4983" s="45" t="inlineStr"/>
      <c r="J4983" s="45" t="inlineStr">
        <is>
          <t>RNCP40642</t>
        </is>
      </c>
      <c r="K4983" s="45" t="inlineStr">
        <is>
          <t>Assistant de production cinéma, audiovisuel et contenus numériques</t>
        </is>
      </c>
      <c r="L4983" s="45" t="inlineStr">
        <is>
          <t>23/05/2030</t>
        </is>
      </c>
      <c r="M4983" s="45" t="inlineStr">
        <is>
          <t>46274 (Cinéma) ; 46244 (Gestion production audiovisuelle) ; 46217 (Conception réalisation transmédia) ; 46339 (Conduite projet numérique)</t>
        </is>
      </c>
      <c r="N4983" s="50" t="inlineStr">
        <is>
          <t>NON</t>
        </is>
      </c>
      <c r="O4983" s="45" t="inlineStr"/>
    </row>
    <row r="4984" customFormat="1" s="3">
      <c r="A4984" s="45" t="n"/>
      <c r="B4984" s="46" t="inlineStr">
        <is>
          <t>46339</t>
        </is>
      </c>
      <c r="C4984" s="46">
        <f>LEFT(Tableau1[[#This Row],[Formacode]],3)</f>
        <v/>
      </c>
      <c r="D4984" s="47" t="n">
        <v>40924</v>
      </c>
      <c r="E4984" s="48">
        <f>"RNCP"&amp;D4984</f>
        <v/>
      </c>
      <c r="F4984" s="48" t="inlineStr">
        <is>
          <t>Concepteur en création visuelle</t>
        </is>
      </c>
      <c r="G4984" s="49">
        <f>E4984&amp;" - "&amp;F4984</f>
        <v/>
      </c>
      <c r="H4984" s="36" t="inlineStr">
        <is>
          <t>RAS</t>
        </is>
      </c>
      <c r="I4984" s="45" t="inlineStr"/>
      <c r="J4984" s="45" t="inlineStr">
        <is>
          <t>RNCP40924</t>
        </is>
      </c>
      <c r="K4984" s="45" t="inlineStr">
        <is>
          <t>Concepteur en création visuelle</t>
        </is>
      </c>
      <c r="L4984" s="45" t="inlineStr">
        <is>
          <t>25/06/2028</t>
        </is>
      </c>
      <c r="M4984" s="45" t="inlineStr">
        <is>
          <t>46081 (Création graphique) ; 46276 (Film animation) ; 46244 (Gestion production audiovisuelle) ; 46354 (Information - Communication numérique)</t>
        </is>
      </c>
      <c r="N4984" s="50" t="inlineStr">
        <is>
          <t>NON</t>
        </is>
      </c>
      <c r="O4984" s="45" t="inlineStr"/>
    </row>
    <row r="4985" customFormat="1" s="3">
      <c r="A4985" s="45" t="n"/>
      <c r="B4985" s="46" t="inlineStr">
        <is>
          <t>46339</t>
        </is>
      </c>
      <c r="C4985" s="46">
        <f>LEFT(Tableau1[[#This Row],[Formacode]],3)</f>
        <v/>
      </c>
      <c r="D4985" s="47" t="n">
        <v>41141</v>
      </c>
      <c r="E4985" s="48">
        <f>"RNCP"&amp;D4985</f>
        <v/>
      </c>
      <c r="F4985" s="48" t="inlineStr">
        <is>
          <t>Product manager</t>
        </is>
      </c>
      <c r="G4985" s="49">
        <f>E4985&amp;" - "&amp;F4985</f>
        <v/>
      </c>
      <c r="H4985" s="36" t="inlineStr">
        <is>
          <t>RAS</t>
        </is>
      </c>
      <c r="I4985" s="45" t="inlineStr"/>
      <c r="J4985" s="45" t="inlineStr">
        <is>
          <t>RNCP41141</t>
        </is>
      </c>
      <c r="K4985" s="45" t="inlineStr">
        <is>
          <t>Product manager</t>
        </is>
      </c>
      <c r="L4985" s="45" t="inlineStr">
        <is>
          <t>18/07/2028</t>
        </is>
      </c>
      <c r="M4985" s="45" t="inlineStr">
        <is>
          <t>34030 (Chef produit) ; 46339 (Conduite projet numérique) ; 31094 (Gestion projet informatique)</t>
        </is>
      </c>
      <c r="N4985" s="50" t="inlineStr">
        <is>
          <t>NON</t>
        </is>
      </c>
      <c r="O4985" s="45" t="inlineStr"/>
    </row>
    <row r="4986" customFormat="1" s="3">
      <c r="A4986" s="45" t="n"/>
      <c r="B4986" s="46" t="inlineStr">
        <is>
          <t>46339</t>
        </is>
      </c>
      <c r="C4986" s="46">
        <f>LEFT(Tableau1[[#This Row],[Formacode]],3)</f>
        <v/>
      </c>
      <c r="D4986" s="47" t="n">
        <v>41802</v>
      </c>
      <c r="E4986" s="48">
        <f>"RNCP"&amp;D4986</f>
        <v/>
      </c>
      <c r="F4986" s="48" t="inlineStr">
        <is>
          <t>Chargé de marketing et de communication digitale</t>
        </is>
      </c>
      <c r="G4986" s="49">
        <f>E4986&amp;" - "&amp;F4986</f>
        <v/>
      </c>
      <c r="H4986" s="36" t="inlineStr">
        <is>
          <t>RAS</t>
        </is>
      </c>
      <c r="I4986" s="45" t="inlineStr"/>
      <c r="J4986" s="45" t="inlineStr">
        <is>
          <t>RNCP41802</t>
        </is>
      </c>
      <c r="K4986" s="45" t="inlineStr">
        <is>
          <t>Chargé de marketing et de communication digitale</t>
        </is>
      </c>
      <c r="L4986" s="45" t="inlineStr">
        <is>
          <t>18/12/2028</t>
        </is>
      </c>
      <c r="M4986" s="45" t="inlineStr">
        <is>
          <t>34093 (Marketing digital) ; 46301 (Communication entreprise) ; 46339 (Conduite projet numérique) ; 46333 (Gestion contenu site web) ; 46347 (Stratégie communication numérique)</t>
        </is>
      </c>
      <c r="N4986" s="50" t="inlineStr">
        <is>
          <t>NON</t>
        </is>
      </c>
      <c r="O4986" s="45" t="inlineStr"/>
    </row>
    <row r="4987" customFormat="1" s="3">
      <c r="A4987" s="45" t="n"/>
      <c r="B4987" s="46" t="inlineStr">
        <is>
          <t>46351</t>
        </is>
      </c>
      <c r="C4987" s="46">
        <f>LEFT(Tableau1[[#This Row],[Formacode]],3)</f>
        <v/>
      </c>
      <c r="D4987" s="47" t="n">
        <v>37662</v>
      </c>
      <c r="E4987" s="48">
        <f>"RNCP"&amp;D4987</f>
        <v/>
      </c>
      <c r="F4987" s="48" t="inlineStr">
        <is>
          <t>Directeur artistique multimédia</t>
        </is>
      </c>
      <c r="G4987" s="49">
        <f>E4987&amp;" - "&amp;F4987</f>
        <v/>
      </c>
      <c r="H4987" s="36" t="inlineStr">
        <is>
          <t>RAS</t>
        </is>
      </c>
      <c r="I4987" s="45" t="inlineStr"/>
      <c r="J4987" s="45" t="inlineStr">
        <is>
          <t>RNCP37662</t>
        </is>
      </c>
      <c r="K4987" s="45" t="inlineStr">
        <is>
          <t>Directeur artistique multimédia</t>
        </is>
      </c>
      <c r="L4987" s="45" t="inlineStr">
        <is>
          <t>31/05/2028</t>
        </is>
      </c>
      <c r="M4987" s="45" t="inlineStr">
        <is>
          <t>34074 (Publicité) ; 46301 (Communication entreprise) ; 46354 (Information - Communication numérique) ; 46347 (Stratégie communication numérique)</t>
        </is>
      </c>
      <c r="N4987" s="50" t="inlineStr">
        <is>
          <t>NON</t>
        </is>
      </c>
      <c r="O4987" s="45" t="inlineStr"/>
    </row>
    <row r="4988" customFormat="1" s="3">
      <c r="A4988" s="45" t="n"/>
      <c r="B4988" s="46" t="inlineStr">
        <is>
          <t>46351</t>
        </is>
      </c>
      <c r="C4988" s="46">
        <f>LEFT(Tableau1[[#This Row],[Formacode]],3)</f>
        <v/>
      </c>
      <c r="D4988" s="47" t="n">
        <v>39136</v>
      </c>
      <c r="E4988" s="48">
        <f>"RNCP"&amp;D4988</f>
        <v/>
      </c>
      <c r="F4988" s="48" t="inlineStr">
        <is>
          <t>Grade_Master - Diplôme des Instituts d’Études Politiques – Sciences Po</t>
        </is>
      </c>
      <c r="G4988" s="49">
        <f>E4988&amp;" - "&amp;F4988</f>
        <v/>
      </c>
      <c r="H4988" s="36" t="inlineStr">
        <is>
          <t>RAS</t>
        </is>
      </c>
      <c r="I4988" s="45" t="inlineStr"/>
      <c r="J4988" s="45" t="inlineStr">
        <is>
          <t>RNCP39136</t>
        </is>
      </c>
      <c r="K4988" s="45" t="inlineStr">
        <is>
          <t>Diplôme des Instituts d’Études Politiques – Sciences Po</t>
        </is>
      </c>
      <c r="L4988" s="45" t="inlineStr">
        <is>
          <t>14/04/2029</t>
        </is>
      </c>
      <c r="M4988" s="45" t="inlineStr">
        <is>
          <t>13154 (Économie) ; 13054 (Science politique) ; 46354 (Information - Communication numérique) ; 32154 (Encadrement management) ; 13254 (Droit)</t>
        </is>
      </c>
      <c r="N4988" s="50" t="inlineStr">
        <is>
          <t>NON</t>
        </is>
      </c>
      <c r="O4988" s="45" t="inlineStr"/>
    </row>
    <row r="4989" customFormat="1" s="3">
      <c r="A4989" s="45" t="n"/>
      <c r="B4989" s="46" t="inlineStr">
        <is>
          <t>46351</t>
        </is>
      </c>
      <c r="C4989" s="46">
        <f>LEFT(Tableau1[[#This Row],[Formacode]],3)</f>
        <v/>
      </c>
      <c r="D4989" s="47" t="n">
        <v>39741</v>
      </c>
      <c r="E4989" s="48">
        <f>"RNCP"&amp;D4989</f>
        <v/>
      </c>
      <c r="F4989" s="48" t="inlineStr">
        <is>
          <t>Chargé de communication</t>
        </is>
      </c>
      <c r="G4989" s="49">
        <f>E4989&amp;" - "&amp;F4989</f>
        <v/>
      </c>
      <c r="H4989" s="36" t="inlineStr">
        <is>
          <t>RAS</t>
        </is>
      </c>
      <c r="I4989" s="45" t="inlineStr"/>
      <c r="J4989" s="45" t="inlineStr">
        <is>
          <t>RNCP39741</t>
        </is>
      </c>
      <c r="K4989" s="45" t="inlineStr">
        <is>
          <t>Chargé de communication</t>
        </is>
      </c>
      <c r="L4989" s="45" t="inlineStr">
        <is>
          <t>31/10/2027</t>
        </is>
      </c>
      <c r="M4989" s="45" t="inlineStr">
        <is>
          <t>46354 (Information - Communication numérique)</t>
        </is>
      </c>
      <c r="N4989" s="50" t="inlineStr">
        <is>
          <t>NON</t>
        </is>
      </c>
      <c r="O4989" s="45" t="inlineStr"/>
    </row>
    <row r="4990" customFormat="1" s="3">
      <c r="A4990" s="45" t="n"/>
      <c r="B4990" s="46" t="inlineStr">
        <is>
          <t>46351</t>
        </is>
      </c>
      <c r="C4990" s="46">
        <f>LEFT(Tableau1[[#This Row],[Formacode]],3)</f>
        <v/>
      </c>
      <c r="D4990" s="47" t="n">
        <v>40924</v>
      </c>
      <c r="E4990" s="48">
        <f>"RNCP"&amp;D4990</f>
        <v/>
      </c>
      <c r="F4990" s="48" t="inlineStr">
        <is>
          <t>Concepteur en création visuelle</t>
        </is>
      </c>
      <c r="G4990" s="49">
        <f>E4990&amp;" - "&amp;F4990</f>
        <v/>
      </c>
      <c r="H4990" s="36" t="inlineStr">
        <is>
          <t>RAS</t>
        </is>
      </c>
      <c r="I4990" s="45" t="inlineStr"/>
      <c r="J4990" s="45" t="inlineStr">
        <is>
          <t>RNCP40924</t>
        </is>
      </c>
      <c r="K4990" s="45" t="inlineStr">
        <is>
          <t>Concepteur en création visuelle</t>
        </is>
      </c>
      <c r="L4990" s="45" t="inlineStr">
        <is>
          <t>25/06/2028</t>
        </is>
      </c>
      <c r="M4990" s="45" t="inlineStr">
        <is>
          <t>46081 (Création graphique) ; 46276 (Film animation) ; 46244 (Gestion production audiovisuelle) ; 46354 (Information - Communication numérique)</t>
        </is>
      </c>
      <c r="N4990" s="50" t="inlineStr">
        <is>
          <t>NON</t>
        </is>
      </c>
      <c r="O4990" s="45" t="inlineStr"/>
    </row>
    <row r="4991" customFormat="1" s="3">
      <c r="A4991" s="63" t="n"/>
      <c r="B4991" s="64" t="inlineStr">
        <is>
          <t>46373</t>
        </is>
      </c>
      <c r="C4991" s="64">
        <f>LEFT(Tableau1[[#This Row],[Formacode]],3)</f>
        <v/>
      </c>
      <c r="D4991" s="65" t="n">
        <v>37333</v>
      </c>
      <c r="E4991" s="66">
        <f>"RNCP"&amp;D4991</f>
        <v/>
      </c>
      <c r="F4991" s="66" t="inlineStr">
        <is>
          <t>Photographe</t>
        </is>
      </c>
      <c r="G4991" s="67">
        <f>E4991&amp;" - "&amp;F4991</f>
        <v/>
      </c>
      <c r="H4991" s="38" t="inlineStr">
        <is>
          <t>Expiré / remplacé</t>
        </is>
      </c>
      <c r="I4991" s="63" t="inlineStr">
        <is>
          <t>Fiche inactive (échéance 17/02/2026) — aucun successeur publié</t>
        </is>
      </c>
      <c r="J4991" s="63" t="inlineStr">
        <is>
          <t>RNCP37333</t>
        </is>
      </c>
      <c r="K4991" s="63" t="inlineStr">
        <is>
          <t>Photographe</t>
        </is>
      </c>
      <c r="L4991" s="63" t="inlineStr">
        <is>
          <t>17/02/2026</t>
        </is>
      </c>
      <c r="M4991" s="63" t="inlineStr">
        <is>
          <t>46006 (Acquisition traitement image) ; 46283 (Prise de vue photographie) ; 46392 (Photothèque)</t>
        </is>
      </c>
      <c r="N4991" s="68" t="inlineStr">
        <is>
          <t>NON</t>
        </is>
      </c>
      <c r="O4991" s="63" t="inlineStr"/>
    </row>
    <row r="4992" customFormat="1" s="3">
      <c r="A4992" s="45" t="n"/>
      <c r="B4992" s="46" t="inlineStr">
        <is>
          <t>46373</t>
        </is>
      </c>
      <c r="C4992" s="46">
        <f>LEFT(Tableau1[[#This Row],[Formacode]],3)</f>
        <v/>
      </c>
      <c r="D4992" s="47" t="n">
        <v>37662</v>
      </c>
      <c r="E4992" s="48">
        <f>"RNCP"&amp;D4992</f>
        <v/>
      </c>
      <c r="F4992" s="48" t="inlineStr">
        <is>
          <t>Directeur artistique multimédia</t>
        </is>
      </c>
      <c r="G4992" s="49">
        <f>E4992&amp;" - "&amp;F4992</f>
        <v/>
      </c>
      <c r="H4992" s="36" t="inlineStr">
        <is>
          <t>RAS</t>
        </is>
      </c>
      <c r="I4992" s="45" t="inlineStr"/>
      <c r="J4992" s="45" t="inlineStr">
        <is>
          <t>RNCP37662</t>
        </is>
      </c>
      <c r="K4992" s="45" t="inlineStr">
        <is>
          <t>Directeur artistique multimédia</t>
        </is>
      </c>
      <c r="L4992" s="45" t="inlineStr">
        <is>
          <t>31/05/2028</t>
        </is>
      </c>
      <c r="M4992" s="45" t="inlineStr">
        <is>
          <t>34074 (Publicité) ; 46301 (Communication entreprise) ; 46354 (Information - Communication numérique) ; 46347 (Stratégie communication numérique)</t>
        </is>
      </c>
      <c r="N4992" s="50" t="inlineStr">
        <is>
          <t>NON</t>
        </is>
      </c>
      <c r="O4992" s="45" t="inlineStr"/>
    </row>
    <row r="4993" customFormat="1" s="3">
      <c r="A4993" s="45" t="n"/>
      <c r="B4993" s="46" t="inlineStr">
        <is>
          <t>46373</t>
        </is>
      </c>
      <c r="C4993" s="46">
        <f>LEFT(Tableau1[[#This Row],[Formacode]],3)</f>
        <v/>
      </c>
      <c r="D4993" s="47" t="n">
        <v>39136</v>
      </c>
      <c r="E4993" s="48">
        <f>"RNCP"&amp;D4993</f>
        <v/>
      </c>
      <c r="F4993" s="48" t="inlineStr">
        <is>
          <t>Grade_Master - Diplôme des Instituts d’Études Politiques – Sciences Po</t>
        </is>
      </c>
      <c r="G4993" s="49">
        <f>E4993&amp;" - "&amp;F4993</f>
        <v/>
      </c>
      <c r="H4993" s="36" t="inlineStr">
        <is>
          <t>RAS</t>
        </is>
      </c>
      <c r="I4993" s="45" t="inlineStr"/>
      <c r="J4993" s="45" t="inlineStr">
        <is>
          <t>RNCP39136</t>
        </is>
      </c>
      <c r="K4993" s="45" t="inlineStr">
        <is>
          <t>Diplôme des Instituts d’Études Politiques – Sciences Po</t>
        </is>
      </c>
      <c r="L4993" s="45" t="inlineStr">
        <is>
          <t>14/04/2029</t>
        </is>
      </c>
      <c r="M4993" s="45" t="inlineStr">
        <is>
          <t>13154 (Économie) ; 13054 (Science politique) ; 46354 (Information - Communication numérique) ; 32154 (Encadrement management) ; 13254 (Droit)</t>
        </is>
      </c>
      <c r="N4993" s="50" t="inlineStr">
        <is>
          <t>NON</t>
        </is>
      </c>
      <c r="O4993" s="45" t="inlineStr"/>
    </row>
    <row r="4994" customFormat="1" s="3">
      <c r="A4994" s="45" t="n"/>
      <c r="B4994" s="46" t="inlineStr">
        <is>
          <t>46373</t>
        </is>
      </c>
      <c r="C4994" s="46">
        <f>LEFT(Tableau1[[#This Row],[Formacode]],3)</f>
        <v/>
      </c>
      <c r="D4994" s="47" t="n">
        <v>39236</v>
      </c>
      <c r="E4994" s="48">
        <f>"RNCP"&amp;D4994</f>
        <v/>
      </c>
      <c r="F4994" s="48" t="inlineStr">
        <is>
          <t>Assistant archiviste</t>
        </is>
      </c>
      <c r="G4994" s="49">
        <f>E4994&amp;" - "&amp;F4994</f>
        <v/>
      </c>
      <c r="H4994" s="36" t="inlineStr">
        <is>
          <t>RAS</t>
        </is>
      </c>
      <c r="I4994" s="45" t="inlineStr"/>
      <c r="J4994" s="45" t="inlineStr">
        <is>
          <t>RNCP39236</t>
        </is>
      </c>
      <c r="K4994" s="45" t="inlineStr">
        <is>
          <t>Assistant archiviste</t>
        </is>
      </c>
      <c r="L4994" s="45" t="inlineStr">
        <is>
          <t>27/06/2027</t>
        </is>
      </c>
      <c r="M4994" s="45" t="inlineStr">
        <is>
          <t>46385 (Archivage) ; 46371 (Informatique documentaire)</t>
        </is>
      </c>
      <c r="N4994" s="50" t="inlineStr">
        <is>
          <t>NON</t>
        </is>
      </c>
      <c r="O4994" s="45" t="inlineStr"/>
    </row>
    <row r="4995" customFormat="1" s="3">
      <c r="A4995" s="45" t="n"/>
      <c r="B4995" s="46" t="inlineStr">
        <is>
          <t>46373</t>
        </is>
      </c>
      <c r="C4995" s="46">
        <f>LEFT(Tableau1[[#This Row],[Formacode]],3)</f>
        <v/>
      </c>
      <c r="D4995" s="47" t="n">
        <v>39741</v>
      </c>
      <c r="E4995" s="48">
        <f>"RNCP"&amp;D4995</f>
        <v/>
      </c>
      <c r="F4995" s="48" t="inlineStr">
        <is>
          <t>Chargé de communication</t>
        </is>
      </c>
      <c r="G4995" s="49">
        <f>E4995&amp;" - "&amp;F4995</f>
        <v/>
      </c>
      <c r="H4995" s="36" t="inlineStr">
        <is>
          <t>RAS</t>
        </is>
      </c>
      <c r="I4995" s="45" t="inlineStr"/>
      <c r="J4995" s="45" t="inlineStr">
        <is>
          <t>RNCP39741</t>
        </is>
      </c>
      <c r="K4995" s="45" t="inlineStr">
        <is>
          <t>Chargé de communication</t>
        </is>
      </c>
      <c r="L4995" s="45" t="inlineStr">
        <is>
          <t>31/10/2027</t>
        </is>
      </c>
      <c r="M4995" s="45" t="inlineStr">
        <is>
          <t>46354 (Information - Communication numérique)</t>
        </is>
      </c>
      <c r="N4995" s="50" t="inlineStr">
        <is>
          <t>NON</t>
        </is>
      </c>
      <c r="O4995" s="45" t="inlineStr"/>
    </row>
    <row r="4996" customFormat="1" s="3">
      <c r="A4996" s="45" t="n"/>
      <c r="B4996" s="46" t="inlineStr">
        <is>
          <t>46373</t>
        </is>
      </c>
      <c r="C4996" s="46">
        <f>LEFT(Tableau1[[#This Row],[Formacode]],3)</f>
        <v/>
      </c>
      <c r="D4996" s="47" t="n">
        <v>39980</v>
      </c>
      <c r="E4996" s="48">
        <f>"RNCP"&amp;D4996</f>
        <v/>
      </c>
      <c r="F4996" s="48" t="inlineStr">
        <is>
          <t>Photographe</t>
        </is>
      </c>
      <c r="G4996" s="49">
        <f>E4996&amp;" - "&amp;F4996</f>
        <v/>
      </c>
      <c r="H4996" s="36" t="inlineStr">
        <is>
          <t>RAS</t>
        </is>
      </c>
      <c r="I4996" s="45" t="inlineStr"/>
      <c r="J4996" s="45" t="inlineStr">
        <is>
          <t>RNCP39980</t>
        </is>
      </c>
      <c r="K4996" s="45" t="inlineStr">
        <is>
          <t>Photographe</t>
        </is>
      </c>
      <c r="L4996" s="45" t="inlineStr">
        <is>
          <t>18/12/2029</t>
        </is>
      </c>
      <c r="M4996" s="45" t="inlineStr">
        <is>
          <t>46278 (Photographie) ; 46006 (Acquisition traitement image) ; 46392 (Photothèque)</t>
        </is>
      </c>
      <c r="N4996" s="50" t="inlineStr">
        <is>
          <t>NON</t>
        </is>
      </c>
      <c r="O4996" s="45" t="inlineStr"/>
    </row>
    <row r="4997" customFormat="1" s="3">
      <c r="A4997" s="45" t="n"/>
      <c r="B4997" s="46" t="inlineStr">
        <is>
          <t>46373</t>
        </is>
      </c>
      <c r="C4997" s="46">
        <f>LEFT(Tableau1[[#This Row],[Formacode]],3)</f>
        <v/>
      </c>
      <c r="D4997" s="47" t="n">
        <v>39985</v>
      </c>
      <c r="E4997" s="48">
        <f>"RNCP"&amp;D4997</f>
        <v/>
      </c>
      <c r="F4997" s="48" t="inlineStr">
        <is>
          <t>Ludothécaire</t>
        </is>
      </c>
      <c r="G4997" s="49">
        <f>E4997&amp;" - "&amp;F4997</f>
        <v/>
      </c>
      <c r="H4997" s="36" t="inlineStr">
        <is>
          <t>RAS</t>
        </is>
      </c>
      <c r="I4997" s="45" t="inlineStr"/>
      <c r="J4997" s="45" t="inlineStr">
        <is>
          <t>RNCP39985</t>
        </is>
      </c>
      <c r="K4997" s="45" t="inlineStr">
        <is>
          <t>Ludothécaire</t>
        </is>
      </c>
      <c r="L4997" s="45" t="inlineStr">
        <is>
          <t>18/12/2029</t>
        </is>
      </c>
      <c r="M4997" s="45" t="inlineStr">
        <is>
          <t>46395 (Ludothèque) ; 44067 (Animation socioculturelle)</t>
        </is>
      </c>
      <c r="N4997" s="50" t="inlineStr">
        <is>
          <t>NON</t>
        </is>
      </c>
      <c r="O4997" s="45" t="inlineStr"/>
    </row>
    <row r="4998" customFormat="1" s="3">
      <c r="A4998" s="45" t="n"/>
      <c r="B4998" s="46" t="inlineStr">
        <is>
          <t>46373</t>
        </is>
      </c>
      <c r="C4998" s="46">
        <f>LEFT(Tableau1[[#This Row],[Formacode]],3)</f>
        <v/>
      </c>
      <c r="D4998" s="47" t="n">
        <v>40861</v>
      </c>
      <c r="E4998" s="48">
        <f>"RNCP"&amp;D4998</f>
        <v/>
      </c>
      <c r="F4998" s="48" t="inlineStr">
        <is>
          <t>Documentaliste multimédia</t>
        </is>
      </c>
      <c r="G4998" s="49">
        <f>E4998&amp;" - "&amp;F4998</f>
        <v/>
      </c>
      <c r="H4998" s="36" t="inlineStr">
        <is>
          <t>RAS</t>
        </is>
      </c>
      <c r="I4998" s="45" t="inlineStr"/>
      <c r="J4998" s="45" t="inlineStr">
        <is>
          <t>RNCP40861</t>
        </is>
      </c>
      <c r="K4998" s="45" t="inlineStr">
        <is>
          <t>Documentaliste multimédia</t>
        </is>
      </c>
      <c r="L4998" s="45" t="inlineStr">
        <is>
          <t>25/06/2030</t>
        </is>
      </c>
      <c r="M4998" s="45" t="inlineStr">
        <is>
          <t>46382 (Documentation audiovisuelle et multimédia)</t>
        </is>
      </c>
      <c r="N4998" s="50" t="inlineStr">
        <is>
          <t>NON</t>
        </is>
      </c>
      <c r="O4998" s="45" t="inlineStr"/>
    </row>
    <row r="4999" customFormat="1" s="3">
      <c r="A4999" s="45" t="n"/>
      <c r="B4999" s="46" t="inlineStr">
        <is>
          <t>46373</t>
        </is>
      </c>
      <c r="C4999" s="46">
        <f>LEFT(Tableau1[[#This Row],[Formacode]],3)</f>
        <v/>
      </c>
      <c r="D4999" s="47" t="n">
        <v>40924</v>
      </c>
      <c r="E4999" s="48">
        <f>"RNCP"&amp;D4999</f>
        <v/>
      </c>
      <c r="F4999" s="48" t="inlineStr">
        <is>
          <t>Concepteur en création visuelle</t>
        </is>
      </c>
      <c r="G4999" s="49">
        <f>E4999&amp;" - "&amp;F4999</f>
        <v/>
      </c>
      <c r="H4999" s="36" t="inlineStr">
        <is>
          <t>RAS</t>
        </is>
      </c>
      <c r="I4999" s="45" t="inlineStr"/>
      <c r="J4999" s="45" t="inlineStr">
        <is>
          <t>RNCP40924</t>
        </is>
      </c>
      <c r="K4999" s="45" t="inlineStr">
        <is>
          <t>Concepteur en création visuelle</t>
        </is>
      </c>
      <c r="L4999" s="45" t="inlineStr">
        <is>
          <t>25/06/2028</t>
        </is>
      </c>
      <c r="M4999" s="45" t="inlineStr">
        <is>
          <t>46081 (Création graphique) ; 46276 (Film animation) ; 46244 (Gestion production audiovisuelle) ; 46354 (Information - Communication numérique)</t>
        </is>
      </c>
      <c r="N4999" s="50" t="inlineStr">
        <is>
          <t>NON</t>
        </is>
      </c>
      <c r="O4999" s="45" t="inlineStr"/>
    </row>
    <row r="5000" customFormat="1" s="3">
      <c r="A5000" s="45" t="n"/>
      <c r="B5000" s="46" t="inlineStr">
        <is>
          <t>46373</t>
        </is>
      </c>
      <c r="C5000" s="46">
        <f>LEFT(Tableau1[[#This Row],[Formacode]],3)</f>
        <v/>
      </c>
      <c r="D5000" s="47" t="n">
        <v>40932</v>
      </c>
      <c r="E5000" s="48">
        <f>"RNCP"&amp;D5000</f>
        <v/>
      </c>
      <c r="F5000" s="48" t="inlineStr">
        <is>
          <t>Expert numérique des systèmes et processus industriels</t>
        </is>
      </c>
      <c r="G5000" s="49">
        <f>E5000&amp;" - "&amp;F5000</f>
        <v/>
      </c>
      <c r="H5000" s="36" t="inlineStr">
        <is>
          <t>RAS</t>
        </is>
      </c>
      <c r="I5000" s="45" t="inlineStr"/>
      <c r="J5000" s="45" t="inlineStr">
        <is>
          <t>RNCP40932</t>
        </is>
      </c>
      <c r="K5000" s="45" t="inlineStr">
        <is>
          <t>Expert numérique des systèmes et processus industriels</t>
        </is>
      </c>
      <c r="L5000" s="45" t="inlineStr">
        <is>
          <t>25/06/2028</t>
        </is>
      </c>
      <c r="M5000" s="45" t="inlineStr">
        <is>
          <t>31085 (Informatisation des processus) ; 46390 (Numérisation données) ; 31008 (Système information) ; 31606 (Conduite projet industriel)</t>
        </is>
      </c>
      <c r="N5000" s="50" t="inlineStr">
        <is>
          <t>NON</t>
        </is>
      </c>
      <c r="O5000" s="45" t="inlineStr"/>
    </row>
    <row r="5001" customFormat="1" s="3">
      <c r="A5001" s="45" t="n"/>
      <c r="B5001" s="46" t="inlineStr">
        <is>
          <t>46375</t>
        </is>
      </c>
      <c r="C5001" s="46">
        <f>LEFT(Tableau1[[#This Row],[Formacode]],3)</f>
        <v/>
      </c>
      <c r="D5001" s="47" t="n">
        <v>37662</v>
      </c>
      <c r="E5001" s="48">
        <f>"RNCP"&amp;D5001</f>
        <v/>
      </c>
      <c r="F5001" s="48" t="inlineStr">
        <is>
          <t>Directeur artistique multimédia</t>
        </is>
      </c>
      <c r="G5001" s="49">
        <f>E5001&amp;" - "&amp;F5001</f>
        <v/>
      </c>
      <c r="H5001" s="36" t="inlineStr">
        <is>
          <t>RAS</t>
        </is>
      </c>
      <c r="I5001" s="45" t="inlineStr"/>
      <c r="J5001" s="45" t="inlineStr">
        <is>
          <t>RNCP37662</t>
        </is>
      </c>
      <c r="K5001" s="45" t="inlineStr">
        <is>
          <t>Directeur artistique multimédia</t>
        </is>
      </c>
      <c r="L5001" s="45" t="inlineStr">
        <is>
          <t>31/05/2028</t>
        </is>
      </c>
      <c r="M5001" s="45" t="inlineStr">
        <is>
          <t>34074 (Publicité) ; 46301 (Communication entreprise) ; 46354 (Information - Communication numérique) ; 46347 (Stratégie communication numérique)</t>
        </is>
      </c>
      <c r="N5001" s="50" t="inlineStr">
        <is>
          <t>NON</t>
        </is>
      </c>
      <c r="O5001" s="45" t="inlineStr"/>
    </row>
    <row r="5002" customFormat="1" s="3">
      <c r="A5002" s="45" t="n"/>
      <c r="B5002" s="46" t="inlineStr">
        <is>
          <t>46375</t>
        </is>
      </c>
      <c r="C5002" s="46">
        <f>LEFT(Tableau1[[#This Row],[Formacode]],3)</f>
        <v/>
      </c>
      <c r="D5002" s="47" t="n">
        <v>39136</v>
      </c>
      <c r="E5002" s="48">
        <f>"RNCP"&amp;D5002</f>
        <v/>
      </c>
      <c r="F5002" s="48" t="inlineStr">
        <is>
          <t>Grade_Master - Diplôme des Instituts d’Études Politiques – Sciences Po</t>
        </is>
      </c>
      <c r="G5002" s="49">
        <f>E5002&amp;" - "&amp;F5002</f>
        <v/>
      </c>
      <c r="H5002" s="36" t="inlineStr">
        <is>
          <t>RAS</t>
        </is>
      </c>
      <c r="I5002" s="45" t="inlineStr"/>
      <c r="J5002" s="45" t="inlineStr">
        <is>
          <t>RNCP39136</t>
        </is>
      </c>
      <c r="K5002" s="45" t="inlineStr">
        <is>
          <t>Diplôme des Instituts d’Études Politiques – Sciences Po</t>
        </is>
      </c>
      <c r="L5002" s="45" t="inlineStr">
        <is>
          <t>14/04/2029</t>
        </is>
      </c>
      <c r="M5002" s="45" t="inlineStr">
        <is>
          <t>13154 (Économie) ; 13054 (Science politique) ; 46354 (Information - Communication numérique) ; 32154 (Encadrement management) ; 13254 (Droit)</t>
        </is>
      </c>
      <c r="N5002" s="50" t="inlineStr">
        <is>
          <t>NON</t>
        </is>
      </c>
      <c r="O5002" s="45" t="inlineStr"/>
    </row>
    <row r="5003" customFormat="1" s="3">
      <c r="A5003" s="45" t="n"/>
      <c r="B5003" s="46" t="inlineStr">
        <is>
          <t>46375</t>
        </is>
      </c>
      <c r="C5003" s="46">
        <f>LEFT(Tableau1[[#This Row],[Formacode]],3)</f>
        <v/>
      </c>
      <c r="D5003" s="47" t="n">
        <v>39741</v>
      </c>
      <c r="E5003" s="48">
        <f>"RNCP"&amp;D5003</f>
        <v/>
      </c>
      <c r="F5003" s="48" t="inlineStr">
        <is>
          <t>Chargé de communication</t>
        </is>
      </c>
      <c r="G5003" s="49">
        <f>E5003&amp;" - "&amp;F5003</f>
        <v/>
      </c>
      <c r="H5003" s="36" t="inlineStr">
        <is>
          <t>RAS</t>
        </is>
      </c>
      <c r="I5003" s="45" t="inlineStr"/>
      <c r="J5003" s="45" t="inlineStr">
        <is>
          <t>RNCP39741</t>
        </is>
      </c>
      <c r="K5003" s="45" t="inlineStr">
        <is>
          <t>Chargé de communication</t>
        </is>
      </c>
      <c r="L5003" s="45" t="inlineStr">
        <is>
          <t>31/10/2027</t>
        </is>
      </c>
      <c r="M5003" s="45" t="inlineStr">
        <is>
          <t>46354 (Information - Communication numérique)</t>
        </is>
      </c>
      <c r="N5003" s="50" t="inlineStr">
        <is>
          <t>NON</t>
        </is>
      </c>
      <c r="O5003" s="45" t="inlineStr"/>
    </row>
    <row r="5004" customFormat="1" s="3">
      <c r="A5004" s="45" t="n"/>
      <c r="B5004" s="57" t="inlineStr">
        <is>
          <t>46375</t>
        </is>
      </c>
      <c r="C5004" s="57">
        <f>LEFT(Tableau1[[#This Row],[Formacode]],3)</f>
        <v/>
      </c>
      <c r="D5004" s="58" t="n">
        <v>40924</v>
      </c>
      <c r="E5004" s="59">
        <f>"RNCP"&amp;D5004</f>
        <v/>
      </c>
      <c r="F5004" s="59" t="inlineStr">
        <is>
          <t>Concepteur en création visuelle</t>
        </is>
      </c>
      <c r="G5004" s="60">
        <f>E5004&amp;" - "&amp;F5004</f>
        <v/>
      </c>
      <c r="H5004" s="36" t="inlineStr">
        <is>
          <t>RAS</t>
        </is>
      </c>
      <c r="I5004" s="45" t="inlineStr"/>
      <c r="J5004" s="45" t="inlineStr">
        <is>
          <t>RNCP40924</t>
        </is>
      </c>
      <c r="K5004" s="45" t="inlineStr">
        <is>
          <t>Concepteur en création visuelle</t>
        </is>
      </c>
      <c r="L5004" s="45" t="inlineStr">
        <is>
          <t>25/06/2028</t>
        </is>
      </c>
      <c r="M5004" s="45" t="inlineStr">
        <is>
          <t>46081 (Création graphique) ; 46276 (Film animation) ; 46244 (Gestion production audiovisuelle) ; 46354 (Information - Communication numérique)</t>
        </is>
      </c>
      <c r="N5004" s="50" t="inlineStr">
        <is>
          <t>NON</t>
        </is>
      </c>
      <c r="O5004" s="45" t="inlineStr"/>
    </row>
  </sheetData>
  <pageMargins left="0.75" right="0.75" top="1" bottom="1" header="0.511811023622047" footer="0.511811023622047"/>
  <pageSetup orientation="landscape" paperSize="9" fitToHeight="0" horizontalDpi="300" verticalDpi="30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RNCP37198</t>
        </is>
      </c>
      <c r="B2" s="48" t="inlineStr">
        <is>
          <t>Brevet de technicien supérieur - Communication</t>
        </is>
      </c>
    </row>
    <row r="3">
      <c r="A3" s="54" t="inlineStr">
        <is>
          <t>RNCP38301</t>
        </is>
      </c>
      <c r="B3" s="54" t="inlineStr">
        <is>
          <t>Brevet professionnel - Libraire</t>
        </is>
      </c>
    </row>
    <row r="4">
      <c r="A4" s="48" t="inlineStr">
        <is>
          <t>RNCP36965</t>
        </is>
      </c>
      <c r="B4" s="48" t="inlineStr">
        <is>
          <t>BTS - Edition</t>
        </is>
      </c>
    </row>
    <row r="5">
      <c r="A5" s="48" t="inlineStr">
        <is>
          <t>RNCP38421</t>
        </is>
      </c>
      <c r="B5" s="48" t="inlineStr">
        <is>
          <t>BTS - Etudes de réalisation d'un projet de communication - Option A : Études de réalisation de produits plurimédia et B : Études de réalisation de produits imprimés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Normal="100" workbookViewId="0">
      <selection activeCell="H29" sqref="H29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RNCP37019</t>
        </is>
      </c>
      <c r="B2" s="48" t="inlineStr">
        <is>
          <t>BTS - Métiers de l’audiovisuel option gestion de la production</t>
        </is>
      </c>
    </row>
    <row r="3">
      <c r="A3" s="48" t="inlineStr">
        <is>
          <t>RNCP37021</t>
        </is>
      </c>
      <c r="B3" s="48" t="inlineStr">
        <is>
          <t>BTS - Métiers de l’audiovisuel option métiers de l’image</t>
        </is>
      </c>
    </row>
    <row r="4">
      <c r="A4" s="48" t="inlineStr">
        <is>
          <t>RNCP37020</t>
        </is>
      </c>
      <c r="B4" s="48" t="inlineStr">
        <is>
          <t>BTS - Métiers de l’audiovisuel option métiers du montage et de la postproduction</t>
        </is>
      </c>
    </row>
    <row r="5">
      <c r="A5" s="48" t="inlineStr">
        <is>
          <t>RNCP37196</t>
        </is>
      </c>
      <c r="B5" s="48" t="inlineStr">
        <is>
          <t>BTS - Métiers de l’audiovisuel option métiers du son</t>
        </is>
      </c>
    </row>
    <row r="6">
      <c r="A6" s="48" t="inlineStr">
        <is>
          <t>RNCP37022</t>
        </is>
      </c>
      <c r="B6" s="48" t="inlineStr">
        <is>
          <t>BTS - Métiers de l’audiovisuel option techniques d’ingénierie et exploitation des équipements</t>
        </is>
      </c>
    </row>
    <row r="7">
      <c r="A7" s="48" t="inlineStr">
        <is>
          <t>RNCP36970</t>
        </is>
      </c>
      <c r="B7" s="48" t="inlineStr">
        <is>
          <t>BTS - Photographie</t>
        </is>
      </c>
    </row>
    <row r="8">
      <c r="A8" s="48" t="inlineStr">
        <is>
          <t>RNCP37299</t>
        </is>
      </c>
      <c r="B8" s="48" t="inlineStr">
        <is>
          <t>CAP - Accessoiriste réalisateur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RNCP38421</t>
        </is>
      </c>
      <c r="B2" s="48" t="inlineStr">
        <is>
          <t>BTS - Etudes de réalisation d'un projet de communication - Option A : Études de réalisation de produits plurimédia et B : Études de réalisation de produits imprimés</t>
        </is>
      </c>
    </row>
    <row r="3">
      <c r="A3" s="48" t="inlineStr">
        <is>
          <t>RNCP38411</t>
        </is>
      </c>
      <c r="B3" s="48" t="inlineStr">
        <is>
          <t>CAP - Sérigraphie industrielle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3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RNCP38223</t>
        </is>
      </c>
      <c r="B2" s="48" t="inlineStr">
        <is>
          <t>BAC PRO - Métiers et arts de la pierre</t>
        </is>
      </c>
    </row>
    <row r="3">
      <c r="A3" s="48" t="inlineStr">
        <is>
          <t>RNCP37236</t>
        </is>
      </c>
      <c r="B3" s="48" t="inlineStr">
        <is>
          <t>BP - Ameublement tapisserie décoration</t>
        </is>
      </c>
    </row>
    <row r="4">
      <c r="A4" s="48" t="inlineStr">
        <is>
          <t>RNCP37311</t>
        </is>
      </c>
      <c r="B4" s="48" t="inlineStr">
        <is>
          <t>BP - Gemmologue</t>
        </is>
      </c>
    </row>
    <row r="5">
      <c r="A5" s="48" t="inlineStr">
        <is>
          <t>RNCP38724</t>
        </is>
      </c>
      <c r="B5" s="48" t="inlineStr">
        <is>
          <t>BP - Métiers de la pierre</t>
        </is>
      </c>
    </row>
    <row r="6">
      <c r="A6" s="48" t="inlineStr">
        <is>
          <t>RNCP40194</t>
        </is>
      </c>
      <c r="B6" s="48" t="inlineStr">
        <is>
          <t>BP - Tailleur de pierre / Appareilleur monuments historiques</t>
        </is>
      </c>
    </row>
    <row r="7">
      <c r="A7" s="48" t="inlineStr">
        <is>
          <t>RNCP36339</t>
        </is>
      </c>
      <c r="B7" s="48" t="inlineStr">
        <is>
          <t>CAP - Accordeur de pianos</t>
        </is>
      </c>
    </row>
    <row r="8">
      <c r="A8" s="48" t="inlineStr">
        <is>
          <t>RNCP36336</t>
        </is>
      </c>
      <c r="B8" s="48" t="inlineStr">
        <is>
          <t>CAP - Art et techniques de la bijouterie-joaillerie options bijouterie-joaillerie, bijouterie sertissage et polissage finition</t>
        </is>
      </c>
    </row>
    <row r="9">
      <c r="A9" s="54" t="inlineStr">
        <is>
          <t>RNCP39706</t>
        </is>
      </c>
      <c r="B9" s="54" t="inlineStr">
        <is>
          <t>CAP - Arts de la broderie</t>
        </is>
      </c>
    </row>
    <row r="10">
      <c r="A10" s="54" t="inlineStr">
        <is>
          <t>RNCP35640</t>
        </is>
      </c>
      <c r="B10" s="54" t="inlineStr">
        <is>
          <t>CAP - Arts de la dentelle, options fuseaux et aiguille</t>
        </is>
      </c>
    </row>
    <row r="11">
      <c r="A11" s="48" t="inlineStr">
        <is>
          <t>RNCP37539</t>
        </is>
      </c>
      <c r="B11" s="48" t="inlineStr">
        <is>
          <t>CAP - Arts de la reliure</t>
        </is>
      </c>
    </row>
    <row r="12">
      <c r="A12" s="48" t="inlineStr">
        <is>
          <t>RNCP36426</t>
        </is>
      </c>
      <c r="B12" s="48" t="inlineStr">
        <is>
          <t>CAP - Arts de verre et du cristal</t>
        </is>
      </c>
    </row>
    <row r="13">
      <c r="A13" s="48" t="inlineStr">
        <is>
          <t>RNCP37301</t>
        </is>
      </c>
      <c r="B13" s="48" t="inlineStr">
        <is>
          <t>CAP - Arts du bois</t>
        </is>
      </c>
    </row>
    <row r="14">
      <c r="A14" s="54" t="inlineStr">
        <is>
          <t>RNCP39714</t>
        </is>
      </c>
      <c r="B14" s="54" t="inlineStr">
        <is>
          <t>CAP - Arts du tapis et de la  tapisserie de lisse</t>
        </is>
      </c>
    </row>
    <row r="15">
      <c r="A15" s="48" t="inlineStr">
        <is>
          <t>RNCP37302</t>
        </is>
      </c>
      <c r="B15" s="48" t="inlineStr">
        <is>
          <t>CAP - Arts et techniques du verre  option Vitrailliste et option Décorateur sur verre</t>
        </is>
      </c>
    </row>
    <row r="16">
      <c r="A16" s="54" t="inlineStr">
        <is>
          <t>RNCP35699</t>
        </is>
      </c>
      <c r="B16" s="54" t="inlineStr">
        <is>
          <t>CAP - Assistant luthier du quatuor</t>
        </is>
      </c>
    </row>
    <row r="17">
      <c r="A17" s="54" t="inlineStr">
        <is>
          <t>RNCP36255</t>
        </is>
      </c>
      <c r="B17" s="54" t="inlineStr">
        <is>
          <t>CAP - Assistant technique en instruments de musique options : Accordéon, Guitare, Instruments à vent, Piano</t>
        </is>
      </c>
    </row>
    <row r="18">
      <c r="A18" s="54" t="inlineStr">
        <is>
          <t>RNCP39716</t>
        </is>
      </c>
      <c r="B18" s="54" t="inlineStr">
        <is>
          <t>CAP - Bronzier options : A : Monteur en bronze B : Ciseleur sur bronze C : Tourneur sur bronze</t>
        </is>
      </c>
    </row>
    <row r="19">
      <c r="A19" s="48" t="inlineStr">
        <is>
          <t>RNCP39649</t>
        </is>
      </c>
      <c r="B19" s="48" t="inlineStr">
        <is>
          <t>CAP - Cannage et paillage en ameublement</t>
        </is>
      </c>
    </row>
    <row r="20">
      <c r="A20" s="48" t="inlineStr">
        <is>
          <t>RNCP36338</t>
        </is>
      </c>
      <c r="B20" s="48" t="inlineStr">
        <is>
          <t>CAP - Décoration en céramique</t>
        </is>
      </c>
    </row>
    <row r="21">
      <c r="A21" s="54" t="inlineStr">
        <is>
          <t>RNCP36683</t>
        </is>
      </c>
      <c r="B21" s="54" t="inlineStr">
        <is>
          <t>CAP - Doreur à la feuille ornemaniste</t>
        </is>
      </c>
    </row>
    <row r="22">
      <c r="A22" s="48" t="inlineStr">
        <is>
          <t>RNCP37538</t>
        </is>
      </c>
      <c r="B22" s="48" t="inlineStr">
        <is>
          <t>CAP - Ebeniste</t>
        </is>
      </c>
    </row>
    <row r="23">
      <c r="A23" s="54" t="inlineStr">
        <is>
          <t>RNCP39031</t>
        </is>
      </c>
      <c r="B23" s="54" t="inlineStr">
        <is>
          <t>CAP - Emailleur d'art sur métaux</t>
        </is>
      </c>
    </row>
    <row r="24">
      <c r="A24" s="48" t="inlineStr">
        <is>
          <t>RNCP37242</t>
        </is>
      </c>
      <c r="B24" s="48" t="inlineStr">
        <is>
          <t>CAP - Encadreur</t>
        </is>
      </c>
    </row>
    <row r="25">
      <c r="A25" s="48" t="inlineStr">
        <is>
          <t>RNCP38392</t>
        </is>
      </c>
      <c r="B25" s="48" t="inlineStr">
        <is>
          <t>CAP - Ferronnier d'art</t>
        </is>
      </c>
    </row>
    <row r="26">
      <c r="A26" s="54" t="inlineStr">
        <is>
          <t>RNCP39807</t>
        </is>
      </c>
      <c r="B26" s="54" t="inlineStr">
        <is>
          <t>CAP - Lapidaire options Diamant et Pierres de couleur</t>
        </is>
      </c>
    </row>
    <row r="27">
      <c r="A27" s="48" t="inlineStr">
        <is>
          <t>RNCP38393</t>
        </is>
      </c>
      <c r="B27" s="48" t="inlineStr">
        <is>
          <t>CAP - Marbrier du bâtiment et de la décoration</t>
        </is>
      </c>
    </row>
    <row r="28">
      <c r="A28" s="48" t="inlineStr">
        <is>
          <t>RNCP39648</t>
        </is>
      </c>
      <c r="B28" s="48" t="inlineStr">
        <is>
          <t>CAP - Menuisier en sièges</t>
        </is>
      </c>
    </row>
    <row r="29">
      <c r="A29" s="48" t="inlineStr">
        <is>
          <t>RNCP39647</t>
        </is>
      </c>
      <c r="B29" s="48" t="inlineStr">
        <is>
          <t>CAP - Modèles et moules céramiques</t>
        </is>
      </c>
    </row>
    <row r="30">
      <c r="A30" s="54" t="inlineStr">
        <is>
          <t>RNCP39788</t>
        </is>
      </c>
      <c r="B30" s="54" t="inlineStr">
        <is>
          <t>CAP - Orfèvre options : A : monteur en orfèvrerie ; B : tourneur repousseur en orfèvrerie ; C : polisseur aviveur en orfèvrerie ; D : planeur en orfèvrerie</t>
        </is>
      </c>
    </row>
    <row r="31">
      <c r="A31" s="48" t="inlineStr">
        <is>
          <t>RNCP39711</t>
        </is>
      </c>
      <c r="B31" s="48" t="inlineStr">
        <is>
          <t>CAP - Ouvrier archetier</t>
        </is>
      </c>
    </row>
    <row r="32">
      <c r="A32" s="54" t="inlineStr">
        <is>
          <t>RNCP39492</t>
        </is>
      </c>
      <c r="B32" s="54" t="inlineStr">
        <is>
          <t>CAP - Rentrayeur - option A tapis, option B tapisserie</t>
        </is>
      </c>
    </row>
    <row r="33">
      <c r="A33" s="48" t="inlineStr">
        <is>
          <t>RNCP39940</t>
        </is>
      </c>
      <c r="B33" s="48" t="inlineStr">
        <is>
          <t>CAP - Souffleur de verre options Enseigne lumineuse et Verrerie scientifique</t>
        </is>
      </c>
    </row>
    <row r="34">
      <c r="A34" s="48" t="inlineStr">
        <is>
          <t>RNCP36427</t>
        </is>
      </c>
      <c r="B34" s="48" t="inlineStr">
        <is>
          <t>CAP - Staffeur ornemaniste</t>
        </is>
      </c>
    </row>
    <row r="35">
      <c r="A35" s="48" t="inlineStr">
        <is>
          <t>RNCP38310</t>
        </is>
      </c>
      <c r="B35" s="48" t="inlineStr">
        <is>
          <t>CAP - Tailleur de pierre</t>
        </is>
      </c>
    </row>
    <row r="36">
      <c r="A36" s="48" t="inlineStr">
        <is>
          <t>RNCP37247</t>
        </is>
      </c>
      <c r="B36" s="48" t="inlineStr">
        <is>
          <t>CAP - Tapissier d'ameublement en décor</t>
        </is>
      </c>
    </row>
    <row r="37">
      <c r="A37" s="48" t="inlineStr">
        <is>
          <t>RNCP37248</t>
        </is>
      </c>
      <c r="B37" s="48" t="inlineStr">
        <is>
          <t>CAP - Tapissier d'ameublement en siège</t>
        </is>
      </c>
    </row>
    <row r="38">
      <c r="A38" s="48" t="inlineStr">
        <is>
          <t>RNCP36337</t>
        </is>
      </c>
      <c r="B38" s="48" t="inlineStr">
        <is>
          <t>CAP - Tournage en céramique</t>
        </is>
      </c>
    </row>
    <row r="39">
      <c r="A39" s="48" t="inlineStr">
        <is>
          <t>RNCP37899</t>
        </is>
      </c>
      <c r="B39" s="48" t="inlineStr">
        <is>
          <t>CAP - Vannerie</t>
        </is>
      </c>
    </row>
    <row r="40">
      <c r="A40" s="54" t="inlineStr">
        <is>
          <t>RNCP35639</t>
        </is>
      </c>
      <c r="B40" s="54" t="inlineStr">
        <is>
          <t>CS - Art de la dorure à chaud</t>
        </is>
      </c>
    </row>
    <row r="41">
      <c r="A41" s="48" t="inlineStr">
        <is>
          <t>RNCP37381</t>
        </is>
      </c>
      <c r="B41" s="48" t="inlineStr">
        <is>
          <t>CS - Bijoux de mode</t>
        </is>
      </c>
    </row>
    <row r="42">
      <c r="A42" s="48" t="inlineStr">
        <is>
          <t>RNCP36684</t>
        </is>
      </c>
      <c r="B42" s="48" t="inlineStr">
        <is>
          <t>CS - Joaillerie</t>
        </is>
      </c>
    </row>
    <row r="43">
      <c r="A43" s="54" t="inlineStr">
        <is>
          <t>RNCP38711</t>
        </is>
      </c>
      <c r="B43" s="54" t="inlineStr">
        <is>
          <t>CS - Peinture décoration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54" t="inlineStr">
        <is>
          <t>RNCP37911</t>
        </is>
      </c>
      <c r="B2" s="54" t="inlineStr">
        <is>
          <t>BAC PRO - Etude et réalisation d'agencement</t>
        </is>
      </c>
    </row>
    <row r="3">
      <c r="A3" s="48" t="inlineStr">
        <is>
          <t>RNCP38223</t>
        </is>
      </c>
      <c r="B3" s="48" t="inlineStr">
        <is>
          <t>BAC PRO - Métiers et arts de la pierre</t>
        </is>
      </c>
    </row>
    <row r="4">
      <c r="A4" s="48" t="inlineStr">
        <is>
          <t>RNCP37308</t>
        </is>
      </c>
      <c r="B4" s="48" t="inlineStr">
        <is>
          <t>BAC PRO - Technicien fabrication bois et matériaux associés</t>
        </is>
      </c>
    </row>
    <row r="5">
      <c r="A5" s="48" t="inlineStr">
        <is>
          <t>RNCP38383</t>
        </is>
      </c>
      <c r="B5" s="48" t="inlineStr">
        <is>
          <t>BTS - Etude et réalisation d'agencement</t>
        </is>
      </c>
    </row>
    <row r="6">
      <c r="A6" s="48" t="inlineStr">
        <is>
          <t>RNCP37299</t>
        </is>
      </c>
      <c r="B6" s="48" t="inlineStr">
        <is>
          <t>CAP - Accessoiriste réalisateur</t>
        </is>
      </c>
    </row>
    <row r="7">
      <c r="A7" s="48" t="inlineStr">
        <is>
          <t>RNCP37301</t>
        </is>
      </c>
      <c r="B7" s="48" t="inlineStr">
        <is>
          <t>CAP - Arts du bois</t>
        </is>
      </c>
    </row>
    <row r="8">
      <c r="A8" s="48" t="inlineStr">
        <is>
          <t>RNCP39648</t>
        </is>
      </c>
      <c r="B8" s="48" t="inlineStr">
        <is>
          <t>CAP - Menuisier en sièges</t>
        </is>
      </c>
    </row>
    <row r="9">
      <c r="A9" s="54" t="inlineStr">
        <is>
          <t>RNCP36112</t>
        </is>
      </c>
      <c r="B9" s="54" t="inlineStr">
        <is>
          <t>CAP - Menuisier fabricant</t>
        </is>
      </c>
    </row>
    <row r="10">
      <c r="A10" s="48" t="inlineStr">
        <is>
          <t>RNCP39808</t>
        </is>
      </c>
      <c r="B10" s="48" t="inlineStr">
        <is>
          <t>CAP - Métiers de la gravure options "gravure d'ornementation", "gravure d'impression", "gravure en modelé", "marquage poinçonnage"</t>
        </is>
      </c>
    </row>
    <row r="11">
      <c r="A11" s="54" t="inlineStr">
        <is>
          <t>RNCP39492</t>
        </is>
      </c>
      <c r="B11" s="54" t="inlineStr">
        <is>
          <t>CAP - Rentrayeur - option A tapis, option B tapisserie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K7"/>
  <sheetViews>
    <sheetView zoomScaleNormal="100" workbookViewId="0">
      <selection activeCell="D10" sqref="D10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RNCP37375</t>
        </is>
      </c>
      <c r="B2" s="48" t="inlineStr">
        <is>
          <t>Brevet de technicien supérieur - Métiers de l’esthétique, de la cosmétique et de la parfumerie</t>
        </is>
      </c>
      <c r="C2" s="4" t="n"/>
      <c r="D2" s="4" t="n"/>
      <c r="E2" s="4" t="n"/>
      <c r="F2" s="4" t="n"/>
      <c r="G2" s="4" t="n"/>
      <c r="H2" s="4" t="n"/>
      <c r="I2" s="4" t="n"/>
      <c r="J2" s="4" t="inlineStr">
        <is>
          <t>Formacode 340</t>
        </is>
      </c>
      <c r="K2" s="4" t="n"/>
    </row>
    <row r="3">
      <c r="A3" s="54" t="inlineStr">
        <is>
          <t>RNCP35517</t>
        </is>
      </c>
      <c r="B3" s="54" t="inlineStr">
        <is>
          <t>CS - Services numériques aux organisations</t>
        </is>
      </c>
      <c r="C3" s="4" t="n"/>
      <c r="D3" s="4" t="n"/>
      <c r="E3" s="4" t="n"/>
      <c r="F3" s="4" t="n"/>
      <c r="G3" s="4" t="n"/>
      <c r="H3" s="4" t="n"/>
      <c r="I3" s="4" t="n"/>
      <c r="J3" s="4" t="inlineStr">
        <is>
          <t>Formacode 150</t>
        </is>
      </c>
      <c r="K3" s="4" t="n"/>
    </row>
    <row r="4">
      <c r="A4" s="48" t="inlineStr">
        <is>
          <t>RNCP37274</t>
        </is>
      </c>
      <c r="B4" s="48" t="inlineStr">
        <is>
          <t>TP - Conseiller en insertion professionnelle</t>
        </is>
      </c>
      <c r="C4" s="4" t="n"/>
      <c r="D4" s="4" t="n"/>
      <c r="E4" s="4" t="n"/>
      <c r="F4" s="4" t="n"/>
      <c r="G4" s="4" t="n"/>
      <c r="H4" s="4" t="n"/>
      <c r="I4" s="4" t="n"/>
      <c r="J4" s="4" t="inlineStr">
        <is>
          <t>Formacode 330</t>
        </is>
      </c>
      <c r="K4" s="4" t="n"/>
    </row>
    <row r="5">
      <c r="A5" s="48" t="inlineStr">
        <is>
          <t>RNCP37275</t>
        </is>
      </c>
      <c r="B5" s="48" t="inlineStr">
        <is>
          <t>TP - Formateur professionnel d'adultes</t>
        </is>
      </c>
      <c r="C5" s="4" t="n"/>
      <c r="D5" s="4" t="n"/>
      <c r="E5" s="4" t="n"/>
      <c r="F5" s="4" t="n"/>
      <c r="G5" s="4" t="n"/>
      <c r="H5" s="4" t="n"/>
      <c r="I5" s="4" t="n"/>
      <c r="J5" s="4" t="inlineStr">
        <is>
          <t>Formacode 150</t>
        </is>
      </c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4" t="inlineStr">
        <is>
          <t xml:space="preserve">Donc pas d'offres EDOF 445 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</sheetData>
  <pageMargins left="0.7" right="0.7" top="0.75" bottom="0.75" header="0.511811023622047" footer="0.511811023622047"/>
  <pageSetup orientation="landscape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RNCP37231</t>
        </is>
      </c>
      <c r="B2" s="48" t="inlineStr">
        <is>
          <t>BAC PRO - Accompagnement, soins et services à la personne</t>
        </is>
      </c>
    </row>
    <row r="3">
      <c r="A3" s="48" t="inlineStr">
        <is>
          <t>RNCP41187</t>
        </is>
      </c>
      <c r="B3" s="48" t="inlineStr">
        <is>
          <t>BAC PRO - Animation - enfance et personnes âgées</t>
        </is>
      </c>
    </row>
    <row r="4">
      <c r="A4" s="48" t="inlineStr">
        <is>
          <t>RNCP36788</t>
        </is>
      </c>
      <c r="B4" s="48" t="inlineStr">
        <is>
          <t>BAC PRO - Services aux personnes et animation dans les territoires</t>
        </is>
      </c>
    </row>
    <row r="5">
      <c r="A5" s="48" t="inlineStr">
        <is>
          <t>RNCP36938</t>
        </is>
      </c>
      <c r="B5" s="48" t="inlineStr">
        <is>
          <t>BTS - Economie sociale familiale</t>
        </is>
      </c>
    </row>
    <row r="6">
      <c r="A6" s="48" t="inlineStr">
        <is>
          <t>RNCP36939</t>
        </is>
      </c>
      <c r="B6" s="48" t="inlineStr">
        <is>
          <t>BTS - Services et prestations des secteurs sanitaire et social</t>
        </is>
      </c>
    </row>
    <row r="7">
      <c r="A7" s="48" t="inlineStr">
        <is>
          <t>RNCP38565</t>
        </is>
      </c>
      <c r="B7" s="48" t="inlineStr">
        <is>
          <t>CAP - Accompagnant éducatif petite enfance</t>
        </is>
      </c>
    </row>
    <row r="8">
      <c r="A8" s="48" t="inlineStr">
        <is>
          <t>RNCP37669</t>
        </is>
      </c>
      <c r="B8" s="48" t="inlineStr">
        <is>
          <t>Certificat d'aptitude professionnelle - Agent accompagnant au grand âge</t>
        </is>
      </c>
    </row>
    <row r="9">
      <c r="A9" s="48" t="inlineStr">
        <is>
          <t>RNCP37240</t>
        </is>
      </c>
      <c r="B9" s="48" t="inlineStr">
        <is>
          <t>Certificat d'aptitude professionnelle - Agent de prévention et de médiation</t>
        </is>
      </c>
    </row>
    <row r="10">
      <c r="A10" s="54" t="inlineStr">
        <is>
          <t>RNCP36004</t>
        </is>
      </c>
      <c r="B10" s="54" t="inlineStr">
        <is>
          <t>DE - Accompagnant éducatif et social</t>
        </is>
      </c>
    </row>
    <row r="11">
      <c r="A11" s="54" t="inlineStr">
        <is>
          <t>RNCP37675</t>
        </is>
      </c>
      <c r="B11" s="54" t="inlineStr">
        <is>
          <t>DE - Assistant de service social</t>
        </is>
      </c>
    </row>
    <row r="12">
      <c r="A12" s="48" t="inlineStr">
        <is>
          <t>RNCP41758</t>
        </is>
      </c>
      <c r="B12" s="48" t="inlineStr">
        <is>
          <t>DE - Assistant familial</t>
        </is>
      </c>
    </row>
    <row r="13">
      <c r="A13" s="54" t="inlineStr">
        <is>
          <t>RNCP37678</t>
        </is>
      </c>
      <c r="B13" s="54" t="inlineStr">
        <is>
          <t>DE - Conseiller en économie sociale familiale</t>
        </is>
      </c>
    </row>
    <row r="14">
      <c r="A14" s="54" t="inlineStr">
        <is>
          <t>RNCP37679</t>
        </is>
      </c>
      <c r="B14" s="54" t="inlineStr">
        <is>
          <t>DE - Educateur de jeunes enfants</t>
        </is>
      </c>
    </row>
    <row r="15">
      <c r="A15" s="54" t="inlineStr">
        <is>
          <t>RNCP37676</t>
        </is>
      </c>
      <c r="B15" s="54" t="inlineStr">
        <is>
          <t>DE - Educateur spécialisé</t>
        </is>
      </c>
    </row>
    <row r="16">
      <c r="A16" s="54" t="inlineStr">
        <is>
          <t>RNCP37677</t>
        </is>
      </c>
      <c r="B16" s="54" t="inlineStr">
        <is>
          <t>DE - Educateur technique spécialisé</t>
        </is>
      </c>
    </row>
    <row r="17">
      <c r="A17" s="54" t="inlineStr">
        <is>
          <t>RNCP39644</t>
        </is>
      </c>
      <c r="B17" s="54" t="inlineStr">
        <is>
          <t>DE - Ingénierie sociale</t>
        </is>
      </c>
    </row>
    <row r="18">
      <c r="A18" s="54" t="inlineStr">
        <is>
          <t>RNCP39645</t>
        </is>
      </c>
      <c r="B18" s="54" t="inlineStr">
        <is>
          <t>DE - Médiateur familial</t>
        </is>
      </c>
    </row>
    <row r="19">
      <c r="A19" s="48" t="inlineStr">
        <is>
          <t>RNCP39680</t>
        </is>
      </c>
      <c r="B19" s="48" t="inlineStr">
        <is>
          <t>DE - Technicien de l'intervention sociale et familiale</t>
        </is>
      </c>
    </row>
    <row r="20">
      <c r="A20" s="54" t="inlineStr">
        <is>
          <t>RNCP39643</t>
        </is>
      </c>
      <c r="B20" s="54" t="inlineStr">
        <is>
          <t>Diplôme d'Etat Moniteur éducateur - DEME</t>
        </is>
      </c>
    </row>
  </sheetData>
  <pageMargins left="0.7" right="0.7" top="0.75" bottom="0.75" header="0.511811023622047" footer="0.511811023622047"/>
  <pageSetup orientation="landscape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 customFormat="1" s="4">
      <c r="A2" s="48" t="inlineStr">
        <is>
          <t>RNCP40312</t>
        </is>
      </c>
      <c r="B2" s="48" t="inlineStr">
        <is>
          <t>BAC PRO - Hygiène, propreté, stérilisation</t>
        </is>
      </c>
      <c r="F2" s="4" t="inlineStr">
        <is>
          <t>FORMACODE 420</t>
        </is>
      </c>
    </row>
    <row r="3">
      <c r="A3" s="48" t="inlineStr">
        <is>
          <t>RNCP41063</t>
        </is>
      </c>
      <c r="B3" s="48" t="inlineStr">
        <is>
          <t>BAC PRO - Technicien en prothèse dentaire</t>
        </is>
      </c>
    </row>
    <row r="4">
      <c r="A4" s="48" t="inlineStr">
        <is>
          <t>RNCP38456</t>
        </is>
      </c>
      <c r="B4" s="48" t="inlineStr">
        <is>
          <t>Baccalauréat professionnel - Optique lunetterie</t>
        </is>
      </c>
    </row>
    <row r="5">
      <c r="A5" s="48" t="inlineStr">
        <is>
          <t>RNCP37947</t>
        </is>
      </c>
      <c r="B5" s="48" t="inlineStr">
        <is>
          <t>Baccalauréat professionnel - Technicien en appareillage orthopédique</t>
        </is>
      </c>
    </row>
    <row r="6">
      <c r="A6" s="48" t="inlineStr">
        <is>
          <t>RNCP40027</t>
        </is>
      </c>
      <c r="B6" s="48" t="inlineStr">
        <is>
          <t>Brevet de technicien supérieur - Biologie médicale</t>
        </is>
      </c>
    </row>
    <row r="7">
      <c r="A7" s="48" t="inlineStr">
        <is>
          <t>RNCP40028</t>
        </is>
      </c>
      <c r="B7" s="48" t="inlineStr">
        <is>
          <t>Brevet de technicien supérieur - Diététique et nutrition</t>
        </is>
      </c>
    </row>
    <row r="8">
      <c r="A8" s="48" t="inlineStr">
        <is>
          <t>RNCP37376</t>
        </is>
      </c>
      <c r="B8" s="48" t="inlineStr">
        <is>
          <t>Brevet de technicien supérieur - Prothésiste dentaire</t>
        </is>
      </c>
    </row>
    <row r="9">
      <c r="A9" s="48" t="inlineStr">
        <is>
          <t>RNCP38360</t>
        </is>
      </c>
      <c r="B9" s="48" t="inlineStr">
        <is>
          <t>BTS - Opticien-lunetier</t>
        </is>
      </c>
    </row>
    <row r="10">
      <c r="A10" s="48" t="inlineStr">
        <is>
          <t>RNCP36939</t>
        </is>
      </c>
      <c r="B10" s="48" t="inlineStr">
        <is>
          <t>BTS - Services et prestations des secteurs sanitaire et social</t>
        </is>
      </c>
    </row>
    <row r="11">
      <c r="A11" s="54" t="inlineStr">
        <is>
          <t>RNCP40692</t>
        </is>
      </c>
      <c r="B11" s="54" t="inlineStr">
        <is>
          <t>DE - Aide-Soignant (DEAS)</t>
        </is>
      </c>
    </row>
    <row r="12">
      <c r="A12" s="54" t="inlineStr">
        <is>
          <t>RNCP40743</t>
        </is>
      </c>
      <c r="B12" s="54" t="inlineStr">
        <is>
          <t>DE - Auxiliaire de puériculture (DEAP)</t>
        </is>
      </c>
    </row>
  </sheetData>
  <pageMargins left="0.7" right="0.7" top="0.75" bottom="0.75" header="0.511811023622047" footer="0.511811023622047"/>
  <pageSetup orientation="landscape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RNCP40028</t>
        </is>
      </c>
      <c r="B2" s="48" t="inlineStr">
        <is>
          <t>Brevet de technicien supérieur - Diététique et nutrition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Normal="100" workbookViewId="0">
      <selection activeCell="J26" sqref="J26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RNCP39133</t>
        </is>
      </c>
      <c r="B2" s="48" t="inlineStr">
        <is>
          <t>BAC PRO - Métiers de la sécurité</t>
        </is>
      </c>
    </row>
    <row r="3">
      <c r="A3" s="48" t="inlineStr">
        <is>
          <t>RNCP38227</t>
        </is>
      </c>
      <c r="B3" s="48" t="inlineStr">
        <is>
          <t>BP - Agent technique de prévention et de sécurité</t>
        </is>
      </c>
    </row>
    <row r="4">
      <c r="A4" s="48" t="inlineStr">
        <is>
          <t>RNCP41000</t>
        </is>
      </c>
      <c r="B4" s="48" t="inlineStr">
        <is>
          <t>BTS - Management opérationnel de la sécurité</t>
        </is>
      </c>
    </row>
    <row r="5">
      <c r="A5" s="48" t="inlineStr">
        <is>
          <t>RNCP38226</t>
        </is>
      </c>
      <c r="B5" s="48" t="inlineStr">
        <is>
          <t>CAP - Agent de sécurité</t>
        </is>
      </c>
    </row>
    <row r="6">
      <c r="A6" s="48" t="inlineStr">
        <is>
          <t>RNCP38228</t>
        </is>
      </c>
      <c r="B6" s="48" t="inlineStr">
        <is>
          <t>CAP - Agent vérificateur d'appareils extincteurs</t>
        </is>
      </c>
    </row>
    <row r="7">
      <c r="A7" s="48" t="inlineStr">
        <is>
          <t>RNCP40308</t>
        </is>
      </c>
      <c r="B7" s="48" t="inlineStr">
        <is>
          <t>Certificat d'aptitude professionnelle - Gardien d'immeubles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8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RNCP37910</t>
        </is>
      </c>
      <c r="B2" s="48" t="inlineStr">
        <is>
          <t>BAC PRO - Cuisine</t>
        </is>
      </c>
    </row>
    <row r="3">
      <c r="A3" s="48" t="inlineStr">
        <is>
          <t>RNCP37927</t>
        </is>
      </c>
      <c r="B3" s="48" t="inlineStr">
        <is>
          <t>BAC PRO - Poissonnier - écailler - traiteur</t>
        </is>
      </c>
    </row>
    <row r="4">
      <c r="A4" s="48" t="inlineStr">
        <is>
          <t>RNCP37909</t>
        </is>
      </c>
      <c r="B4" s="48" t="inlineStr">
        <is>
          <t>Baccalauréat professionnel - Commercialisation et services en restauration</t>
        </is>
      </c>
    </row>
    <row r="5">
      <c r="A5" s="48" t="inlineStr">
        <is>
          <t>RNCP38431</t>
        </is>
      </c>
      <c r="B5" s="48" t="inlineStr">
        <is>
          <t>Brevet professionnel - Arts de la cuisine</t>
        </is>
      </c>
    </row>
    <row r="6">
      <c r="A6" s="48" t="inlineStr">
        <is>
          <t>RNCP38429</t>
        </is>
      </c>
      <c r="B6" s="48" t="inlineStr">
        <is>
          <t>Brevet professionnel - Arts du service et commercialisation en restauration</t>
        </is>
      </c>
    </row>
    <row r="7">
      <c r="A7" s="54" t="inlineStr">
        <is>
          <t>RNCP37492</t>
        </is>
      </c>
      <c r="B7" s="54" t="inlineStr">
        <is>
          <t>Brevet professionnel - barman</t>
        </is>
      </c>
    </row>
    <row r="8">
      <c r="A8" s="48" t="inlineStr">
        <is>
          <t>RNCP37384</t>
        </is>
      </c>
      <c r="B8" s="48" t="inlineStr">
        <is>
          <t>Brevet professionnel - Sommelier</t>
        </is>
      </c>
    </row>
    <row r="9">
      <c r="A9" s="48" t="inlineStr">
        <is>
          <t>RNCP37889</t>
        </is>
      </c>
      <c r="B9" s="48" t="inlineStr">
        <is>
          <t>BTS - Management en hôtellerie - restauration (option A : Management d'unité de restauration ; option B : Management d'unité de production culinaire ; option C : Management d'unité d'hébergement)</t>
        </is>
      </c>
    </row>
    <row r="10">
      <c r="A10" s="48" t="inlineStr">
        <is>
          <t>RNCP38430</t>
        </is>
      </c>
      <c r="B10" s="48" t="inlineStr">
        <is>
          <t>CAP - Cuisine</t>
        </is>
      </c>
    </row>
    <row r="11">
      <c r="A11" s="48" t="inlineStr">
        <is>
          <t>RNCP38424</t>
        </is>
      </c>
      <c r="B11" s="48" t="inlineStr">
        <is>
          <t>Certificat d'aptitude professionnelle - Commercialisation et services en hôtel-café-restaurant</t>
        </is>
      </c>
    </row>
    <row r="12">
      <c r="A12" s="54" t="inlineStr">
        <is>
          <t>RNCP35317</t>
        </is>
      </c>
      <c r="B12" s="54" t="inlineStr">
        <is>
          <t>Certificat d'aptitude professionnelle - Production et service en restaurations (rapide, collective, cafétéria)</t>
        </is>
      </c>
    </row>
    <row r="13">
      <c r="A13" s="48" t="inlineStr">
        <is>
          <t>RNCP37921</t>
        </is>
      </c>
      <c r="B13" s="48" t="inlineStr">
        <is>
          <t>Certificat de spécialisation - Accueil-  réception</t>
        </is>
      </c>
    </row>
    <row r="14">
      <c r="A14" s="48" t="inlineStr">
        <is>
          <t>RNCP40287</t>
        </is>
      </c>
      <c r="B14" s="48" t="inlineStr">
        <is>
          <t>Certificat de spécialisation - Desserts de restaurant</t>
        </is>
      </c>
    </row>
    <row r="15">
      <c r="A15" s="48" t="inlineStr">
        <is>
          <t>RNCP40096</t>
        </is>
      </c>
      <c r="B15" s="48" t="inlineStr">
        <is>
          <t>Certificat de spécialisation - Métiers du bar</t>
        </is>
      </c>
    </row>
    <row r="16">
      <c r="A16" s="48" t="inlineStr">
        <is>
          <t>RNCP37922</t>
        </is>
      </c>
      <c r="B16" s="48" t="inlineStr">
        <is>
          <t>Certificat de spécialisation - Organisateur de réceptions</t>
        </is>
      </c>
    </row>
    <row r="17">
      <c r="A17" s="48" t="inlineStr">
        <is>
          <t>RNCP37382</t>
        </is>
      </c>
      <c r="B17" s="48" t="inlineStr">
        <is>
          <t>Certificat de spécialisation - Sommellerie</t>
        </is>
      </c>
    </row>
    <row r="18">
      <c r="A18" s="48" t="inlineStr">
        <is>
          <t>RNCP38657</t>
        </is>
      </c>
      <c r="B18" s="48" t="inlineStr">
        <is>
          <t>CS - Restauration collective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zoomScaleNormal="100" workbookViewId="0">
      <selection activeCell="H12" sqref="H1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RNCP37890</t>
        </is>
      </c>
      <c r="B2" s="48" t="inlineStr">
        <is>
          <t>Brevet de technicien supérieur - Tourisme</t>
        </is>
      </c>
    </row>
    <row r="3">
      <c r="A3" s="48" t="inlineStr">
        <is>
          <t>RNCP37921</t>
        </is>
      </c>
      <c r="B3" s="48" t="inlineStr">
        <is>
          <t>Certificat de spécialisation - Accueil-  réception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54" t="inlineStr">
        <is>
          <t>RNCP38380</t>
        </is>
      </c>
      <c r="B2" s="54" t="inlineStr">
        <is>
          <t>BTS - Professions immobilières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0"/>
  <sheetViews>
    <sheetView zoomScaleNormal="100" workbookViewId="0">
      <selection activeCell="I16" sqref="I16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RNCP40312</t>
        </is>
      </c>
      <c r="B2" s="48" t="inlineStr">
        <is>
          <t>BAC PRO - Hygiène, propreté, stérilisation</t>
        </is>
      </c>
    </row>
    <row r="3">
      <c r="A3" s="48" t="inlineStr">
        <is>
          <t>RNCP40311</t>
        </is>
      </c>
      <c r="B3" s="48" t="inlineStr">
        <is>
          <t>BAC PRO - Maintenance environnementale et propreté des espaces urbains</t>
        </is>
      </c>
    </row>
    <row r="4">
      <c r="A4" s="54" t="inlineStr">
        <is>
          <t>RNCP35807</t>
        </is>
      </c>
      <c r="B4" s="54" t="inlineStr">
        <is>
          <t>BAC PRO - Métiers de l'entretien des textiles option A : blanchisserie, option B : pressing</t>
        </is>
      </c>
    </row>
    <row r="5">
      <c r="A5" s="48" t="inlineStr">
        <is>
          <t>RNCP38856</t>
        </is>
      </c>
      <c r="B5" s="48" t="inlineStr">
        <is>
          <t>BAC PRO - Technicien conseil vente en animalerie</t>
        </is>
      </c>
    </row>
    <row r="6">
      <c r="A6" s="48" t="inlineStr">
        <is>
          <t>RNCP36331</t>
        </is>
      </c>
      <c r="B6" s="48" t="inlineStr">
        <is>
          <t>Baccalauréat professionnel - Esthétique Cosmétique Parfumerie</t>
        </is>
      </c>
    </row>
    <row r="7">
      <c r="A7" s="48" t="inlineStr">
        <is>
          <t>RNCP38308</t>
        </is>
      </c>
      <c r="B7" s="48" t="inlineStr">
        <is>
          <t>Baccalauréat professionnel - Perruquier posticheur</t>
        </is>
      </c>
    </row>
    <row r="8">
      <c r="A8" s="48" t="inlineStr">
        <is>
          <t>RNCP38231</t>
        </is>
      </c>
      <c r="B8" s="48" t="inlineStr">
        <is>
          <t>BP - Coiffure</t>
        </is>
      </c>
    </row>
    <row r="9">
      <c r="A9" s="48" t="inlineStr">
        <is>
          <t>RNCP37375</t>
        </is>
      </c>
      <c r="B9" s="48" t="inlineStr">
        <is>
          <t>Brevet de technicien supérieur - Métiers de l’esthétique, de la cosmétique et de la parfumerie</t>
        </is>
      </c>
    </row>
    <row r="10">
      <c r="A10" s="48" t="inlineStr">
        <is>
          <t>RNCP37963</t>
        </is>
      </c>
      <c r="B10" s="48" t="inlineStr">
        <is>
          <t>Brevet de technicien supérieur - Métiers de la coiffure</t>
        </is>
      </c>
    </row>
    <row r="11">
      <c r="A11" s="48" t="inlineStr">
        <is>
          <t>RNCP39291</t>
        </is>
      </c>
      <c r="B11" s="48" t="inlineStr">
        <is>
          <t>Brevet professionnel - Esthétique Cosmétique Parfumerie</t>
        </is>
      </c>
    </row>
    <row r="12">
      <c r="A12" s="48" t="inlineStr">
        <is>
          <t>RNCP39944</t>
        </is>
      </c>
      <c r="B12" s="48" t="inlineStr">
        <is>
          <t>BTS - Métiers des services à l'environnement</t>
        </is>
      </c>
    </row>
    <row r="13">
      <c r="A13" s="54" t="inlineStr">
        <is>
          <t>RNCP35808</t>
        </is>
      </c>
      <c r="B13" s="54" t="inlineStr">
        <is>
          <t>CAP - Métiers de l’entretien des textiles, option A : blanchisserie, option B : pressing</t>
        </is>
      </c>
    </row>
    <row r="14">
      <c r="A14" s="48" t="inlineStr">
        <is>
          <t>RNCP40309</t>
        </is>
      </c>
      <c r="B14" s="48" t="inlineStr">
        <is>
          <t>CAP - Propreté et prévention des biocontaminations</t>
        </is>
      </c>
    </row>
    <row r="15">
      <c r="A15" s="48" t="inlineStr">
        <is>
          <t>RNCP40310</t>
        </is>
      </c>
      <c r="B15" s="48" t="inlineStr">
        <is>
          <t>CAP - Valorisation des matières et propreté des espaces urbains</t>
        </is>
      </c>
    </row>
    <row r="16">
      <c r="A16" s="48" t="inlineStr">
        <is>
          <t>RNCP37669</t>
        </is>
      </c>
      <c r="B16" s="48" t="inlineStr">
        <is>
          <t>Certificat d'aptitude professionnelle - Agent accompagnant au grand âge</t>
        </is>
      </c>
    </row>
    <row r="17">
      <c r="A17" s="48" t="inlineStr">
        <is>
          <t>RNCP39030</t>
        </is>
      </c>
      <c r="B17" s="48" t="inlineStr">
        <is>
          <t>Certificat d'aptitude professionnelle - Esthétique Cosmétique Parfumerie</t>
        </is>
      </c>
    </row>
    <row r="18">
      <c r="A18" s="48" t="inlineStr">
        <is>
          <t>RNCP39266</t>
        </is>
      </c>
      <c r="B18" s="48" t="inlineStr">
        <is>
          <t>Certificat d'aptitude professionnelle - Métiers de la coiffure</t>
        </is>
      </c>
    </row>
    <row r="19">
      <c r="A19" s="48" t="inlineStr">
        <is>
          <t>RNCP38232</t>
        </is>
      </c>
      <c r="B19" s="48" t="inlineStr">
        <is>
          <t>Certificat de spécialisation - Coiffure coupe couleur</t>
        </is>
      </c>
    </row>
    <row r="20">
      <c r="A20" s="48" t="inlineStr">
        <is>
          <t>RNCP37922</t>
        </is>
      </c>
      <c r="B20" s="48" t="inlineStr">
        <is>
          <t>Certificat de spécialisation - Organisateur de réceptions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zoomScaleNormal="100" workbookViewId="0">
      <selection activeCell="G19" sqref="G19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RNCP38359</t>
        </is>
      </c>
      <c r="B2" s="48" t="inlineStr">
        <is>
          <t>BTS - Assurance</t>
        </is>
      </c>
    </row>
    <row r="3">
      <c r="A3" s="48" t="inlineStr">
        <is>
          <t>RNCP38381</t>
        </is>
      </c>
      <c r="B3" s="48" t="inlineStr">
        <is>
          <t>BTS - Banque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RNCP40705</t>
        </is>
      </c>
      <c r="B2" s="48" t="inlineStr">
        <is>
          <t>BAC PRO - Assistance à la gestion des organisations et de leurs activités</t>
        </is>
      </c>
    </row>
    <row r="3">
      <c r="A3" s="48" t="inlineStr">
        <is>
          <t>RNCP38397</t>
        </is>
      </c>
      <c r="B3" s="48" t="inlineStr">
        <is>
          <t>BAC PRO - Métiers de l'accueil</t>
        </is>
      </c>
    </row>
    <row r="4">
      <c r="A4" s="48" t="inlineStr">
        <is>
          <t>RNCP37561</t>
        </is>
      </c>
      <c r="B4" s="48" t="inlineStr">
        <is>
          <t>BTS - Assistance technique d'ingénieur</t>
        </is>
      </c>
    </row>
    <row r="5">
      <c r="A5" s="48" t="inlineStr">
        <is>
          <t>RNCP38363</t>
        </is>
      </c>
      <c r="B5" s="48" t="inlineStr">
        <is>
          <t>BTS - Gestion de la PME</t>
        </is>
      </c>
    </row>
    <row r="6">
      <c r="A6" s="54" t="inlineStr">
        <is>
          <t>RNCP38225</t>
        </is>
      </c>
      <c r="B6" s="54" t="inlineStr">
        <is>
          <t>Certificat de spécialisation - Accueil dans les transports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1"/>
  <sheetViews>
    <sheetView zoomScaleNormal="100" workbookViewId="0">
      <selection activeCell="T39" sqref="T39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RNCP37602</t>
        </is>
      </c>
      <c r="B2" s="48" t="inlineStr">
        <is>
          <t>BAC PRO - Boucher-charcutier-traiteur</t>
        </is>
      </c>
    </row>
    <row r="3">
      <c r="A3" s="48" t="inlineStr">
        <is>
          <t>RNCP37908</t>
        </is>
      </c>
      <c r="B3" s="48" t="inlineStr">
        <is>
          <t>BAC PRO - Boulanger-pâtissier</t>
        </is>
      </c>
    </row>
    <row r="4">
      <c r="A4" s="48" t="inlineStr">
        <is>
          <t>RNCP38399</t>
        </is>
      </c>
      <c r="B4" s="48" t="inlineStr">
        <is>
          <t>BAC PRO - Métiers du commerce et de la vente</t>
        </is>
      </c>
    </row>
    <row r="5">
      <c r="A5" s="48" t="inlineStr">
        <is>
          <t>RNCP37927</t>
        </is>
      </c>
      <c r="B5" s="48" t="inlineStr">
        <is>
          <t>BAC PRO - Poissonnier - écailler - traiteur</t>
        </is>
      </c>
    </row>
    <row r="6">
      <c r="A6" s="54" t="inlineStr">
        <is>
          <t>RNCP35185</t>
        </is>
      </c>
      <c r="B6" s="54" t="inlineStr">
        <is>
          <t>BAC PRO - Technicien conseil vente en alimentation (produits alimentaires et boissons)</t>
        </is>
      </c>
    </row>
    <row r="7">
      <c r="A7" s="48" t="inlineStr">
        <is>
          <t>RNCP41062</t>
        </is>
      </c>
      <c r="B7" s="48" t="inlineStr">
        <is>
          <t>BAC PRO - Technicien conseil vente univers jardinerie</t>
        </is>
      </c>
    </row>
    <row r="8">
      <c r="A8" s="54" t="inlineStr">
        <is>
          <t>RNCP37310</t>
        </is>
      </c>
      <c r="B8" s="54" t="inlineStr">
        <is>
          <t>BP - Boucher</t>
        </is>
      </c>
    </row>
    <row r="9">
      <c r="A9" s="54" t="inlineStr">
        <is>
          <t>RNCP35800</t>
        </is>
      </c>
      <c r="B9" s="54" t="inlineStr">
        <is>
          <t>Brevet de technicien supérieur - Commerce international</t>
        </is>
      </c>
    </row>
    <row r="10">
      <c r="A10" s="54" t="inlineStr">
        <is>
          <t>RNCP35801</t>
        </is>
      </c>
      <c r="B10" s="54" t="inlineStr">
        <is>
          <t>Brevet de technicien supérieur - Conseil et commercialisation de solutions techniques</t>
        </is>
      </c>
    </row>
    <row r="11">
      <c r="A11" s="48" t="inlineStr">
        <is>
          <t>RNCP36005</t>
        </is>
      </c>
      <c r="B11" s="48" t="inlineStr">
        <is>
          <t>Brevet professionnel - Fleuriste</t>
        </is>
      </c>
    </row>
    <row r="12">
      <c r="A12" s="48" t="inlineStr">
        <is>
          <t>RNCP38368</t>
        </is>
      </c>
      <c r="B12" s="48" t="inlineStr">
        <is>
          <t>BTS - Négociation et digitalisation de la relation client</t>
        </is>
      </c>
    </row>
    <row r="13">
      <c r="A13" s="48" t="inlineStr">
        <is>
          <t>RNCP37533</t>
        </is>
      </c>
      <c r="B13" s="48" t="inlineStr">
        <is>
          <t>CAP - Crémier fromager</t>
        </is>
      </c>
    </row>
    <row r="14">
      <c r="A14" s="48" t="inlineStr">
        <is>
          <t>RNCP40994</t>
        </is>
      </c>
      <c r="B14" s="48" t="inlineStr">
        <is>
          <t>CAP - Equipier polyvalent du commerce</t>
        </is>
      </c>
    </row>
    <row r="15">
      <c r="A15" s="48" t="inlineStr">
        <is>
          <t>RNCP39035</t>
        </is>
      </c>
      <c r="B15" s="48" t="inlineStr">
        <is>
          <t>CAP - Fleuriste de mode</t>
        </is>
      </c>
    </row>
    <row r="16">
      <c r="A16" s="54" t="inlineStr">
        <is>
          <t>RNCP37383</t>
        </is>
      </c>
      <c r="B16" s="54" t="inlineStr">
        <is>
          <t>CAP - Poissonnier- écailler</t>
        </is>
      </c>
    </row>
    <row r="17">
      <c r="A17" s="48" t="inlineStr">
        <is>
          <t>RNCP38400</t>
        </is>
      </c>
      <c r="B17" s="48" t="inlineStr">
        <is>
          <t>Certificat d'aptitude professionnelle - Fleuriste</t>
        </is>
      </c>
    </row>
    <row r="18">
      <c r="A18" s="48" t="inlineStr">
        <is>
          <t>RNCP37604</t>
        </is>
      </c>
      <c r="B18" s="48" t="inlineStr">
        <is>
          <t>Certificat d'aptitude professionnelle - Primeur</t>
        </is>
      </c>
    </row>
    <row r="19">
      <c r="A19" s="48" t="inlineStr">
        <is>
          <t>RNCP38402</t>
        </is>
      </c>
      <c r="B19" s="48" t="inlineStr">
        <is>
          <t>Certificat de spécialisation - Assistance, conseil, vente à distance</t>
        </is>
      </c>
    </row>
    <row r="20">
      <c r="A20" s="48" t="inlineStr">
        <is>
          <t>RNCP38404</t>
        </is>
      </c>
      <c r="B20" s="48" t="inlineStr">
        <is>
          <t>Certificat de spécialisation - Vendeur conseil en produits techniques pour l'habitat</t>
        </is>
      </c>
    </row>
    <row r="21">
      <c r="A21" s="48" t="inlineStr">
        <is>
          <t>RNCP38636</t>
        </is>
      </c>
      <c r="B21" s="48" t="inlineStr">
        <is>
          <t>Certificat de spécialisation - Vente-conseil en boucherie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54" t="inlineStr">
        <is>
          <t>RNCP35800</t>
        </is>
      </c>
      <c r="B2" s="54" t="inlineStr">
        <is>
          <t>Brevet de technicien supérieur - Commerce international</t>
        </is>
      </c>
    </row>
    <row r="3">
      <c r="A3" s="48" t="inlineStr">
        <is>
          <t>RNCP38365</t>
        </is>
      </c>
      <c r="B3" s="48" t="inlineStr">
        <is>
          <t>BTS - Gestion des transports et logistique associée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RNCP37198</t>
        </is>
      </c>
      <c r="B2" s="48" t="inlineStr">
        <is>
          <t>Brevet de technicien supérieur - Communication</t>
        </is>
      </c>
    </row>
    <row r="3">
      <c r="A3" s="48" t="inlineStr">
        <is>
          <t>RNCP37375</t>
        </is>
      </c>
      <c r="B3" s="48" t="inlineStr">
        <is>
          <t>Brevet de technicien supérieur - Métiers de l’esthétique, de la cosmétique et de la parfumerie</t>
        </is>
      </c>
    </row>
    <row r="4">
      <c r="A4" s="48" t="inlineStr">
        <is>
          <t>RNCP38362</t>
        </is>
      </c>
      <c r="B4" s="48" t="inlineStr">
        <is>
          <t>BTS - Management commercial opérationnel</t>
        </is>
      </c>
    </row>
    <row r="5">
      <c r="A5" s="48" t="inlineStr">
        <is>
          <t>RNCP38368</t>
        </is>
      </c>
      <c r="B5" s="48" t="inlineStr">
        <is>
          <t>BTS - Négociation et digitalisation de la relation client</t>
        </is>
      </c>
    </row>
    <row r="6">
      <c r="A6" s="48" t="inlineStr">
        <is>
          <t>RNCP40994</t>
        </is>
      </c>
      <c r="B6" s="48" t="inlineStr">
        <is>
          <t>CAP - Equipier polyvalent du commerce</t>
        </is>
      </c>
    </row>
    <row r="7">
      <c r="A7" s="48" t="inlineStr">
        <is>
          <t>RNCP38402</t>
        </is>
      </c>
      <c r="B7" s="48" t="inlineStr">
        <is>
          <t>Certificat de spécialisation - Assistance, conseil, vente à distance</t>
        </is>
      </c>
    </row>
    <row r="8">
      <c r="A8" s="48" t="inlineStr">
        <is>
          <t>RNCP38636</t>
        </is>
      </c>
      <c r="B8" s="48" t="inlineStr">
        <is>
          <t>Certificat de spécialisation - Vente-conseil en boucherie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Normal="100" workbookViewId="0">
      <selection activeCell="E22" sqref="E2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RNCP37274</t>
        </is>
      </c>
      <c r="B2" s="48" t="inlineStr">
        <is>
          <t>TP - Conseiller en insertion professionnelle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RNCP39159</t>
        </is>
      </c>
      <c r="B2" s="48" t="inlineStr">
        <is>
          <t>BTS - Comptabilité et Gestion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Normal="100" workbookViewId="0">
      <selection activeCell="G13" sqref="G13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RNCP37375</t>
        </is>
      </c>
      <c r="B2" s="48" t="inlineStr">
        <is>
          <t>Brevet de technicien supérieur - Métiers de l’esthétique, de la cosmétique et de la parfumerie</t>
        </is>
      </c>
    </row>
    <row r="3">
      <c r="A3" s="48" t="inlineStr">
        <is>
          <t>RNCP38362</t>
        </is>
      </c>
      <c r="B3" s="48" t="inlineStr">
        <is>
          <t>BTS - Management commercial opérationnel</t>
        </is>
      </c>
    </row>
    <row r="4">
      <c r="A4" s="48" t="inlineStr">
        <is>
          <t>RNCP41000</t>
        </is>
      </c>
      <c r="B4" s="48" t="inlineStr">
        <is>
          <t>BTS - Management opérationnel de la sécurité</t>
        </is>
      </c>
    </row>
    <row r="5">
      <c r="A5" s="48" t="inlineStr">
        <is>
          <t>RNCP38364</t>
        </is>
      </c>
      <c r="B5" s="48" t="inlineStr">
        <is>
          <t>BTS - Support à l'action managériale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5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54" t="inlineStr">
        <is>
          <t>RNCP38302</t>
        </is>
      </c>
      <c r="B2" s="54" t="inlineStr">
        <is>
          <t>BAC PRO - Logistique</t>
        </is>
      </c>
    </row>
    <row r="3">
      <c r="A3" s="48" t="inlineStr">
        <is>
          <t>RNCP40687</t>
        </is>
      </c>
      <c r="B3" s="48" t="inlineStr">
        <is>
          <t>BAC PRO - Métiers de la logistique</t>
        </is>
      </c>
    </row>
    <row r="4">
      <c r="A4" s="48" t="inlineStr">
        <is>
          <t>RNCP38570</t>
        </is>
      </c>
      <c r="B4" s="48" t="inlineStr">
        <is>
          <t>BAC PRO - Transport fluvial</t>
        </is>
      </c>
    </row>
    <row r="5">
      <c r="A5" s="48" t="inlineStr">
        <is>
          <t>RNCP37309</t>
        </is>
      </c>
      <c r="B5" s="48" t="inlineStr">
        <is>
          <t>BAC PRO - Transports par câbles et remontées mécaniques</t>
        </is>
      </c>
    </row>
    <row r="6">
      <c r="A6" s="48" t="inlineStr">
        <is>
          <t>RNCP40706</t>
        </is>
      </c>
      <c r="B6" s="48" t="inlineStr">
        <is>
          <t>Baccalauréat professionnel - Conducteur routier de marchandises</t>
        </is>
      </c>
    </row>
    <row r="7">
      <c r="A7" s="48" t="inlineStr">
        <is>
          <t>RNCP40993</t>
        </is>
      </c>
      <c r="B7" s="48" t="inlineStr">
        <is>
          <t>Baccalauréat professionnel - Organisation de transport de marchandises</t>
        </is>
      </c>
    </row>
    <row r="8">
      <c r="A8" s="48" t="inlineStr">
        <is>
          <t>RNCP38365</t>
        </is>
      </c>
      <c r="B8" s="48" t="inlineStr">
        <is>
          <t>BTS - Gestion des transports et logistique associée</t>
        </is>
      </c>
    </row>
    <row r="9">
      <c r="A9" s="54" t="inlineStr">
        <is>
          <t>RNCP37672</t>
        </is>
      </c>
      <c r="B9" s="54" t="inlineStr">
        <is>
          <t>CAP - Opérateur logistique</t>
        </is>
      </c>
    </row>
    <row r="10">
      <c r="A10" s="48" t="inlineStr">
        <is>
          <t>RNCP38571</t>
        </is>
      </c>
      <c r="B10" s="48" t="inlineStr">
        <is>
          <t>CAP - transport fluvial</t>
        </is>
      </c>
    </row>
    <row r="11">
      <c r="A11" s="48" t="inlineStr">
        <is>
          <t>RNCP37306</t>
        </is>
      </c>
      <c r="B11" s="48" t="inlineStr">
        <is>
          <t>CAP - Transports par câbles et remontées mécaniques</t>
        </is>
      </c>
    </row>
    <row r="12">
      <c r="A12" s="48" t="inlineStr">
        <is>
          <t>RNCP37598</t>
        </is>
      </c>
      <c r="B12" s="48" t="inlineStr">
        <is>
          <t>Certificat d'aptitude professionnelle - Conducteur agent d’accueil en autobus et autocar</t>
        </is>
      </c>
    </row>
    <row r="13">
      <c r="A13" s="48" t="inlineStr">
        <is>
          <t>RNCP40995</t>
        </is>
      </c>
      <c r="B13" s="48" t="inlineStr">
        <is>
          <t>Certificat d'aptitude professionnelle - Conducteur routier de marchandises  options « Livraisons de proximité » et « Livraisons longue distance »</t>
        </is>
      </c>
    </row>
    <row r="14">
      <c r="A14" s="48" t="inlineStr">
        <is>
          <t>RNCP37895</t>
        </is>
      </c>
      <c r="B14" s="48" t="inlineStr">
        <is>
          <t>Certificat d'aptitude professionnelle - Déménageur sur véhicule utile léger</t>
        </is>
      </c>
    </row>
    <row r="15">
      <c r="A15" s="54" t="inlineStr">
        <is>
          <t>RNCP38225</t>
        </is>
      </c>
      <c r="B15" s="54" t="inlineStr">
        <is>
          <t>Certificat de spécialisation - Accueil dans les transports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54" t="inlineStr">
        <is>
          <t>RNCP38302</t>
        </is>
      </c>
      <c r="B2" s="54" t="inlineStr">
        <is>
          <t>BAC PRO - Logistique</t>
        </is>
      </c>
    </row>
    <row r="3">
      <c r="A3" s="48" t="inlineStr">
        <is>
          <t>RNCP39327</t>
        </is>
      </c>
      <c r="B3" s="48" t="inlineStr">
        <is>
          <t>BAC PRO - Maintenance des matériels</t>
        </is>
      </c>
    </row>
    <row r="4">
      <c r="A4" s="48" t="inlineStr">
        <is>
          <t>RNCP40687</t>
        </is>
      </c>
      <c r="B4" s="48" t="inlineStr">
        <is>
          <t>BAC PRO - Métiers de la logistique</t>
        </is>
      </c>
    </row>
    <row r="5">
      <c r="A5" s="54" t="inlineStr">
        <is>
          <t>RNCP38715</t>
        </is>
      </c>
      <c r="B5" s="54" t="inlineStr">
        <is>
          <t>BP - Conducteur d'engins : travaux publics et carrières</t>
        </is>
      </c>
    </row>
    <row r="6">
      <c r="A6" s="48" t="inlineStr">
        <is>
          <t>RNCP38577</t>
        </is>
      </c>
      <c r="B6" s="48" t="inlineStr">
        <is>
          <t>BTS - Maintenance des matériels de construction et de manutention</t>
        </is>
      </c>
    </row>
    <row r="7">
      <c r="A7" s="48" t="inlineStr">
        <is>
          <t>RNCP36966</t>
        </is>
      </c>
      <c r="B7" s="48" t="inlineStr">
        <is>
          <t>BTS - Motorisations toutes énergies</t>
        </is>
      </c>
    </row>
    <row r="8">
      <c r="A8" s="48" t="inlineStr">
        <is>
          <t>RNCP38217</t>
        </is>
      </c>
      <c r="B8" s="48" t="inlineStr">
        <is>
          <t>BTS - Pilotage de procédés</t>
        </is>
      </c>
    </row>
    <row r="9">
      <c r="A9" s="48" t="inlineStr">
        <is>
          <t>RNCP40486</t>
        </is>
      </c>
      <c r="B9" s="48" t="inlineStr">
        <is>
          <t>CAP - Conducteur d'engins de travaux publics et carrières</t>
        </is>
      </c>
    </row>
    <row r="10">
      <c r="A10" s="48" t="inlineStr">
        <is>
          <t>RNCP39330</t>
        </is>
      </c>
      <c r="B10" s="48" t="inlineStr">
        <is>
          <t>CAP - Maintenance des matériels</t>
        </is>
      </c>
    </row>
    <row r="11">
      <c r="A11" s="54" t="inlineStr">
        <is>
          <t>RNCP37672</t>
        </is>
      </c>
      <c r="B11" s="54" t="inlineStr">
        <is>
          <t>CAP - Opérateur logistique</t>
        </is>
      </c>
    </row>
    <row r="12">
      <c r="A12" s="48" t="inlineStr">
        <is>
          <t>RNCP37895</t>
        </is>
      </c>
      <c r="B12" s="48" t="inlineStr">
        <is>
          <t>Certificat d'aptitude professionnelle - Déménageur sur véhicule utile léger</t>
        </is>
      </c>
    </row>
    <row r="13">
      <c r="A13" s="54" t="inlineStr">
        <is>
          <t>RNCP37941</t>
        </is>
      </c>
      <c r="B13" s="54" t="inlineStr">
        <is>
          <t>Certificat d'aptitude professionnelle - Emballeur professionnel</t>
        </is>
      </c>
    </row>
    <row r="14">
      <c r="A14" s="48" t="inlineStr">
        <is>
          <t>RNCP38403</t>
        </is>
      </c>
      <c r="B14" s="48" t="inlineStr">
        <is>
          <t>Certificat d'aptitude professionnelle - Opérateur de service - Relation client et livraison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3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54" t="inlineStr">
        <is>
          <t>RNCP38302</t>
        </is>
      </c>
      <c r="B2" s="54" t="inlineStr">
        <is>
          <t>BAC PRO - Logistique</t>
        </is>
      </c>
    </row>
    <row r="3">
      <c r="A3" s="54" t="inlineStr">
        <is>
          <t>RNCP35698</t>
        </is>
      </c>
      <c r="B3" s="54" t="inlineStr">
        <is>
          <t>BAC PRO - Maintenance des Systèmes de Production Connectés</t>
        </is>
      </c>
    </row>
    <row r="4">
      <c r="A4" s="48" t="inlineStr">
        <is>
          <t>RNCP40311</t>
        </is>
      </c>
      <c r="B4" s="48" t="inlineStr">
        <is>
          <t>BAC PRO - Maintenance environnementale et propreté des espaces urbains</t>
        </is>
      </c>
    </row>
    <row r="5">
      <c r="A5" s="48" t="inlineStr">
        <is>
          <t>RNCP40687</t>
        </is>
      </c>
      <c r="B5" s="48" t="inlineStr">
        <is>
          <t>BAC PRO - Métiers de la logistique</t>
        </is>
      </c>
    </row>
    <row r="6">
      <c r="A6" s="48" t="inlineStr">
        <is>
          <t>RNCP36191</t>
        </is>
      </c>
      <c r="B6" s="48" t="inlineStr">
        <is>
          <t>BAC PRO - Modélisation et prototypage 3D</t>
        </is>
      </c>
    </row>
    <row r="7">
      <c r="A7" s="48" t="inlineStr">
        <is>
          <t>RNCP36428</t>
        </is>
      </c>
      <c r="B7" s="48" t="inlineStr">
        <is>
          <t>BAC PRO - Pilote de ligne de production</t>
        </is>
      </c>
    </row>
    <row r="8">
      <c r="A8" s="48" t="inlineStr">
        <is>
          <t>RNCP38566</t>
        </is>
      </c>
      <c r="B8" s="48" t="inlineStr">
        <is>
          <t>BAC PRO - Plastiques et composites</t>
        </is>
      </c>
    </row>
    <row r="9">
      <c r="A9" s="48" t="inlineStr">
        <is>
          <t>RNCP39033</t>
        </is>
      </c>
      <c r="B9" s="48" t="inlineStr">
        <is>
          <t>BAC PRO - Technicien d'études du bâtiment</t>
        </is>
      </c>
    </row>
    <row r="10">
      <c r="A10" s="48" t="inlineStr">
        <is>
          <t>RNCP41015</t>
        </is>
      </c>
      <c r="B10" s="48" t="inlineStr">
        <is>
          <t>BAC PRO - Technicien en réalisation de produits mécaniques, option réalisation et suivi de productions, option réalisation et maintenance des outillages</t>
        </is>
      </c>
    </row>
    <row r="11">
      <c r="A11" s="48" t="inlineStr">
        <is>
          <t>RNCP40437</t>
        </is>
      </c>
      <c r="B11" s="48" t="inlineStr">
        <is>
          <t>BAC PRO - Technicien en transport et distribution des gaz</t>
        </is>
      </c>
    </row>
    <row r="12">
      <c r="A12" s="48" t="inlineStr">
        <is>
          <t>RNCP38573</t>
        </is>
      </c>
      <c r="B12" s="48" t="inlineStr">
        <is>
          <t>BAC PRO - Techniques d'interventions sur installations nucléaires</t>
        </is>
      </c>
    </row>
    <row r="13">
      <c r="A13" s="48" t="inlineStr">
        <is>
          <t>RNCP37239</t>
        </is>
      </c>
      <c r="B13" s="48" t="inlineStr">
        <is>
          <t>Brevet professionnel - Pilote d'installations de production par procédés</t>
        </is>
      </c>
    </row>
    <row r="14">
      <c r="A14" s="48" t="inlineStr">
        <is>
          <t>RNCP37464</t>
        </is>
      </c>
      <c r="B14" s="48" t="inlineStr">
        <is>
          <t>BTS - Conception des processus de réalisation de produits, option A : production unitaire, option B : production sérielle</t>
        </is>
      </c>
    </row>
    <row r="15">
      <c r="A15" s="48" t="inlineStr">
        <is>
          <t>RNCP37374</t>
        </is>
      </c>
      <c r="B15" s="48" t="inlineStr">
        <is>
          <t>BTS - Conception des produits industriels</t>
        </is>
      </c>
    </row>
    <row r="16">
      <c r="A16" s="48" t="inlineStr">
        <is>
          <t>RNCP38743</t>
        </is>
      </c>
      <c r="B16" s="48" t="inlineStr">
        <is>
          <t>BTS - Conception et industrialisation en microtechniques</t>
        </is>
      </c>
    </row>
    <row r="17">
      <c r="A17" s="48" t="inlineStr">
        <is>
          <t>RNCP37115</t>
        </is>
      </c>
      <c r="B17" s="48" t="inlineStr">
        <is>
          <t>BTS - Conception et réalisation de systèmes automatiques</t>
        </is>
      </c>
    </row>
    <row r="18">
      <c r="A18" s="48" t="inlineStr">
        <is>
          <t>RNCP40029</t>
        </is>
      </c>
      <c r="B18" s="48" t="inlineStr">
        <is>
          <t>BTS - Construction et aménagement de véhicules</t>
        </is>
      </c>
    </row>
    <row r="19">
      <c r="A19" s="48" t="inlineStr">
        <is>
          <t>RNCP38216</t>
        </is>
      </c>
      <c r="B19" s="48" t="inlineStr">
        <is>
          <t>BTS - Contrôle industriel et régulation automatique</t>
        </is>
      </c>
    </row>
    <row r="20">
      <c r="A20" s="48" t="inlineStr">
        <is>
          <t>RNCP38416</t>
        </is>
      </c>
      <c r="B20" s="48" t="inlineStr">
        <is>
          <t>BTS - EuroPlastics et Composites - Option CO: Conception Outillage - Option POP : Pilotage et Optimisation de la Production</t>
        </is>
      </c>
    </row>
    <row r="21">
      <c r="A21" s="54" t="inlineStr">
        <is>
          <t>RNCP35640</t>
        </is>
      </c>
      <c r="B21" s="54" t="inlineStr">
        <is>
          <t>CAP - Arts de la dentelle, options fuseaux et aiguille</t>
        </is>
      </c>
    </row>
    <row r="22">
      <c r="A22" s="48" t="inlineStr">
        <is>
          <t>RNCP36429</t>
        </is>
      </c>
      <c r="B22" s="48" t="inlineStr">
        <is>
          <t>CAP - Conducteur d'installations de production</t>
        </is>
      </c>
    </row>
    <row r="23">
      <c r="A23" s="48" t="inlineStr">
        <is>
          <t>RNCP39699</t>
        </is>
      </c>
      <c r="B23" s="48" t="inlineStr">
        <is>
          <t>CAP - Industries chimiques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zoomScaleNormal="100" workbookViewId="0">
      <selection activeCell="B2" sqref="B2"/>
    </sheetView>
  </sheetViews>
  <sheetFormatPr baseColWidth="10" defaultColWidth="10.6640625" defaultRowHeight="14.4"/>
  <sheetData>
    <row r="1">
      <c r="A1" s="30" t="inlineStr">
        <is>
          <t>Code RNCP</t>
        </is>
      </c>
      <c r="B1" s="30" t="inlineStr">
        <is>
          <t>Nomenclature RNCP</t>
        </is>
      </c>
      <c r="C1" s="30" t="inlineStr">
        <is>
          <t>Certification</t>
        </is>
      </c>
    </row>
    <row r="2">
      <c r="A2" s="47" t="n">
        <v>40312</v>
      </c>
      <c r="B2" s="48" t="inlineStr">
        <is>
          <t>RNCP40312</t>
        </is>
      </c>
      <c r="C2" s="31" t="inlineStr">
        <is>
          <t>BAC PRO - Hygiène, propreté, stérilisation</t>
        </is>
      </c>
    </row>
    <row r="3">
      <c r="A3" s="47" t="n">
        <v>38216</v>
      </c>
      <c r="B3" s="48" t="inlineStr">
        <is>
          <t>RNCP38216</t>
        </is>
      </c>
      <c r="C3" s="31" t="inlineStr">
        <is>
          <t>BTS - Contrôle industriel et régulation automatique</t>
        </is>
      </c>
    </row>
    <row r="4">
      <c r="A4" s="47" t="n">
        <v>38416</v>
      </c>
      <c r="B4" s="48" t="inlineStr">
        <is>
          <t>RNCP38416</t>
        </is>
      </c>
      <c r="C4" s="31" t="inlineStr">
        <is>
          <t>BTS - EuroPlastics et Composites - Option CO: Conception Outillage - Option POP : Pilotage et Optimisation de la Production</t>
        </is>
      </c>
    </row>
    <row r="5">
      <c r="A5" s="47" t="n">
        <v>39944</v>
      </c>
      <c r="B5" s="48" t="inlineStr">
        <is>
          <t>RNCP39944</t>
        </is>
      </c>
      <c r="C5" s="31" t="inlineStr">
        <is>
          <t>BTS - Métiers des services à l'environnement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Normal="100" workbookViewId="0">
      <selection activeCell="H35" sqref="H35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RNCP37489</t>
        </is>
      </c>
      <c r="B2" s="48" t="inlineStr">
        <is>
          <t>BAC PRO - Cybersécurité, Informatique et réseaux, Electronique</t>
        </is>
      </c>
    </row>
    <row r="3">
      <c r="A3" s="48" t="inlineStr">
        <is>
          <t>RNCP37391</t>
        </is>
      </c>
      <c r="B3" s="48" t="inlineStr">
        <is>
          <t>BTS - Cybersécurité, Informatique et réseaux, Électronique  - Option A : « Informatique et réseaux », Option B : « Électronique et réseaux »</t>
        </is>
      </c>
    </row>
    <row r="4">
      <c r="A4" s="48" t="inlineStr">
        <is>
          <t>RNCP40792</t>
        </is>
      </c>
      <c r="B4" s="48" t="inlineStr">
        <is>
          <t>BTS - Services informatiques aux organisations, Option A : « Solutions d’infrastructure, systèmes et réseaux » ; Option B : « Solutions logicielles et applications métiers »</t>
        </is>
      </c>
    </row>
    <row r="5">
      <c r="A5" s="48" t="inlineStr">
        <is>
          <t>RNCP37488</t>
        </is>
      </c>
      <c r="B5" s="48" t="inlineStr">
        <is>
          <t>CS - Cybersécurité</t>
        </is>
      </c>
    </row>
    <row r="6">
      <c r="A6" s="54" t="inlineStr">
        <is>
          <t>RNCP35517</t>
        </is>
      </c>
      <c r="B6" s="54" t="inlineStr">
        <is>
          <t>CS - Services numériques aux organisations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RNCP36428</t>
        </is>
      </c>
      <c r="B2" s="48" t="inlineStr">
        <is>
          <t>BAC PRO - Pilote de ligne de production</t>
        </is>
      </c>
    </row>
    <row r="3">
      <c r="A3" s="48" t="inlineStr">
        <is>
          <t>RNCP37239</t>
        </is>
      </c>
      <c r="B3" s="48" t="inlineStr">
        <is>
          <t>Brevet professionnel - Pilote d'installations de production par procédés</t>
        </is>
      </c>
    </row>
    <row r="4">
      <c r="A4" s="48" t="inlineStr">
        <is>
          <t>RNCP37115</t>
        </is>
      </c>
      <c r="B4" s="48" t="inlineStr">
        <is>
          <t>BTS - Conception et réalisation de systèmes automatiques</t>
        </is>
      </c>
    </row>
    <row r="5">
      <c r="A5" s="48" t="inlineStr">
        <is>
          <t>RNCP38216</t>
        </is>
      </c>
      <c r="B5" s="48" t="inlineStr">
        <is>
          <t>BTS - Contrôle industriel et régulation automatique</t>
        </is>
      </c>
    </row>
    <row r="6">
      <c r="A6" s="48" t="inlineStr">
        <is>
          <t>RNCP37391</t>
        </is>
      </c>
      <c r="B6" s="48" t="inlineStr">
        <is>
          <t>BTS - Cybersécurité, Informatique et réseaux, Électronique  - Option A : « Informatique et réseaux », Option B : « Électronique et réseaux »</t>
        </is>
      </c>
    </row>
    <row r="7">
      <c r="A7" s="48" t="inlineStr">
        <is>
          <t>RNCP36968</t>
        </is>
      </c>
      <c r="B7" s="48" t="inlineStr">
        <is>
          <t>BTS - Maintenance des systèmes (option A : systèmes de production, option B : systèmes énergétiques et fluidiques, option C : systèmes éoliens, option D : systèmes ascenseurs et élévateurs)</t>
        </is>
      </c>
    </row>
    <row r="8">
      <c r="A8" s="54" t="inlineStr">
        <is>
          <t>RNCP36969</t>
        </is>
      </c>
      <c r="B8" s="54" t="inlineStr">
        <is>
          <t>BTS - Mécatronique navale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RNCP37928</t>
        </is>
      </c>
      <c r="B2" s="48" t="inlineStr">
        <is>
          <t>BAC PRO - Aéronautique options Avionique,  Structure, Systèmes</t>
        </is>
      </c>
    </row>
    <row r="3">
      <c r="A3" s="48" t="inlineStr">
        <is>
          <t>RNCP37489</t>
        </is>
      </c>
      <c r="B3" s="48" t="inlineStr">
        <is>
          <t>BAC PRO - Cybersécurité, Informatique et réseaux, Electronique</t>
        </is>
      </c>
    </row>
    <row r="4">
      <c r="A4" s="48" t="inlineStr">
        <is>
          <t>RNCP38878</t>
        </is>
      </c>
      <c r="B4" s="48" t="inlineStr">
        <is>
          <t>BAC PRO - Métiers de l'électricité et de ses environnements connectés</t>
        </is>
      </c>
    </row>
    <row r="5">
      <c r="A5" s="48" t="inlineStr">
        <is>
          <t>RNCP37490</t>
        </is>
      </c>
      <c r="B5" s="48" t="inlineStr">
        <is>
          <t>BAC PRO - Optique Photonique : Technologies de la Lumière</t>
        </is>
      </c>
    </row>
    <row r="6">
      <c r="A6" s="48" t="inlineStr">
        <is>
          <t>RNCP37391</t>
        </is>
      </c>
      <c r="B6" s="48" t="inlineStr">
        <is>
          <t>BTS - Cybersécurité, Informatique et réseaux, Électronique  - Option A : « Informatique et réseaux », Option B : « Électronique et réseaux »</t>
        </is>
      </c>
    </row>
    <row r="7">
      <c r="A7" s="54" t="inlineStr">
        <is>
          <t>RNCP35803</t>
        </is>
      </c>
      <c r="B7" s="54" t="inlineStr">
        <is>
          <t>BTS - Métiers de la mesure</t>
        </is>
      </c>
    </row>
    <row r="8">
      <c r="A8" s="48" t="inlineStr">
        <is>
          <t>RNCP38543</t>
        </is>
      </c>
      <c r="B8" s="48" t="inlineStr">
        <is>
          <t>BTS - Photonique : Technologies et Sciences de la Lumière</t>
        </is>
      </c>
    </row>
    <row r="9">
      <c r="A9" s="48" t="inlineStr">
        <is>
          <t>RNCP37700</t>
        </is>
      </c>
      <c r="B9" s="48" t="inlineStr">
        <is>
          <t>CAP - Aéronautique options Avionique, Structure et Systèmes</t>
        </is>
      </c>
    </row>
    <row r="10">
      <c r="A10" s="48" t="inlineStr">
        <is>
          <t>RNCP37924</t>
        </is>
      </c>
      <c r="B10" s="48" t="inlineStr">
        <is>
          <t>CS - Aéronautique options Avionique, Avions à moteurs à pistons, Avions à moteurs à turbines, Hélicoptères à moteurs à pistons, Hélicoptères à moteurs à turbines</t>
        </is>
      </c>
    </row>
    <row r="11">
      <c r="A11" s="48" t="inlineStr">
        <is>
          <t>RNCP37569</t>
        </is>
      </c>
      <c r="B11" s="48" t="inlineStr">
        <is>
          <t>CS - Production et réparation de produits électroniques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RNCP37489</t>
        </is>
      </c>
      <c r="B2" s="48" t="inlineStr">
        <is>
          <t>BAC PRO - Cybersécurité, Informatique et réseaux, Electronique</t>
        </is>
      </c>
    </row>
    <row r="3">
      <c r="A3" s="48" t="inlineStr">
        <is>
          <t>RNCP37490</t>
        </is>
      </c>
      <c r="B3" s="48" t="inlineStr">
        <is>
          <t>BAC PRO - Optique Photonique : Technologies de la Lumière</t>
        </is>
      </c>
    </row>
    <row r="4">
      <c r="A4" s="48" t="inlineStr">
        <is>
          <t>RNCP37391</t>
        </is>
      </c>
      <c r="B4" s="48" t="inlineStr">
        <is>
          <t>BTS - Cybersécurité, Informatique et réseaux, Électronique  - Option A : « Informatique et réseaux », Option B : « Électronique et réseaux »</t>
        </is>
      </c>
    </row>
    <row r="5">
      <c r="A5" s="54" t="inlineStr">
        <is>
          <t>RNCP37707</t>
        </is>
      </c>
      <c r="B5" s="54" t="inlineStr">
        <is>
          <t>BTS - Métiers du géomètre-topographe et de la modélisation numérique</t>
        </is>
      </c>
    </row>
    <row r="6">
      <c r="A6" s="48" t="inlineStr">
        <is>
          <t>RNCP38543</t>
        </is>
      </c>
      <c r="B6" s="48" t="inlineStr">
        <is>
          <t>BTS - Photonique : Technologies et Sciences de la Lumière</t>
        </is>
      </c>
    </row>
    <row r="7">
      <c r="A7" s="48" t="inlineStr">
        <is>
          <t>RNCP40792</t>
        </is>
      </c>
      <c r="B7" s="48" t="inlineStr">
        <is>
          <t>BTS - Services informatiques aux organisations, Option A : « Solutions d’infrastructure, systèmes et réseaux » ; Option B : « Solutions logicielles et applications métiers »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Normal="100" workbookViewId="0">
      <selection activeCell="D13" sqref="D13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54" t="inlineStr">
        <is>
          <t>RNCP35844</t>
        </is>
      </c>
      <c r="B2" s="54" t="inlineStr">
        <is>
          <t>BAC PRO - Maintenance et Efficacité Energétique</t>
        </is>
      </c>
    </row>
    <row r="3">
      <c r="A3" s="54" t="inlineStr">
        <is>
          <t>RNCP35846</t>
        </is>
      </c>
      <c r="B3" s="54" t="inlineStr">
        <is>
          <t>BAC PRO - Métiers du Froid et des Energies Renouvelables</t>
        </is>
      </c>
    </row>
    <row r="4">
      <c r="A4" s="48" t="inlineStr">
        <is>
          <t>RNCP40437</t>
        </is>
      </c>
      <c r="B4" s="48" t="inlineStr">
        <is>
          <t>BAC PRO - Technicien en transport et distribution des gaz</t>
        </is>
      </c>
    </row>
    <row r="5">
      <c r="A5" s="48" t="inlineStr">
        <is>
          <t>RNCP38573</t>
        </is>
      </c>
      <c r="B5" s="48" t="inlineStr">
        <is>
          <t>BAC PRO - Techniques d'interventions sur installations nucléaires</t>
        </is>
      </c>
    </row>
    <row r="6">
      <c r="A6" s="48" t="inlineStr">
        <is>
          <t>RNCP40078</t>
        </is>
      </c>
      <c r="B6" s="48" t="inlineStr">
        <is>
          <t>BTS - Environnement nucléaire</t>
        </is>
      </c>
    </row>
    <row r="7">
      <c r="A7" s="48" t="inlineStr">
        <is>
          <t>RNCP38336</t>
        </is>
      </c>
      <c r="B7" s="48" t="inlineStr">
        <is>
          <t>CS - Responsable d'une unité de méthanisation agricole</t>
        </is>
      </c>
    </row>
    <row r="8">
      <c r="A8" s="54" t="inlineStr">
        <is>
          <t>RNCP36334</t>
        </is>
      </c>
      <c r="B8" s="54" t="inlineStr">
        <is>
          <t>CS - Technicien des services à l'énergie</t>
        </is>
      </c>
    </row>
    <row r="9">
      <c r="A9" s="48" t="inlineStr">
        <is>
          <t>RNCP39297</t>
        </is>
      </c>
      <c r="B9" s="48" t="inlineStr">
        <is>
          <t>CS - Technicien en énergies renouvelables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Normal="100" workbookViewId="0">
      <selection activeCell="A1" sqref="A1"/>
    </sheetView>
  </sheetViews>
  <sheetFormatPr baseColWidth="10" defaultColWidth="10.6640625" defaultRowHeight="14.4"/>
  <sheetData>
    <row r="1">
      <c r="A1" s="48" t="inlineStr">
        <is>
          <t>RNCP37235</t>
        </is>
      </c>
      <c r="B1" s="48" t="inlineStr">
        <is>
          <t>CS - Technicien en réseaux électriques</t>
        </is>
      </c>
    </row>
    <row r="2">
      <c r="A2" s="48" t="inlineStr">
        <is>
          <t>RNCP38401</t>
        </is>
      </c>
      <c r="B2" s="48" t="inlineStr">
        <is>
          <t>CAP - Electricien</t>
        </is>
      </c>
    </row>
    <row r="3">
      <c r="A3" s="48" t="inlineStr">
        <is>
          <t>RNCP38878</t>
        </is>
      </c>
      <c r="B3" s="48" t="inlineStr">
        <is>
          <t>BAC PRO - Métiers de l'électricité et de ses environnements connectés</t>
        </is>
      </c>
    </row>
    <row r="4">
      <c r="A4" s="48" t="inlineStr">
        <is>
          <t>RNCP38880</t>
        </is>
      </c>
      <c r="B4" s="48" t="inlineStr">
        <is>
          <t>BP - Electricien</t>
        </is>
      </c>
    </row>
    <row r="5">
      <c r="A5" s="54" t="inlineStr">
        <is>
          <t>RNCP39192</t>
        </is>
      </c>
      <c r="B5" s="54" t="inlineStr">
        <is>
          <t>CS - Technicien ascensoriste (service et modernisation)</t>
        </is>
      </c>
    </row>
    <row r="6">
      <c r="A6" s="48" t="inlineStr">
        <is>
          <t>RNCP41007</t>
        </is>
      </c>
      <c r="B6" s="48" t="inlineStr">
        <is>
          <t>BTS - Electrotechnique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26"/>
  <sheetViews>
    <sheetView zoomScaleNormal="100" workbookViewId="0">
      <selection activeCell="A1" sqref="A1"/>
    </sheetView>
  </sheetViews>
  <sheetFormatPr baseColWidth="10" defaultColWidth="10.6640625" defaultRowHeight="14.4"/>
  <sheetData>
    <row r="1">
      <c r="A1" s="48" t="inlineStr">
        <is>
          <t>RNCP37928</t>
        </is>
      </c>
      <c r="B1" s="48" t="inlineStr">
        <is>
          <t>BAC PRO - Aéronautique options Avionique,  Structure, Systèmes</t>
        </is>
      </c>
    </row>
    <row r="2">
      <c r="A2" s="48" t="inlineStr">
        <is>
          <t>RNCP37914</t>
        </is>
      </c>
      <c r="B2" s="48" t="inlineStr">
        <is>
          <t>BAC PRO - Aviation générale</t>
        </is>
      </c>
    </row>
    <row r="3">
      <c r="A3" s="48" t="inlineStr">
        <is>
          <t>RNCP37913</t>
        </is>
      </c>
      <c r="B3" s="48" t="inlineStr">
        <is>
          <t>BAC PRO - Carrossier peintre automobile</t>
        </is>
      </c>
    </row>
    <row r="4">
      <c r="A4" s="48" t="inlineStr">
        <is>
          <t>RNCP40012</t>
        </is>
      </c>
      <c r="B4" s="48" t="inlineStr">
        <is>
          <t>BAC PRO - Construction et aménagement de véhicules</t>
        </is>
      </c>
    </row>
    <row r="5">
      <c r="A5" s="48" t="inlineStr">
        <is>
          <t>RNCP40996</t>
        </is>
      </c>
      <c r="B5" s="48" t="inlineStr">
        <is>
          <t>BAC PRO - Maintenance des véhicules : Option : véhicules légers Option : véhicules de transport routier Option : motocycles</t>
        </is>
      </c>
    </row>
    <row r="6">
      <c r="A6" s="48" t="inlineStr">
        <is>
          <t>RNCP37698</t>
        </is>
      </c>
      <c r="B6" s="48" t="inlineStr">
        <is>
          <t>BAC PRO - Maintenance nautique</t>
        </is>
      </c>
    </row>
    <row r="7">
      <c r="A7" s="48" t="inlineStr">
        <is>
          <t>RNCP38423</t>
        </is>
      </c>
      <c r="B7" s="48" t="inlineStr">
        <is>
          <t>BAC PRO - Microtechniques</t>
        </is>
      </c>
    </row>
    <row r="8">
      <c r="A8" s="48" t="inlineStr">
        <is>
          <t>RNCP41015</t>
        </is>
      </c>
      <c r="B8" s="48" t="inlineStr">
        <is>
          <t>BAC PRO - Technicien en réalisation de produits mécaniques, option réalisation et suivi de productions, option réalisation et maintenance des outillages</t>
        </is>
      </c>
    </row>
    <row r="9">
      <c r="A9" s="54" t="inlineStr">
        <is>
          <t>RNCP38410</t>
        </is>
      </c>
      <c r="B9" s="54" t="inlineStr">
        <is>
          <t>BP - Charpentier de marine</t>
        </is>
      </c>
    </row>
    <row r="10">
      <c r="A10" s="48" t="inlineStr">
        <is>
          <t>RNCP38366</t>
        </is>
      </c>
      <c r="B10" s="48" t="inlineStr">
        <is>
          <t>Brevet de technicien supérieur - Conception et industrialisation en construction navale</t>
        </is>
      </c>
    </row>
    <row r="11">
      <c r="A11" s="48" t="inlineStr">
        <is>
          <t>RNCP38576</t>
        </is>
      </c>
      <c r="B11" s="48" t="inlineStr">
        <is>
          <t>BTS - Aéronautique</t>
        </is>
      </c>
    </row>
    <row r="12">
      <c r="A12" s="48" t="inlineStr">
        <is>
          <t>RNCP38743</t>
        </is>
      </c>
      <c r="B12" s="48" t="inlineStr">
        <is>
          <t>BTS - Conception et industrialisation en microtechniques</t>
        </is>
      </c>
    </row>
    <row r="13">
      <c r="A13" s="48" t="inlineStr">
        <is>
          <t>RNCP40029</t>
        </is>
      </c>
      <c r="B13" s="48" t="inlineStr">
        <is>
          <t>BTS - Construction et aménagement de véhicules</t>
        </is>
      </c>
    </row>
    <row r="14">
      <c r="A14" s="54" t="inlineStr">
        <is>
          <t>RNCP38367</t>
        </is>
      </c>
      <c r="B14" s="54" t="inlineStr">
        <is>
          <t>BTS - Maintenance des véhicules (Option A : Voitures particulières, Option B : Véhicules de transport routier, Option C : Motocycles)</t>
        </is>
      </c>
    </row>
    <row r="15">
      <c r="A15" s="54" t="inlineStr">
        <is>
          <t>RNCP36969</t>
        </is>
      </c>
      <c r="B15" s="54" t="inlineStr">
        <is>
          <t>BTS - Mécatronique navale</t>
        </is>
      </c>
    </row>
    <row r="16">
      <c r="A16" s="48" t="inlineStr">
        <is>
          <t>RNCP36966</t>
        </is>
      </c>
      <c r="B16" s="48" t="inlineStr">
        <is>
          <t>BTS - Motorisations toutes énergies</t>
        </is>
      </c>
    </row>
    <row r="17">
      <c r="A17" s="48" t="inlineStr">
        <is>
          <t>RNCP37700</t>
        </is>
      </c>
      <c r="B17" s="48" t="inlineStr">
        <is>
          <t>CAP - Aéronautique options Avionique, Structure et Systèmes</t>
        </is>
      </c>
    </row>
    <row r="18">
      <c r="A18" s="48" t="inlineStr">
        <is>
          <t>RNCP38394</t>
        </is>
      </c>
      <c r="B18" s="48" t="inlineStr">
        <is>
          <t>CAP - Armurerie (fabrication et réparation)</t>
        </is>
      </c>
    </row>
    <row r="19">
      <c r="A19" s="48" t="inlineStr">
        <is>
          <t>RNCP37601</t>
        </is>
      </c>
      <c r="B19" s="48" t="inlineStr">
        <is>
          <t>CAP - Carrossier automobile</t>
        </is>
      </c>
    </row>
    <row r="20">
      <c r="A20" s="48" t="inlineStr">
        <is>
          <t>RNCP38409</t>
        </is>
      </c>
      <c r="B20" s="48" t="inlineStr">
        <is>
          <t>CAP - Charpentier de marine</t>
        </is>
      </c>
    </row>
    <row r="21">
      <c r="A21" s="48" t="inlineStr">
        <is>
          <t>RNCP40013</t>
        </is>
      </c>
      <c r="B21" s="48" t="inlineStr">
        <is>
          <t>CAP - Construction et aménagement de véhicules</t>
        </is>
      </c>
    </row>
    <row r="22">
      <c r="A22" s="48" t="inlineStr">
        <is>
          <t>RNCP37896</t>
        </is>
      </c>
      <c r="B22" s="48" t="inlineStr">
        <is>
          <t>CAP - Horlogerie</t>
        </is>
      </c>
    </row>
    <row r="23">
      <c r="A23" s="48" t="inlineStr">
        <is>
          <t>RNCP39939</t>
        </is>
      </c>
      <c r="B23" s="48" t="inlineStr">
        <is>
          <t>CAP - Instruments coupants et de chirurgie</t>
        </is>
      </c>
    </row>
    <row r="24">
      <c r="A24" s="48" t="inlineStr">
        <is>
          <t>RNCP40997</t>
        </is>
      </c>
      <c r="B24" s="48" t="inlineStr">
        <is>
          <t>CAP - Maintenance des véhicules - Options : véhicules légers, véhicules de transport routier, motocycles</t>
        </is>
      </c>
    </row>
    <row r="25">
      <c r="A25" s="48" t="inlineStr">
        <is>
          <t>RNCP37670</t>
        </is>
      </c>
      <c r="B25" s="48" t="inlineStr">
        <is>
          <t>CAP - Maintenance nautique</t>
        </is>
      </c>
    </row>
    <row r="26">
      <c r="A26" s="48" t="inlineStr">
        <is>
          <t>RNCP37540</t>
        </is>
      </c>
      <c r="B26" s="48" t="inlineStr">
        <is>
          <t>CAP - Peintre automobile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21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RNCP40082</t>
        </is>
      </c>
      <c r="B2" s="48" t="inlineStr">
        <is>
          <t>BAC PRO - Fonderie</t>
        </is>
      </c>
    </row>
    <row r="3">
      <c r="A3" s="48" t="inlineStr">
        <is>
          <t>RNCP38566</t>
        </is>
      </c>
      <c r="B3" s="48" t="inlineStr">
        <is>
          <t>BAC PRO - Plastiques et composites</t>
        </is>
      </c>
    </row>
    <row r="4">
      <c r="A4" s="48" t="inlineStr">
        <is>
          <t>RNCP38337</t>
        </is>
      </c>
      <c r="B4" s="48" t="inlineStr">
        <is>
          <t>BAC PRO - Technicien en chaudronnerie industrielle</t>
        </is>
      </c>
    </row>
    <row r="5">
      <c r="A5" s="48" t="inlineStr">
        <is>
          <t>RNCP41015</t>
        </is>
      </c>
      <c r="B5" s="48" t="inlineStr">
        <is>
          <t>BAC PRO - Technicien en réalisation de produits mécaniques, option réalisation et suivi de productions, option réalisation et maintenance des outillages</t>
        </is>
      </c>
    </row>
    <row r="6">
      <c r="A6" s="48" t="inlineStr">
        <is>
          <t>RNCP38313</t>
        </is>
      </c>
      <c r="B6" s="48" t="inlineStr">
        <is>
          <t>BAC PRO - Technicien modeleur</t>
        </is>
      </c>
    </row>
    <row r="7">
      <c r="A7" s="54" t="inlineStr">
        <is>
          <t>RNCP39516</t>
        </is>
      </c>
      <c r="B7" s="54" t="inlineStr">
        <is>
          <t>BAC PRO - Traitements des matériaux</t>
        </is>
      </c>
    </row>
    <row r="8">
      <c r="A8" s="48" t="inlineStr">
        <is>
          <t>RNCP37378</t>
        </is>
      </c>
      <c r="B8" s="48" t="inlineStr">
        <is>
          <t>BTS - Conception des processus de découpe et d’emboutissage</t>
        </is>
      </c>
    </row>
    <row r="9">
      <c r="A9" s="48" t="inlineStr">
        <is>
          <t>RNCP37405</t>
        </is>
      </c>
      <c r="B9" s="48" t="inlineStr">
        <is>
          <t>BTS - Conception et réalisation en chaudronnerie industrielle</t>
        </is>
      </c>
    </row>
    <row r="10">
      <c r="A10" s="48" t="inlineStr">
        <is>
          <t>RNCP38416</t>
        </is>
      </c>
      <c r="B10" s="48" t="inlineStr">
        <is>
          <t>BTS - EuroPlastics et Composites - Option CO: Conception Outillage - Option POP : Pilotage et Optimisation de la Production</t>
        </is>
      </c>
    </row>
    <row r="11">
      <c r="A11" s="48" t="inlineStr">
        <is>
          <t>RNCP37956</t>
        </is>
      </c>
      <c r="B11" s="48" t="inlineStr">
        <is>
          <t>BTS - Fonderie</t>
        </is>
      </c>
    </row>
    <row r="12">
      <c r="A12" s="48" t="inlineStr">
        <is>
          <t>RNCP37465</t>
        </is>
      </c>
      <c r="B12" s="48" t="inlineStr">
        <is>
          <t>BTS - Forge</t>
        </is>
      </c>
    </row>
    <row r="13">
      <c r="A13" s="48" t="inlineStr">
        <is>
          <t>RNCP39569</t>
        </is>
      </c>
      <c r="B13" s="48" t="inlineStr">
        <is>
          <t>BTS - Traitements des matériaux : Option A "Traitements thermiques", Option B "Traitements de surfaces"</t>
        </is>
      </c>
    </row>
    <row r="14">
      <c r="A14" s="48" t="inlineStr">
        <is>
          <t>RNCP38432</t>
        </is>
      </c>
      <c r="B14" s="48" t="inlineStr">
        <is>
          <t>CAP - composites, plastiques chaudronnés</t>
        </is>
      </c>
    </row>
    <row r="15">
      <c r="A15" s="48" t="inlineStr">
        <is>
          <t>RNCP39342</t>
        </is>
      </c>
      <c r="B15" s="48" t="inlineStr">
        <is>
          <t>CAP - Décolletage : opérateur régleur en décolletage</t>
        </is>
      </c>
    </row>
    <row r="16">
      <c r="A16" s="48" t="inlineStr">
        <is>
          <t>RNCP39939</t>
        </is>
      </c>
      <c r="B16" s="48" t="inlineStr">
        <is>
          <t>CAP - Instruments coupants et de chirurgie</t>
        </is>
      </c>
    </row>
    <row r="17">
      <c r="A17" s="48" t="inlineStr">
        <is>
          <t>RNCP37898</t>
        </is>
      </c>
      <c r="B17" s="48" t="inlineStr">
        <is>
          <t>CAP - Métiers de la fonderie</t>
        </is>
      </c>
    </row>
    <row r="18">
      <c r="A18" s="48" t="inlineStr">
        <is>
          <t>RNCP39647</t>
        </is>
      </c>
      <c r="B18" s="48" t="inlineStr">
        <is>
          <t>CAP - Modèles et moules céramiques</t>
        </is>
      </c>
    </row>
    <row r="19">
      <c r="A19" s="54" t="inlineStr">
        <is>
          <t>RNCP39296</t>
        </is>
      </c>
      <c r="B19" s="54" t="inlineStr">
        <is>
          <t>CAP - Mouleur noyauteur : cuivre et bronze</t>
        </is>
      </c>
    </row>
    <row r="20">
      <c r="A20" s="54" t="inlineStr">
        <is>
          <t>RNCP39491</t>
        </is>
      </c>
      <c r="B20" s="54" t="inlineStr">
        <is>
          <t>CAP - Outillages en outils à découper et à emboutir</t>
        </is>
      </c>
    </row>
    <row r="21">
      <c r="A21" s="48" t="inlineStr">
        <is>
          <t>RNCP38568</t>
        </is>
      </c>
      <c r="B21" s="48" t="inlineStr">
        <is>
          <t>CAP - Réalisations industrielles en chaudronnerie ou soudage, option A : chaudronnerie, option B : soudage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6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RNCP38566</t>
        </is>
      </c>
      <c r="B2" s="48" t="inlineStr">
        <is>
          <t>BAC PRO - Plastiques et composites</t>
        </is>
      </c>
    </row>
    <row r="3">
      <c r="A3" s="48" t="inlineStr">
        <is>
          <t>RNCP38499</t>
        </is>
      </c>
      <c r="B3" s="48" t="inlineStr">
        <is>
          <t>BAC PRO - Procédés de la chimie, de l'eau et des papiers cartons</t>
        </is>
      </c>
    </row>
    <row r="4">
      <c r="A4" s="48" t="inlineStr">
        <is>
          <t>RNCP37307</t>
        </is>
      </c>
      <c r="B4" s="48" t="inlineStr">
        <is>
          <t>BAC PRO - Technicien de scierie</t>
        </is>
      </c>
    </row>
    <row r="5">
      <c r="A5" s="48" t="inlineStr">
        <is>
          <t>RNCP38337</t>
        </is>
      </c>
      <c r="B5" s="48" t="inlineStr">
        <is>
          <t>BAC PRO - Technicien en chaudronnerie industrielle</t>
        </is>
      </c>
    </row>
    <row r="6">
      <c r="A6" s="54" t="inlineStr">
        <is>
          <t>RNCP38410</t>
        </is>
      </c>
      <c r="B6" s="54" t="inlineStr">
        <is>
          <t>BP - Charpentier de marine</t>
        </is>
      </c>
    </row>
    <row r="7">
      <c r="A7" s="48" t="inlineStr">
        <is>
          <t>RNCP37375</t>
        </is>
      </c>
      <c r="B7" s="48" t="inlineStr">
        <is>
          <t>Brevet de technicien supérieur - Métiers de l’esthétique, de la cosmétique et de la parfumerie</t>
        </is>
      </c>
    </row>
    <row r="8">
      <c r="A8" s="48" t="inlineStr">
        <is>
          <t>RNCP37197</t>
        </is>
      </c>
      <c r="B8" s="48" t="inlineStr">
        <is>
          <t>BTS - Industries céramiques</t>
        </is>
      </c>
    </row>
    <row r="9">
      <c r="A9" s="48" t="inlineStr">
        <is>
          <t>RNCP38382</t>
        </is>
      </c>
      <c r="B9" s="48" t="inlineStr">
        <is>
          <t>BTS - Métiers de la chimie</t>
        </is>
      </c>
    </row>
    <row r="10">
      <c r="A10" s="48" t="inlineStr">
        <is>
          <t>RNCP38409</t>
        </is>
      </c>
      <c r="B10" s="48" t="inlineStr">
        <is>
          <t>CAP - Charpentier de marine</t>
        </is>
      </c>
    </row>
    <row r="11">
      <c r="A11" s="48" t="inlineStr">
        <is>
          <t>RNCP38432</t>
        </is>
      </c>
      <c r="B11" s="48" t="inlineStr">
        <is>
          <t>CAP - composites, plastiques chaudronnés</t>
        </is>
      </c>
    </row>
    <row r="12">
      <c r="A12" s="48" t="inlineStr">
        <is>
          <t>RNCP40335</t>
        </is>
      </c>
      <c r="B12" s="48" t="inlineStr">
        <is>
          <t>CAP - Constructeur d'ouvrages en béton armé</t>
        </is>
      </c>
    </row>
    <row r="13">
      <c r="A13" s="48" t="inlineStr">
        <is>
          <t>RNCP39648</t>
        </is>
      </c>
      <c r="B13" s="48" t="inlineStr">
        <is>
          <t>CAP - Menuisier en sièges</t>
        </is>
      </c>
    </row>
    <row r="14">
      <c r="A14" s="48" t="inlineStr">
        <is>
          <t>RNCP39647</t>
        </is>
      </c>
      <c r="B14" s="48" t="inlineStr">
        <is>
          <t>CAP - Modèles et moules céramiques</t>
        </is>
      </c>
    </row>
    <row r="15">
      <c r="A15" s="48" t="inlineStr">
        <is>
          <t>RNCP39940</t>
        </is>
      </c>
      <c r="B15" s="48" t="inlineStr">
        <is>
          <t>CAP - Souffleur de verre options Enseigne lumineuse et Verrerie scientifique</t>
        </is>
      </c>
    </row>
    <row r="16">
      <c r="A16" s="54" t="inlineStr">
        <is>
          <t>RNCP39191</t>
        </is>
      </c>
      <c r="B16" s="54" t="inlineStr">
        <is>
          <t>CS - Conducteur de machines de verrerie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3"/>
  <sheetViews>
    <sheetView zoomScaleNormal="100" workbookViewId="0">
      <selection activeCell="G21" sqref="G21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54" t="inlineStr">
        <is>
          <t>RNCP35845</t>
        </is>
      </c>
      <c r="B2" s="54" t="inlineStr">
        <is>
          <t>BAC PRO - Installateur en Chauffage, Climatisation et Énergies Renouvelables</t>
        </is>
      </c>
    </row>
    <row r="3">
      <c r="A3" s="54" t="inlineStr">
        <is>
          <t>RNCP35844</t>
        </is>
      </c>
      <c r="B3" s="54" t="inlineStr">
        <is>
          <t>BAC PRO - Maintenance et Efficacité Energétique</t>
        </is>
      </c>
    </row>
    <row r="4">
      <c r="A4" s="54" t="inlineStr">
        <is>
          <t>RNCP35846</t>
        </is>
      </c>
      <c r="B4" s="54" t="inlineStr">
        <is>
          <t>BAC PRO - Métiers du Froid et des Energies Renouvelables</t>
        </is>
      </c>
    </row>
    <row r="5">
      <c r="A5" s="48" t="inlineStr">
        <is>
          <t>RNCP40437</t>
        </is>
      </c>
      <c r="B5" s="48" t="inlineStr">
        <is>
          <t>BAC PRO - Technicien en transport et distribution des gaz</t>
        </is>
      </c>
    </row>
    <row r="6">
      <c r="A6" s="48" t="inlineStr">
        <is>
          <t>RNCP38635</t>
        </is>
      </c>
      <c r="B6" s="48" t="inlineStr">
        <is>
          <t>BP - Installateur dépanneur en froid et conditionnement d'air</t>
        </is>
      </c>
    </row>
    <row r="7">
      <c r="A7" s="48" t="inlineStr">
        <is>
          <t>RNCP38726</t>
        </is>
      </c>
      <c r="B7" s="48" t="inlineStr">
        <is>
          <t>BP - Monteur en installations de génie climatique et sanitaire</t>
        </is>
      </c>
    </row>
    <row r="8">
      <c r="A8" s="48" t="inlineStr">
        <is>
          <t>RNCP38361</t>
        </is>
      </c>
      <c r="B8" s="48" t="inlineStr">
        <is>
          <t>BTS - Fluides-énergies-domotique (option A « génie climatique et fluidique », option B « froid et conditionnement d'air », option C « domotique et bâtiments communicants »)</t>
        </is>
      </c>
    </row>
    <row r="9">
      <c r="A9" s="48" t="inlineStr">
        <is>
          <t>RNCP40484</t>
        </is>
      </c>
      <c r="B9" s="48" t="inlineStr">
        <is>
          <t>CAP - Constructeur de réseaux de canalisations de travaux publics</t>
        </is>
      </c>
    </row>
    <row r="10">
      <c r="A10" s="48" t="inlineStr">
        <is>
          <t>RNCP38560</t>
        </is>
      </c>
      <c r="B10" s="48" t="inlineStr">
        <is>
          <t>CAP - Installateur en froid et conditionnement d'air</t>
        </is>
      </c>
    </row>
    <row r="11">
      <c r="A11" s="48" t="inlineStr">
        <is>
          <t>RNCP38305</t>
        </is>
      </c>
      <c r="B11" s="48" t="inlineStr">
        <is>
          <t>CAP - Monteur en installations sanitaires</t>
        </is>
      </c>
    </row>
    <row r="12">
      <c r="A12" s="48" t="inlineStr">
        <is>
          <t>RNCP38306</t>
        </is>
      </c>
      <c r="B12" s="48" t="inlineStr">
        <is>
          <t>CAP - Monteur en installations thermiques</t>
        </is>
      </c>
    </row>
    <row r="13">
      <c r="A13" s="54" t="inlineStr">
        <is>
          <t>RNCP37919</t>
        </is>
      </c>
      <c r="B13" s="54" t="inlineStr">
        <is>
          <t>CS - Maintenance des équipements thermiques individuels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38"/>
  <sheetViews>
    <sheetView zoomScaleNormal="100" workbookViewId="0">
      <selection activeCell="A1" sqref="A1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RNCP38229</t>
        </is>
      </c>
      <c r="B2" s="48" t="inlineStr">
        <is>
          <t>BAC PRO - Aménagement et finition du bâtiment</t>
        </is>
      </c>
    </row>
    <row r="3">
      <c r="A3" s="54" t="inlineStr">
        <is>
          <t>RNCP37911</t>
        </is>
      </c>
      <c r="B3" s="54" t="inlineStr">
        <is>
          <t>BAC PRO - Etude et réalisation d'agencement</t>
        </is>
      </c>
    </row>
    <row r="4">
      <c r="A4" s="48" t="inlineStr">
        <is>
          <t>RNCP41014</t>
        </is>
      </c>
      <c r="B4" s="48" t="inlineStr">
        <is>
          <t>BAC PRO - Interventions sur le patrimoine bâti - Options maçonnerie, charpente, couverture</t>
        </is>
      </c>
    </row>
    <row r="5">
      <c r="A5" s="48" t="inlineStr">
        <is>
          <t>RNCP39806</t>
        </is>
      </c>
      <c r="B5" s="48" t="inlineStr">
        <is>
          <t>BAC PRO - Menuiserie Aluminium- Verre</t>
        </is>
      </c>
    </row>
    <row r="6">
      <c r="A6" s="48" t="inlineStr">
        <is>
          <t>RNCP38878</t>
        </is>
      </c>
      <c r="B6" s="48" t="inlineStr">
        <is>
          <t>BAC PRO - Métiers de l'électricité et de ses environnements connectés</t>
        </is>
      </c>
    </row>
    <row r="7">
      <c r="A7" s="48" t="inlineStr">
        <is>
          <t>RNCP39514</t>
        </is>
      </c>
      <c r="B7" s="48" t="inlineStr">
        <is>
          <t>BAC PRO - Ouvrages du bâtiment : métallerie</t>
        </is>
      </c>
    </row>
    <row r="8">
      <c r="A8" s="48" t="inlineStr">
        <is>
          <t>RNCP37308</t>
        </is>
      </c>
      <c r="B8" s="48" t="inlineStr">
        <is>
          <t>BAC PRO - Technicien fabrication bois et matériaux associés</t>
        </is>
      </c>
    </row>
    <row r="9">
      <c r="A9" s="54" t="inlineStr">
        <is>
          <t>RNCP37917</t>
        </is>
      </c>
      <c r="B9" s="54" t="inlineStr">
        <is>
          <t>BAC PRO - Technicien menuisier agenceur</t>
        </is>
      </c>
    </row>
    <row r="10">
      <c r="A10" s="48" t="inlineStr">
        <is>
          <t>RNCP38230</t>
        </is>
      </c>
      <c r="B10" s="48" t="inlineStr">
        <is>
          <t>BP - Carreleur mosaiste</t>
        </is>
      </c>
    </row>
    <row r="11">
      <c r="A11" s="54" t="inlineStr">
        <is>
          <t>RNCP38725</t>
        </is>
      </c>
      <c r="B11" s="54" t="inlineStr">
        <is>
          <t>BP - Couvreur</t>
        </is>
      </c>
    </row>
    <row r="12">
      <c r="A12" s="48" t="inlineStr">
        <is>
          <t>RNCP38300</t>
        </is>
      </c>
      <c r="B12" s="48" t="inlineStr">
        <is>
          <t>BP - Etanchéité du bâtiment et des travaux publics</t>
        </is>
      </c>
    </row>
    <row r="13">
      <c r="A13" s="48" t="inlineStr">
        <is>
          <t>RNCP41842</t>
        </is>
      </c>
      <c r="B13" s="48" t="inlineStr">
        <is>
          <t>BP - Menuisier</t>
        </is>
      </c>
    </row>
    <row r="14">
      <c r="A14" s="48" t="inlineStr">
        <is>
          <t>RNCP38728</t>
        </is>
      </c>
      <c r="B14" s="48" t="inlineStr">
        <is>
          <t>BP - Menuisier aluminium-verre</t>
        </is>
      </c>
    </row>
    <row r="15">
      <c r="A15" s="48" t="inlineStr">
        <is>
          <t>RNCP38727</t>
        </is>
      </c>
      <c r="B15" s="48" t="inlineStr">
        <is>
          <t>BP - Métallier</t>
        </is>
      </c>
    </row>
    <row r="16">
      <c r="A16" s="48" t="inlineStr">
        <is>
          <t>RNCP38309</t>
        </is>
      </c>
      <c r="B16" s="48" t="inlineStr">
        <is>
          <t>BP - Métiers du plâtre et de l'isolation</t>
        </is>
      </c>
    </row>
    <row r="17">
      <c r="A17" s="54" t="inlineStr">
        <is>
          <t>RNCP38740</t>
        </is>
      </c>
      <c r="B17" s="54" t="inlineStr">
        <is>
          <t>BP - Peintre applicateur de revêtements</t>
        </is>
      </c>
    </row>
    <row r="18">
      <c r="A18" s="48" t="inlineStr">
        <is>
          <t>RNCP38882</t>
        </is>
      </c>
      <c r="B18" s="48" t="inlineStr">
        <is>
          <t>BTS - Développement et réalisation bois</t>
        </is>
      </c>
    </row>
    <row r="19">
      <c r="A19" s="48" t="inlineStr">
        <is>
          <t>RNCP37495</t>
        </is>
      </c>
      <c r="B19" s="48" t="inlineStr">
        <is>
          <t>BTS - Enveloppe des bâtiments : conception et réalisation</t>
        </is>
      </c>
    </row>
    <row r="20">
      <c r="A20" s="48" t="inlineStr">
        <is>
          <t>RNCP38383</t>
        </is>
      </c>
      <c r="B20" s="48" t="inlineStr">
        <is>
          <t>BTS - Etude et réalisation d'agencement</t>
        </is>
      </c>
    </row>
    <row r="21">
      <c r="A21" s="54" t="inlineStr">
        <is>
          <t>RNCP35809</t>
        </is>
      </c>
      <c r="B21" s="54" t="inlineStr">
        <is>
          <t>BTS - Finition, aménagement des bâtiments : conception et réalisation</t>
        </is>
      </c>
    </row>
    <row r="22">
      <c r="A22" s="48" t="inlineStr">
        <is>
          <t>RNCP38361</t>
        </is>
      </c>
      <c r="B22" s="48" t="inlineStr">
        <is>
          <t>BTS - Fluides-énergies-domotique (option A « génie climatique et fluidique », option B « froid et conditionnement d'air », option C « domotique et bâtiments communicants »)</t>
        </is>
      </c>
    </row>
    <row r="23">
      <c r="A23" s="48" t="inlineStr">
        <is>
          <t>RNCP39328</t>
        </is>
      </c>
      <c r="B23" s="48" t="inlineStr">
        <is>
          <t>CAP - Carreleur Mosaïste</t>
        </is>
      </c>
    </row>
    <row r="24">
      <c r="A24" s="54" t="inlineStr">
        <is>
          <t>RNCP35889</t>
        </is>
      </c>
      <c r="B24" s="54" t="inlineStr">
        <is>
          <t>CAP - Couvreur</t>
        </is>
      </c>
    </row>
    <row r="25">
      <c r="A25" s="48" t="inlineStr">
        <is>
          <t>RNCP37892</t>
        </is>
      </c>
      <c r="B25" s="48" t="inlineStr">
        <is>
          <t>CAP - Etancheur du bâtiment et des travaux publics</t>
        </is>
      </c>
    </row>
    <row r="26">
      <c r="A26" s="48" t="inlineStr">
        <is>
          <t>RNCP38392</t>
        </is>
      </c>
      <c r="B26" s="48" t="inlineStr">
        <is>
          <t>CAP - Ferronnier d'art</t>
        </is>
      </c>
    </row>
    <row r="27">
      <c r="A27" s="54" t="inlineStr">
        <is>
          <t>RNCP35696</t>
        </is>
      </c>
      <c r="B27" s="54" t="inlineStr">
        <is>
          <t>CAP - Interventions en maintenance technique des bâtiments</t>
        </is>
      </c>
    </row>
    <row r="28">
      <c r="A28" s="48" t="inlineStr">
        <is>
          <t>RNCP37893</t>
        </is>
      </c>
      <c r="B28" s="48" t="inlineStr">
        <is>
          <t>CAP - Menuisier aluminium-verre</t>
        </is>
      </c>
    </row>
    <row r="29">
      <c r="A29" s="48" t="inlineStr">
        <is>
          <t>RNCP39648</t>
        </is>
      </c>
      <c r="B29" s="48" t="inlineStr">
        <is>
          <t>CAP - Menuisier en sièges</t>
        </is>
      </c>
    </row>
    <row r="30">
      <c r="A30" s="54" t="inlineStr">
        <is>
          <t>RNCP36112</t>
        </is>
      </c>
      <c r="B30" s="54" t="inlineStr">
        <is>
          <t>CAP - Menuisier fabricant</t>
        </is>
      </c>
    </row>
    <row r="31">
      <c r="A31" s="54" t="inlineStr">
        <is>
          <t>RNCP35974</t>
        </is>
      </c>
      <c r="B31" s="54" t="inlineStr">
        <is>
          <t>CAP - Menuisier installateur</t>
        </is>
      </c>
    </row>
    <row r="32">
      <c r="A32" s="54" t="inlineStr">
        <is>
          <t>RNCP37897</t>
        </is>
      </c>
      <c r="B32" s="54" t="inlineStr">
        <is>
          <t>CAP - Métallier</t>
        </is>
      </c>
    </row>
    <row r="33">
      <c r="A33" s="48" t="inlineStr">
        <is>
          <t>RNCP39703</t>
        </is>
      </c>
      <c r="B33" s="48" t="inlineStr">
        <is>
          <t>CAP - Métiers de l'enseigne et de la signalétique</t>
        </is>
      </c>
    </row>
    <row r="34">
      <c r="A34" s="48" t="inlineStr">
        <is>
          <t>RNCP39032</t>
        </is>
      </c>
      <c r="B34" s="48" t="inlineStr">
        <is>
          <t>CAP - Métiers du plâtre et de l'isolation</t>
        </is>
      </c>
    </row>
    <row r="35">
      <c r="A35" s="48" t="inlineStr">
        <is>
          <t>RNCP39036</t>
        </is>
      </c>
      <c r="B35" s="48" t="inlineStr">
        <is>
          <t>CAP - Peintre applicateur de revêtements</t>
        </is>
      </c>
    </row>
    <row r="36">
      <c r="A36" s="48" t="inlineStr">
        <is>
          <t>RNCP37305</t>
        </is>
      </c>
      <c r="B36" s="48" t="inlineStr">
        <is>
          <t>CAP - Signalétique et décors graphiques</t>
        </is>
      </c>
    </row>
    <row r="37">
      <c r="A37" s="48" t="inlineStr">
        <is>
          <t>RNCP39940</t>
        </is>
      </c>
      <c r="B37" s="48" t="inlineStr">
        <is>
          <t>CAP - Souffleur de verre options Enseigne lumineuse et Verrerie scientifique</t>
        </is>
      </c>
    </row>
    <row r="38">
      <c r="A38" s="48" t="inlineStr">
        <is>
          <t>RNCP36427</t>
        </is>
      </c>
      <c r="B38" s="48" t="inlineStr">
        <is>
          <t>CAP - Staffeur ornemaniste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7"/>
  <sheetViews>
    <sheetView zoomScaleNormal="100" workbookViewId="0">
      <selection activeCell="F9" sqref="F9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RNCP38229</t>
        </is>
      </c>
      <c r="B2" s="48" t="inlineStr">
        <is>
          <t>BAC PRO - Aménagement et finition du bâtiment</t>
        </is>
      </c>
    </row>
    <row r="3">
      <c r="A3" s="48" t="inlineStr">
        <is>
          <t>RNCP41014</t>
        </is>
      </c>
      <c r="B3" s="48" t="inlineStr">
        <is>
          <t>BAC PRO - Interventions sur le patrimoine bâti - Options maçonnerie, charpente, couverture</t>
        </is>
      </c>
    </row>
    <row r="4">
      <c r="A4" s="54" t="inlineStr">
        <is>
          <t>RNCP37916</t>
        </is>
      </c>
      <c r="B4" s="54" t="inlineStr">
        <is>
          <t>BAC PRO - Technicien constructeur bois</t>
        </is>
      </c>
    </row>
    <row r="5">
      <c r="A5" s="48" t="inlineStr">
        <is>
          <t>RNCP38337</t>
        </is>
      </c>
      <c r="B5" s="48" t="inlineStr">
        <is>
          <t>BAC PRO - Technicien en chaudronnerie industrielle</t>
        </is>
      </c>
    </row>
    <row r="6">
      <c r="A6" s="48" t="inlineStr">
        <is>
          <t>RNCP37308</t>
        </is>
      </c>
      <c r="B6" s="48" t="inlineStr">
        <is>
          <t>BAC PRO - Technicien fabrication bois et matériaux associés</t>
        </is>
      </c>
    </row>
    <row r="7">
      <c r="A7" s="48" t="inlineStr">
        <is>
          <t>RNCP41841</t>
        </is>
      </c>
      <c r="B7" s="48" t="inlineStr">
        <is>
          <t>BP - Charpentier bois</t>
        </is>
      </c>
    </row>
    <row r="8">
      <c r="A8" s="48" t="inlineStr">
        <is>
          <t>RNCP38303</t>
        </is>
      </c>
      <c r="B8" s="48" t="inlineStr">
        <is>
          <t>BP - Maçon</t>
        </is>
      </c>
    </row>
    <row r="9">
      <c r="A9" s="48" t="inlineStr">
        <is>
          <t>RNCP38218</t>
        </is>
      </c>
      <c r="B9" s="48" t="inlineStr">
        <is>
          <t>BTS - Architectures en métal : conception et réalisation</t>
        </is>
      </c>
    </row>
    <row r="10">
      <c r="A10" s="48" t="inlineStr">
        <is>
          <t>RNCP38882</t>
        </is>
      </c>
      <c r="B10" s="48" t="inlineStr">
        <is>
          <t>BTS - Développement et réalisation bois</t>
        </is>
      </c>
    </row>
    <row r="11">
      <c r="A11" s="54" t="inlineStr">
        <is>
          <t>RNCP35802</t>
        </is>
      </c>
      <c r="B11" s="54" t="inlineStr">
        <is>
          <t>BTS - Management économique de la construction</t>
        </is>
      </c>
    </row>
    <row r="12">
      <c r="A12" s="48" t="inlineStr">
        <is>
          <t>RNCP38578</t>
        </is>
      </c>
      <c r="B12" s="48" t="inlineStr">
        <is>
          <t>BTS - Systèmes constructifs bois et habitat</t>
        </is>
      </c>
    </row>
    <row r="13">
      <c r="A13" s="48" t="inlineStr">
        <is>
          <t>RNCP41012</t>
        </is>
      </c>
      <c r="B13" s="48" t="inlineStr">
        <is>
          <t>CAP - Charpentier bois</t>
        </is>
      </c>
    </row>
    <row r="14">
      <c r="A14" s="48" t="inlineStr">
        <is>
          <t>RNCP40335</t>
        </is>
      </c>
      <c r="B14" s="48" t="inlineStr">
        <is>
          <t>CAP - Constructeur d'ouvrages en béton armé</t>
        </is>
      </c>
    </row>
    <row r="15">
      <c r="A15" s="54" t="inlineStr">
        <is>
          <t>RNCP35715</t>
        </is>
      </c>
      <c r="B15" s="54" t="inlineStr">
        <is>
          <t>CAP - Maçon</t>
        </is>
      </c>
    </row>
    <row r="16">
      <c r="A16" s="54" t="inlineStr">
        <is>
          <t>RNCP38711</t>
        </is>
      </c>
      <c r="B16" s="54" t="inlineStr">
        <is>
          <t>CS - Peinture décoration</t>
        </is>
      </c>
    </row>
    <row r="17">
      <c r="A17" s="31" t="n"/>
      <c r="B17" s="31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2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RNCP39327</t>
        </is>
      </c>
      <c r="B2" s="48" t="inlineStr">
        <is>
          <t>BAC PRO - Maintenance des matériels</t>
        </is>
      </c>
    </row>
    <row r="3">
      <c r="A3" s="48" t="inlineStr">
        <is>
          <t>RNCP39514</t>
        </is>
      </c>
      <c r="B3" s="48" t="inlineStr">
        <is>
          <t>BAC PRO - Ouvrages du bâtiment : métallerie</t>
        </is>
      </c>
    </row>
    <row r="4">
      <c r="A4" s="48" t="inlineStr">
        <is>
          <t>RNCP39033</t>
        </is>
      </c>
      <c r="B4" s="48" t="inlineStr">
        <is>
          <t>BAC PRO - Technicien d'études du bâtiment</t>
        </is>
      </c>
    </row>
    <row r="5">
      <c r="A5" s="48" t="inlineStr">
        <is>
          <t>RNCP37385</t>
        </is>
      </c>
      <c r="B5" s="48" t="inlineStr">
        <is>
          <t>BAC PRO - Travaux publics</t>
        </is>
      </c>
    </row>
    <row r="6">
      <c r="A6" s="48" t="inlineStr">
        <is>
          <t>RNCP38724</t>
        </is>
      </c>
      <c r="B6" s="48" t="inlineStr">
        <is>
          <t>BP - Métiers de la pierre</t>
        </is>
      </c>
    </row>
    <row r="7">
      <c r="A7" s="54" t="inlineStr">
        <is>
          <t>RNCP39801</t>
        </is>
      </c>
      <c r="B7" s="54" t="inlineStr">
        <is>
          <t>BTS - Bâtiment</t>
        </is>
      </c>
    </row>
    <row r="8">
      <c r="A8" s="48" t="inlineStr">
        <is>
          <t>RNCP39085</t>
        </is>
      </c>
      <c r="B8" s="48" t="inlineStr">
        <is>
          <t>BTS - Géologie appliquée</t>
        </is>
      </c>
    </row>
    <row r="9">
      <c r="A9" s="48" t="inlineStr">
        <is>
          <t>RNCP38577</t>
        </is>
      </c>
      <c r="B9" s="48" t="inlineStr">
        <is>
          <t>BTS - Maintenance des matériels de construction et de manutention</t>
        </is>
      </c>
    </row>
    <row r="10">
      <c r="A10" s="54" t="inlineStr">
        <is>
          <t>RNCP35802</t>
        </is>
      </c>
      <c r="B10" s="54" t="inlineStr">
        <is>
          <t>BTS - Management économique de la construction</t>
        </is>
      </c>
    </row>
    <row r="11">
      <c r="A11" s="48" t="inlineStr">
        <is>
          <t>RNCP38578</t>
        </is>
      </c>
      <c r="B11" s="48" t="inlineStr">
        <is>
          <t>BTS - Systèmes constructifs bois et habitat</t>
        </is>
      </c>
    </row>
    <row r="12">
      <c r="A12" s="48" t="inlineStr">
        <is>
          <t>RNCP37199</t>
        </is>
      </c>
      <c r="B12" s="48" t="inlineStr">
        <is>
          <t>BTS - Travaux publics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RNCP37385</t>
        </is>
      </c>
      <c r="B2" s="48" t="inlineStr">
        <is>
          <t>BAC PRO - Travaux publics</t>
        </is>
      </c>
    </row>
    <row r="3">
      <c r="A3" s="54" t="inlineStr">
        <is>
          <t>RNCP38715</t>
        </is>
      </c>
      <c r="B3" s="54" t="inlineStr">
        <is>
          <t>BP - Conducteur d'engins : travaux publics et carrières</t>
        </is>
      </c>
    </row>
    <row r="4">
      <c r="A4" s="48" t="inlineStr">
        <is>
          <t>RNCP37199</t>
        </is>
      </c>
      <c r="B4" s="48" t="inlineStr">
        <is>
          <t>BTS - Travaux publics</t>
        </is>
      </c>
    </row>
    <row r="5">
      <c r="A5" s="48" t="inlineStr">
        <is>
          <t>RNCP40484</t>
        </is>
      </c>
      <c r="B5" s="48" t="inlineStr">
        <is>
          <t>CAP - Constructeur de réseaux de canalisations de travaux publics</t>
        </is>
      </c>
    </row>
    <row r="6">
      <c r="A6" s="48" t="inlineStr">
        <is>
          <t>RNCP40485</t>
        </is>
      </c>
      <c r="B6" s="48" t="inlineStr">
        <is>
          <t>CAP - Constructeur de routes et d'aménagements urbains</t>
        </is>
      </c>
    </row>
    <row r="7">
      <c r="A7" s="54" t="inlineStr">
        <is>
          <t>RNCP36816</t>
        </is>
      </c>
      <c r="B7" s="54" t="inlineStr">
        <is>
          <t>CS - Opérateur polyvalent en interventions subaquatiques</t>
        </is>
      </c>
    </row>
  </sheetData>
  <autoFilter ref="A1:B7">
    <sortState ref="A2:B7">
      <sortCondition ref="A2:A7"/>
    </sortState>
  </autoFilter>
  <pageMargins left="0.7" right="0.7" top="0.75" bottom="0.75" header="0.511811023622047" footer="0.511811023622047"/>
  <pageSetup orientation="portrait" paperSize="9" horizontalDpi="300" verticalDpi="300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Normal="100" workbookViewId="0">
      <selection activeCell="L18" sqref="L18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RNCP37230</t>
        </is>
      </c>
      <c r="B2" s="48" t="inlineStr">
        <is>
          <t>BAC PRO - Métiers du cuir option chaussures, option maroquinerie, option sellerie garnissage</t>
        </is>
      </c>
    </row>
    <row r="3">
      <c r="A3" s="48" t="inlineStr">
        <is>
          <t>RNCP40039</t>
        </is>
      </c>
      <c r="B3" s="48" t="inlineStr">
        <is>
          <t>Brevet de technicien supérieur - Podo-orthésiste</t>
        </is>
      </c>
    </row>
    <row r="4">
      <c r="A4" s="48" t="inlineStr">
        <is>
          <t>RNCP36776</t>
        </is>
      </c>
      <c r="B4" s="48" t="inlineStr">
        <is>
          <t>BTS - Métiers de la mode  – chaussure et maroquinerie »</t>
        </is>
      </c>
    </row>
    <row r="5">
      <c r="A5" s="48" t="inlineStr">
        <is>
          <t>RNCP37241</t>
        </is>
      </c>
      <c r="B5" s="48" t="inlineStr">
        <is>
          <t>CAP - Chaussure</t>
        </is>
      </c>
    </row>
    <row r="6">
      <c r="A6" s="48" t="inlineStr">
        <is>
          <t>RNCP37366</t>
        </is>
      </c>
      <c r="B6" s="48" t="inlineStr">
        <is>
          <t>CAP - Cordonnier bottier</t>
        </is>
      </c>
    </row>
    <row r="7">
      <c r="A7" s="48" t="inlineStr">
        <is>
          <t>RNCP37243</t>
        </is>
      </c>
      <c r="B7" s="48" t="inlineStr">
        <is>
          <t>CAP - Fourrure</t>
        </is>
      </c>
    </row>
    <row r="8">
      <c r="A8" s="48" t="inlineStr">
        <is>
          <t>RNCP38712</t>
        </is>
      </c>
      <c r="B8" s="48" t="inlineStr">
        <is>
          <t>CAP - Maroquinerie</t>
        </is>
      </c>
    </row>
    <row r="9">
      <c r="A9" s="48" t="inlineStr">
        <is>
          <t>RNCP39037</t>
        </is>
      </c>
      <c r="B9" s="48" t="inlineStr">
        <is>
          <t>CAP - Sellerie générale</t>
        </is>
      </c>
    </row>
    <row r="10">
      <c r="A10" s="48" t="inlineStr">
        <is>
          <t>RNCP37905</t>
        </is>
      </c>
      <c r="B10" s="48" t="inlineStr">
        <is>
          <t>CAP - Sellier harnacheur</t>
        </is>
      </c>
    </row>
    <row r="11">
      <c r="A11" s="54" t="inlineStr">
        <is>
          <t>RNCP37250</t>
        </is>
      </c>
      <c r="B11" s="54" t="inlineStr">
        <is>
          <t>CAP - Vêtement de peau</t>
        </is>
      </c>
    </row>
    <row r="12">
      <c r="A12" s="54" t="inlineStr">
        <is>
          <t>RNCP37251</t>
        </is>
      </c>
      <c r="B12" s="54" t="inlineStr">
        <is>
          <t>Certificat d'aptitude professionnelle - Cordonnerie multiservice</t>
        </is>
      </c>
    </row>
    <row r="13">
      <c r="A13" s="48" t="inlineStr">
        <is>
          <t>RNCP37486</t>
        </is>
      </c>
      <c r="B13" s="48" t="inlineStr">
        <is>
          <t>Certificat d'aptitude professionnelle - Opérateur en appareillage orthopédique - Spécialité orthoprothèse</t>
        </is>
      </c>
    </row>
    <row r="14">
      <c r="A14" s="48" t="inlineStr">
        <is>
          <t>RNCP37487</t>
        </is>
      </c>
      <c r="B14" s="48" t="inlineStr">
        <is>
          <t>Certificat d'aptitude professionnelle - Opérateur en appareillage orthopédique Spécialité podo-orthèse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3"/>
  <sheetViews>
    <sheetView zoomScaleNormal="100" workbookViewId="0">
      <selection activeCell="O25" sqref="O25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RNCP38729</t>
        </is>
      </c>
      <c r="B2" s="48" t="inlineStr">
        <is>
          <t>BAC PRO - Métiers de la couture et de la confection</t>
        </is>
      </c>
    </row>
    <row r="3">
      <c r="A3" s="54" t="inlineStr">
        <is>
          <t>RNCP37937</t>
        </is>
      </c>
      <c r="B3" s="54" t="inlineStr">
        <is>
          <t>BP - Vêtement sur mesure, option tailleur homme, option tailleur dame, option couture flou</t>
        </is>
      </c>
    </row>
    <row r="4">
      <c r="A4" s="48" t="inlineStr">
        <is>
          <t>RNCP36777</t>
        </is>
      </c>
      <c r="B4" s="48" t="inlineStr">
        <is>
          <t>BTS - Métiers de la mode  – vêtements »</t>
        </is>
      </c>
    </row>
    <row r="5">
      <c r="A5" s="48" t="inlineStr">
        <is>
          <t>RNCP39035</t>
        </is>
      </c>
      <c r="B5" s="48" t="inlineStr">
        <is>
          <t>CAP - Fleuriste de mode</t>
        </is>
      </c>
    </row>
    <row r="6">
      <c r="A6" s="48" t="inlineStr">
        <is>
          <t>RNCP37243</t>
        </is>
      </c>
      <c r="B6" s="48" t="inlineStr">
        <is>
          <t>CAP - Fourrure</t>
        </is>
      </c>
    </row>
    <row r="7">
      <c r="A7" s="48" t="inlineStr">
        <is>
          <t>RNCP38712</t>
        </is>
      </c>
      <c r="B7" s="48" t="inlineStr">
        <is>
          <t>CAP - Maroquinerie</t>
        </is>
      </c>
    </row>
    <row r="8">
      <c r="A8" s="54" t="inlineStr">
        <is>
          <t>RNCP37244</t>
        </is>
      </c>
      <c r="B8" s="54" t="inlineStr">
        <is>
          <t>CAP - Métiers de la mode chapelier modiste</t>
        </is>
      </c>
    </row>
    <row r="9">
      <c r="A9" s="54" t="inlineStr">
        <is>
          <t>RNCP37245</t>
        </is>
      </c>
      <c r="B9" s="54" t="inlineStr">
        <is>
          <t>CAP - Métiers de la mode vêtement flou</t>
        </is>
      </c>
    </row>
    <row r="10">
      <c r="A10" s="54" t="inlineStr">
        <is>
          <t>RNCP37246</t>
        </is>
      </c>
      <c r="B10" s="54" t="inlineStr">
        <is>
          <t>CAP - Métiers de la mode vêtement tailleur</t>
        </is>
      </c>
    </row>
    <row r="11">
      <c r="A11" s="48" t="inlineStr">
        <is>
          <t>RNCP39134</t>
        </is>
      </c>
      <c r="B11" s="48" t="inlineStr">
        <is>
          <t>CAP - Plumasserie</t>
        </is>
      </c>
    </row>
    <row r="12">
      <c r="A12" s="54" t="inlineStr">
        <is>
          <t>RNCP37234</t>
        </is>
      </c>
      <c r="B12" s="54" t="inlineStr">
        <is>
          <t>Certificat de spécialisation - Essayage retouche vente</t>
        </is>
      </c>
    </row>
    <row r="13">
      <c r="A13" s="48" t="inlineStr">
        <is>
          <t>RNCP37381</t>
        </is>
      </c>
      <c r="B13" s="48" t="inlineStr">
        <is>
          <t>CS - Bijoux de mode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Normal="100" workbookViewId="0">
      <selection activeCell="A1" sqref="A1"/>
    </sheetView>
  </sheetViews>
  <sheetFormatPr baseColWidth="10" defaultColWidth="10.6640625" defaultRowHeight="14.4"/>
  <sheetData>
    <row r="1">
      <c r="A1" s="48" t="inlineStr">
        <is>
          <t>RNCP37962</t>
        </is>
      </c>
      <c r="B1" s="48" t="inlineStr">
        <is>
          <t>BTS - Innovation textile (Option A : Structures ; Option B : Traitements)</t>
        </is>
      </c>
    </row>
    <row r="2">
      <c r="A2" s="54" t="inlineStr">
        <is>
          <t>RNCP35640</t>
        </is>
      </c>
      <c r="B2" s="54" t="inlineStr">
        <is>
          <t>CAP - Arts de la dentelle, options fuseaux et aiguille</t>
        </is>
      </c>
    </row>
    <row r="3">
      <c r="A3" s="54" t="inlineStr">
        <is>
          <t>RNCP39706</t>
        </is>
      </c>
      <c r="B3" s="54" t="inlineStr">
        <is>
          <t>CAP - Arts de la broderie</t>
        </is>
      </c>
    </row>
    <row r="4">
      <c r="A4" s="54" t="inlineStr">
        <is>
          <t>RNCP39714</t>
        </is>
      </c>
      <c r="B4" s="54" t="inlineStr">
        <is>
          <t>CAP - Arts du tapis et de la  tapisserie de lisse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22"/>
  <sheetViews>
    <sheetView zoomScaleNormal="100" workbookViewId="0">
      <selection activeCell="I15" sqref="I15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RNCP37602</t>
        </is>
      </c>
      <c r="B2" s="48" t="inlineStr">
        <is>
          <t>BAC PRO - Boucher-charcutier-traiteur</t>
        </is>
      </c>
    </row>
    <row r="3">
      <c r="A3" s="48" t="inlineStr">
        <is>
          <t>RNCP37908</t>
        </is>
      </c>
      <c r="B3" s="48" t="inlineStr">
        <is>
          <t>BAC PRO - Boulanger-pâtissier</t>
        </is>
      </c>
    </row>
    <row r="4">
      <c r="A4" s="48" t="inlineStr">
        <is>
          <t>RNCP37927</t>
        </is>
      </c>
      <c r="B4" s="48" t="inlineStr">
        <is>
          <t>BAC PRO - Poissonnier - écailler - traiteur</t>
        </is>
      </c>
    </row>
    <row r="5">
      <c r="A5" s="48" t="inlineStr">
        <is>
          <t>RNCP37699</t>
        </is>
      </c>
      <c r="B5" s="48" t="inlineStr">
        <is>
          <t>BAC PRO - Production en industries pharmaceutiques, alimentaires et cosmétiques (PIPAC)</t>
        </is>
      </c>
    </row>
    <row r="6">
      <c r="A6" s="54" t="inlineStr">
        <is>
          <t>RNCP37491</t>
        </is>
      </c>
      <c r="B6" s="54" t="inlineStr">
        <is>
          <t>BP - Boulanger</t>
        </is>
      </c>
    </row>
    <row r="7">
      <c r="A7" s="48" t="inlineStr">
        <is>
          <t>RNCP39156</t>
        </is>
      </c>
      <c r="B7" s="48" t="inlineStr">
        <is>
          <t>BP - Conducteur de ligne de production alimentaire</t>
        </is>
      </c>
    </row>
    <row r="8">
      <c r="A8" s="48" t="inlineStr">
        <is>
          <t>RNCP37559</t>
        </is>
      </c>
      <c r="B8" s="48" t="inlineStr">
        <is>
          <t>Brevet professionnel - Charcutier - traiteur</t>
        </is>
      </c>
    </row>
    <row r="9">
      <c r="A9" s="48" t="inlineStr">
        <is>
          <t>RNCP41043</t>
        </is>
      </c>
      <c r="B9" s="48" t="inlineStr">
        <is>
          <t>BTS - Bioqualité</t>
        </is>
      </c>
    </row>
    <row r="10">
      <c r="A10" s="48" t="inlineStr">
        <is>
          <t>RNCP37535</t>
        </is>
      </c>
      <c r="B10" s="48" t="inlineStr">
        <is>
          <t>CAP - Boucher</t>
        </is>
      </c>
    </row>
    <row r="11">
      <c r="A11" s="54" t="inlineStr">
        <is>
          <t>RNCP37537</t>
        </is>
      </c>
      <c r="B11" s="54" t="inlineStr">
        <is>
          <t>CAP - Boulanger</t>
        </is>
      </c>
    </row>
    <row r="12">
      <c r="A12" s="48" t="inlineStr">
        <is>
          <t>RNCP38631</t>
        </is>
      </c>
      <c r="B12" s="48" t="inlineStr">
        <is>
          <t>CAP - Charcuterie-traiteur</t>
        </is>
      </c>
    </row>
    <row r="13">
      <c r="A13" s="48" t="inlineStr">
        <is>
          <t>RNCP37533</t>
        </is>
      </c>
      <c r="B13" s="48" t="inlineStr">
        <is>
          <t>CAP - Crémier fromager</t>
        </is>
      </c>
    </row>
    <row r="14">
      <c r="A14" s="48" t="inlineStr">
        <is>
          <t>RNCP38765</t>
        </is>
      </c>
      <c r="B14" s="48" t="inlineStr">
        <is>
          <t>CAP - Pâtissier</t>
        </is>
      </c>
    </row>
    <row r="15">
      <c r="A15" s="54" t="inlineStr">
        <is>
          <t>RNCP37383</t>
        </is>
      </c>
      <c r="B15" s="54" t="inlineStr">
        <is>
          <t>CAP - Poissonnier- écailler</t>
        </is>
      </c>
    </row>
    <row r="16">
      <c r="A16" s="48" t="inlineStr">
        <is>
          <t>RNCP38632</t>
        </is>
      </c>
      <c r="B16" s="48" t="inlineStr">
        <is>
          <t>Certificat d'aptitude professionnelle - Chocolaterie-confiserie</t>
        </is>
      </c>
    </row>
    <row r="17">
      <c r="A17" s="54" t="inlineStr">
        <is>
          <t>RNCP37534</t>
        </is>
      </c>
      <c r="B17" s="54" t="inlineStr">
        <is>
          <t>Certificat d'aptitude professionnelle - Glacier fabricant</t>
        </is>
      </c>
    </row>
    <row r="18">
      <c r="A18" s="54" t="inlineStr">
        <is>
          <t>RNCP37536</t>
        </is>
      </c>
      <c r="B18" s="54" t="inlineStr">
        <is>
          <t>Certificat d'aptitude professionnelle - Mareyage</t>
        </is>
      </c>
    </row>
    <row r="19">
      <c r="A19" s="48" t="inlineStr">
        <is>
          <t>RNCP38761</t>
        </is>
      </c>
      <c r="B19" s="48" t="inlineStr">
        <is>
          <t>Certificat de spécialisation - Pâtisserie de boutique</t>
        </is>
      </c>
    </row>
    <row r="20">
      <c r="A20" s="48" t="inlineStr">
        <is>
          <t>RNCP38762</t>
        </is>
      </c>
      <c r="B20" s="48" t="inlineStr">
        <is>
          <t>Certificat de spécialisation - Techniques du tour en boulangerie et en pâtisserie</t>
        </is>
      </c>
    </row>
    <row r="21">
      <c r="A21" s="48" t="inlineStr">
        <is>
          <t>RNCP38636</t>
        </is>
      </c>
      <c r="B21" s="48" t="inlineStr">
        <is>
          <t>Certificat de spécialisation - Vente-conseil en boucherie</t>
        </is>
      </c>
    </row>
    <row r="22">
      <c r="A22" s="48" t="inlineStr">
        <is>
          <t>RNCP40683</t>
        </is>
      </c>
      <c r="B22" s="48" t="inlineStr">
        <is>
          <t>Chocolatier-confiseur (BTM)</t>
        </is>
      </c>
    </row>
  </sheetData>
  <pageMargins left="0.7" right="0.7" top="0.75" bottom="0.75" header="0.511811023622047" footer="0.511811023622047"/>
  <pageSetup orientation="landscape" paperSize="9" horizontalDpi="300" verticalDpi="300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54" t="inlineStr">
        <is>
          <t>RNCP37536</t>
        </is>
      </c>
      <c r="B2" s="54" t="inlineStr">
        <is>
          <t>Certificat d'aptitude professionnelle - Mareyage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RNCP39327</t>
        </is>
      </c>
      <c r="B2" s="48" t="inlineStr">
        <is>
          <t>BAC PRO - Maintenance des matériels</t>
        </is>
      </c>
    </row>
    <row r="3">
      <c r="A3" s="48" t="inlineStr">
        <is>
          <t>RNCP37307</t>
        </is>
      </c>
      <c r="B3" s="48" t="inlineStr">
        <is>
          <t>BAC PRO - Technicien de scierie</t>
        </is>
      </c>
    </row>
    <row r="4">
      <c r="A4" s="48" t="inlineStr">
        <is>
          <t>RNCP38191</t>
        </is>
      </c>
      <c r="B4" s="48" t="inlineStr">
        <is>
          <t>BTS - Techniques et services en matériels agricoles</t>
        </is>
      </c>
    </row>
    <row r="5">
      <c r="A5" s="48" t="inlineStr">
        <is>
          <t>RNCP37304</t>
        </is>
      </c>
      <c r="B5" s="48" t="inlineStr">
        <is>
          <t>CAP - Conducteur opérateur de scierie</t>
        </is>
      </c>
    </row>
    <row r="6">
      <c r="A6" s="48" t="inlineStr">
        <is>
          <t>RNCP39330</t>
        </is>
      </c>
      <c r="B6" s="48" t="inlineStr">
        <is>
          <t>CAP - Maintenance des matériels</t>
        </is>
      </c>
    </row>
    <row r="7">
      <c r="A7" s="48" t="inlineStr">
        <is>
          <t>RNCP37671</t>
        </is>
      </c>
      <c r="B7" s="48" t="inlineStr">
        <is>
          <t>CAP - Tonnelier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RNCP37309</t>
        </is>
      </c>
      <c r="B2" s="48" t="inlineStr">
        <is>
          <t>BAC PRO - Transports par câbles et remontées mécaniques</t>
        </is>
      </c>
    </row>
    <row r="3">
      <c r="A3" s="48" t="inlineStr">
        <is>
          <t>RNCP38339</t>
        </is>
      </c>
      <c r="B3" s="48" t="inlineStr">
        <is>
          <t>BP - Métiers de la piscine</t>
        </is>
      </c>
    </row>
    <row r="4">
      <c r="A4" s="48" t="inlineStr">
        <is>
          <t>RNCP37306</t>
        </is>
      </c>
      <c r="B4" s="48" t="inlineStr">
        <is>
          <t>CAP - Transports par câbles et remontées mécaniques</t>
        </is>
      </c>
    </row>
    <row r="5">
      <c r="A5" s="54" t="inlineStr">
        <is>
          <t>RNCP36816</t>
        </is>
      </c>
      <c r="B5" s="54" t="inlineStr">
        <is>
          <t>CS - Opérateur polyvalent en interventions subaquatiques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3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RNCP36241</t>
        </is>
      </c>
      <c r="B2" s="48" t="inlineStr">
        <is>
          <t>TP - Médiateur social accès aux droits et services</t>
        </is>
      </c>
    </row>
    <row r="3">
      <c r="A3" s="48" t="inlineStr">
        <is>
          <t>RNCP37275</t>
        </is>
      </c>
      <c r="B3" s="48" t="inlineStr">
        <is>
          <t>TP - Formateur professionnel d'adultes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RNCP36685</t>
        </is>
      </c>
      <c r="B2" s="48" t="inlineStr">
        <is>
          <t>BTS - Collaborateur juriste notarial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Normal="100" workbookViewId="0">
      <selection activeCell="H12" sqref="H1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RNCP40311</t>
        </is>
      </c>
      <c r="B2" s="48" t="inlineStr">
        <is>
          <t>BAC PRO - Maintenance environnementale et propreté des espaces urbains</t>
        </is>
      </c>
    </row>
    <row r="3">
      <c r="A3" s="48" t="inlineStr">
        <is>
          <t>RNCP37964</t>
        </is>
      </c>
      <c r="B3" s="48" t="inlineStr">
        <is>
          <t>BTS - Métiers de l'eau</t>
        </is>
      </c>
    </row>
    <row r="4">
      <c r="A4" s="48" t="inlineStr">
        <is>
          <t>RNCP39944</t>
        </is>
      </c>
      <c r="B4" s="48" t="inlineStr">
        <is>
          <t>BTS - Métiers des services à l'environnement</t>
        </is>
      </c>
    </row>
    <row r="5">
      <c r="A5" s="54" t="inlineStr">
        <is>
          <t>RNCP38741</t>
        </is>
      </c>
      <c r="B5" s="54" t="inlineStr">
        <is>
          <t>CAP - Agent de la qualité de l'eau</t>
        </is>
      </c>
    </row>
    <row r="6">
      <c r="A6" s="48" t="inlineStr">
        <is>
          <t>RNCP40485</t>
        </is>
      </c>
      <c r="B6" s="48" t="inlineStr">
        <is>
          <t>CAP - Constructeur de routes et d'aménagements urbains</t>
        </is>
      </c>
    </row>
    <row r="7">
      <c r="A7" s="48" t="inlineStr">
        <is>
          <t>RNCP40310</t>
        </is>
      </c>
      <c r="B7" s="48" t="inlineStr">
        <is>
          <t>CAP - Valorisation des matières et propreté des espaces urbains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Normal="100" workbookViewId="0">
      <selection activeCell="A1" sqref="A1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RNCP39269</t>
        </is>
      </c>
      <c r="B2" s="48" t="inlineStr">
        <is>
          <t>BAC PRO - Géomètre</t>
        </is>
      </c>
    </row>
    <row r="3">
      <c r="A3" s="48" t="inlineStr">
        <is>
          <t>RNCP39085</t>
        </is>
      </c>
      <c r="B3" s="48" t="inlineStr">
        <is>
          <t>BTS - Géologie appliquée</t>
        </is>
      </c>
    </row>
    <row r="4">
      <c r="A4" s="54" t="inlineStr">
        <is>
          <t>RNCP37707</t>
        </is>
      </c>
      <c r="B4" s="54" t="inlineStr">
        <is>
          <t>BTS - Métiers du géomètre-topographe et de la modélisation numérique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Normal="100" workbookViewId="0">
      <selection activeCell="A1" sqref="A1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RNCP37699</t>
        </is>
      </c>
      <c r="B2" s="48" t="inlineStr">
        <is>
          <t>BAC PRO - Production en industries pharmaceutiques, alimentaires et cosmétiques (PIPAC)</t>
        </is>
      </c>
    </row>
    <row r="3">
      <c r="A3" s="48" t="inlineStr">
        <is>
          <t>RNCP38385</t>
        </is>
      </c>
      <c r="B3" s="48" t="inlineStr">
        <is>
          <t>BAC PRO - Technicien en expérimentation animale</t>
        </is>
      </c>
    </row>
    <row r="4">
      <c r="A4" s="48" t="inlineStr">
        <is>
          <t>RNCP38884</t>
        </is>
      </c>
      <c r="B4" s="48" t="inlineStr">
        <is>
          <t>BTS - Bioanalyses en laboratoire de contrôle</t>
        </is>
      </c>
    </row>
    <row r="5">
      <c r="A5" s="48" t="inlineStr">
        <is>
          <t>RNCP41043</t>
        </is>
      </c>
      <c r="B5" s="48" t="inlineStr">
        <is>
          <t>BTS - Bioqualité</t>
        </is>
      </c>
    </row>
    <row r="6">
      <c r="A6" s="48" t="inlineStr">
        <is>
          <t>RNCP38883</t>
        </is>
      </c>
      <c r="B6" s="48" t="inlineStr">
        <is>
          <t>BTS - Biotechnologie  en recherche et en production</t>
        </is>
      </c>
    </row>
    <row r="7">
      <c r="A7" s="48" t="inlineStr">
        <is>
          <t>RNCP39704</t>
        </is>
      </c>
      <c r="B7" s="48" t="inlineStr">
        <is>
          <t>CAP - Taxidermiste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Normal="100" workbookViewId="0">
      <selection activeCell="K16" sqref="K16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RNCP38499</t>
        </is>
      </c>
      <c r="B2" s="48" t="inlineStr">
        <is>
          <t>BAC PRO - Procédés de la chimie, de l'eau et des papiers cartons</t>
        </is>
      </c>
    </row>
    <row r="3">
      <c r="A3" s="48" t="inlineStr">
        <is>
          <t>RNCP38382</t>
        </is>
      </c>
      <c r="B3" s="48" t="inlineStr">
        <is>
          <t>BTS - Métiers de la chimie</t>
        </is>
      </c>
    </row>
    <row r="4">
      <c r="A4" s="54" t="inlineStr">
        <is>
          <t>RNCP35803</t>
        </is>
      </c>
      <c r="B4" s="54" t="inlineStr">
        <is>
          <t>BTS - Métiers de la mesure</t>
        </is>
      </c>
    </row>
    <row r="5">
      <c r="A5" s="48" t="inlineStr">
        <is>
          <t>RNCP39699</t>
        </is>
      </c>
      <c r="B5" s="48" t="inlineStr">
        <is>
          <t>CAP - Industries chimiques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Normal="100" workbookViewId="0">
      <selection activeCell="A2" sqref="A2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48" t="inlineStr">
        <is>
          <t>RNCP37490</t>
        </is>
      </c>
      <c r="B2" s="48" t="inlineStr">
        <is>
          <t>BAC PRO - Optique Photonique : Technologies de la Lumière</t>
        </is>
      </c>
    </row>
    <row r="3">
      <c r="A3" s="54" t="inlineStr">
        <is>
          <t>RNCP35803</t>
        </is>
      </c>
      <c r="B3" s="54" t="inlineStr">
        <is>
          <t>BTS - Métiers de la mesure</t>
        </is>
      </c>
    </row>
    <row r="4">
      <c r="A4" s="48" t="inlineStr">
        <is>
          <t>RNCP36966</t>
        </is>
      </c>
      <c r="B4" s="48" t="inlineStr">
        <is>
          <t>BTS - Motorisations toutes énergies</t>
        </is>
      </c>
    </row>
    <row r="5">
      <c r="A5" s="48" t="inlineStr">
        <is>
          <t>RNCP38543</t>
        </is>
      </c>
      <c r="B5" s="48" t="inlineStr">
        <is>
          <t>BTS - Photonique : Technologies et Sciences de la Lumière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Normal="100" workbookViewId="0">
      <selection activeCell="E6" sqref="E6"/>
    </sheetView>
  </sheetViews>
  <sheetFormatPr baseColWidth="10" defaultColWidth="10.6640625" defaultRowHeight="14.4"/>
  <sheetData>
    <row r="1">
      <c r="A1" s="30" t="inlineStr">
        <is>
          <t>Nomenclature RNCP</t>
        </is>
      </c>
      <c r="B1" s="30" t="inlineStr">
        <is>
          <t>Certification</t>
        </is>
      </c>
    </row>
    <row r="2">
      <c r="A2" s="54" t="inlineStr">
        <is>
          <t>RNCP37707</t>
        </is>
      </c>
      <c r="B2" s="54" t="inlineStr">
        <is>
          <t>BTS - Métiers du géomètre-topographe et de la modélisation numérique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fr-FR</dc:language>
  <dcterms:created xsi:type="dcterms:W3CDTF">2026-02-12T15:51:22Z</dcterms:created>
  <dcterms:modified xsi:type="dcterms:W3CDTF">2026-07-18T06:26:39Z</dcterms:modified>
  <cp:lastModifiedBy>Ruxana Hussain</cp:lastModifiedBy>
  <cp:revision>1</cp:revision>
  <cp:lastPrinted>2026-03-20T15:45:49Z</cp:lastPrinted>
</cp:coreProperties>
</file>